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stin\ISRM\MZR\Slot-Machine\calculations\"/>
    </mc:Choice>
  </mc:AlternateContent>
  <xr:revisionPtr revIDLastSave="0" documentId="13_ncr:1_{5D3E9E40-2B27-40E0-82A1-AE697638ECE7}" xr6:coauthVersionLast="47" xr6:coauthVersionMax="47" xr10:uidLastSave="{00000000-0000-0000-0000-000000000000}"/>
  <bookViews>
    <workbookView xWindow="12463" yWindow="0" windowWidth="12776" windowHeight="14243" firstSheet="1" activeTab="1" xr2:uid="{FD194DFF-9432-4DC4-8960-E21137A0D36B}"/>
  </bookViews>
  <sheets>
    <sheet name="Summary" sheetId="3" r:id="rId1"/>
    <sheet name="Summary_calculations" sheetId="5" r:id="rId2"/>
    <sheet name="BaseBonus" sheetId="6" r:id="rId3"/>
    <sheet name="FreeSpinsBonus" sheetId="18" r:id="rId4"/>
    <sheet name="ReelSet0" sheetId="8" r:id="rId5"/>
    <sheet name="ReelSet1" sheetId="17" r:id="rId6"/>
    <sheet name="Freespins" sheetId="15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3" l="1"/>
  <c r="E31" i="6"/>
  <c r="AI53" i="15"/>
  <c r="AI54" i="15"/>
  <c r="AI55" i="15"/>
  <c r="AI56" i="15"/>
  <c r="AI57" i="15"/>
  <c r="AI58" i="15"/>
  <c r="AI59" i="15"/>
  <c r="AI60" i="15"/>
  <c r="AI61" i="15"/>
  <c r="AI62" i="15"/>
  <c r="AI64" i="15"/>
  <c r="AI65" i="15"/>
  <c r="AI68" i="15"/>
  <c r="AI69" i="15"/>
  <c r="AI70" i="15"/>
  <c r="AI71" i="15"/>
  <c r="AI72" i="15"/>
  <c r="AI73" i="15"/>
  <c r="AI74" i="15"/>
  <c r="AI76" i="15"/>
  <c r="AI77" i="15"/>
  <c r="AI80" i="15"/>
  <c r="AI84" i="15"/>
  <c r="AI85" i="15"/>
  <c r="AI86" i="15"/>
  <c r="AI88" i="15"/>
  <c r="AI89" i="15"/>
  <c r="AI92" i="15"/>
  <c r="AI100" i="15"/>
  <c r="AI101" i="15"/>
  <c r="AI104" i="15"/>
  <c r="AI116" i="15"/>
  <c r="AI117" i="15"/>
  <c r="AI118" i="15"/>
  <c r="AI119" i="15"/>
  <c r="AI120" i="15"/>
  <c r="AI121" i="15"/>
  <c r="AI122" i="15"/>
  <c r="AI124" i="15"/>
  <c r="AI125" i="15"/>
  <c r="AI128" i="15"/>
  <c r="AI132" i="15"/>
  <c r="AI133" i="15"/>
  <c r="AI134" i="15"/>
  <c r="AI136" i="15"/>
  <c r="AI137" i="15"/>
  <c r="AI140" i="15"/>
  <c r="AI148" i="15"/>
  <c r="AI149" i="15"/>
  <c r="AI152" i="15"/>
  <c r="AI164" i="15"/>
  <c r="AI180" i="15"/>
  <c r="AI181" i="15"/>
  <c r="AI182" i="15"/>
  <c r="AI184" i="15"/>
  <c r="AI185" i="15"/>
  <c r="AI188" i="15"/>
  <c r="AI196" i="15"/>
  <c r="AI197" i="15"/>
  <c r="AI200" i="15"/>
  <c r="AI212" i="15"/>
  <c r="AI244" i="15"/>
  <c r="AI245" i="15"/>
  <c r="AI248" i="15"/>
  <c r="AI260" i="15"/>
  <c r="AI308" i="15"/>
  <c r="AI309" i="15"/>
  <c r="AI310" i="15"/>
  <c r="AI311" i="15"/>
  <c r="AI312" i="15"/>
  <c r="AI313" i="15"/>
  <c r="AI314" i="15"/>
  <c r="AI316" i="15"/>
  <c r="AI317" i="15"/>
  <c r="AI320" i="15"/>
  <c r="AI324" i="15"/>
  <c r="AI325" i="15"/>
  <c r="AI326" i="15"/>
  <c r="AI328" i="15"/>
  <c r="AI329" i="15"/>
  <c r="AI332" i="15"/>
  <c r="AI340" i="15"/>
  <c r="AI341" i="15"/>
  <c r="AI344" i="15"/>
  <c r="AI356" i="15"/>
  <c r="AI372" i="15"/>
  <c r="AI373" i="15"/>
  <c r="AI374" i="15"/>
  <c r="AI376" i="15"/>
  <c r="AI377" i="15"/>
  <c r="AI380" i="15"/>
  <c r="AI388" i="15"/>
  <c r="AI389" i="15"/>
  <c r="AI392" i="15"/>
  <c r="AI404" i="15"/>
  <c r="AI436" i="15"/>
  <c r="AI437" i="15"/>
  <c r="AI440" i="15"/>
  <c r="AI452" i="15"/>
  <c r="AI500" i="15"/>
  <c r="AI564" i="15"/>
  <c r="AI565" i="15"/>
  <c r="AI566" i="15"/>
  <c r="AI568" i="15"/>
  <c r="AI569" i="15"/>
  <c r="AI572" i="15"/>
  <c r="AI580" i="15"/>
  <c r="AI581" i="15"/>
  <c r="AI584" i="15"/>
  <c r="AI596" i="15"/>
  <c r="AI628" i="15"/>
  <c r="AI629" i="15"/>
  <c r="AI632" i="15"/>
  <c r="AI644" i="15"/>
  <c r="AI692" i="15"/>
  <c r="AI820" i="15"/>
  <c r="AI821" i="15"/>
  <c r="AI824" i="15"/>
  <c r="AI836" i="15"/>
  <c r="AI884" i="15"/>
  <c r="AI1076" i="15"/>
  <c r="AI1077" i="15"/>
  <c r="AI1078" i="15"/>
  <c r="AI1079" i="15"/>
  <c r="AI1080" i="15"/>
  <c r="AI1081" i="15"/>
  <c r="AI1082" i="15"/>
  <c r="AI1083" i="15"/>
  <c r="AI1084" i="15"/>
  <c r="AI1085" i="15"/>
  <c r="AI1086" i="15"/>
  <c r="AI1087" i="15"/>
  <c r="AI1088" i="15"/>
  <c r="AI1089" i="15"/>
  <c r="AI1090" i="15"/>
  <c r="AI1091" i="15"/>
  <c r="AI1092" i="15"/>
  <c r="AI1093" i="15"/>
  <c r="AI1094" i="15"/>
  <c r="AI1095" i="15"/>
  <c r="AI1096" i="15"/>
  <c r="AI1097" i="15"/>
  <c r="AI1098" i="15"/>
  <c r="AI1099" i="15"/>
  <c r="AI1100" i="15"/>
  <c r="AI1101" i="15"/>
  <c r="AI1102" i="15"/>
  <c r="AI1103" i="15"/>
  <c r="AI1104" i="15"/>
  <c r="AI1105" i="15"/>
  <c r="AI1106" i="15"/>
  <c r="AI1107" i="15"/>
  <c r="AI1108" i="15"/>
  <c r="AI1109" i="15"/>
  <c r="AI1110" i="15"/>
  <c r="AI1111" i="15"/>
  <c r="AI1112" i="15"/>
  <c r="AI1113" i="15"/>
  <c r="AI1114" i="15"/>
  <c r="AI1115" i="15"/>
  <c r="AI1116" i="15"/>
  <c r="AI1117" i="15"/>
  <c r="AI1118" i="15"/>
  <c r="AI1119" i="15"/>
  <c r="AI1120" i="15"/>
  <c r="AI1121" i="15"/>
  <c r="AI1122" i="15"/>
  <c r="AI1123" i="15"/>
  <c r="AI1124" i="15"/>
  <c r="AI1125" i="15"/>
  <c r="AI1126" i="15"/>
  <c r="AI1127" i="15"/>
  <c r="AI1128" i="15"/>
  <c r="AI1129" i="15"/>
  <c r="AI1130" i="15"/>
  <c r="AI1131" i="15"/>
  <c r="AI1132" i="15"/>
  <c r="AI1133" i="15"/>
  <c r="AI1134" i="15"/>
  <c r="AI1135" i="15"/>
  <c r="AI1136" i="15"/>
  <c r="AI1137" i="15"/>
  <c r="AI1138" i="15"/>
  <c r="AI1139" i="15"/>
  <c r="AI1140" i="15"/>
  <c r="AI1141" i="15"/>
  <c r="AI1142" i="15"/>
  <c r="AI1143" i="15"/>
  <c r="AI1144" i="15"/>
  <c r="AI1145" i="15"/>
  <c r="AI1146" i="15"/>
  <c r="AI1147" i="15"/>
  <c r="AI1148" i="15"/>
  <c r="AI1149" i="15"/>
  <c r="AI1150" i="15"/>
  <c r="AI1151" i="15"/>
  <c r="AI1152" i="15"/>
  <c r="AI1153" i="15"/>
  <c r="AI1154" i="15"/>
  <c r="AI1155" i="15"/>
  <c r="AI1156" i="15"/>
  <c r="AI1157" i="15"/>
  <c r="AI1158" i="15"/>
  <c r="AI1159" i="15"/>
  <c r="AI1160" i="15"/>
  <c r="AI1161" i="15"/>
  <c r="AI1162" i="15"/>
  <c r="AI1163" i="15"/>
  <c r="AI1164" i="15"/>
  <c r="AI1165" i="15"/>
  <c r="AI1166" i="15"/>
  <c r="AI1167" i="15"/>
  <c r="AI1168" i="15"/>
  <c r="AI52" i="15"/>
  <c r="D30" i="18"/>
  <c r="B30" i="18"/>
  <c r="E30" i="18" s="1"/>
  <c r="D29" i="18"/>
  <c r="B29" i="18"/>
  <c r="E28" i="18"/>
  <c r="D28" i="18"/>
  <c r="B28" i="18"/>
  <c r="D27" i="18"/>
  <c r="E27" i="18" s="1"/>
  <c r="B27" i="18"/>
  <c r="D26" i="18"/>
  <c r="B26" i="18"/>
  <c r="E26" i="18" s="1"/>
  <c r="D25" i="18"/>
  <c r="E25" i="18" s="1"/>
  <c r="B25" i="18"/>
  <c r="D24" i="18"/>
  <c r="B24" i="18"/>
  <c r="E24" i="18" s="1"/>
  <c r="D23" i="18"/>
  <c r="E23" i="18" s="1"/>
  <c r="B23" i="18"/>
  <c r="D22" i="18"/>
  <c r="B22" i="18"/>
  <c r="E22" i="18" s="1"/>
  <c r="D21" i="18"/>
  <c r="E21" i="18" s="1"/>
  <c r="B21" i="18"/>
  <c r="Q14" i="18"/>
  <c r="O14" i="18"/>
  <c r="P14" i="18" s="1"/>
  <c r="Q13" i="18"/>
  <c r="P13" i="18"/>
  <c r="O13" i="18"/>
  <c r="Q12" i="18"/>
  <c r="O12" i="18"/>
  <c r="P12" i="18" s="1"/>
  <c r="Q11" i="18"/>
  <c r="P11" i="18"/>
  <c r="O11" i="18"/>
  <c r="Q10" i="18"/>
  <c r="O10" i="18"/>
  <c r="P10" i="18" s="1"/>
  <c r="Q9" i="18"/>
  <c r="P9" i="18"/>
  <c r="O9" i="18"/>
  <c r="Q8" i="18"/>
  <c r="O8" i="18"/>
  <c r="P8" i="18" s="1"/>
  <c r="Q7" i="18"/>
  <c r="P7" i="18"/>
  <c r="O7" i="18"/>
  <c r="Q6" i="18"/>
  <c r="O6" i="18"/>
  <c r="P6" i="18" s="1"/>
  <c r="Q5" i="18"/>
  <c r="P5" i="18"/>
  <c r="O5" i="18"/>
  <c r="Q4" i="18"/>
  <c r="O4" i="18"/>
  <c r="P4" i="18" s="1"/>
  <c r="R201" i="17" a="1"/>
  <c r="R201" i="17" s="1"/>
  <c r="Q201" i="17" a="1"/>
  <c r="Q201" i="17" s="1"/>
  <c r="P201" i="17" a="1"/>
  <c r="P201" i="17" s="1"/>
  <c r="O201" i="17" a="1"/>
  <c r="O201" i="17" s="1"/>
  <c r="N201" i="17" a="1"/>
  <c r="N201" i="17" s="1"/>
  <c r="R200" i="17" a="1"/>
  <c r="R200" i="17" s="1"/>
  <c r="Q200" i="17" a="1"/>
  <c r="Q200" i="17" s="1"/>
  <c r="P200" i="17" a="1"/>
  <c r="P200" i="17" s="1"/>
  <c r="O200" i="17" a="1"/>
  <c r="O200" i="17" s="1"/>
  <c r="N200" i="17" a="1"/>
  <c r="N200" i="17" s="1"/>
  <c r="R199" i="17" a="1"/>
  <c r="R199" i="17" s="1"/>
  <c r="Q199" i="17" a="1"/>
  <c r="Q199" i="17" s="1"/>
  <c r="P199" i="17" a="1"/>
  <c r="P199" i="17" s="1"/>
  <c r="O199" i="17" a="1"/>
  <c r="O199" i="17" s="1"/>
  <c r="N199" i="17" a="1"/>
  <c r="N199" i="17" s="1"/>
  <c r="R198" i="17" a="1"/>
  <c r="R198" i="17" s="1"/>
  <c r="Q198" i="17" a="1"/>
  <c r="Q198" i="17" s="1"/>
  <c r="P198" i="17" a="1"/>
  <c r="P198" i="17" s="1"/>
  <c r="O198" i="17" a="1"/>
  <c r="O198" i="17" s="1"/>
  <c r="N198" i="17" a="1"/>
  <c r="N198" i="17" s="1"/>
  <c r="R197" i="17" a="1"/>
  <c r="R197" i="17" s="1"/>
  <c r="Q197" i="17" a="1"/>
  <c r="Q197" i="17" s="1"/>
  <c r="P197" i="17" a="1"/>
  <c r="P197" i="17" s="1"/>
  <c r="O197" i="17" a="1"/>
  <c r="O197" i="17" s="1"/>
  <c r="N197" i="17" a="1"/>
  <c r="N197" i="17" s="1"/>
  <c r="R196" i="17" a="1"/>
  <c r="R196" i="17" s="1"/>
  <c r="Q196" i="17" a="1"/>
  <c r="Q196" i="17" s="1"/>
  <c r="P196" i="17" a="1"/>
  <c r="P196" i="17" s="1"/>
  <c r="O196" i="17" a="1"/>
  <c r="O196" i="17" s="1"/>
  <c r="N196" i="17" a="1"/>
  <c r="N196" i="17" s="1"/>
  <c r="R195" i="17" a="1"/>
  <c r="R195" i="17" s="1"/>
  <c r="Q195" i="17" a="1"/>
  <c r="Q195" i="17" s="1"/>
  <c r="P195" i="17" a="1"/>
  <c r="P195" i="17" s="1"/>
  <c r="O195" i="17" a="1"/>
  <c r="O195" i="17" s="1"/>
  <c r="N195" i="17" a="1"/>
  <c r="N195" i="17" s="1"/>
  <c r="R194" i="17" a="1"/>
  <c r="R194" i="17" s="1"/>
  <c r="Q194" i="17" a="1"/>
  <c r="Q194" i="17" s="1"/>
  <c r="P194" i="17" a="1"/>
  <c r="P194" i="17" s="1"/>
  <c r="O194" i="17" a="1"/>
  <c r="O194" i="17" s="1"/>
  <c r="N194" i="17" a="1"/>
  <c r="N194" i="17" s="1"/>
  <c r="R193" i="17" a="1"/>
  <c r="R193" i="17" s="1"/>
  <c r="Q193" i="17" a="1"/>
  <c r="Q193" i="17" s="1"/>
  <c r="P193" i="17" a="1"/>
  <c r="P193" i="17" s="1"/>
  <c r="O193" i="17" a="1"/>
  <c r="O193" i="17" s="1"/>
  <c r="N193" i="17" a="1"/>
  <c r="N193" i="17" s="1"/>
  <c r="R192" i="17" a="1"/>
  <c r="R192" i="17" s="1"/>
  <c r="Q192" i="17" a="1"/>
  <c r="Q192" i="17" s="1"/>
  <c r="P192" i="17" a="1"/>
  <c r="P192" i="17" s="1"/>
  <c r="O192" i="17" a="1"/>
  <c r="O192" i="17" s="1"/>
  <c r="N192" i="17" a="1"/>
  <c r="N192" i="17" s="1"/>
  <c r="R191" i="17" a="1"/>
  <c r="R191" i="17" s="1"/>
  <c r="Q191" i="17" a="1"/>
  <c r="Q191" i="17" s="1"/>
  <c r="P191" i="17" a="1"/>
  <c r="P191" i="17" s="1"/>
  <c r="O191" i="17" a="1"/>
  <c r="O191" i="17" s="1"/>
  <c r="N191" i="17" a="1"/>
  <c r="N191" i="17" s="1"/>
  <c r="R190" i="17" a="1"/>
  <c r="R190" i="17" s="1"/>
  <c r="Q190" i="17" a="1"/>
  <c r="Q190" i="17" s="1"/>
  <c r="P190" i="17" a="1"/>
  <c r="P190" i="17" s="1"/>
  <c r="O190" i="17" a="1"/>
  <c r="O190" i="17" s="1"/>
  <c r="N190" i="17" a="1"/>
  <c r="N190" i="17" s="1"/>
  <c r="R189" i="17" a="1"/>
  <c r="R189" i="17" s="1"/>
  <c r="Q189" i="17" a="1"/>
  <c r="Q189" i="17" s="1"/>
  <c r="P189" i="17" a="1"/>
  <c r="P189" i="17" s="1"/>
  <c r="O189" i="17" a="1"/>
  <c r="O189" i="17" s="1"/>
  <c r="N189" i="17" a="1"/>
  <c r="N189" i="17" s="1"/>
  <c r="R188" i="17" a="1"/>
  <c r="R188" i="17" s="1"/>
  <c r="Q188" i="17" a="1"/>
  <c r="Q188" i="17" s="1"/>
  <c r="P188" i="17" a="1"/>
  <c r="P188" i="17" s="1"/>
  <c r="O188" i="17" a="1"/>
  <c r="O188" i="17" s="1"/>
  <c r="N188" i="17" a="1"/>
  <c r="N188" i="17" s="1"/>
  <c r="R187" i="17" a="1"/>
  <c r="R187" i="17" s="1"/>
  <c r="Q187" i="17" a="1"/>
  <c r="Q187" i="17" s="1"/>
  <c r="P187" i="17" a="1"/>
  <c r="P187" i="17" s="1"/>
  <c r="O187" i="17" a="1"/>
  <c r="O187" i="17" s="1"/>
  <c r="N187" i="17" a="1"/>
  <c r="N187" i="17" s="1"/>
  <c r="R186" i="17" a="1"/>
  <c r="R186" i="17" s="1"/>
  <c r="Q186" i="17" a="1"/>
  <c r="Q186" i="17" s="1"/>
  <c r="P186" i="17" a="1"/>
  <c r="P186" i="17" s="1"/>
  <c r="O186" i="17" a="1"/>
  <c r="O186" i="17" s="1"/>
  <c r="N186" i="17" a="1"/>
  <c r="N186" i="17" s="1"/>
  <c r="R185" i="17" a="1"/>
  <c r="R185" i="17" s="1"/>
  <c r="Q185" i="17" a="1"/>
  <c r="Q185" i="17" s="1"/>
  <c r="P185" i="17" a="1"/>
  <c r="P185" i="17" s="1"/>
  <c r="O185" i="17" a="1"/>
  <c r="O185" i="17" s="1"/>
  <c r="N185" i="17" a="1"/>
  <c r="N185" i="17" s="1"/>
  <c r="R184" i="17" a="1"/>
  <c r="R184" i="17" s="1"/>
  <c r="Q184" i="17" a="1"/>
  <c r="Q184" i="17" s="1"/>
  <c r="P184" i="17" a="1"/>
  <c r="P184" i="17" s="1"/>
  <c r="O184" i="17" a="1"/>
  <c r="O184" i="17" s="1"/>
  <c r="N184" i="17" a="1"/>
  <c r="N184" i="17" s="1"/>
  <c r="R183" i="17" a="1"/>
  <c r="R183" i="17" s="1"/>
  <c r="Q183" i="17" a="1"/>
  <c r="Q183" i="17" s="1"/>
  <c r="P183" i="17" a="1"/>
  <c r="P183" i="17" s="1"/>
  <c r="O183" i="17" a="1"/>
  <c r="O183" i="17" s="1"/>
  <c r="N183" i="17" a="1"/>
  <c r="N183" i="17" s="1"/>
  <c r="R182" i="17" a="1"/>
  <c r="R182" i="17" s="1"/>
  <c r="Q182" i="17" a="1"/>
  <c r="Q182" i="17" s="1"/>
  <c r="P182" i="17" a="1"/>
  <c r="P182" i="17" s="1"/>
  <c r="O182" i="17" a="1"/>
  <c r="O182" i="17" s="1"/>
  <c r="N182" i="17" a="1"/>
  <c r="N182" i="17" s="1"/>
  <c r="R181" i="17" a="1"/>
  <c r="R181" i="17" s="1"/>
  <c r="Q181" i="17" a="1"/>
  <c r="Q181" i="17" s="1"/>
  <c r="P181" i="17" a="1"/>
  <c r="P181" i="17" s="1"/>
  <c r="O181" i="17" a="1"/>
  <c r="O181" i="17" s="1"/>
  <c r="N181" i="17" a="1"/>
  <c r="N181" i="17" s="1"/>
  <c r="R180" i="17" a="1"/>
  <c r="R180" i="17" s="1"/>
  <c r="Q180" i="17" a="1"/>
  <c r="Q180" i="17" s="1"/>
  <c r="P180" i="17" a="1"/>
  <c r="P180" i="17" s="1"/>
  <c r="O180" i="17" a="1"/>
  <c r="O180" i="17" s="1"/>
  <c r="N180" i="17" a="1"/>
  <c r="N180" i="17" s="1"/>
  <c r="R179" i="17" a="1"/>
  <c r="R179" i="17" s="1"/>
  <c r="Q179" i="17" a="1"/>
  <c r="Q179" i="17" s="1"/>
  <c r="P179" i="17" a="1"/>
  <c r="P179" i="17" s="1"/>
  <c r="O179" i="17" a="1"/>
  <c r="O179" i="17" s="1"/>
  <c r="N179" i="17" a="1"/>
  <c r="N179" i="17" s="1"/>
  <c r="R178" i="17" a="1"/>
  <c r="R178" i="17" s="1"/>
  <c r="Q178" i="17" a="1"/>
  <c r="Q178" i="17" s="1"/>
  <c r="P178" i="17" a="1"/>
  <c r="P178" i="17" s="1"/>
  <c r="O178" i="17" a="1"/>
  <c r="O178" i="17" s="1"/>
  <c r="N178" i="17" a="1"/>
  <c r="N178" i="17" s="1"/>
  <c r="R177" i="17" a="1"/>
  <c r="R177" i="17" s="1"/>
  <c r="Q177" i="17" a="1"/>
  <c r="Q177" i="17" s="1"/>
  <c r="P177" i="17" a="1"/>
  <c r="P177" i="17" s="1"/>
  <c r="O177" i="17" a="1"/>
  <c r="O177" i="17" s="1"/>
  <c r="N177" i="17" a="1"/>
  <c r="N177" i="17" s="1"/>
  <c r="R176" i="17" a="1"/>
  <c r="R176" i="17" s="1"/>
  <c r="Q176" i="17" a="1"/>
  <c r="Q176" i="17" s="1"/>
  <c r="P176" i="17" a="1"/>
  <c r="P176" i="17" s="1"/>
  <c r="O176" i="17" a="1"/>
  <c r="O176" i="17" s="1"/>
  <c r="N176" i="17" a="1"/>
  <c r="N176" i="17" s="1"/>
  <c r="R175" i="17" a="1"/>
  <c r="R175" i="17" s="1"/>
  <c r="Q175" i="17" a="1"/>
  <c r="Q175" i="17" s="1"/>
  <c r="P175" i="17" a="1"/>
  <c r="P175" i="17" s="1"/>
  <c r="O175" i="17" a="1"/>
  <c r="O175" i="17" s="1"/>
  <c r="N175" i="17" a="1"/>
  <c r="N175" i="17" s="1"/>
  <c r="R174" i="17" a="1"/>
  <c r="R174" i="17" s="1"/>
  <c r="Q174" i="17" a="1"/>
  <c r="Q174" i="17" s="1"/>
  <c r="P174" i="17" a="1"/>
  <c r="P174" i="17" s="1"/>
  <c r="O174" i="17" a="1"/>
  <c r="O174" i="17" s="1"/>
  <c r="N174" i="17" a="1"/>
  <c r="N174" i="17" s="1"/>
  <c r="R173" i="17" a="1"/>
  <c r="R173" i="17" s="1"/>
  <c r="Q173" i="17" a="1"/>
  <c r="Q173" i="17" s="1"/>
  <c r="P173" i="17" a="1"/>
  <c r="P173" i="17" s="1"/>
  <c r="O173" i="17" a="1"/>
  <c r="O173" i="17" s="1"/>
  <c r="N173" i="17" a="1"/>
  <c r="N173" i="17" s="1"/>
  <c r="R172" i="17" a="1"/>
  <c r="R172" i="17" s="1"/>
  <c r="Q172" i="17" a="1"/>
  <c r="Q172" i="17" s="1"/>
  <c r="P172" i="17" a="1"/>
  <c r="P172" i="17" s="1"/>
  <c r="O172" i="17" a="1"/>
  <c r="O172" i="17" s="1"/>
  <c r="N172" i="17" a="1"/>
  <c r="N172" i="17" s="1"/>
  <c r="R171" i="17" a="1"/>
  <c r="R171" i="17" s="1"/>
  <c r="Q171" i="17" a="1"/>
  <c r="Q171" i="17" s="1"/>
  <c r="P171" i="17" a="1"/>
  <c r="P171" i="17" s="1"/>
  <c r="O171" i="17" a="1"/>
  <c r="O171" i="17" s="1"/>
  <c r="N171" i="17" a="1"/>
  <c r="N171" i="17" s="1"/>
  <c r="R170" i="17" a="1"/>
  <c r="R170" i="17" s="1"/>
  <c r="Q170" i="17" a="1"/>
  <c r="Q170" i="17" s="1"/>
  <c r="P170" i="17" a="1"/>
  <c r="P170" i="17" s="1"/>
  <c r="O170" i="17" a="1"/>
  <c r="O170" i="17" s="1"/>
  <c r="N170" i="17" a="1"/>
  <c r="N170" i="17" s="1"/>
  <c r="R169" i="17" a="1"/>
  <c r="R169" i="17" s="1"/>
  <c r="Q169" i="17" a="1"/>
  <c r="Q169" i="17" s="1"/>
  <c r="P169" i="17" a="1"/>
  <c r="P169" i="17" s="1"/>
  <c r="O169" i="17" a="1"/>
  <c r="O169" i="17" s="1"/>
  <c r="N169" i="17" a="1"/>
  <c r="N169" i="17" s="1"/>
  <c r="R168" i="17" a="1"/>
  <c r="R168" i="17" s="1"/>
  <c r="Q168" i="17" a="1"/>
  <c r="Q168" i="17" s="1"/>
  <c r="P168" i="17" a="1"/>
  <c r="P168" i="17" s="1"/>
  <c r="O168" i="17" a="1"/>
  <c r="O168" i="17" s="1"/>
  <c r="N168" i="17" a="1"/>
  <c r="N168" i="17" s="1"/>
  <c r="R167" i="17" a="1"/>
  <c r="R167" i="17" s="1"/>
  <c r="Q167" i="17" a="1"/>
  <c r="Q167" i="17" s="1"/>
  <c r="P167" i="17" a="1"/>
  <c r="P167" i="17" s="1"/>
  <c r="O167" i="17" a="1"/>
  <c r="O167" i="17" s="1"/>
  <c r="N167" i="17" a="1"/>
  <c r="N167" i="17" s="1"/>
  <c r="R166" i="17" a="1"/>
  <c r="R166" i="17" s="1"/>
  <c r="Q166" i="17" a="1"/>
  <c r="Q166" i="17" s="1"/>
  <c r="P166" i="17" a="1"/>
  <c r="P166" i="17" s="1"/>
  <c r="O166" i="17" a="1"/>
  <c r="O166" i="17" s="1"/>
  <c r="N166" i="17" a="1"/>
  <c r="N166" i="17" s="1"/>
  <c r="R165" i="17" a="1"/>
  <c r="R165" i="17" s="1"/>
  <c r="Q165" i="17" a="1"/>
  <c r="Q165" i="17" s="1"/>
  <c r="P165" i="17" a="1"/>
  <c r="P165" i="17" s="1"/>
  <c r="O165" i="17" a="1"/>
  <c r="O165" i="17" s="1"/>
  <c r="N165" i="17" a="1"/>
  <c r="N165" i="17" s="1"/>
  <c r="R164" i="17" a="1"/>
  <c r="R164" i="17" s="1"/>
  <c r="Q164" i="17" a="1"/>
  <c r="Q164" i="17" s="1"/>
  <c r="P164" i="17" a="1"/>
  <c r="P164" i="17" s="1"/>
  <c r="O164" i="17" a="1"/>
  <c r="O164" i="17" s="1"/>
  <c r="N164" i="17" a="1"/>
  <c r="N164" i="17" s="1"/>
  <c r="R163" i="17" a="1"/>
  <c r="R163" i="17" s="1"/>
  <c r="Q163" i="17" a="1"/>
  <c r="Q163" i="17" s="1"/>
  <c r="P163" i="17" a="1"/>
  <c r="P163" i="17" s="1"/>
  <c r="O163" i="17" a="1"/>
  <c r="O163" i="17" s="1"/>
  <c r="N163" i="17" a="1"/>
  <c r="N163" i="17" s="1"/>
  <c r="R162" i="17" a="1"/>
  <c r="R162" i="17" s="1"/>
  <c r="Q162" i="17" a="1"/>
  <c r="Q162" i="17" s="1"/>
  <c r="P162" i="17" a="1"/>
  <c r="P162" i="17" s="1"/>
  <c r="O162" i="17" a="1"/>
  <c r="O162" i="17" s="1"/>
  <c r="N162" i="17" a="1"/>
  <c r="N162" i="17" s="1"/>
  <c r="R161" i="17" a="1"/>
  <c r="R161" i="17" s="1"/>
  <c r="Q161" i="17" a="1"/>
  <c r="Q161" i="17" s="1"/>
  <c r="P161" i="17" a="1"/>
  <c r="P161" i="17" s="1"/>
  <c r="O161" i="17" a="1"/>
  <c r="O161" i="17" s="1"/>
  <c r="N161" i="17" a="1"/>
  <c r="N161" i="17" s="1"/>
  <c r="R160" i="17" a="1"/>
  <c r="R160" i="17" s="1"/>
  <c r="Q160" i="17" a="1"/>
  <c r="Q160" i="17" s="1"/>
  <c r="P160" i="17" a="1"/>
  <c r="P160" i="17" s="1"/>
  <c r="O160" i="17" a="1"/>
  <c r="O160" i="17" s="1"/>
  <c r="N160" i="17" a="1"/>
  <c r="N160" i="17" s="1"/>
  <c r="R159" i="17" a="1"/>
  <c r="R159" i="17" s="1"/>
  <c r="Q159" i="17" a="1"/>
  <c r="Q159" i="17" s="1"/>
  <c r="P159" i="17" a="1"/>
  <c r="P159" i="17" s="1"/>
  <c r="O159" i="17" a="1"/>
  <c r="O159" i="17" s="1"/>
  <c r="N159" i="17" a="1"/>
  <c r="N159" i="17" s="1"/>
  <c r="R158" i="17" a="1"/>
  <c r="R158" i="17" s="1"/>
  <c r="Q158" i="17" a="1"/>
  <c r="Q158" i="17" s="1"/>
  <c r="P158" i="17" a="1"/>
  <c r="P158" i="17" s="1"/>
  <c r="O158" i="17" a="1"/>
  <c r="O158" i="17" s="1"/>
  <c r="N158" i="17" a="1"/>
  <c r="N158" i="17" s="1"/>
  <c r="R157" i="17" a="1"/>
  <c r="R157" i="17" s="1"/>
  <c r="Q157" i="17" a="1"/>
  <c r="Q157" i="17" s="1"/>
  <c r="P157" i="17" a="1"/>
  <c r="P157" i="17" s="1"/>
  <c r="O157" i="17" a="1"/>
  <c r="O157" i="17" s="1"/>
  <c r="N157" i="17" a="1"/>
  <c r="N157" i="17" s="1"/>
  <c r="R156" i="17" a="1"/>
  <c r="R156" i="17" s="1"/>
  <c r="Q156" i="17" a="1"/>
  <c r="Q156" i="17" s="1"/>
  <c r="P156" i="17" a="1"/>
  <c r="P156" i="17" s="1"/>
  <c r="O156" i="17" a="1"/>
  <c r="O156" i="17" s="1"/>
  <c r="N156" i="17" a="1"/>
  <c r="N156" i="17" s="1"/>
  <c r="R155" i="17" a="1"/>
  <c r="R155" i="17" s="1"/>
  <c r="Q155" i="17" a="1"/>
  <c r="Q155" i="17" s="1"/>
  <c r="P155" i="17" a="1"/>
  <c r="P155" i="17" s="1"/>
  <c r="O155" i="17" a="1"/>
  <c r="O155" i="17" s="1"/>
  <c r="N155" i="17" a="1"/>
  <c r="N155" i="17" s="1"/>
  <c r="R154" i="17" a="1"/>
  <c r="R154" i="17" s="1"/>
  <c r="Q154" i="17" a="1"/>
  <c r="Q154" i="17" s="1"/>
  <c r="P154" i="17" a="1"/>
  <c r="P154" i="17" s="1"/>
  <c r="O154" i="17" a="1"/>
  <c r="O154" i="17" s="1"/>
  <c r="N154" i="17" a="1"/>
  <c r="N154" i="17" s="1"/>
  <c r="R153" i="17" a="1"/>
  <c r="R153" i="17" s="1"/>
  <c r="Q153" i="17" a="1"/>
  <c r="Q153" i="17" s="1"/>
  <c r="P153" i="17" a="1"/>
  <c r="P153" i="17" s="1"/>
  <c r="O153" i="17" a="1"/>
  <c r="O153" i="17" s="1"/>
  <c r="N153" i="17" a="1"/>
  <c r="N153" i="17" s="1"/>
  <c r="R152" i="17" a="1"/>
  <c r="R152" i="17" s="1"/>
  <c r="Q152" i="17" a="1"/>
  <c r="Q152" i="17" s="1"/>
  <c r="P152" i="17" a="1"/>
  <c r="P152" i="17" s="1"/>
  <c r="O152" i="17" a="1"/>
  <c r="O152" i="17" s="1"/>
  <c r="N152" i="17" a="1"/>
  <c r="N152" i="17" s="1"/>
  <c r="R151" i="17" a="1"/>
  <c r="R151" i="17" s="1"/>
  <c r="Q151" i="17" a="1"/>
  <c r="Q151" i="17" s="1"/>
  <c r="P151" i="17" a="1"/>
  <c r="P151" i="17" s="1"/>
  <c r="O151" i="17" a="1"/>
  <c r="O151" i="17" s="1"/>
  <c r="N151" i="17" a="1"/>
  <c r="N151" i="17" s="1"/>
  <c r="R150" i="17" a="1"/>
  <c r="R150" i="17" s="1"/>
  <c r="Q150" i="17" a="1"/>
  <c r="Q150" i="17" s="1"/>
  <c r="P150" i="17" a="1"/>
  <c r="P150" i="17" s="1"/>
  <c r="O150" i="17" a="1"/>
  <c r="O150" i="17" s="1"/>
  <c r="N150" i="17" a="1"/>
  <c r="N150" i="17" s="1"/>
  <c r="R149" i="17" a="1"/>
  <c r="R149" i="17" s="1"/>
  <c r="Q149" i="17" a="1"/>
  <c r="Q149" i="17" s="1"/>
  <c r="P149" i="17" a="1"/>
  <c r="P149" i="17" s="1"/>
  <c r="O149" i="17" a="1"/>
  <c r="O149" i="17" s="1"/>
  <c r="N149" i="17" a="1"/>
  <c r="N149" i="17" s="1"/>
  <c r="R148" i="17" a="1"/>
  <c r="R148" i="17" s="1"/>
  <c r="Q148" i="17" a="1"/>
  <c r="Q148" i="17" s="1"/>
  <c r="P148" i="17" a="1"/>
  <c r="P148" i="17" s="1"/>
  <c r="O148" i="17" a="1"/>
  <c r="O148" i="17" s="1"/>
  <c r="N148" i="17" a="1"/>
  <c r="N148" i="17" s="1"/>
  <c r="R147" i="17" a="1"/>
  <c r="R147" i="17" s="1"/>
  <c r="Q147" i="17" a="1"/>
  <c r="Q147" i="17" s="1"/>
  <c r="P147" i="17" a="1"/>
  <c r="P147" i="17" s="1"/>
  <c r="O147" i="17" a="1"/>
  <c r="O147" i="17" s="1"/>
  <c r="N147" i="17" a="1"/>
  <c r="N147" i="17" s="1"/>
  <c r="R146" i="17" a="1"/>
  <c r="R146" i="17" s="1"/>
  <c r="Q146" i="17" a="1"/>
  <c r="Q146" i="17" s="1"/>
  <c r="P146" i="17" a="1"/>
  <c r="P146" i="17" s="1"/>
  <c r="O146" i="17" a="1"/>
  <c r="O146" i="17" s="1"/>
  <c r="N146" i="17" a="1"/>
  <c r="N146" i="17" s="1"/>
  <c r="R145" i="17" a="1"/>
  <c r="R145" i="17" s="1"/>
  <c r="Q145" i="17" a="1"/>
  <c r="Q145" i="17" s="1"/>
  <c r="P145" i="17" a="1"/>
  <c r="P145" i="17" s="1"/>
  <c r="O145" i="17" a="1"/>
  <c r="O145" i="17" s="1"/>
  <c r="N145" i="17" a="1"/>
  <c r="N145" i="17" s="1"/>
  <c r="R144" i="17" a="1"/>
  <c r="R144" i="17" s="1"/>
  <c r="Q144" i="17" a="1"/>
  <c r="Q144" i="17" s="1"/>
  <c r="P144" i="17" a="1"/>
  <c r="P144" i="17" s="1"/>
  <c r="O144" i="17" a="1"/>
  <c r="O144" i="17" s="1"/>
  <c r="N144" i="17" a="1"/>
  <c r="N144" i="17" s="1"/>
  <c r="R143" i="17" a="1"/>
  <c r="R143" i="17" s="1"/>
  <c r="Q143" i="17" a="1"/>
  <c r="Q143" i="17" s="1"/>
  <c r="P143" i="17" a="1"/>
  <c r="P143" i="17" s="1"/>
  <c r="O143" i="17" a="1"/>
  <c r="O143" i="17" s="1"/>
  <c r="N143" i="17" a="1"/>
  <c r="N143" i="17" s="1"/>
  <c r="R142" i="17" a="1"/>
  <c r="R142" i="17" s="1"/>
  <c r="Q142" i="17" a="1"/>
  <c r="Q142" i="17" s="1"/>
  <c r="P142" i="17" a="1"/>
  <c r="P142" i="17" s="1"/>
  <c r="O142" i="17" a="1"/>
  <c r="O142" i="17" s="1"/>
  <c r="N142" i="17" a="1"/>
  <c r="N142" i="17" s="1"/>
  <c r="R141" i="17" a="1"/>
  <c r="R141" i="17" s="1"/>
  <c r="Q141" i="17" a="1"/>
  <c r="Q141" i="17" s="1"/>
  <c r="P141" i="17" a="1"/>
  <c r="P141" i="17" s="1"/>
  <c r="O141" i="17" a="1"/>
  <c r="O141" i="17" s="1"/>
  <c r="N141" i="17" a="1"/>
  <c r="N141" i="17" s="1"/>
  <c r="R140" i="17" a="1"/>
  <c r="R140" i="17" s="1"/>
  <c r="Q140" i="17" a="1"/>
  <c r="Q140" i="17" s="1"/>
  <c r="P140" i="17" a="1"/>
  <c r="P140" i="17" s="1"/>
  <c r="O140" i="17" a="1"/>
  <c r="O140" i="17" s="1"/>
  <c r="N140" i="17" a="1"/>
  <c r="N140" i="17" s="1"/>
  <c r="R139" i="17" a="1"/>
  <c r="R139" i="17" s="1"/>
  <c r="Q139" i="17" a="1"/>
  <c r="Q139" i="17" s="1"/>
  <c r="P139" i="17" a="1"/>
  <c r="P139" i="17" s="1"/>
  <c r="O139" i="17" a="1"/>
  <c r="O139" i="17" s="1"/>
  <c r="N139" i="17" a="1"/>
  <c r="N139" i="17" s="1"/>
  <c r="R138" i="17" a="1"/>
  <c r="R138" i="17" s="1"/>
  <c r="Q138" i="17" a="1"/>
  <c r="Q138" i="17" s="1"/>
  <c r="P138" i="17" a="1"/>
  <c r="P138" i="17" s="1"/>
  <c r="O138" i="17" a="1"/>
  <c r="O138" i="17" s="1"/>
  <c r="N138" i="17" a="1"/>
  <c r="N138" i="17" s="1"/>
  <c r="R137" i="17" a="1"/>
  <c r="R137" i="17" s="1"/>
  <c r="Q137" i="17" a="1"/>
  <c r="Q137" i="17" s="1"/>
  <c r="P137" i="17" a="1"/>
  <c r="P137" i="17" s="1"/>
  <c r="O137" i="17" a="1"/>
  <c r="O137" i="17" s="1"/>
  <c r="N137" i="17" a="1"/>
  <c r="N137" i="17" s="1"/>
  <c r="R136" i="17" a="1"/>
  <c r="R136" i="17" s="1"/>
  <c r="Q136" i="17" a="1"/>
  <c r="Q136" i="17" s="1"/>
  <c r="P136" i="17" a="1"/>
  <c r="P136" i="17" s="1"/>
  <c r="O136" i="17" a="1"/>
  <c r="O136" i="17" s="1"/>
  <c r="N136" i="17" a="1"/>
  <c r="N136" i="17" s="1"/>
  <c r="R135" i="17" a="1"/>
  <c r="R135" i="17" s="1"/>
  <c r="Q135" i="17" a="1"/>
  <c r="Q135" i="17" s="1"/>
  <c r="P135" i="17" a="1"/>
  <c r="P135" i="17" s="1"/>
  <c r="O135" i="17" a="1"/>
  <c r="O135" i="17" s="1"/>
  <c r="N135" i="17" a="1"/>
  <c r="N135" i="17" s="1"/>
  <c r="R134" i="17" a="1"/>
  <c r="R134" i="17" s="1"/>
  <c r="Q134" i="17" a="1"/>
  <c r="Q134" i="17" s="1"/>
  <c r="P134" i="17" a="1"/>
  <c r="P134" i="17" s="1"/>
  <c r="O134" i="17" a="1"/>
  <c r="O134" i="17" s="1"/>
  <c r="N134" i="17" a="1"/>
  <c r="N134" i="17" s="1"/>
  <c r="R133" i="17" a="1"/>
  <c r="R133" i="17" s="1"/>
  <c r="Q133" i="17" a="1"/>
  <c r="Q133" i="17" s="1"/>
  <c r="P133" i="17" a="1"/>
  <c r="P133" i="17" s="1"/>
  <c r="O133" i="17" a="1"/>
  <c r="O133" i="17" s="1"/>
  <c r="N133" i="17" a="1"/>
  <c r="N133" i="17" s="1"/>
  <c r="R132" i="17" a="1"/>
  <c r="R132" i="17" s="1"/>
  <c r="Q132" i="17" a="1"/>
  <c r="Q132" i="17" s="1"/>
  <c r="P132" i="17" a="1"/>
  <c r="P132" i="17" s="1"/>
  <c r="O132" i="17" a="1"/>
  <c r="O132" i="17" s="1"/>
  <c r="N132" i="17" a="1"/>
  <c r="N132" i="17" s="1"/>
  <c r="R131" i="17" a="1"/>
  <c r="R131" i="17" s="1"/>
  <c r="Q131" i="17" a="1"/>
  <c r="Q131" i="17" s="1"/>
  <c r="P131" i="17" a="1"/>
  <c r="P131" i="17" s="1"/>
  <c r="O131" i="17" a="1"/>
  <c r="O131" i="17" s="1"/>
  <c r="N131" i="17" a="1"/>
  <c r="N131" i="17" s="1"/>
  <c r="R130" i="17" a="1"/>
  <c r="R130" i="17" s="1"/>
  <c r="Q130" i="17" a="1"/>
  <c r="Q130" i="17" s="1"/>
  <c r="P130" i="17" a="1"/>
  <c r="P130" i="17" s="1"/>
  <c r="O130" i="17" a="1"/>
  <c r="O130" i="17" s="1"/>
  <c r="N130" i="17" a="1"/>
  <c r="N130" i="17" s="1"/>
  <c r="R129" i="17" a="1"/>
  <c r="R129" i="17" s="1"/>
  <c r="Q129" i="17" a="1"/>
  <c r="Q129" i="17" s="1"/>
  <c r="P129" i="17" a="1"/>
  <c r="P129" i="17" s="1"/>
  <c r="O129" i="17" a="1"/>
  <c r="O129" i="17" s="1"/>
  <c r="N129" i="17" a="1"/>
  <c r="N129" i="17" s="1"/>
  <c r="R128" i="17" a="1"/>
  <c r="R128" i="17" s="1"/>
  <c r="Q128" i="17" a="1"/>
  <c r="Q128" i="17" s="1"/>
  <c r="P128" i="17" a="1"/>
  <c r="P128" i="17" s="1"/>
  <c r="O128" i="17" a="1"/>
  <c r="O128" i="17" s="1"/>
  <c r="N128" i="17" a="1"/>
  <c r="N128" i="17" s="1"/>
  <c r="R127" i="17" a="1"/>
  <c r="R127" i="17" s="1"/>
  <c r="Q127" i="17" a="1"/>
  <c r="Q127" i="17" s="1"/>
  <c r="P127" i="17" a="1"/>
  <c r="P127" i="17" s="1"/>
  <c r="O127" i="17" a="1"/>
  <c r="O127" i="17" s="1"/>
  <c r="N127" i="17" a="1"/>
  <c r="N127" i="17" s="1"/>
  <c r="R126" i="17" a="1"/>
  <c r="R126" i="17" s="1"/>
  <c r="Q126" i="17" a="1"/>
  <c r="Q126" i="17" s="1"/>
  <c r="P126" i="17" a="1"/>
  <c r="P126" i="17" s="1"/>
  <c r="O126" i="17" a="1"/>
  <c r="O126" i="17" s="1"/>
  <c r="N126" i="17" a="1"/>
  <c r="N126" i="17" s="1"/>
  <c r="R125" i="17" a="1"/>
  <c r="R125" i="17" s="1"/>
  <c r="Q125" i="17" a="1"/>
  <c r="Q125" i="17" s="1"/>
  <c r="P125" i="17" a="1"/>
  <c r="P125" i="17" s="1"/>
  <c r="O125" i="17" a="1"/>
  <c r="O125" i="17" s="1"/>
  <c r="N125" i="17" a="1"/>
  <c r="N125" i="17" s="1"/>
  <c r="R124" i="17" a="1"/>
  <c r="R124" i="17" s="1"/>
  <c r="Q124" i="17" a="1"/>
  <c r="Q124" i="17" s="1"/>
  <c r="P124" i="17" a="1"/>
  <c r="P124" i="17" s="1"/>
  <c r="O124" i="17" a="1"/>
  <c r="O124" i="17" s="1"/>
  <c r="N124" i="17" a="1"/>
  <c r="N124" i="17" s="1"/>
  <c r="R123" i="17" a="1"/>
  <c r="R123" i="17" s="1"/>
  <c r="Q123" i="17" a="1"/>
  <c r="Q123" i="17" s="1"/>
  <c r="P123" i="17" a="1"/>
  <c r="P123" i="17" s="1"/>
  <c r="O123" i="17" a="1"/>
  <c r="O123" i="17" s="1"/>
  <c r="N123" i="17" a="1"/>
  <c r="N123" i="17" s="1"/>
  <c r="R122" i="17" a="1"/>
  <c r="R122" i="17" s="1"/>
  <c r="Q122" i="17" a="1"/>
  <c r="Q122" i="17" s="1"/>
  <c r="P122" i="17" a="1"/>
  <c r="P122" i="17" s="1"/>
  <c r="O122" i="17" a="1"/>
  <c r="O122" i="17" s="1"/>
  <c r="N122" i="17" a="1"/>
  <c r="N122" i="17" s="1"/>
  <c r="R121" i="17" a="1"/>
  <c r="R121" i="17" s="1"/>
  <c r="Q121" i="17" a="1"/>
  <c r="Q121" i="17" s="1"/>
  <c r="P121" i="17" a="1"/>
  <c r="P121" i="17" s="1"/>
  <c r="O121" i="17" a="1"/>
  <c r="O121" i="17" s="1"/>
  <c r="N121" i="17" a="1"/>
  <c r="N121" i="17" s="1"/>
  <c r="R120" i="17" a="1"/>
  <c r="R120" i="17" s="1"/>
  <c r="Q120" i="17" a="1"/>
  <c r="Q120" i="17" s="1"/>
  <c r="P120" i="17" a="1"/>
  <c r="P120" i="17" s="1"/>
  <c r="O120" i="17" a="1"/>
  <c r="O120" i="17" s="1"/>
  <c r="N120" i="17" a="1"/>
  <c r="N120" i="17" s="1"/>
  <c r="R119" i="17" a="1"/>
  <c r="R119" i="17" s="1"/>
  <c r="Q119" i="17" a="1"/>
  <c r="Q119" i="17" s="1"/>
  <c r="P119" i="17" a="1"/>
  <c r="P119" i="17" s="1"/>
  <c r="O119" i="17" a="1"/>
  <c r="O119" i="17" s="1"/>
  <c r="N119" i="17" a="1"/>
  <c r="N119" i="17" s="1"/>
  <c r="R118" i="17" a="1"/>
  <c r="R118" i="17" s="1"/>
  <c r="Q118" i="17" a="1"/>
  <c r="Q118" i="17" s="1"/>
  <c r="P118" i="17" a="1"/>
  <c r="P118" i="17" s="1"/>
  <c r="O118" i="17" a="1"/>
  <c r="O118" i="17" s="1"/>
  <c r="N118" i="17" a="1"/>
  <c r="N118" i="17" s="1"/>
  <c r="R117" i="17" a="1"/>
  <c r="R117" i="17" s="1"/>
  <c r="Q117" i="17" a="1"/>
  <c r="Q117" i="17" s="1"/>
  <c r="P117" i="17" a="1"/>
  <c r="P117" i="17" s="1"/>
  <c r="O117" i="17" a="1"/>
  <c r="O117" i="17" s="1"/>
  <c r="N117" i="17" a="1"/>
  <c r="N117" i="17" s="1"/>
  <c r="R116" i="17" a="1"/>
  <c r="R116" i="17" s="1"/>
  <c r="Q116" i="17" a="1"/>
  <c r="Q116" i="17" s="1"/>
  <c r="P116" i="17" a="1"/>
  <c r="P116" i="17" s="1"/>
  <c r="O116" i="17" a="1"/>
  <c r="O116" i="17" s="1"/>
  <c r="N116" i="17" a="1"/>
  <c r="N116" i="17" s="1"/>
  <c r="R115" i="17" a="1"/>
  <c r="R115" i="17" s="1"/>
  <c r="Q115" i="17" a="1"/>
  <c r="Q115" i="17" s="1"/>
  <c r="P115" i="17" a="1"/>
  <c r="P115" i="17" s="1"/>
  <c r="O115" i="17" a="1"/>
  <c r="O115" i="17" s="1"/>
  <c r="N115" i="17" a="1"/>
  <c r="N115" i="17" s="1"/>
  <c r="R114" i="17" a="1"/>
  <c r="R114" i="17" s="1"/>
  <c r="Q114" i="17" a="1"/>
  <c r="Q114" i="17" s="1"/>
  <c r="P114" i="17" a="1"/>
  <c r="P114" i="17" s="1"/>
  <c r="O114" i="17" a="1"/>
  <c r="O114" i="17" s="1"/>
  <c r="N114" i="17" a="1"/>
  <c r="N114" i="17" s="1"/>
  <c r="R113" i="17" a="1"/>
  <c r="R113" i="17" s="1"/>
  <c r="Q113" i="17" a="1"/>
  <c r="Q113" i="17" s="1"/>
  <c r="P113" i="17" a="1"/>
  <c r="P113" i="17" s="1"/>
  <c r="O113" i="17" a="1"/>
  <c r="O113" i="17" s="1"/>
  <c r="N113" i="17" a="1"/>
  <c r="N113" i="17" s="1"/>
  <c r="R112" i="17" a="1"/>
  <c r="R112" i="17" s="1"/>
  <c r="Q112" i="17" a="1"/>
  <c r="Q112" i="17" s="1"/>
  <c r="P112" i="17" a="1"/>
  <c r="P112" i="17" s="1"/>
  <c r="O112" i="17" a="1"/>
  <c r="O112" i="17" s="1"/>
  <c r="N112" i="17" a="1"/>
  <c r="N112" i="17" s="1"/>
  <c r="R111" i="17" a="1"/>
  <c r="R111" i="17" s="1"/>
  <c r="Q111" i="17" a="1"/>
  <c r="Q111" i="17" s="1"/>
  <c r="P111" i="17" a="1"/>
  <c r="P111" i="17" s="1"/>
  <c r="O111" i="17" a="1"/>
  <c r="O111" i="17" s="1"/>
  <c r="N111" i="17" a="1"/>
  <c r="N111" i="17" s="1"/>
  <c r="R110" i="17" a="1"/>
  <c r="R110" i="17" s="1"/>
  <c r="Q110" i="17" a="1"/>
  <c r="Q110" i="17" s="1"/>
  <c r="P110" i="17" a="1"/>
  <c r="P110" i="17" s="1"/>
  <c r="O110" i="17" a="1"/>
  <c r="O110" i="17" s="1"/>
  <c r="N110" i="17" a="1"/>
  <c r="N110" i="17" s="1"/>
  <c r="R109" i="17" a="1"/>
  <c r="R109" i="17" s="1"/>
  <c r="Q109" i="17" a="1"/>
  <c r="Q109" i="17" s="1"/>
  <c r="P109" i="17" a="1"/>
  <c r="P109" i="17" s="1"/>
  <c r="O109" i="17" a="1"/>
  <c r="O109" i="17" s="1"/>
  <c r="N109" i="17" a="1"/>
  <c r="N109" i="17" s="1"/>
  <c r="R108" i="17" a="1"/>
  <c r="R108" i="17" s="1"/>
  <c r="Q108" i="17" a="1"/>
  <c r="Q108" i="17" s="1"/>
  <c r="P108" i="17" a="1"/>
  <c r="P108" i="17" s="1"/>
  <c r="O108" i="17" a="1"/>
  <c r="O108" i="17" s="1"/>
  <c r="N108" i="17" a="1"/>
  <c r="N108" i="17" s="1"/>
  <c r="R107" i="17" a="1"/>
  <c r="R107" i="17" s="1"/>
  <c r="Q107" i="17" a="1"/>
  <c r="Q107" i="17" s="1"/>
  <c r="P107" i="17" a="1"/>
  <c r="P107" i="17" s="1"/>
  <c r="O107" i="17" a="1"/>
  <c r="O107" i="17" s="1"/>
  <c r="N107" i="17" a="1"/>
  <c r="N107" i="17" s="1"/>
  <c r="R106" i="17" a="1"/>
  <c r="R106" i="17" s="1"/>
  <c r="Q106" i="17" a="1"/>
  <c r="Q106" i="17" s="1"/>
  <c r="P106" i="17" a="1"/>
  <c r="P106" i="17" s="1"/>
  <c r="O106" i="17" a="1"/>
  <c r="O106" i="17" s="1"/>
  <c r="N106" i="17" a="1"/>
  <c r="N106" i="17" s="1"/>
  <c r="R105" i="17" a="1"/>
  <c r="R105" i="17" s="1"/>
  <c r="Q105" i="17" a="1"/>
  <c r="Q105" i="17" s="1"/>
  <c r="P105" i="17" a="1"/>
  <c r="P105" i="17" s="1"/>
  <c r="O105" i="17" a="1"/>
  <c r="O105" i="17" s="1"/>
  <c r="N105" i="17" a="1"/>
  <c r="N105" i="17" s="1"/>
  <c r="R104" i="17" a="1"/>
  <c r="R104" i="17" s="1"/>
  <c r="Q104" i="17" a="1"/>
  <c r="Q104" i="17" s="1"/>
  <c r="P104" i="17" a="1"/>
  <c r="P104" i="17" s="1"/>
  <c r="O104" i="17" a="1"/>
  <c r="O104" i="17" s="1"/>
  <c r="N104" i="17" a="1"/>
  <c r="N104" i="17" s="1"/>
  <c r="R103" i="17" a="1"/>
  <c r="R103" i="17" s="1"/>
  <c r="Q103" i="17" a="1"/>
  <c r="Q103" i="17" s="1"/>
  <c r="O103" i="17" a="1"/>
  <c r="O103" i="17" s="1"/>
  <c r="N103" i="17" a="1"/>
  <c r="N103" i="17" s="1"/>
  <c r="R102" i="17" a="1"/>
  <c r="R102" i="17" s="1"/>
  <c r="Q102" i="17" a="1"/>
  <c r="Q102" i="17" s="1"/>
  <c r="O102" i="17" a="1"/>
  <c r="O102" i="17" s="1"/>
  <c r="N102" i="17" a="1"/>
  <c r="N102" i="17" s="1"/>
  <c r="R101" i="17" a="1"/>
  <c r="R101" i="17" s="1"/>
  <c r="Q101" i="17" a="1"/>
  <c r="Q101" i="17" s="1"/>
  <c r="O101" i="17" a="1"/>
  <c r="O101" i="17" s="1"/>
  <c r="N101" i="17" a="1"/>
  <c r="N101" i="17" s="1"/>
  <c r="R100" i="17" a="1"/>
  <c r="R100" i="17" s="1"/>
  <c r="Q100" i="17" a="1"/>
  <c r="Q100" i="17" s="1"/>
  <c r="O100" i="17" a="1"/>
  <c r="O100" i="17" s="1"/>
  <c r="O99" i="17" a="1"/>
  <c r="O99" i="17" s="1"/>
  <c r="O98" i="17" a="1"/>
  <c r="O98" i="17" s="1"/>
  <c r="AM63" i="17"/>
  <c r="AM64" i="17" s="1"/>
  <c r="AM65" i="17" s="1"/>
  <c r="AM66" i="17" s="1"/>
  <c r="AM67" i="17" s="1"/>
  <c r="AM68" i="17" s="1"/>
  <c r="AM69" i="17" s="1"/>
  <c r="AM70" i="17" s="1"/>
  <c r="AM71" i="17" s="1"/>
  <c r="AM72" i="17" s="1"/>
  <c r="AA51" i="17"/>
  <c r="AB89" i="17" s="1"/>
  <c r="AB50" i="17"/>
  <c r="AC50" i="17" s="1"/>
  <c r="AD50" i="17" s="1"/>
  <c r="AB31" i="17"/>
  <c r="AL31" i="17" s="1"/>
  <c r="T26" i="17"/>
  <c r="T25" i="17"/>
  <c r="T24" i="17"/>
  <c r="T23" i="17"/>
  <c r="AB33" i="17" s="1"/>
  <c r="AB22" i="17"/>
  <c r="T22" i="17"/>
  <c r="T21" i="17"/>
  <c r="AB28" i="17" s="1"/>
  <c r="T20" i="17"/>
  <c r="AB24" i="17" s="1"/>
  <c r="T19" i="17"/>
  <c r="AB23" i="17" s="1"/>
  <c r="T18" i="17"/>
  <c r="R17" i="17"/>
  <c r="Q17" i="17"/>
  <c r="L17" i="17"/>
  <c r="K17" i="17"/>
  <c r="J17" i="17"/>
  <c r="P17" i="17" s="1"/>
  <c r="I17" i="17"/>
  <c r="O17" i="17" s="1"/>
  <c r="H17" i="17"/>
  <c r="N17" i="17" s="1"/>
  <c r="L15" i="17"/>
  <c r="K15" i="17"/>
  <c r="J15" i="17"/>
  <c r="I15" i="17"/>
  <c r="H15" i="17"/>
  <c r="A11" i="17"/>
  <c r="E18" i="17" s="1" a="1"/>
  <c r="R99" i="17" s="1" a="1"/>
  <c r="R99" i="17" s="1"/>
  <c r="A10" i="17"/>
  <c r="D18" i="17" s="1" a="1"/>
  <c r="D18" i="17" s="1"/>
  <c r="A9" i="17"/>
  <c r="J14" i="17" s="1"/>
  <c r="A8" i="17"/>
  <c r="B18" i="17" s="1" a="1"/>
  <c r="B18" i="17" s="1"/>
  <c r="A7" i="17"/>
  <c r="H14" i="17" s="1"/>
  <c r="B21" i="6"/>
  <c r="R201" i="15" a="1"/>
  <c r="R201" i="15" s="1"/>
  <c r="Q201" i="15" a="1"/>
  <c r="Q201" i="15" s="1"/>
  <c r="P201" i="15" a="1"/>
  <c r="P201" i="15" s="1"/>
  <c r="O201" i="15" a="1"/>
  <c r="O201" i="15" s="1"/>
  <c r="N201" i="15" a="1"/>
  <c r="N201" i="15" s="1"/>
  <c r="R200" i="15" a="1"/>
  <c r="R200" i="15" s="1"/>
  <c r="Q200" i="15" a="1"/>
  <c r="Q200" i="15" s="1"/>
  <c r="P200" i="15" a="1"/>
  <c r="P200" i="15" s="1"/>
  <c r="O200" i="15" a="1"/>
  <c r="O200" i="15" s="1"/>
  <c r="N200" i="15" a="1"/>
  <c r="N200" i="15" s="1"/>
  <c r="R199" i="15" a="1"/>
  <c r="R199" i="15" s="1"/>
  <c r="Q199" i="15" a="1"/>
  <c r="Q199" i="15" s="1"/>
  <c r="P199" i="15" a="1"/>
  <c r="P199" i="15" s="1"/>
  <c r="O199" i="15" a="1"/>
  <c r="O199" i="15" s="1"/>
  <c r="N199" i="15" a="1"/>
  <c r="N199" i="15" s="1"/>
  <c r="R198" i="15" a="1"/>
  <c r="R198" i="15" s="1"/>
  <c r="Q198" i="15" a="1"/>
  <c r="Q198" i="15" s="1"/>
  <c r="P198" i="15" a="1"/>
  <c r="P198" i="15" s="1"/>
  <c r="O198" i="15" a="1"/>
  <c r="O198" i="15" s="1"/>
  <c r="N198" i="15" a="1"/>
  <c r="N198" i="15" s="1"/>
  <c r="R197" i="15" a="1"/>
  <c r="R197" i="15" s="1"/>
  <c r="Q197" i="15" a="1"/>
  <c r="Q197" i="15" s="1"/>
  <c r="P197" i="15" a="1"/>
  <c r="P197" i="15" s="1"/>
  <c r="O197" i="15" a="1"/>
  <c r="O197" i="15" s="1"/>
  <c r="N197" i="15" a="1"/>
  <c r="N197" i="15" s="1"/>
  <c r="R196" i="15" a="1"/>
  <c r="R196" i="15" s="1"/>
  <c r="Q196" i="15" a="1"/>
  <c r="Q196" i="15" s="1"/>
  <c r="P196" i="15" a="1"/>
  <c r="P196" i="15" s="1"/>
  <c r="O196" i="15" a="1"/>
  <c r="O196" i="15" s="1"/>
  <c r="N196" i="15" a="1"/>
  <c r="N196" i="15" s="1"/>
  <c r="R195" i="15" a="1"/>
  <c r="R195" i="15" s="1"/>
  <c r="Q195" i="15" a="1"/>
  <c r="Q195" i="15" s="1"/>
  <c r="P195" i="15" a="1"/>
  <c r="P195" i="15" s="1"/>
  <c r="O195" i="15" a="1"/>
  <c r="O195" i="15" s="1"/>
  <c r="N195" i="15" a="1"/>
  <c r="N195" i="15" s="1"/>
  <c r="R194" i="15" a="1"/>
  <c r="R194" i="15" s="1"/>
  <c r="Q194" i="15" a="1"/>
  <c r="Q194" i="15" s="1"/>
  <c r="P194" i="15" a="1"/>
  <c r="P194" i="15" s="1"/>
  <c r="O194" i="15" a="1"/>
  <c r="O194" i="15" s="1"/>
  <c r="N194" i="15" a="1"/>
  <c r="N194" i="15" s="1"/>
  <c r="R193" i="15" a="1"/>
  <c r="R193" i="15" s="1"/>
  <c r="Q193" i="15" a="1"/>
  <c r="Q193" i="15" s="1"/>
  <c r="P193" i="15" a="1"/>
  <c r="P193" i="15" s="1"/>
  <c r="O193" i="15" a="1"/>
  <c r="O193" i="15" s="1"/>
  <c r="N193" i="15" a="1"/>
  <c r="N193" i="15" s="1"/>
  <c r="R192" i="15" a="1"/>
  <c r="R192" i="15" s="1"/>
  <c r="Q192" i="15" a="1"/>
  <c r="Q192" i="15" s="1"/>
  <c r="P192" i="15" a="1"/>
  <c r="P192" i="15" s="1"/>
  <c r="O192" i="15" a="1"/>
  <c r="O192" i="15" s="1"/>
  <c r="N192" i="15" a="1"/>
  <c r="N192" i="15" s="1"/>
  <c r="R191" i="15" a="1"/>
  <c r="R191" i="15" s="1"/>
  <c r="Q191" i="15" a="1"/>
  <c r="Q191" i="15" s="1"/>
  <c r="P191" i="15" a="1"/>
  <c r="P191" i="15" s="1"/>
  <c r="O191" i="15" a="1"/>
  <c r="O191" i="15" s="1"/>
  <c r="N191" i="15" a="1"/>
  <c r="N191" i="15" s="1"/>
  <c r="R190" i="15" a="1"/>
  <c r="R190" i="15" s="1"/>
  <c r="Q190" i="15" a="1"/>
  <c r="Q190" i="15" s="1"/>
  <c r="P190" i="15" a="1"/>
  <c r="P190" i="15" s="1"/>
  <c r="O190" i="15" a="1"/>
  <c r="O190" i="15" s="1"/>
  <c r="N190" i="15" a="1"/>
  <c r="N190" i="15" s="1"/>
  <c r="R189" i="15" a="1"/>
  <c r="R189" i="15" s="1"/>
  <c r="Q189" i="15" a="1"/>
  <c r="Q189" i="15" s="1"/>
  <c r="P189" i="15" a="1"/>
  <c r="P189" i="15" s="1"/>
  <c r="O189" i="15" a="1"/>
  <c r="O189" i="15" s="1"/>
  <c r="N189" i="15" a="1"/>
  <c r="N189" i="15" s="1"/>
  <c r="R188" i="15" a="1"/>
  <c r="R188" i="15" s="1"/>
  <c r="Q188" i="15" a="1"/>
  <c r="Q188" i="15" s="1"/>
  <c r="P188" i="15" a="1"/>
  <c r="P188" i="15" s="1"/>
  <c r="O188" i="15" a="1"/>
  <c r="O188" i="15" s="1"/>
  <c r="N188" i="15" a="1"/>
  <c r="N188" i="15" s="1"/>
  <c r="R187" i="15" a="1"/>
  <c r="R187" i="15" s="1"/>
  <c r="Q187" i="15" a="1"/>
  <c r="Q187" i="15" s="1"/>
  <c r="P187" i="15" a="1"/>
  <c r="P187" i="15" s="1"/>
  <c r="O187" i="15" a="1"/>
  <c r="O187" i="15" s="1"/>
  <c r="N187" i="15" a="1"/>
  <c r="N187" i="15" s="1"/>
  <c r="R186" i="15" a="1"/>
  <c r="R186" i="15" s="1"/>
  <c r="Q186" i="15" a="1"/>
  <c r="Q186" i="15" s="1"/>
  <c r="P186" i="15" a="1"/>
  <c r="P186" i="15" s="1"/>
  <c r="O186" i="15" a="1"/>
  <c r="O186" i="15" s="1"/>
  <c r="N186" i="15" a="1"/>
  <c r="N186" i="15" s="1"/>
  <c r="R185" i="15" a="1"/>
  <c r="R185" i="15" s="1"/>
  <c r="Q185" i="15" a="1"/>
  <c r="Q185" i="15" s="1"/>
  <c r="P185" i="15" a="1"/>
  <c r="P185" i="15" s="1"/>
  <c r="O185" i="15" a="1"/>
  <c r="O185" i="15" s="1"/>
  <c r="N185" i="15" a="1"/>
  <c r="N185" i="15" s="1"/>
  <c r="R184" i="15" a="1"/>
  <c r="R184" i="15" s="1"/>
  <c r="Q184" i="15" a="1"/>
  <c r="Q184" i="15" s="1"/>
  <c r="P184" i="15" a="1"/>
  <c r="P184" i="15" s="1"/>
  <c r="O184" i="15" a="1"/>
  <c r="O184" i="15" s="1"/>
  <c r="N184" i="15" a="1"/>
  <c r="N184" i="15" s="1"/>
  <c r="R183" i="15" a="1"/>
  <c r="R183" i="15" s="1"/>
  <c r="Q183" i="15" a="1"/>
  <c r="Q183" i="15" s="1"/>
  <c r="P183" i="15" a="1"/>
  <c r="P183" i="15" s="1"/>
  <c r="O183" i="15" a="1"/>
  <c r="O183" i="15" s="1"/>
  <c r="N183" i="15" a="1"/>
  <c r="N183" i="15" s="1"/>
  <c r="R182" i="15" a="1"/>
  <c r="R182" i="15" s="1"/>
  <c r="Q182" i="15" a="1"/>
  <c r="Q182" i="15" s="1"/>
  <c r="P182" i="15" a="1"/>
  <c r="P182" i="15" s="1"/>
  <c r="O182" i="15" a="1"/>
  <c r="O182" i="15" s="1"/>
  <c r="N182" i="15" a="1"/>
  <c r="N182" i="15" s="1"/>
  <c r="R181" i="15" a="1"/>
  <c r="R181" i="15" s="1"/>
  <c r="Q181" i="15" a="1"/>
  <c r="Q181" i="15" s="1"/>
  <c r="P181" i="15" a="1"/>
  <c r="P181" i="15" s="1"/>
  <c r="O181" i="15" a="1"/>
  <c r="O181" i="15" s="1"/>
  <c r="N181" i="15" a="1"/>
  <c r="N181" i="15" s="1"/>
  <c r="R180" i="15" a="1"/>
  <c r="R180" i="15" s="1"/>
  <c r="Q180" i="15" a="1"/>
  <c r="Q180" i="15" s="1"/>
  <c r="P180" i="15" a="1"/>
  <c r="P180" i="15" s="1"/>
  <c r="O180" i="15" a="1"/>
  <c r="O180" i="15" s="1"/>
  <c r="N180" i="15" a="1"/>
  <c r="N180" i="15" s="1"/>
  <c r="R179" i="15" a="1"/>
  <c r="R179" i="15" s="1"/>
  <c r="Q179" i="15" a="1"/>
  <c r="Q179" i="15" s="1"/>
  <c r="P179" i="15" a="1"/>
  <c r="P179" i="15" s="1"/>
  <c r="O179" i="15" a="1"/>
  <c r="O179" i="15" s="1"/>
  <c r="N179" i="15" a="1"/>
  <c r="N179" i="15" s="1"/>
  <c r="R178" i="15" a="1"/>
  <c r="R178" i="15" s="1"/>
  <c r="Q178" i="15" a="1"/>
  <c r="Q178" i="15" s="1"/>
  <c r="P178" i="15" a="1"/>
  <c r="P178" i="15" s="1"/>
  <c r="O178" i="15" a="1"/>
  <c r="O178" i="15" s="1"/>
  <c r="N178" i="15" a="1"/>
  <c r="N178" i="15" s="1"/>
  <c r="R177" i="15" a="1"/>
  <c r="R177" i="15" s="1"/>
  <c r="Q177" i="15" a="1"/>
  <c r="Q177" i="15" s="1"/>
  <c r="P177" i="15" a="1"/>
  <c r="P177" i="15" s="1"/>
  <c r="O177" i="15" a="1"/>
  <c r="O177" i="15" s="1"/>
  <c r="N177" i="15" a="1"/>
  <c r="N177" i="15" s="1"/>
  <c r="R176" i="15" a="1"/>
  <c r="R176" i="15" s="1"/>
  <c r="Q176" i="15" a="1"/>
  <c r="Q176" i="15" s="1"/>
  <c r="P176" i="15" a="1"/>
  <c r="P176" i="15" s="1"/>
  <c r="O176" i="15" a="1"/>
  <c r="O176" i="15" s="1"/>
  <c r="N176" i="15" a="1"/>
  <c r="N176" i="15" s="1"/>
  <c r="R175" i="15" a="1"/>
  <c r="R175" i="15" s="1"/>
  <c r="Q175" i="15" a="1"/>
  <c r="Q175" i="15" s="1"/>
  <c r="P175" i="15" a="1"/>
  <c r="P175" i="15" s="1"/>
  <c r="O175" i="15" a="1"/>
  <c r="O175" i="15" s="1"/>
  <c r="N175" i="15" a="1"/>
  <c r="N175" i="15" s="1"/>
  <c r="R174" i="15" a="1"/>
  <c r="R174" i="15" s="1"/>
  <c r="Q174" i="15" a="1"/>
  <c r="Q174" i="15" s="1"/>
  <c r="P174" i="15" a="1"/>
  <c r="P174" i="15" s="1"/>
  <c r="O174" i="15" a="1"/>
  <c r="O174" i="15" s="1"/>
  <c r="N174" i="15" a="1"/>
  <c r="N174" i="15" s="1"/>
  <c r="R173" i="15" a="1"/>
  <c r="R173" i="15" s="1"/>
  <c r="Q173" i="15" a="1"/>
  <c r="Q173" i="15" s="1"/>
  <c r="P173" i="15" a="1"/>
  <c r="P173" i="15" s="1"/>
  <c r="O173" i="15" a="1"/>
  <c r="O173" i="15" s="1"/>
  <c r="N173" i="15" a="1"/>
  <c r="N173" i="15" s="1"/>
  <c r="R172" i="15" a="1"/>
  <c r="R172" i="15" s="1"/>
  <c r="Q172" i="15" a="1"/>
  <c r="Q172" i="15" s="1"/>
  <c r="P172" i="15" a="1"/>
  <c r="P172" i="15" s="1"/>
  <c r="O172" i="15" a="1"/>
  <c r="O172" i="15" s="1"/>
  <c r="N172" i="15" a="1"/>
  <c r="N172" i="15" s="1"/>
  <c r="R171" i="15" a="1"/>
  <c r="R171" i="15" s="1"/>
  <c r="Q171" i="15" a="1"/>
  <c r="Q171" i="15" s="1"/>
  <c r="P171" i="15" a="1"/>
  <c r="P171" i="15" s="1"/>
  <c r="O171" i="15" a="1"/>
  <c r="O171" i="15" s="1"/>
  <c r="N171" i="15" a="1"/>
  <c r="N171" i="15" s="1"/>
  <c r="R170" i="15" a="1"/>
  <c r="R170" i="15" s="1"/>
  <c r="Q170" i="15" a="1"/>
  <c r="Q170" i="15" s="1"/>
  <c r="P170" i="15" a="1"/>
  <c r="P170" i="15" s="1"/>
  <c r="O170" i="15" a="1"/>
  <c r="O170" i="15" s="1"/>
  <c r="N170" i="15" a="1"/>
  <c r="N170" i="15" s="1"/>
  <c r="R169" i="15" a="1"/>
  <c r="R169" i="15" s="1"/>
  <c r="Q169" i="15" a="1"/>
  <c r="Q169" i="15" s="1"/>
  <c r="P169" i="15" a="1"/>
  <c r="P169" i="15" s="1"/>
  <c r="O169" i="15" a="1"/>
  <c r="O169" i="15" s="1"/>
  <c r="N169" i="15" a="1"/>
  <c r="N169" i="15" s="1"/>
  <c r="R168" i="15" a="1"/>
  <c r="R168" i="15" s="1"/>
  <c r="Q168" i="15" a="1"/>
  <c r="Q168" i="15" s="1"/>
  <c r="P168" i="15" a="1"/>
  <c r="P168" i="15" s="1"/>
  <c r="O168" i="15" a="1"/>
  <c r="O168" i="15" s="1"/>
  <c r="N168" i="15" a="1"/>
  <c r="N168" i="15" s="1"/>
  <c r="R167" i="15" a="1"/>
  <c r="R167" i="15" s="1"/>
  <c r="Q167" i="15" a="1"/>
  <c r="Q167" i="15" s="1"/>
  <c r="P167" i="15" a="1"/>
  <c r="P167" i="15" s="1"/>
  <c r="O167" i="15" a="1"/>
  <c r="O167" i="15" s="1"/>
  <c r="N167" i="15" a="1"/>
  <c r="N167" i="15" s="1"/>
  <c r="R166" i="15" a="1"/>
  <c r="R166" i="15" s="1"/>
  <c r="Q166" i="15" a="1"/>
  <c r="Q166" i="15" s="1"/>
  <c r="P166" i="15" a="1"/>
  <c r="P166" i="15" s="1"/>
  <c r="O166" i="15" a="1"/>
  <c r="O166" i="15" s="1"/>
  <c r="N166" i="15" a="1"/>
  <c r="N166" i="15" s="1"/>
  <c r="R165" i="15" a="1"/>
  <c r="R165" i="15" s="1"/>
  <c r="Q165" i="15" a="1"/>
  <c r="Q165" i="15" s="1"/>
  <c r="P165" i="15" a="1"/>
  <c r="P165" i="15" s="1"/>
  <c r="O165" i="15" a="1"/>
  <c r="O165" i="15" s="1"/>
  <c r="N165" i="15" a="1"/>
  <c r="N165" i="15" s="1"/>
  <c r="R164" i="15" a="1"/>
  <c r="R164" i="15" s="1"/>
  <c r="Q164" i="15" a="1"/>
  <c r="Q164" i="15" s="1"/>
  <c r="P164" i="15" a="1"/>
  <c r="P164" i="15" s="1"/>
  <c r="O164" i="15" a="1"/>
  <c r="O164" i="15" s="1"/>
  <c r="N164" i="15" a="1"/>
  <c r="N164" i="15" s="1"/>
  <c r="R163" i="15" a="1"/>
  <c r="R163" i="15" s="1"/>
  <c r="Q163" i="15" a="1"/>
  <c r="Q163" i="15" s="1"/>
  <c r="P163" i="15" a="1"/>
  <c r="P163" i="15" s="1"/>
  <c r="O163" i="15" a="1"/>
  <c r="O163" i="15" s="1"/>
  <c r="N163" i="15" a="1"/>
  <c r="N163" i="15" s="1"/>
  <c r="R162" i="15" a="1"/>
  <c r="R162" i="15" s="1"/>
  <c r="Q162" i="15" a="1"/>
  <c r="Q162" i="15" s="1"/>
  <c r="P162" i="15" a="1"/>
  <c r="P162" i="15" s="1"/>
  <c r="O162" i="15" a="1"/>
  <c r="O162" i="15" s="1"/>
  <c r="N162" i="15" a="1"/>
  <c r="N162" i="15" s="1"/>
  <c r="R161" i="15" a="1"/>
  <c r="R161" i="15" s="1"/>
  <c r="Q161" i="15" a="1"/>
  <c r="Q161" i="15" s="1"/>
  <c r="P161" i="15" a="1"/>
  <c r="P161" i="15" s="1"/>
  <c r="O161" i="15" a="1"/>
  <c r="O161" i="15" s="1"/>
  <c r="N161" i="15" a="1"/>
  <c r="N161" i="15" s="1"/>
  <c r="R160" i="15" a="1"/>
  <c r="R160" i="15" s="1"/>
  <c r="Q160" i="15" a="1"/>
  <c r="Q160" i="15" s="1"/>
  <c r="P160" i="15" a="1"/>
  <c r="P160" i="15" s="1"/>
  <c r="O160" i="15" a="1"/>
  <c r="O160" i="15" s="1"/>
  <c r="N160" i="15" a="1"/>
  <c r="N160" i="15" s="1"/>
  <c r="R159" i="15" a="1"/>
  <c r="R159" i="15" s="1"/>
  <c r="Q159" i="15" a="1"/>
  <c r="Q159" i="15" s="1"/>
  <c r="P159" i="15" a="1"/>
  <c r="P159" i="15" s="1"/>
  <c r="O159" i="15" a="1"/>
  <c r="O159" i="15" s="1"/>
  <c r="N159" i="15" a="1"/>
  <c r="N159" i="15" s="1"/>
  <c r="R158" i="15" a="1"/>
  <c r="R158" i="15" s="1"/>
  <c r="Q158" i="15" a="1"/>
  <c r="Q158" i="15" s="1"/>
  <c r="P158" i="15" a="1"/>
  <c r="P158" i="15" s="1"/>
  <c r="O158" i="15" a="1"/>
  <c r="O158" i="15" s="1"/>
  <c r="N158" i="15" a="1"/>
  <c r="N158" i="15" s="1"/>
  <c r="R157" i="15" a="1"/>
  <c r="R157" i="15" s="1"/>
  <c r="Q157" i="15" a="1"/>
  <c r="Q157" i="15" s="1"/>
  <c r="P157" i="15" a="1"/>
  <c r="P157" i="15" s="1"/>
  <c r="O157" i="15" a="1"/>
  <c r="O157" i="15" s="1"/>
  <c r="N157" i="15" a="1"/>
  <c r="N157" i="15" s="1"/>
  <c r="R156" i="15" a="1"/>
  <c r="R156" i="15" s="1"/>
  <c r="Q156" i="15" a="1"/>
  <c r="Q156" i="15" s="1"/>
  <c r="P156" i="15" a="1"/>
  <c r="P156" i="15" s="1"/>
  <c r="O156" i="15" a="1"/>
  <c r="O156" i="15" s="1"/>
  <c r="N156" i="15" a="1"/>
  <c r="N156" i="15" s="1"/>
  <c r="R155" i="15" a="1"/>
  <c r="R155" i="15" s="1"/>
  <c r="Q155" i="15" a="1"/>
  <c r="Q155" i="15" s="1"/>
  <c r="P155" i="15" a="1"/>
  <c r="P155" i="15" s="1"/>
  <c r="O155" i="15" a="1"/>
  <c r="O155" i="15" s="1"/>
  <c r="N155" i="15" a="1"/>
  <c r="N155" i="15" s="1"/>
  <c r="R154" i="15" a="1"/>
  <c r="R154" i="15" s="1"/>
  <c r="Q154" i="15" a="1"/>
  <c r="Q154" i="15" s="1"/>
  <c r="P154" i="15" a="1"/>
  <c r="P154" i="15" s="1"/>
  <c r="O154" i="15" a="1"/>
  <c r="O154" i="15" s="1"/>
  <c r="N154" i="15" a="1"/>
  <c r="N154" i="15" s="1"/>
  <c r="R153" i="15" a="1"/>
  <c r="R153" i="15" s="1"/>
  <c r="Q153" i="15" a="1"/>
  <c r="Q153" i="15" s="1"/>
  <c r="P153" i="15" a="1"/>
  <c r="P153" i="15" s="1"/>
  <c r="O153" i="15" a="1"/>
  <c r="O153" i="15" s="1"/>
  <c r="N153" i="15" a="1"/>
  <c r="N153" i="15" s="1"/>
  <c r="R152" i="15" a="1"/>
  <c r="R152" i="15" s="1"/>
  <c r="Q152" i="15" a="1"/>
  <c r="Q152" i="15" s="1"/>
  <c r="P152" i="15" a="1"/>
  <c r="P152" i="15" s="1"/>
  <c r="O152" i="15" a="1"/>
  <c r="O152" i="15" s="1"/>
  <c r="N152" i="15" a="1"/>
  <c r="N152" i="15" s="1"/>
  <c r="R151" i="15" a="1"/>
  <c r="R151" i="15" s="1"/>
  <c r="Q151" i="15" a="1"/>
  <c r="Q151" i="15" s="1"/>
  <c r="P151" i="15" a="1"/>
  <c r="P151" i="15" s="1"/>
  <c r="O151" i="15" a="1"/>
  <c r="O151" i="15" s="1"/>
  <c r="N151" i="15" a="1"/>
  <c r="N151" i="15" s="1"/>
  <c r="R150" i="15" a="1"/>
  <c r="R150" i="15" s="1"/>
  <c r="Q150" i="15" a="1"/>
  <c r="Q150" i="15" s="1"/>
  <c r="P150" i="15" a="1"/>
  <c r="P150" i="15" s="1"/>
  <c r="O150" i="15" a="1"/>
  <c r="O150" i="15" s="1"/>
  <c r="N150" i="15" a="1"/>
  <c r="N150" i="15" s="1"/>
  <c r="R149" i="15" a="1"/>
  <c r="R149" i="15" s="1"/>
  <c r="Q149" i="15" a="1"/>
  <c r="Q149" i="15" s="1"/>
  <c r="P149" i="15" a="1"/>
  <c r="P149" i="15" s="1"/>
  <c r="O149" i="15" a="1"/>
  <c r="O149" i="15" s="1"/>
  <c r="N149" i="15" a="1"/>
  <c r="N149" i="15" s="1"/>
  <c r="R148" i="15" a="1"/>
  <c r="R148" i="15" s="1"/>
  <c r="Q148" i="15" a="1"/>
  <c r="Q148" i="15" s="1"/>
  <c r="P148" i="15" a="1"/>
  <c r="P148" i="15" s="1"/>
  <c r="O148" i="15" a="1"/>
  <c r="O148" i="15" s="1"/>
  <c r="N148" i="15" a="1"/>
  <c r="N148" i="15" s="1"/>
  <c r="R147" i="15" a="1"/>
  <c r="R147" i="15" s="1"/>
  <c r="Q147" i="15" a="1"/>
  <c r="Q147" i="15" s="1"/>
  <c r="P147" i="15" a="1"/>
  <c r="P147" i="15" s="1"/>
  <c r="O147" i="15" a="1"/>
  <c r="O147" i="15" s="1"/>
  <c r="N147" i="15" a="1"/>
  <c r="N147" i="15" s="1"/>
  <c r="R146" i="15" a="1"/>
  <c r="R146" i="15" s="1"/>
  <c r="Q146" i="15" a="1"/>
  <c r="Q146" i="15" s="1"/>
  <c r="P146" i="15" a="1"/>
  <c r="P146" i="15" s="1"/>
  <c r="O146" i="15" a="1"/>
  <c r="O146" i="15" s="1"/>
  <c r="N146" i="15" a="1"/>
  <c r="N146" i="15" s="1"/>
  <c r="R145" i="15" a="1"/>
  <c r="R145" i="15" s="1"/>
  <c r="Q145" i="15" a="1"/>
  <c r="Q145" i="15" s="1"/>
  <c r="P145" i="15" a="1"/>
  <c r="P145" i="15" s="1"/>
  <c r="O145" i="15" a="1"/>
  <c r="O145" i="15" s="1"/>
  <c r="N145" i="15" a="1"/>
  <c r="N145" i="15" s="1"/>
  <c r="R144" i="15" a="1"/>
  <c r="R144" i="15" s="1"/>
  <c r="Q144" i="15" a="1"/>
  <c r="Q144" i="15" s="1"/>
  <c r="P144" i="15" a="1"/>
  <c r="P144" i="15" s="1"/>
  <c r="O144" i="15" a="1"/>
  <c r="O144" i="15" s="1"/>
  <c r="N144" i="15" a="1"/>
  <c r="N144" i="15" s="1"/>
  <c r="R143" i="15" a="1"/>
  <c r="R143" i="15" s="1"/>
  <c r="Q143" i="15" a="1"/>
  <c r="Q143" i="15" s="1"/>
  <c r="P143" i="15" a="1"/>
  <c r="P143" i="15" s="1"/>
  <c r="O143" i="15" a="1"/>
  <c r="O143" i="15" s="1"/>
  <c r="N143" i="15" a="1"/>
  <c r="N143" i="15" s="1"/>
  <c r="R142" i="15" a="1"/>
  <c r="R142" i="15" s="1"/>
  <c r="Q142" i="15" a="1"/>
  <c r="Q142" i="15" s="1"/>
  <c r="P142" i="15" a="1"/>
  <c r="P142" i="15" s="1"/>
  <c r="O142" i="15" a="1"/>
  <c r="O142" i="15" s="1"/>
  <c r="N142" i="15" a="1"/>
  <c r="N142" i="15" s="1"/>
  <c r="R141" i="15" a="1"/>
  <c r="R141" i="15" s="1"/>
  <c r="Q141" i="15" a="1"/>
  <c r="Q141" i="15" s="1"/>
  <c r="P141" i="15" a="1"/>
  <c r="P141" i="15" s="1"/>
  <c r="O141" i="15" a="1"/>
  <c r="O141" i="15" s="1"/>
  <c r="N141" i="15" a="1"/>
  <c r="N141" i="15" s="1"/>
  <c r="R140" i="15" a="1"/>
  <c r="R140" i="15" s="1"/>
  <c r="Q140" i="15" a="1"/>
  <c r="Q140" i="15" s="1"/>
  <c r="P140" i="15" a="1"/>
  <c r="P140" i="15" s="1"/>
  <c r="O140" i="15" a="1"/>
  <c r="O140" i="15" s="1"/>
  <c r="N140" i="15" a="1"/>
  <c r="N140" i="15" s="1"/>
  <c r="R139" i="15" a="1"/>
  <c r="R139" i="15" s="1"/>
  <c r="Q139" i="15" a="1"/>
  <c r="Q139" i="15" s="1"/>
  <c r="P139" i="15" a="1"/>
  <c r="P139" i="15" s="1"/>
  <c r="O139" i="15" a="1"/>
  <c r="O139" i="15" s="1"/>
  <c r="N139" i="15" a="1"/>
  <c r="N139" i="15" s="1"/>
  <c r="R138" i="15" a="1"/>
  <c r="R138" i="15" s="1"/>
  <c r="Q138" i="15" a="1"/>
  <c r="Q138" i="15" s="1"/>
  <c r="P138" i="15" a="1"/>
  <c r="P138" i="15" s="1"/>
  <c r="O138" i="15" a="1"/>
  <c r="O138" i="15" s="1"/>
  <c r="N138" i="15" a="1"/>
  <c r="N138" i="15" s="1"/>
  <c r="R137" i="15" a="1"/>
  <c r="R137" i="15" s="1"/>
  <c r="Q137" i="15" a="1"/>
  <c r="Q137" i="15" s="1"/>
  <c r="P137" i="15" a="1"/>
  <c r="P137" i="15" s="1"/>
  <c r="O137" i="15" a="1"/>
  <c r="O137" i="15" s="1"/>
  <c r="N137" i="15" a="1"/>
  <c r="N137" i="15" s="1"/>
  <c r="R136" i="15" a="1"/>
  <c r="R136" i="15" s="1"/>
  <c r="Q136" i="15" a="1"/>
  <c r="Q136" i="15" s="1"/>
  <c r="P136" i="15" a="1"/>
  <c r="P136" i="15" s="1"/>
  <c r="O136" i="15" a="1"/>
  <c r="O136" i="15" s="1"/>
  <c r="N136" i="15" a="1"/>
  <c r="N136" i="15" s="1"/>
  <c r="R135" i="15" a="1"/>
  <c r="R135" i="15" s="1"/>
  <c r="Q135" i="15" a="1"/>
  <c r="Q135" i="15" s="1"/>
  <c r="P135" i="15" a="1"/>
  <c r="P135" i="15" s="1"/>
  <c r="O135" i="15" a="1"/>
  <c r="O135" i="15" s="1"/>
  <c r="N135" i="15" a="1"/>
  <c r="N135" i="15" s="1"/>
  <c r="R134" i="15" a="1"/>
  <c r="R134" i="15" s="1"/>
  <c r="Q134" i="15" a="1"/>
  <c r="Q134" i="15" s="1"/>
  <c r="P134" i="15" a="1"/>
  <c r="P134" i="15" s="1"/>
  <c r="O134" i="15" a="1"/>
  <c r="O134" i="15" s="1"/>
  <c r="N134" i="15" a="1"/>
  <c r="N134" i="15" s="1"/>
  <c r="R133" i="15" a="1"/>
  <c r="R133" i="15" s="1"/>
  <c r="Q133" i="15" a="1"/>
  <c r="Q133" i="15" s="1"/>
  <c r="P133" i="15" a="1"/>
  <c r="P133" i="15" s="1"/>
  <c r="O133" i="15" a="1"/>
  <c r="O133" i="15" s="1"/>
  <c r="N133" i="15" a="1"/>
  <c r="N133" i="15" s="1"/>
  <c r="R132" i="15" a="1"/>
  <c r="R132" i="15" s="1"/>
  <c r="Q132" i="15" a="1"/>
  <c r="Q132" i="15" s="1"/>
  <c r="P132" i="15" a="1"/>
  <c r="P132" i="15" s="1"/>
  <c r="O132" i="15" a="1"/>
  <c r="O132" i="15" s="1"/>
  <c r="N132" i="15" a="1"/>
  <c r="N132" i="15" s="1"/>
  <c r="R131" i="15" a="1"/>
  <c r="R131" i="15" s="1"/>
  <c r="Q131" i="15" a="1"/>
  <c r="Q131" i="15" s="1"/>
  <c r="P131" i="15" a="1"/>
  <c r="P131" i="15" s="1"/>
  <c r="O131" i="15" a="1"/>
  <c r="O131" i="15" s="1"/>
  <c r="N131" i="15" a="1"/>
  <c r="N131" i="15" s="1"/>
  <c r="R130" i="15" a="1"/>
  <c r="R130" i="15" s="1"/>
  <c r="Q130" i="15" a="1"/>
  <c r="Q130" i="15" s="1"/>
  <c r="P130" i="15" a="1"/>
  <c r="P130" i="15" s="1"/>
  <c r="O130" i="15" a="1"/>
  <c r="O130" i="15" s="1"/>
  <c r="N130" i="15" a="1"/>
  <c r="N130" i="15" s="1"/>
  <c r="R129" i="15" a="1"/>
  <c r="R129" i="15" s="1"/>
  <c r="Q129" i="15" a="1"/>
  <c r="Q129" i="15" s="1"/>
  <c r="P129" i="15" a="1"/>
  <c r="P129" i="15" s="1"/>
  <c r="O129" i="15" a="1"/>
  <c r="O129" i="15" s="1"/>
  <c r="N129" i="15" a="1"/>
  <c r="N129" i="15" s="1"/>
  <c r="R128" i="15" a="1"/>
  <c r="R128" i="15" s="1"/>
  <c r="Q128" i="15" a="1"/>
  <c r="Q128" i="15" s="1"/>
  <c r="P128" i="15" a="1"/>
  <c r="P128" i="15" s="1"/>
  <c r="O128" i="15" a="1"/>
  <c r="O128" i="15" s="1"/>
  <c r="N128" i="15" a="1"/>
  <c r="N128" i="15" s="1"/>
  <c r="R127" i="15" a="1"/>
  <c r="R127" i="15" s="1"/>
  <c r="Q127" i="15" a="1"/>
  <c r="Q127" i="15" s="1"/>
  <c r="P127" i="15" a="1"/>
  <c r="P127" i="15" s="1"/>
  <c r="O127" i="15" a="1"/>
  <c r="O127" i="15" s="1"/>
  <c r="N127" i="15" a="1"/>
  <c r="N127" i="15" s="1"/>
  <c r="R126" i="15" a="1"/>
  <c r="R126" i="15" s="1"/>
  <c r="Q126" i="15" a="1"/>
  <c r="Q126" i="15" s="1"/>
  <c r="P126" i="15" a="1"/>
  <c r="P126" i="15" s="1"/>
  <c r="O126" i="15" a="1"/>
  <c r="O126" i="15" s="1"/>
  <c r="N126" i="15" a="1"/>
  <c r="N126" i="15" s="1"/>
  <c r="R125" i="15" a="1"/>
  <c r="R125" i="15" s="1"/>
  <c r="Q125" i="15" a="1"/>
  <c r="Q125" i="15" s="1"/>
  <c r="P125" i="15" a="1"/>
  <c r="P125" i="15" s="1"/>
  <c r="O125" i="15" a="1"/>
  <c r="O125" i="15" s="1"/>
  <c r="N125" i="15" a="1"/>
  <c r="N125" i="15" s="1"/>
  <c r="R124" i="15" a="1"/>
  <c r="R124" i="15" s="1"/>
  <c r="Q124" i="15" a="1"/>
  <c r="Q124" i="15" s="1"/>
  <c r="P124" i="15" a="1"/>
  <c r="P124" i="15" s="1"/>
  <c r="O124" i="15" a="1"/>
  <c r="O124" i="15" s="1"/>
  <c r="N124" i="15" a="1"/>
  <c r="N124" i="15" s="1"/>
  <c r="R123" i="15" a="1"/>
  <c r="R123" i="15" s="1"/>
  <c r="Q123" i="15" a="1"/>
  <c r="Q123" i="15" s="1"/>
  <c r="P123" i="15" a="1"/>
  <c r="P123" i="15" s="1"/>
  <c r="O123" i="15" a="1"/>
  <c r="O123" i="15" s="1"/>
  <c r="N123" i="15" a="1"/>
  <c r="N123" i="15" s="1"/>
  <c r="R122" i="15" a="1"/>
  <c r="R122" i="15" s="1"/>
  <c r="Q122" i="15" a="1"/>
  <c r="Q122" i="15" s="1"/>
  <c r="P122" i="15" a="1"/>
  <c r="P122" i="15" s="1"/>
  <c r="O122" i="15" a="1"/>
  <c r="O122" i="15" s="1"/>
  <c r="N122" i="15" a="1"/>
  <c r="N122" i="15" s="1"/>
  <c r="R121" i="15" a="1"/>
  <c r="R121" i="15" s="1"/>
  <c r="Q121" i="15" a="1"/>
  <c r="Q121" i="15" s="1"/>
  <c r="P121" i="15" a="1"/>
  <c r="P121" i="15" s="1"/>
  <c r="O121" i="15" a="1"/>
  <c r="O121" i="15" s="1"/>
  <c r="N121" i="15" a="1"/>
  <c r="N121" i="15" s="1"/>
  <c r="R120" i="15" a="1"/>
  <c r="R120" i="15" s="1"/>
  <c r="Q120" i="15" a="1"/>
  <c r="Q120" i="15" s="1"/>
  <c r="P120" i="15" a="1"/>
  <c r="P120" i="15" s="1"/>
  <c r="O120" i="15" a="1"/>
  <c r="O120" i="15" s="1"/>
  <c r="N120" i="15" a="1"/>
  <c r="N120" i="15" s="1"/>
  <c r="R119" i="15" a="1"/>
  <c r="R119" i="15" s="1"/>
  <c r="Q119" i="15" a="1"/>
  <c r="Q119" i="15" s="1"/>
  <c r="P119" i="15" a="1"/>
  <c r="P119" i="15" s="1"/>
  <c r="O119" i="15" a="1"/>
  <c r="O119" i="15" s="1"/>
  <c r="N119" i="15" a="1"/>
  <c r="N119" i="15" s="1"/>
  <c r="R118" i="15" a="1"/>
  <c r="R118" i="15" s="1"/>
  <c r="Q118" i="15" a="1"/>
  <c r="Q118" i="15" s="1"/>
  <c r="P118" i="15" a="1"/>
  <c r="P118" i="15" s="1"/>
  <c r="O118" i="15" a="1"/>
  <c r="O118" i="15" s="1"/>
  <c r="N118" i="15" a="1"/>
  <c r="N118" i="15" s="1"/>
  <c r="R117" i="15" a="1"/>
  <c r="R117" i="15" s="1"/>
  <c r="Q117" i="15" a="1"/>
  <c r="Q117" i="15" s="1"/>
  <c r="P117" i="15" a="1"/>
  <c r="P117" i="15" s="1"/>
  <c r="O117" i="15" a="1"/>
  <c r="O117" i="15" s="1"/>
  <c r="N117" i="15" a="1"/>
  <c r="N117" i="15" s="1"/>
  <c r="R116" i="15" a="1"/>
  <c r="R116" i="15" s="1"/>
  <c r="Q116" i="15" a="1"/>
  <c r="Q116" i="15" s="1"/>
  <c r="P116" i="15" a="1"/>
  <c r="P116" i="15" s="1"/>
  <c r="O116" i="15" a="1"/>
  <c r="O116" i="15" s="1"/>
  <c r="N116" i="15" a="1"/>
  <c r="N116" i="15" s="1"/>
  <c r="R115" i="15" a="1"/>
  <c r="R115" i="15" s="1"/>
  <c r="Q115" i="15" a="1"/>
  <c r="Q115" i="15" s="1"/>
  <c r="P115" i="15" a="1"/>
  <c r="P115" i="15" s="1"/>
  <c r="O115" i="15" a="1"/>
  <c r="O115" i="15" s="1"/>
  <c r="N115" i="15" a="1"/>
  <c r="N115" i="15" s="1"/>
  <c r="R114" i="15" a="1"/>
  <c r="R114" i="15" s="1"/>
  <c r="Q114" i="15" a="1"/>
  <c r="Q114" i="15" s="1"/>
  <c r="P114" i="15" a="1"/>
  <c r="P114" i="15" s="1"/>
  <c r="O114" i="15" a="1"/>
  <c r="O114" i="15" s="1"/>
  <c r="N114" i="15" a="1"/>
  <c r="N114" i="15" s="1"/>
  <c r="R113" i="15" a="1"/>
  <c r="R113" i="15" s="1"/>
  <c r="Q113" i="15" a="1"/>
  <c r="Q113" i="15" s="1"/>
  <c r="P113" i="15" a="1"/>
  <c r="P113" i="15" s="1"/>
  <c r="O113" i="15" a="1"/>
  <c r="O113" i="15" s="1"/>
  <c r="N113" i="15" a="1"/>
  <c r="N113" i="15" s="1"/>
  <c r="R112" i="15" a="1"/>
  <c r="R112" i="15" s="1"/>
  <c r="Q112" i="15" a="1"/>
  <c r="Q112" i="15" s="1"/>
  <c r="P112" i="15" a="1"/>
  <c r="P112" i="15" s="1"/>
  <c r="O112" i="15" a="1"/>
  <c r="O112" i="15" s="1"/>
  <c r="N112" i="15" a="1"/>
  <c r="N112" i="15" s="1"/>
  <c r="R111" i="15" a="1"/>
  <c r="R111" i="15" s="1"/>
  <c r="Q111" i="15" a="1"/>
  <c r="Q111" i="15" s="1"/>
  <c r="P111" i="15" a="1"/>
  <c r="P111" i="15" s="1"/>
  <c r="O111" i="15" a="1"/>
  <c r="O111" i="15" s="1"/>
  <c r="N111" i="15" a="1"/>
  <c r="N111" i="15" s="1"/>
  <c r="R110" i="15" a="1"/>
  <c r="R110" i="15" s="1"/>
  <c r="Q110" i="15" a="1"/>
  <c r="Q110" i="15" s="1"/>
  <c r="P110" i="15" a="1"/>
  <c r="P110" i="15" s="1"/>
  <c r="O110" i="15" a="1"/>
  <c r="O110" i="15" s="1"/>
  <c r="N110" i="15" a="1"/>
  <c r="N110" i="15" s="1"/>
  <c r="R109" i="15" a="1"/>
  <c r="R109" i="15" s="1"/>
  <c r="Q109" i="15" a="1"/>
  <c r="Q109" i="15" s="1"/>
  <c r="P109" i="15" a="1"/>
  <c r="P109" i="15" s="1"/>
  <c r="O109" i="15" a="1"/>
  <c r="O109" i="15" s="1"/>
  <c r="N109" i="15" a="1"/>
  <c r="N109" i="15" s="1"/>
  <c r="R108" i="15" a="1"/>
  <c r="R108" i="15" s="1"/>
  <c r="Q108" i="15" a="1"/>
  <c r="Q108" i="15" s="1"/>
  <c r="P108" i="15" a="1"/>
  <c r="P108" i="15" s="1"/>
  <c r="O108" i="15" a="1"/>
  <c r="O108" i="15" s="1"/>
  <c r="N108" i="15" a="1"/>
  <c r="N108" i="15" s="1"/>
  <c r="R107" i="15" a="1"/>
  <c r="R107" i="15" s="1"/>
  <c r="P107" i="15" a="1"/>
  <c r="P107" i="15" s="1"/>
  <c r="O107" i="15" a="1"/>
  <c r="O107" i="15" s="1"/>
  <c r="N107" i="15" a="1"/>
  <c r="N107" i="15" s="1"/>
  <c r="R106" i="15" a="1"/>
  <c r="R106" i="15" s="1"/>
  <c r="P106" i="15" a="1"/>
  <c r="P106" i="15" s="1"/>
  <c r="N106" i="15" a="1"/>
  <c r="N106" i="15" s="1"/>
  <c r="R105" i="15" a="1"/>
  <c r="R105" i="15" s="1"/>
  <c r="P105" i="15" a="1"/>
  <c r="P105" i="15" s="1"/>
  <c r="N105" i="15" a="1"/>
  <c r="N105" i="15" s="1"/>
  <c r="R104" i="15" a="1"/>
  <c r="R104" i="15" s="1"/>
  <c r="P104" i="15" a="1"/>
  <c r="P104" i="15" s="1"/>
  <c r="N104" i="15" a="1"/>
  <c r="N104" i="15" s="1"/>
  <c r="R103" i="15" a="1"/>
  <c r="R103" i="15" s="1"/>
  <c r="P103" i="15" a="1"/>
  <c r="P103" i="15" s="1"/>
  <c r="N103" i="15" a="1"/>
  <c r="N103" i="15" s="1"/>
  <c r="R102" i="15" a="1"/>
  <c r="R102" i="15" s="1"/>
  <c r="P102" i="15" a="1"/>
  <c r="P102" i="15" s="1"/>
  <c r="N102" i="15" a="1"/>
  <c r="N102" i="15" s="1"/>
  <c r="R101" i="15" a="1"/>
  <c r="R101" i="15" s="1"/>
  <c r="P101" i="15" a="1"/>
  <c r="P101" i="15" s="1"/>
  <c r="N101" i="15" a="1"/>
  <c r="N101" i="15" s="1"/>
  <c r="R100" i="15" a="1"/>
  <c r="R100" i="15" s="1"/>
  <c r="P100" i="15" a="1"/>
  <c r="P100" i="15" s="1"/>
  <c r="N100" i="15" a="1"/>
  <c r="N100" i="15" s="1"/>
  <c r="R99" i="15" a="1"/>
  <c r="R99" i="15" s="1"/>
  <c r="P99" i="15" a="1"/>
  <c r="P99" i="15" s="1"/>
  <c r="N99" i="15" a="1"/>
  <c r="N99" i="15" s="1"/>
  <c r="R98" i="15" a="1"/>
  <c r="R98" i="15" s="1"/>
  <c r="P98" i="15" a="1"/>
  <c r="P98" i="15" s="1"/>
  <c r="N98" i="15" a="1"/>
  <c r="N98" i="15" s="1"/>
  <c r="R97" i="15" a="1"/>
  <c r="R97" i="15" s="1"/>
  <c r="P97" i="15" a="1"/>
  <c r="P97" i="15" s="1"/>
  <c r="N97" i="15" a="1"/>
  <c r="N97" i="15" s="1"/>
  <c r="R96" i="15" a="1"/>
  <c r="R96" i="15" s="1"/>
  <c r="P96" i="15" a="1"/>
  <c r="P96" i="15" s="1"/>
  <c r="N96" i="15" a="1"/>
  <c r="N96" i="15" s="1"/>
  <c r="R95" i="15" a="1"/>
  <c r="R95" i="15" s="1"/>
  <c r="P95" i="15" a="1"/>
  <c r="P95" i="15" s="1"/>
  <c r="N95" i="15" a="1"/>
  <c r="N95" i="15" s="1"/>
  <c r="R94" i="15" a="1"/>
  <c r="R94" i="15" s="1"/>
  <c r="P94" i="15" a="1"/>
  <c r="P94" i="15" s="1"/>
  <c r="N94" i="15" a="1"/>
  <c r="N94" i="15" s="1"/>
  <c r="R93" i="15" a="1"/>
  <c r="R93" i="15" s="1"/>
  <c r="P93" i="15" a="1"/>
  <c r="P93" i="15" s="1"/>
  <c r="N93" i="15" a="1"/>
  <c r="N93" i="15" s="1"/>
  <c r="R92" i="15" a="1"/>
  <c r="R92" i="15" s="1"/>
  <c r="P92" i="15" a="1"/>
  <c r="P92" i="15" s="1"/>
  <c r="N92" i="15" a="1"/>
  <c r="N92" i="15" s="1"/>
  <c r="R91" i="15" a="1"/>
  <c r="R91" i="15" s="1"/>
  <c r="P91" i="15" a="1"/>
  <c r="P91" i="15" s="1"/>
  <c r="R90" i="15" a="1"/>
  <c r="R90" i="15" s="1"/>
  <c r="P90" i="15" a="1"/>
  <c r="P90" i="15" s="1"/>
  <c r="P89" i="15" a="1"/>
  <c r="P89" i="15" s="1"/>
  <c r="AM63" i="15"/>
  <c r="AM64" i="15" s="1"/>
  <c r="AM65" i="15" s="1"/>
  <c r="AM66" i="15" s="1"/>
  <c r="AM67" i="15" s="1"/>
  <c r="AM68" i="15" s="1"/>
  <c r="AM69" i="15" s="1"/>
  <c r="AM70" i="15" s="1"/>
  <c r="AM71" i="15" s="1"/>
  <c r="AM72" i="15" s="1"/>
  <c r="AB57" i="15"/>
  <c r="AA51" i="15"/>
  <c r="AD50" i="15"/>
  <c r="AC50" i="15"/>
  <c r="AB50" i="15"/>
  <c r="U37" i="15"/>
  <c r="T26" i="15"/>
  <c r="T24" i="15"/>
  <c r="T23" i="15"/>
  <c r="AB34" i="15" s="1"/>
  <c r="T22" i="15"/>
  <c r="AB32" i="15" s="1"/>
  <c r="AB21" i="15"/>
  <c r="AL21" i="15" s="1"/>
  <c r="T21" i="15"/>
  <c r="AB29" i="15" s="1"/>
  <c r="AL29" i="15" s="1"/>
  <c r="T20" i="15"/>
  <c r="AB24" i="15" s="1"/>
  <c r="T19" i="15"/>
  <c r="T18" i="15"/>
  <c r="R17" i="15"/>
  <c r="Q17" i="15"/>
  <c r="P17" i="15"/>
  <c r="N17" i="15"/>
  <c r="L17" i="15"/>
  <c r="K17" i="15"/>
  <c r="J17" i="15"/>
  <c r="I17" i="15"/>
  <c r="O17" i="15" s="1"/>
  <c r="H17" i="15"/>
  <c r="L15" i="15"/>
  <c r="K15" i="15"/>
  <c r="J15" i="15"/>
  <c r="I15" i="15"/>
  <c r="H15" i="15"/>
  <c r="A11" i="15"/>
  <c r="E18" i="15" s="1" a="1"/>
  <c r="A10" i="15"/>
  <c r="K14" i="15" s="1"/>
  <c r="A9" i="15"/>
  <c r="J14" i="15" s="1"/>
  <c r="A8" i="15"/>
  <c r="A7" i="15"/>
  <c r="A18" i="15" s="1" a="1"/>
  <c r="D22" i="6"/>
  <c r="D23" i="6"/>
  <c r="E23" i="6" s="1"/>
  <c r="D24" i="6"/>
  <c r="D25" i="6"/>
  <c r="D26" i="6"/>
  <c r="D27" i="6"/>
  <c r="D28" i="6"/>
  <c r="D29" i="6"/>
  <c r="D30" i="6"/>
  <c r="D21" i="6"/>
  <c r="E21" i="6" s="1"/>
  <c r="B22" i="6"/>
  <c r="B23" i="6"/>
  <c r="B24" i="6"/>
  <c r="B25" i="6"/>
  <c r="B26" i="6"/>
  <c r="B27" i="6"/>
  <c r="B28" i="6"/>
  <c r="B29" i="6"/>
  <c r="B30" i="6"/>
  <c r="AB35" i="8"/>
  <c r="AL35" i="8" s="1"/>
  <c r="AB34" i="8"/>
  <c r="AL34" i="8" s="1"/>
  <c r="AB33" i="8"/>
  <c r="AL33" i="8" s="1"/>
  <c r="AB23" i="8"/>
  <c r="AL23" i="8" s="1"/>
  <c r="AB22" i="8"/>
  <c r="AL22" i="8" s="1"/>
  <c r="AB21" i="8"/>
  <c r="AL21" i="8" s="1"/>
  <c r="AB25" i="8"/>
  <c r="AL25" i="8" s="1"/>
  <c r="T25" i="8"/>
  <c r="T26" i="8"/>
  <c r="T19" i="8"/>
  <c r="T20" i="8"/>
  <c r="AB24" i="8" s="1"/>
  <c r="AL24" i="8" s="1"/>
  <c r="T21" i="8"/>
  <c r="AB29" i="8" s="1"/>
  <c r="AL29" i="8" s="1"/>
  <c r="T22" i="8"/>
  <c r="AB31" i="8" s="1"/>
  <c r="AL31" i="8" s="1"/>
  <c r="T23" i="8"/>
  <c r="T24" i="8"/>
  <c r="T18" i="8"/>
  <c r="C17" i="3"/>
  <c r="E30" i="6" l="1"/>
  <c r="AB30" i="8"/>
  <c r="AL30" i="8" s="1"/>
  <c r="AB27" i="15"/>
  <c r="E28" i="6"/>
  <c r="AB28" i="15"/>
  <c r="AB32" i="8"/>
  <c r="AL32" i="8" s="1"/>
  <c r="AB25" i="15"/>
  <c r="AL25" i="15" s="1"/>
  <c r="E22" i="6"/>
  <c r="AB26" i="15"/>
  <c r="E29" i="6"/>
  <c r="AB27" i="8"/>
  <c r="AL27" i="8" s="1"/>
  <c r="E29" i="18"/>
  <c r="E31" i="18" s="1"/>
  <c r="E18" i="17"/>
  <c r="R98" i="17" a="1"/>
  <c r="R98" i="17" s="1"/>
  <c r="R97" i="17" a="1"/>
  <c r="R97" i="17" s="1"/>
  <c r="Y21" i="17"/>
  <c r="Y19" i="17"/>
  <c r="Y26" i="17"/>
  <c r="Y24" i="17"/>
  <c r="Y22" i="17"/>
  <c r="AL28" i="17"/>
  <c r="X21" i="17"/>
  <c r="X19" i="17"/>
  <c r="X26" i="17"/>
  <c r="X24" i="17"/>
  <c r="X22" i="17"/>
  <c r="V22" i="17"/>
  <c r="AL33" i="17"/>
  <c r="V24" i="17"/>
  <c r="V23" i="17"/>
  <c r="V21" i="17"/>
  <c r="V19" i="17"/>
  <c r="Y18" i="17"/>
  <c r="AL23" i="17"/>
  <c r="Y25" i="17"/>
  <c r="I14" i="17"/>
  <c r="C18" i="17" a="1"/>
  <c r="AB18" i="17"/>
  <c r="X20" i="17"/>
  <c r="AB25" i="17"/>
  <c r="V26" i="17"/>
  <c r="AB30" i="17"/>
  <c r="Y20" i="17"/>
  <c r="AH24" i="17" s="1"/>
  <c r="AB34" i="17"/>
  <c r="AB35" i="17"/>
  <c r="AB32" i="17"/>
  <c r="K14" i="17"/>
  <c r="K191" i="17" s="1" a="1"/>
  <c r="K191" i="17" s="1"/>
  <c r="AB20" i="17"/>
  <c r="AD52" i="17"/>
  <c r="AE50" i="17"/>
  <c r="AF50" i="17" s="1"/>
  <c r="L14" i="17"/>
  <c r="L19" i="17" s="1" a="1"/>
  <c r="L19" i="17" s="1"/>
  <c r="A18" i="17" a="1"/>
  <c r="H82" i="17" s="1" a="1"/>
  <c r="H82" i="17" s="1"/>
  <c r="V18" i="17"/>
  <c r="AL22" i="17"/>
  <c r="AL24" i="17"/>
  <c r="V25" i="17"/>
  <c r="AB26" i="17"/>
  <c r="H201" i="17" a="1"/>
  <c r="H201" i="17" s="1"/>
  <c r="H200" i="17" a="1"/>
  <c r="H200" i="17" s="1"/>
  <c r="H198" i="17" a="1"/>
  <c r="H198" i="17" s="1"/>
  <c r="H194" i="17" a="1"/>
  <c r="H194" i="17" s="1"/>
  <c r="H186" i="17" a="1"/>
  <c r="H186" i="17" s="1"/>
  <c r="H178" i="17" a="1"/>
  <c r="H178" i="17" s="1"/>
  <c r="H170" i="17" a="1"/>
  <c r="H170" i="17" s="1"/>
  <c r="H162" i="17" a="1"/>
  <c r="H162" i="17" s="1"/>
  <c r="H189" i="17" a="1"/>
  <c r="H189" i="17" s="1"/>
  <c r="H181" i="17" a="1"/>
  <c r="H181" i="17" s="1"/>
  <c r="H173" i="17" a="1"/>
  <c r="H173" i="17" s="1"/>
  <c r="H165" i="17" a="1"/>
  <c r="H165" i="17" s="1"/>
  <c r="H157" i="17" a="1"/>
  <c r="H157" i="17" s="1"/>
  <c r="H149" i="17" a="1"/>
  <c r="H149" i="17" s="1"/>
  <c r="H141" i="17" a="1"/>
  <c r="H141" i="17" s="1"/>
  <c r="H192" i="17" a="1"/>
  <c r="H192" i="17" s="1"/>
  <c r="H184" i="17" a="1"/>
  <c r="H184" i="17" s="1"/>
  <c r="H176" i="17" a="1"/>
  <c r="H176" i="17" s="1"/>
  <c r="H168" i="17" a="1"/>
  <c r="H168" i="17" s="1"/>
  <c r="H160" i="17" a="1"/>
  <c r="H160" i="17" s="1"/>
  <c r="H152" i="17" a="1"/>
  <c r="H152" i="17" s="1"/>
  <c r="H144" i="17" a="1"/>
  <c r="H144" i="17" s="1"/>
  <c r="H197" i="17" a="1"/>
  <c r="H197" i="17" s="1"/>
  <c r="H195" i="17" a="1"/>
  <c r="H195" i="17" s="1"/>
  <c r="H187" i="17" a="1"/>
  <c r="H187" i="17" s="1"/>
  <c r="H179" i="17" a="1"/>
  <c r="H179" i="17" s="1"/>
  <c r="H171" i="17" a="1"/>
  <c r="H171" i="17" s="1"/>
  <c r="H163" i="17" a="1"/>
  <c r="H163" i="17" s="1"/>
  <c r="H190" i="17" a="1"/>
  <c r="H190" i="17" s="1"/>
  <c r="H182" i="17" a="1"/>
  <c r="H182" i="17" s="1"/>
  <c r="H174" i="17" a="1"/>
  <c r="H174" i="17" s="1"/>
  <c r="H166" i="17" a="1"/>
  <c r="H166" i="17" s="1"/>
  <c r="H158" i="17" a="1"/>
  <c r="H158" i="17" s="1"/>
  <c r="H150" i="17" a="1"/>
  <c r="H150" i="17" s="1"/>
  <c r="H142" i="17" a="1"/>
  <c r="H142" i="17" s="1"/>
  <c r="H193" i="17" a="1"/>
  <c r="H193" i="17" s="1"/>
  <c r="H185" i="17" a="1"/>
  <c r="H185" i="17" s="1"/>
  <c r="H177" i="17" a="1"/>
  <c r="H177" i="17" s="1"/>
  <c r="H169" i="17" a="1"/>
  <c r="H169" i="17" s="1"/>
  <c r="H161" i="17" a="1"/>
  <c r="H161" i="17" s="1"/>
  <c r="H153" i="17" a="1"/>
  <c r="H153" i="17" s="1"/>
  <c r="H145" i="17" a="1"/>
  <c r="H145" i="17" s="1"/>
  <c r="H196" i="17" a="1"/>
  <c r="H196" i="17" s="1"/>
  <c r="H188" i="17" a="1"/>
  <c r="H188" i="17" s="1"/>
  <c r="H180" i="17" a="1"/>
  <c r="H180" i="17" s="1"/>
  <c r="H172" i="17" a="1"/>
  <c r="H172" i="17" s="1"/>
  <c r="H164" i="17" a="1"/>
  <c r="H164" i="17" s="1"/>
  <c r="H156" i="17" a="1"/>
  <c r="H156" i="17" s="1"/>
  <c r="H148" i="17" a="1"/>
  <c r="H148" i="17" s="1"/>
  <c r="H140" i="17" a="1"/>
  <c r="H140" i="17" s="1"/>
  <c r="H199" i="17" a="1"/>
  <c r="H199" i="17" s="1"/>
  <c r="H191" i="17" a="1"/>
  <c r="H191" i="17" s="1"/>
  <c r="H183" i="17" a="1"/>
  <c r="H183" i="17" s="1"/>
  <c r="H175" i="17" a="1"/>
  <c r="H175" i="17" s="1"/>
  <c r="H167" i="17" a="1"/>
  <c r="H167" i="17" s="1"/>
  <c r="H159" i="17" a="1"/>
  <c r="H159" i="17" s="1"/>
  <c r="H151" i="17" a="1"/>
  <c r="H151" i="17" s="1"/>
  <c r="H143" i="17" a="1"/>
  <c r="H143" i="17" s="1"/>
  <c r="H129" i="17" a="1"/>
  <c r="H129" i="17" s="1"/>
  <c r="H121" i="17" a="1"/>
  <c r="H121" i="17" s="1"/>
  <c r="H113" i="17" a="1"/>
  <c r="H113" i="17" s="1"/>
  <c r="H105" i="17" a="1"/>
  <c r="H105" i="17" s="1"/>
  <c r="H139" i="17" a="1"/>
  <c r="H139" i="17" s="1"/>
  <c r="H132" i="17" a="1"/>
  <c r="H132" i="17" s="1"/>
  <c r="H124" i="17" a="1"/>
  <c r="H124" i="17" s="1"/>
  <c r="H116" i="17" a="1"/>
  <c r="H116" i="17" s="1"/>
  <c r="H108" i="17" a="1"/>
  <c r="H108" i="17" s="1"/>
  <c r="H135" i="17" a="1"/>
  <c r="H135" i="17" s="1"/>
  <c r="H127" i="17" a="1"/>
  <c r="H127" i="17" s="1"/>
  <c r="H119" i="17" a="1"/>
  <c r="H119" i="17" s="1"/>
  <c r="H111" i="17" a="1"/>
  <c r="H111" i="17" s="1"/>
  <c r="H103" i="17" a="1"/>
  <c r="H103" i="17" s="1"/>
  <c r="H155" i="17" a="1"/>
  <c r="H155" i="17" s="1"/>
  <c r="H137" i="17" a="1"/>
  <c r="H137" i="17" s="1"/>
  <c r="H130" i="17" a="1"/>
  <c r="H130" i="17" s="1"/>
  <c r="H122" i="17" a="1"/>
  <c r="H122" i="17" s="1"/>
  <c r="H114" i="17" a="1"/>
  <c r="H114" i="17" s="1"/>
  <c r="H106" i="17" a="1"/>
  <c r="H106" i="17" s="1"/>
  <c r="H147" i="17" a="1"/>
  <c r="H147" i="17" s="1"/>
  <c r="H138" i="17" a="1"/>
  <c r="H138" i="17" s="1"/>
  <c r="H133" i="17" a="1"/>
  <c r="H133" i="17" s="1"/>
  <c r="H125" i="17" a="1"/>
  <c r="H125" i="17" s="1"/>
  <c r="H117" i="17" a="1"/>
  <c r="H117" i="17" s="1"/>
  <c r="H109" i="17" a="1"/>
  <c r="H109" i="17" s="1"/>
  <c r="H128" i="17" a="1"/>
  <c r="H128" i="17" s="1"/>
  <c r="H120" i="17" a="1"/>
  <c r="H120" i="17" s="1"/>
  <c r="H112" i="17" a="1"/>
  <c r="H112" i="17" s="1"/>
  <c r="H104" i="17" a="1"/>
  <c r="H104" i="17" s="1"/>
  <c r="H131" i="17" a="1"/>
  <c r="H131" i="17" s="1"/>
  <c r="H123" i="17" a="1"/>
  <c r="H123" i="17" s="1"/>
  <c r="H115" i="17" a="1"/>
  <c r="H115" i="17" s="1"/>
  <c r="H107" i="17" a="1"/>
  <c r="H107" i="17" s="1"/>
  <c r="H154" i="17" a="1"/>
  <c r="H154" i="17" s="1"/>
  <c r="H146" i="17" a="1"/>
  <c r="H146" i="17" s="1"/>
  <c r="H136" i="17" a="1"/>
  <c r="H136" i="17" s="1"/>
  <c r="H134" i="17" a="1"/>
  <c r="H134" i="17" s="1"/>
  <c r="H126" i="17" a="1"/>
  <c r="H126" i="17" s="1"/>
  <c r="H118" i="17" a="1"/>
  <c r="H118" i="17" s="1"/>
  <c r="H110" i="17" a="1"/>
  <c r="H110" i="17" s="1"/>
  <c r="H102" i="17" a="1"/>
  <c r="H102" i="17" s="1"/>
  <c r="AE22" i="17"/>
  <c r="X23" i="17"/>
  <c r="AB29" i="17"/>
  <c r="K33" i="17" a="1"/>
  <c r="K33" i="17" s="1"/>
  <c r="I184" i="17" a="1"/>
  <c r="I184" i="17" s="1"/>
  <c r="I171" i="17" a="1"/>
  <c r="I171" i="17" s="1"/>
  <c r="I166" i="17" a="1"/>
  <c r="I166" i="17" s="1"/>
  <c r="I196" i="17" a="1"/>
  <c r="I196" i="17" s="1"/>
  <c r="I199" i="17" a="1"/>
  <c r="I199" i="17" s="1"/>
  <c r="I200" i="17" a="1"/>
  <c r="I200" i="17" s="1"/>
  <c r="I146" i="17" a="1"/>
  <c r="I146" i="17" s="1"/>
  <c r="I141" i="17" a="1"/>
  <c r="I141" i="17" s="1"/>
  <c r="I130" i="17" a="1"/>
  <c r="I130" i="17" s="1"/>
  <c r="I125" i="17" a="1"/>
  <c r="I125" i="17" s="1"/>
  <c r="I112" i="17" a="1"/>
  <c r="I112" i="17" s="1"/>
  <c r="I107" i="17" a="1"/>
  <c r="I107" i="17" s="1"/>
  <c r="I102" i="17" a="1"/>
  <c r="I102" i="17" s="1"/>
  <c r="I95" i="17" a="1"/>
  <c r="I95" i="17" s="1"/>
  <c r="I83" i="17" a="1"/>
  <c r="I83" i="17" s="1"/>
  <c r="I73" i="17" a="1"/>
  <c r="I73" i="17" s="1"/>
  <c r="I62" i="17" a="1"/>
  <c r="I62" i="17" s="1"/>
  <c r="I42" i="17" a="1"/>
  <c r="I42" i="17" s="1"/>
  <c r="I46" i="17" a="1"/>
  <c r="I46" i="17" s="1"/>
  <c r="I40" i="17" a="1"/>
  <c r="I40" i="17" s="1"/>
  <c r="I72" i="17" a="1"/>
  <c r="I72" i="17" s="1"/>
  <c r="X18" i="17"/>
  <c r="AB19" i="17"/>
  <c r="K20" i="17" a="1"/>
  <c r="K20" i="17" s="1"/>
  <c r="V20" i="17"/>
  <c r="AE24" i="17" s="1"/>
  <c r="AB21" i="17"/>
  <c r="Y23" i="17"/>
  <c r="X25" i="17"/>
  <c r="AG31" i="17" s="1"/>
  <c r="J200" i="17" a="1"/>
  <c r="J200" i="17" s="1"/>
  <c r="J190" i="17" a="1"/>
  <c r="J190" i="17" s="1"/>
  <c r="J182" i="17" a="1"/>
  <c r="J182" i="17" s="1"/>
  <c r="J174" i="17" a="1"/>
  <c r="J174" i="17" s="1"/>
  <c r="J166" i="17" a="1"/>
  <c r="J166" i="17" s="1"/>
  <c r="J201" i="17" a="1"/>
  <c r="J201" i="17" s="1"/>
  <c r="J193" i="17" a="1"/>
  <c r="J193" i="17" s="1"/>
  <c r="J185" i="17" a="1"/>
  <c r="J185" i="17" s="1"/>
  <c r="J177" i="17" a="1"/>
  <c r="J177" i="17" s="1"/>
  <c r="J169" i="17" a="1"/>
  <c r="J169" i="17" s="1"/>
  <c r="J161" i="17" a="1"/>
  <c r="J161" i="17" s="1"/>
  <c r="J153" i="17" a="1"/>
  <c r="J153" i="17" s="1"/>
  <c r="J145" i="17" a="1"/>
  <c r="J145" i="17" s="1"/>
  <c r="J137" i="17" a="1"/>
  <c r="J137" i="17" s="1"/>
  <c r="J196" i="17" a="1"/>
  <c r="J196" i="17" s="1"/>
  <c r="J188" i="17" a="1"/>
  <c r="J188" i="17" s="1"/>
  <c r="J180" i="17" a="1"/>
  <c r="J180" i="17" s="1"/>
  <c r="J172" i="17" a="1"/>
  <c r="J172" i="17" s="1"/>
  <c r="J164" i="17" a="1"/>
  <c r="J164" i="17" s="1"/>
  <c r="J156" i="17" a="1"/>
  <c r="J156" i="17" s="1"/>
  <c r="J148" i="17" a="1"/>
  <c r="J148" i="17" s="1"/>
  <c r="J140" i="17" a="1"/>
  <c r="J140" i="17" s="1"/>
  <c r="J199" i="17" a="1"/>
  <c r="J199" i="17" s="1"/>
  <c r="J191" i="17" a="1"/>
  <c r="J191" i="17" s="1"/>
  <c r="J183" i="17" a="1"/>
  <c r="J183" i="17" s="1"/>
  <c r="J175" i="17" a="1"/>
  <c r="J175" i="17" s="1"/>
  <c r="J167" i="17" a="1"/>
  <c r="J167" i="17" s="1"/>
  <c r="J198" i="17" a="1"/>
  <c r="J198" i="17" s="1"/>
  <c r="J194" i="17" a="1"/>
  <c r="J194" i="17" s="1"/>
  <c r="J186" i="17" a="1"/>
  <c r="J186" i="17" s="1"/>
  <c r="J178" i="17" a="1"/>
  <c r="J178" i="17" s="1"/>
  <c r="J170" i="17" a="1"/>
  <c r="J170" i="17" s="1"/>
  <c r="J162" i="17" a="1"/>
  <c r="J162" i="17" s="1"/>
  <c r="J154" i="17" a="1"/>
  <c r="J154" i="17" s="1"/>
  <c r="J146" i="17" a="1"/>
  <c r="J146" i="17" s="1"/>
  <c r="J138" i="17" a="1"/>
  <c r="J138" i="17" s="1"/>
  <c r="J189" i="17" a="1"/>
  <c r="J189" i="17" s="1"/>
  <c r="J181" i="17" a="1"/>
  <c r="J181" i="17" s="1"/>
  <c r="J173" i="17" a="1"/>
  <c r="J173" i="17" s="1"/>
  <c r="J165" i="17" a="1"/>
  <c r="J165" i="17" s="1"/>
  <c r="J157" i="17" a="1"/>
  <c r="J157" i="17" s="1"/>
  <c r="J149" i="17" a="1"/>
  <c r="J149" i="17" s="1"/>
  <c r="J141" i="17" a="1"/>
  <c r="J141" i="17" s="1"/>
  <c r="J192" i="17" a="1"/>
  <c r="J192" i="17" s="1"/>
  <c r="J184" i="17" a="1"/>
  <c r="J184" i="17" s="1"/>
  <c r="J176" i="17" a="1"/>
  <c r="J176" i="17" s="1"/>
  <c r="J168" i="17" a="1"/>
  <c r="J168" i="17" s="1"/>
  <c r="J160" i="17" a="1"/>
  <c r="J160" i="17" s="1"/>
  <c r="J152" i="17" a="1"/>
  <c r="J152" i="17" s="1"/>
  <c r="J144" i="17" a="1"/>
  <c r="J144" i="17" s="1"/>
  <c r="J197" i="17" a="1"/>
  <c r="J197" i="17" s="1"/>
  <c r="J195" i="17" a="1"/>
  <c r="J195" i="17" s="1"/>
  <c r="J187" i="17" a="1"/>
  <c r="J187" i="17" s="1"/>
  <c r="J179" i="17" a="1"/>
  <c r="J179" i="17" s="1"/>
  <c r="J171" i="17" a="1"/>
  <c r="J171" i="17" s="1"/>
  <c r="J163" i="17" a="1"/>
  <c r="J163" i="17" s="1"/>
  <c r="J155" i="17" a="1"/>
  <c r="J155" i="17" s="1"/>
  <c r="J147" i="17" a="1"/>
  <c r="J147" i="17" s="1"/>
  <c r="J139" i="17" a="1"/>
  <c r="J139" i="17" s="1"/>
  <c r="J143" i="17" a="1"/>
  <c r="J143" i="17" s="1"/>
  <c r="J133" i="17" a="1"/>
  <c r="J133" i="17" s="1"/>
  <c r="J125" i="17" a="1"/>
  <c r="J125" i="17" s="1"/>
  <c r="J117" i="17" a="1"/>
  <c r="J117" i="17" s="1"/>
  <c r="J109" i="17" a="1"/>
  <c r="J109" i="17" s="1"/>
  <c r="J159" i="17" a="1"/>
  <c r="J159" i="17" s="1"/>
  <c r="J151" i="17" a="1"/>
  <c r="J151" i="17" s="1"/>
  <c r="J128" i="17" a="1"/>
  <c r="J128" i="17" s="1"/>
  <c r="J120" i="17" a="1"/>
  <c r="J120" i="17" s="1"/>
  <c r="J112" i="17" a="1"/>
  <c r="J112" i="17" s="1"/>
  <c r="J131" i="17" a="1"/>
  <c r="J131" i="17" s="1"/>
  <c r="J123" i="17" a="1"/>
  <c r="J123" i="17" s="1"/>
  <c r="J115" i="17" a="1"/>
  <c r="J115" i="17" s="1"/>
  <c r="J107" i="17" a="1"/>
  <c r="J107" i="17" s="1"/>
  <c r="J142" i="17" a="1"/>
  <c r="J142" i="17" s="1"/>
  <c r="J134" i="17" a="1"/>
  <c r="J134" i="17" s="1"/>
  <c r="J126" i="17" a="1"/>
  <c r="J126" i="17" s="1"/>
  <c r="J118" i="17" a="1"/>
  <c r="J118" i="17" s="1"/>
  <c r="J110" i="17" a="1"/>
  <c r="J110" i="17" s="1"/>
  <c r="J158" i="17" a="1"/>
  <c r="J158" i="17" s="1"/>
  <c r="J129" i="17" a="1"/>
  <c r="J129" i="17" s="1"/>
  <c r="J121" i="17" a="1"/>
  <c r="J121" i="17" s="1"/>
  <c r="J113" i="17" a="1"/>
  <c r="J113" i="17" s="1"/>
  <c r="J150" i="17" a="1"/>
  <c r="J150" i="17" s="1"/>
  <c r="J136" i="17" a="1"/>
  <c r="J136" i="17" s="1"/>
  <c r="J132" i="17" a="1"/>
  <c r="J132" i="17" s="1"/>
  <c r="J124" i="17" a="1"/>
  <c r="J124" i="17" s="1"/>
  <c r="J116" i="17" a="1"/>
  <c r="J116" i="17" s="1"/>
  <c r="J108" i="17" a="1"/>
  <c r="J108" i="17" s="1"/>
  <c r="J135" i="17" a="1"/>
  <c r="J135" i="17" s="1"/>
  <c r="J127" i="17" a="1"/>
  <c r="J127" i="17" s="1"/>
  <c r="J119" i="17" a="1"/>
  <c r="J119" i="17" s="1"/>
  <c r="J111" i="17" a="1"/>
  <c r="J111" i="17" s="1"/>
  <c r="J130" i="17" a="1"/>
  <c r="J130" i="17" s="1"/>
  <c r="J122" i="17" a="1"/>
  <c r="J122" i="17" s="1"/>
  <c r="J114" i="17" a="1"/>
  <c r="J114" i="17" s="1"/>
  <c r="J106" i="17" a="1"/>
  <c r="J106" i="17" s="1"/>
  <c r="J55" i="17" a="1"/>
  <c r="J55" i="17" s="1"/>
  <c r="J82" i="17" a="1"/>
  <c r="J82" i="17" s="1"/>
  <c r="J60" i="17" a="1"/>
  <c r="J60" i="17" s="1"/>
  <c r="J41" i="17" a="1"/>
  <c r="J41" i="17" s="1"/>
  <c r="J63" i="17" a="1"/>
  <c r="J63" i="17" s="1"/>
  <c r="J37" i="17" a="1"/>
  <c r="J37" i="17" s="1"/>
  <c r="J68" i="17" a="1"/>
  <c r="J68" i="17" s="1"/>
  <c r="J64" i="17" a="1"/>
  <c r="J64" i="17" s="1"/>
  <c r="J47" i="17" a="1"/>
  <c r="J47" i="17" s="1"/>
  <c r="J45" i="17" a="1"/>
  <c r="J45" i="17" s="1"/>
  <c r="J59" i="17" a="1"/>
  <c r="J59" i="17" s="1"/>
  <c r="K22" i="17" a="1"/>
  <c r="K22" i="17" s="1"/>
  <c r="K24" i="17" a="1"/>
  <c r="K24" i="17" s="1"/>
  <c r="AB27" i="17"/>
  <c r="K29" i="17" a="1"/>
  <c r="K29" i="17" s="1"/>
  <c r="K31" i="17" a="1"/>
  <c r="K31" i="17" s="1"/>
  <c r="K32" i="17" a="1"/>
  <c r="K32" i="17" s="1"/>
  <c r="AE52" i="17"/>
  <c r="AB53" i="17"/>
  <c r="AF55" i="17"/>
  <c r="AD57" i="17"/>
  <c r="AB59" i="17"/>
  <c r="AE60" i="17"/>
  <c r="AC62" i="17"/>
  <c r="AF63" i="17"/>
  <c r="AB65" i="17"/>
  <c r="AD66" i="17"/>
  <c r="AF67" i="17"/>
  <c r="AB69" i="17"/>
  <c r="AD70" i="17"/>
  <c r="AF71" i="17"/>
  <c r="AB73" i="17"/>
  <c r="AE74" i="17"/>
  <c r="AC76" i="17"/>
  <c r="AF77" i="17"/>
  <c r="AD79" i="17"/>
  <c r="AB81" i="17"/>
  <c r="AE82" i="17"/>
  <c r="AC83" i="17"/>
  <c r="AF84" i="17"/>
  <c r="AB86" i="17"/>
  <c r="AE87" i="17"/>
  <c r="AF52" i="17"/>
  <c r="AC53" i="17"/>
  <c r="AB56" i="17"/>
  <c r="AE57" i="17"/>
  <c r="AC59" i="17"/>
  <c r="AF60" i="17"/>
  <c r="AD62" i="17"/>
  <c r="AC65" i="17"/>
  <c r="AE66" i="17"/>
  <c r="AC69" i="17"/>
  <c r="AE70" i="17"/>
  <c r="AC73" i="17"/>
  <c r="AF74" i="17"/>
  <c r="AD76" i="17"/>
  <c r="AB78" i="17"/>
  <c r="AE79" i="17"/>
  <c r="AC81" i="17"/>
  <c r="AF82" i="17"/>
  <c r="AD83" i="17"/>
  <c r="AC86" i="17"/>
  <c r="AF87" i="17"/>
  <c r="AD53" i="17"/>
  <c r="AB54" i="17"/>
  <c r="AC56" i="17"/>
  <c r="AF57" i="17"/>
  <c r="AD59" i="17"/>
  <c r="AB61" i="17"/>
  <c r="AE62" i="17"/>
  <c r="AB64" i="17"/>
  <c r="AD65" i="17"/>
  <c r="AF66" i="17"/>
  <c r="AB68" i="17"/>
  <c r="AD69" i="17"/>
  <c r="AF70" i="17"/>
  <c r="AB72" i="17"/>
  <c r="AD73" i="17"/>
  <c r="AB75" i="17"/>
  <c r="AE76" i="17"/>
  <c r="AC78" i="17"/>
  <c r="AF79" i="17"/>
  <c r="AD81" i="17"/>
  <c r="AE83" i="17"/>
  <c r="AD86" i="17"/>
  <c r="AF1361" i="17"/>
  <c r="AC1360" i="17"/>
  <c r="AE1358" i="17"/>
  <c r="AB1357" i="17"/>
  <c r="AD1346" i="17"/>
  <c r="AF1344" i="17"/>
  <c r="AC1343" i="17"/>
  <c r="AE1341" i="17"/>
  <c r="AB1340" i="17"/>
  <c r="AD1338" i="17"/>
  <c r="AF1336" i="17"/>
  <c r="AC1335" i="17"/>
  <c r="AE1333" i="17"/>
  <c r="AB1332" i="17"/>
  <c r="AD1330" i="17"/>
  <c r="AF1328" i="17"/>
  <c r="AC1327" i="17"/>
  <c r="AE1325" i="17"/>
  <c r="AB1324" i="17"/>
  <c r="AE1361" i="17"/>
  <c r="AB1360" i="17"/>
  <c r="AD1358" i="17"/>
  <c r="AF1356" i="17"/>
  <c r="AC1346" i="17"/>
  <c r="AE1344" i="17"/>
  <c r="AB1343" i="17"/>
  <c r="AD1341" i="17"/>
  <c r="AF1339" i="17"/>
  <c r="AC1338" i="17"/>
  <c r="AE1336" i="17"/>
  <c r="AB1335" i="17"/>
  <c r="AD1333" i="17"/>
  <c r="AF1331" i="17"/>
  <c r="AC1330" i="17"/>
  <c r="AE1328" i="17"/>
  <c r="AB1327" i="17"/>
  <c r="AD1325" i="17"/>
  <c r="AF1323" i="17"/>
  <c r="AC1322" i="17"/>
  <c r="AE1320" i="17"/>
  <c r="AB1319" i="17"/>
  <c r="AD1317" i="17"/>
  <c r="AF1315" i="17"/>
  <c r="AC1314" i="17"/>
  <c r="AE1312" i="17"/>
  <c r="AB1311" i="17"/>
  <c r="AD1309" i="17"/>
  <c r="AF1307" i="17"/>
  <c r="AC1306" i="17"/>
  <c r="AE1304" i="17"/>
  <c r="AB1303" i="17"/>
  <c r="AD1301" i="17"/>
  <c r="AF1299" i="17"/>
  <c r="AC1298" i="17"/>
  <c r="AE1296" i="17"/>
  <c r="AB1295" i="17"/>
  <c r="AD1293" i="17"/>
  <c r="AF1291" i="17"/>
  <c r="AC1290" i="17"/>
  <c r="AE1288" i="17"/>
  <c r="AB1287" i="17"/>
  <c r="AD1285" i="17"/>
  <c r="AF1283" i="17"/>
  <c r="AC1282" i="17"/>
  <c r="AE1280" i="17"/>
  <c r="AB1279" i="17"/>
  <c r="AD1277" i="17"/>
  <c r="AF1275" i="17"/>
  <c r="AC1274" i="17"/>
  <c r="AE1272" i="17"/>
  <c r="AB1271" i="17"/>
  <c r="AD1269" i="17"/>
  <c r="AF1267" i="17"/>
  <c r="AD1361" i="17"/>
  <c r="AF1359" i="17"/>
  <c r="AC1358" i="17"/>
  <c r="AE1356" i="17"/>
  <c r="AB1346" i="17"/>
  <c r="AD1344" i="17"/>
  <c r="AF1342" i="17"/>
  <c r="AC1341" i="17"/>
  <c r="AE1339" i="17"/>
  <c r="AB1338" i="17"/>
  <c r="AD1336" i="17"/>
  <c r="AF1334" i="17"/>
  <c r="AC1333" i="17"/>
  <c r="AE1331" i="17"/>
  <c r="AB1330" i="17"/>
  <c r="AD1328" i="17"/>
  <c r="AF1326" i="17"/>
  <c r="AC1325" i="17"/>
  <c r="AE1323" i="17"/>
  <c r="AB1322" i="17"/>
  <c r="AD1320" i="17"/>
  <c r="AF1318" i="17"/>
  <c r="AC1317" i="17"/>
  <c r="AE1315" i="17"/>
  <c r="AB1314" i="17"/>
  <c r="AD1312" i="17"/>
  <c r="AF1310" i="17"/>
  <c r="AC1309" i="17"/>
  <c r="AE1307" i="17"/>
  <c r="AB1306" i="17"/>
  <c r="AD1304" i="17"/>
  <c r="AF1302" i="17"/>
  <c r="AC1301" i="17"/>
  <c r="AE1299" i="17"/>
  <c r="AB1298" i="17"/>
  <c r="AD1296" i="17"/>
  <c r="AF1294" i="17"/>
  <c r="AC1293" i="17"/>
  <c r="AE1291" i="17"/>
  <c r="AB1290" i="17"/>
  <c r="AD1288" i="17"/>
  <c r="AF1286" i="17"/>
  <c r="AC1285" i="17"/>
  <c r="AE1283" i="17"/>
  <c r="AB1282" i="17"/>
  <c r="AD1280" i="17"/>
  <c r="AF1278" i="17"/>
  <c r="AC1277" i="17"/>
  <c r="AE1275" i="17"/>
  <c r="AB1274" i="17"/>
  <c r="AD1272" i="17"/>
  <c r="AF1270" i="17"/>
  <c r="AC1269" i="17"/>
  <c r="AE1267" i="17"/>
  <c r="AC1361" i="17"/>
  <c r="AE1359" i="17"/>
  <c r="AB1358" i="17"/>
  <c r="AD1356" i="17"/>
  <c r="AF1345" i="17"/>
  <c r="AC1344" i="17"/>
  <c r="AE1342" i="17"/>
  <c r="AB1341" i="17"/>
  <c r="AD1339" i="17"/>
  <c r="AF1337" i="17"/>
  <c r="AC1336" i="17"/>
  <c r="AE1334" i="17"/>
  <c r="AB1333" i="17"/>
  <c r="AD1331" i="17"/>
  <c r="AF1329" i="17"/>
  <c r="AC1328" i="17"/>
  <c r="AE1326" i="17"/>
  <c r="AB1325" i="17"/>
  <c r="AD1323" i="17"/>
  <c r="AF1321" i="17"/>
  <c r="AC1320" i="17"/>
  <c r="AE1318" i="17"/>
  <c r="AB1317" i="17"/>
  <c r="AD1315" i="17"/>
  <c r="AF1313" i="17"/>
  <c r="AC1312" i="17"/>
  <c r="AE1310" i="17"/>
  <c r="AB1309" i="17"/>
  <c r="AD1307" i="17"/>
  <c r="AF1305" i="17"/>
  <c r="AC1304" i="17"/>
  <c r="AE1302" i="17"/>
  <c r="AB1301" i="17"/>
  <c r="AD1299" i="17"/>
  <c r="AF1297" i="17"/>
  <c r="AC1296" i="17"/>
  <c r="AE1294" i="17"/>
  <c r="AB1293" i="17"/>
  <c r="AD1291" i="17"/>
  <c r="AF1289" i="17"/>
  <c r="AC1288" i="17"/>
  <c r="AE1286" i="17"/>
  <c r="AB1285" i="17"/>
  <c r="AD1283" i="17"/>
  <c r="AF1281" i="17"/>
  <c r="AC1280" i="17"/>
  <c r="AE1278" i="17"/>
  <c r="AB1277" i="17"/>
  <c r="AD1275" i="17"/>
  <c r="AF1273" i="17"/>
  <c r="AC1272" i="17"/>
  <c r="AE1270" i="17"/>
  <c r="AB1269" i="17"/>
  <c r="AD1267" i="17"/>
  <c r="AF1265" i="17"/>
  <c r="AC1264" i="17"/>
  <c r="AE1262" i="17"/>
  <c r="AB1261" i="17"/>
  <c r="AD1259" i="17"/>
  <c r="AF1257" i="17"/>
  <c r="AC1256" i="17"/>
  <c r="AE1254" i="17"/>
  <c r="AB1253" i="17"/>
  <c r="AD1251" i="17"/>
  <c r="AF1249" i="17"/>
  <c r="AC1248" i="17"/>
  <c r="AE1246" i="17"/>
  <c r="AB1245" i="17"/>
  <c r="AD1243" i="17"/>
  <c r="AF1241" i="17"/>
  <c r="AC1240" i="17"/>
  <c r="AB1361" i="17"/>
  <c r="AD1359" i="17"/>
  <c r="AF1357" i="17"/>
  <c r="AC1356" i="17"/>
  <c r="AE1345" i="17"/>
  <c r="AB1344" i="17"/>
  <c r="AD1342" i="17"/>
  <c r="AF1340" i="17"/>
  <c r="AC1339" i="17"/>
  <c r="AE1337" i="17"/>
  <c r="AB1336" i="17"/>
  <c r="AD1334" i="17"/>
  <c r="AF1332" i="17"/>
  <c r="AC1331" i="17"/>
  <c r="AE1329" i="17"/>
  <c r="AB1328" i="17"/>
  <c r="AD1326" i="17"/>
  <c r="AF1324" i="17"/>
  <c r="AC1323" i="17"/>
  <c r="AE1321" i="17"/>
  <c r="AB1320" i="17"/>
  <c r="AD1318" i="17"/>
  <c r="AF1316" i="17"/>
  <c r="AC1315" i="17"/>
  <c r="AE1313" i="17"/>
  <c r="AB1312" i="17"/>
  <c r="AD1310" i="17"/>
  <c r="AF1308" i="17"/>
  <c r="AC1307" i="17"/>
  <c r="AE1305" i="17"/>
  <c r="AB1304" i="17"/>
  <c r="AD1302" i="17"/>
  <c r="AF1300" i="17"/>
  <c r="AC1299" i="17"/>
  <c r="AE1297" i="17"/>
  <c r="AB1296" i="17"/>
  <c r="AD1294" i="17"/>
  <c r="AF1292" i="17"/>
  <c r="AC1291" i="17"/>
  <c r="AE1289" i="17"/>
  <c r="AB1288" i="17"/>
  <c r="AD1286" i="17"/>
  <c r="AF1284" i="17"/>
  <c r="AC1283" i="17"/>
  <c r="AE1281" i="17"/>
  <c r="AB1280" i="17"/>
  <c r="AD1278" i="17"/>
  <c r="AF1276" i="17"/>
  <c r="AC1275" i="17"/>
  <c r="AE1273" i="17"/>
  <c r="AB1272" i="17"/>
  <c r="AD1270" i="17"/>
  <c r="AF1268" i="17"/>
  <c r="AC1267" i="17"/>
  <c r="AE1265" i="17"/>
  <c r="AB1264" i="17"/>
  <c r="AD1262" i="17"/>
  <c r="AF1260" i="17"/>
  <c r="AC1259" i="17"/>
  <c r="AE1257" i="17"/>
  <c r="AB1256" i="17"/>
  <c r="AD1254" i="17"/>
  <c r="AF1252" i="17"/>
  <c r="AC1251" i="17"/>
  <c r="AE1249" i="17"/>
  <c r="AB1248" i="17"/>
  <c r="AD1246" i="17"/>
  <c r="AF1244" i="17"/>
  <c r="AC1243" i="17"/>
  <c r="AE1241" i="17"/>
  <c r="AB1240" i="17"/>
  <c r="AD1238" i="17"/>
  <c r="AF1236" i="17"/>
  <c r="AC1235" i="17"/>
  <c r="AE1233" i="17"/>
  <c r="AB1232" i="17"/>
  <c r="AD1230" i="17"/>
  <c r="AF1228" i="17"/>
  <c r="AC1227" i="17"/>
  <c r="AE1225" i="17"/>
  <c r="AB1224" i="17"/>
  <c r="AD1222" i="17"/>
  <c r="AF1220" i="17"/>
  <c r="AC1219" i="17"/>
  <c r="AE1217" i="17"/>
  <c r="AF1360" i="17"/>
  <c r="AC1359" i="17"/>
  <c r="AE1357" i="17"/>
  <c r="AB1356" i="17"/>
  <c r="AD1345" i="17"/>
  <c r="AF1343" i="17"/>
  <c r="AC1342" i="17"/>
  <c r="AE1340" i="17"/>
  <c r="AB1339" i="17"/>
  <c r="AD1337" i="17"/>
  <c r="AF1335" i="17"/>
  <c r="AC1334" i="17"/>
  <c r="AE1332" i="17"/>
  <c r="AB1331" i="17"/>
  <c r="AD1329" i="17"/>
  <c r="AF1327" i="17"/>
  <c r="AC1326" i="17"/>
  <c r="AE1324" i="17"/>
  <c r="AB1323" i="17"/>
  <c r="AD1321" i="17"/>
  <c r="AF1319" i="17"/>
  <c r="AC1318" i="17"/>
  <c r="AD1360" i="17"/>
  <c r="AB1345" i="17"/>
  <c r="AE1338" i="17"/>
  <c r="AC1332" i="17"/>
  <c r="AF1325" i="17"/>
  <c r="AF1320" i="17"/>
  <c r="AD1316" i="17"/>
  <c r="AC1313" i="17"/>
  <c r="AB1310" i="17"/>
  <c r="AF1306" i="17"/>
  <c r="AE1303" i="17"/>
  <c r="AD1300" i="17"/>
  <c r="AC1297" i="17"/>
  <c r="AB1294" i="17"/>
  <c r="AF1290" i="17"/>
  <c r="AE1287" i="17"/>
  <c r="AD1284" i="17"/>
  <c r="AC1281" i="17"/>
  <c r="AB1278" i="17"/>
  <c r="AF1274" i="17"/>
  <c r="AE1271" i="17"/>
  <c r="AD1268" i="17"/>
  <c r="AB1266" i="17"/>
  <c r="AE1263" i="17"/>
  <c r="AE1261" i="17"/>
  <c r="AE1259" i="17"/>
  <c r="AC1257" i="17"/>
  <c r="AC1255" i="17"/>
  <c r="AC1253" i="17"/>
  <c r="AF1250" i="17"/>
  <c r="AF1248" i="17"/>
  <c r="AB1359" i="17"/>
  <c r="AE1343" i="17"/>
  <c r="AC1337" i="17"/>
  <c r="AF1330" i="17"/>
  <c r="AD1324" i="17"/>
  <c r="AE1319" i="17"/>
  <c r="AC1316" i="17"/>
  <c r="AB1313" i="17"/>
  <c r="AF1309" i="17"/>
  <c r="AE1306" i="17"/>
  <c r="AD1303" i="17"/>
  <c r="AC1300" i="17"/>
  <c r="AB1297" i="17"/>
  <c r="AF1293" i="17"/>
  <c r="AE1290" i="17"/>
  <c r="AD1287" i="17"/>
  <c r="AC1284" i="17"/>
  <c r="AB1281" i="17"/>
  <c r="AF1277" i="17"/>
  <c r="AE1274" i="17"/>
  <c r="AD1271" i="17"/>
  <c r="AC1268" i="17"/>
  <c r="AD1265" i="17"/>
  <c r="AD1263" i="17"/>
  <c r="AD1261" i="17"/>
  <c r="AB1259" i="17"/>
  <c r="AB1257" i="17"/>
  <c r="AB1255" i="17"/>
  <c r="AE1252" i="17"/>
  <c r="AE1250" i="17"/>
  <c r="AE1248" i="17"/>
  <c r="AC1246" i="17"/>
  <c r="AC1244" i="17"/>
  <c r="AC1242" i="17"/>
  <c r="AF1239" i="17"/>
  <c r="AB1238" i="17"/>
  <c r="AC1236" i="17"/>
  <c r="AD1234" i="17"/>
  <c r="AE1232" i="17"/>
  <c r="AF1230" i="17"/>
  <c r="AB1229" i="17"/>
  <c r="AB1227" i="17"/>
  <c r="AC1225" i="17"/>
  <c r="AD1223" i="17"/>
  <c r="AE1221" i="17"/>
  <c r="AF1219" i="17"/>
  <c r="AB1218" i="17"/>
  <c r="AC1216" i="17"/>
  <c r="AE1214" i="17"/>
  <c r="AB1213" i="17"/>
  <c r="AD1211" i="17"/>
  <c r="AF1209" i="17"/>
  <c r="AC1208" i="17"/>
  <c r="AF1358" i="17"/>
  <c r="AD1343" i="17"/>
  <c r="AB1337" i="17"/>
  <c r="AE1330" i="17"/>
  <c r="AC1324" i="17"/>
  <c r="AD1319" i="17"/>
  <c r="AB1316" i="17"/>
  <c r="AF1312" i="17"/>
  <c r="AE1309" i="17"/>
  <c r="AD1306" i="17"/>
  <c r="AC1303" i="17"/>
  <c r="AB1300" i="17"/>
  <c r="AF1296" i="17"/>
  <c r="AE1293" i="17"/>
  <c r="AD1290" i="17"/>
  <c r="AC1287" i="17"/>
  <c r="AB1284" i="17"/>
  <c r="AF1280" i="17"/>
  <c r="AE1277" i="17"/>
  <c r="AD1274" i="17"/>
  <c r="AC1271" i="17"/>
  <c r="AB1268" i="17"/>
  <c r="AC1265" i="17"/>
  <c r="AC1263" i="17"/>
  <c r="AC1261" i="17"/>
  <c r="AF1258" i="17"/>
  <c r="AF1256" i="17"/>
  <c r="AF1254" i="17"/>
  <c r="AD1252" i="17"/>
  <c r="AD1250" i="17"/>
  <c r="AD1248" i="17"/>
  <c r="AB1246" i="17"/>
  <c r="AB1244" i="17"/>
  <c r="AB1242" i="17"/>
  <c r="AE1239" i="17"/>
  <c r="AF1237" i="17"/>
  <c r="AB1236" i="17"/>
  <c r="AC1234" i="17"/>
  <c r="AD1232" i="17"/>
  <c r="AE1230" i="17"/>
  <c r="AE1228" i="17"/>
  <c r="AD1357" i="17"/>
  <c r="AB1342" i="17"/>
  <c r="AE1335" i="17"/>
  <c r="AC1329" i="17"/>
  <c r="AF1322" i="17"/>
  <c r="AC1319" i="17"/>
  <c r="AB1315" i="17"/>
  <c r="AF1311" i="17"/>
  <c r="AE1308" i="17"/>
  <c r="AD1305" i="17"/>
  <c r="AC1302" i="17"/>
  <c r="AB1299" i="17"/>
  <c r="AF1295" i="17"/>
  <c r="AE1292" i="17"/>
  <c r="AD1289" i="17"/>
  <c r="AC1286" i="17"/>
  <c r="AB1283" i="17"/>
  <c r="AF1279" i="17"/>
  <c r="AE1276" i="17"/>
  <c r="AD1273" i="17"/>
  <c r="AC1270" i="17"/>
  <c r="AB1267" i="17"/>
  <c r="AB1265" i="17"/>
  <c r="AB1263" i="17"/>
  <c r="AE1260" i="17"/>
  <c r="AE1258" i="17"/>
  <c r="AE1256" i="17"/>
  <c r="AC1254" i="17"/>
  <c r="AC1252" i="17"/>
  <c r="AC1250" i="17"/>
  <c r="AF1247" i="17"/>
  <c r="AF1245" i="17"/>
  <c r="AF1243" i="17"/>
  <c r="AD1241" i="17"/>
  <c r="AD1239" i="17"/>
  <c r="AE1237" i="17"/>
  <c r="AF1235" i="17"/>
  <c r="AB1234" i="17"/>
  <c r="AC1232" i="17"/>
  <c r="AC1230" i="17"/>
  <c r="AD1228" i="17"/>
  <c r="AE1226" i="17"/>
  <c r="AF1224" i="17"/>
  <c r="AB1223" i="17"/>
  <c r="AC1221" i="17"/>
  <c r="AD1219" i="17"/>
  <c r="AD1217" i="17"/>
  <c r="AF1215" i="17"/>
  <c r="AC1214" i="17"/>
  <c r="AE1212" i="17"/>
  <c r="AB1211" i="17"/>
  <c r="AD1209" i="17"/>
  <c r="AF1207" i="17"/>
  <c r="AC1206" i="17"/>
  <c r="AE1204" i="17"/>
  <c r="AB1203" i="17"/>
  <c r="AD1201" i="17"/>
  <c r="AF1199" i="17"/>
  <c r="AC1198" i="17"/>
  <c r="AE1196" i="17"/>
  <c r="AB1195" i="17"/>
  <c r="AD1193" i="17"/>
  <c r="AF1191" i="17"/>
  <c r="AC1190" i="17"/>
  <c r="AE1188" i="17"/>
  <c r="AB1187" i="17"/>
  <c r="AD1185" i="17"/>
  <c r="AF1183" i="17"/>
  <c r="AC1182" i="17"/>
  <c r="AE1180" i="17"/>
  <c r="AB1179" i="17"/>
  <c r="AD1177" i="17"/>
  <c r="AF1175" i="17"/>
  <c r="AC1174" i="17"/>
  <c r="AE1172" i="17"/>
  <c r="AB1171" i="17"/>
  <c r="AD1169" i="17"/>
  <c r="AB1168" i="17"/>
  <c r="AF1166" i="17"/>
  <c r="AD1165" i="17"/>
  <c r="AB1164" i="17"/>
  <c r="AF1162" i="17"/>
  <c r="AD1161" i="17"/>
  <c r="AB1160" i="17"/>
  <c r="AF1158" i="17"/>
  <c r="AD1157" i="17"/>
  <c r="AB1156" i="17"/>
  <c r="AF1154" i="17"/>
  <c r="AD1153" i="17"/>
  <c r="AB1152" i="17"/>
  <c r="AF1150" i="17"/>
  <c r="AD1149" i="17"/>
  <c r="AB1148" i="17"/>
  <c r="AF1146" i="17"/>
  <c r="AD1145" i="17"/>
  <c r="AB1144" i="17"/>
  <c r="AC1357" i="17"/>
  <c r="AF1341" i="17"/>
  <c r="AD1335" i="17"/>
  <c r="AB1329" i="17"/>
  <c r="AE1322" i="17"/>
  <c r="AB1318" i="17"/>
  <c r="AF1314" i="17"/>
  <c r="AE1311" i="17"/>
  <c r="AD1308" i="17"/>
  <c r="AC1305" i="17"/>
  <c r="AB1302" i="17"/>
  <c r="AF1298" i="17"/>
  <c r="AE1295" i="17"/>
  <c r="AD1292" i="17"/>
  <c r="AC1289" i="17"/>
  <c r="AB1286" i="17"/>
  <c r="AF1282" i="17"/>
  <c r="AE1279" i="17"/>
  <c r="AD1276" i="17"/>
  <c r="AC1273" i="17"/>
  <c r="AB1270" i="17"/>
  <c r="AF1266" i="17"/>
  <c r="AF1264" i="17"/>
  <c r="AF1262" i="17"/>
  <c r="AD1260" i="17"/>
  <c r="AD1258" i="17"/>
  <c r="AD1256" i="17"/>
  <c r="AB1254" i="17"/>
  <c r="AB1252" i="17"/>
  <c r="AB1250" i="17"/>
  <c r="AE1247" i="17"/>
  <c r="AE1245" i="17"/>
  <c r="AE1243" i="17"/>
  <c r="AC1241" i="17"/>
  <c r="AC1239" i="17"/>
  <c r="AD1237" i="17"/>
  <c r="AE1235" i="17"/>
  <c r="AF1233" i="17"/>
  <c r="AF1231" i="17"/>
  <c r="AB1230" i="17"/>
  <c r="AC1228" i="17"/>
  <c r="AD1226" i="17"/>
  <c r="AE1224" i="17"/>
  <c r="AF1222" i="17"/>
  <c r="AB1221" i="17"/>
  <c r="AB1219" i="17"/>
  <c r="AC1217" i="17"/>
  <c r="AE1215" i="17"/>
  <c r="AB1214" i="17"/>
  <c r="AD1212" i="17"/>
  <c r="AF1210" i="17"/>
  <c r="AC1209" i="17"/>
  <c r="AE1207" i="17"/>
  <c r="AB1206" i="17"/>
  <c r="AD1204" i="17"/>
  <c r="AF1202" i="17"/>
  <c r="AC1201" i="17"/>
  <c r="AE1199" i="17"/>
  <c r="AB1198" i="17"/>
  <c r="AD1196" i="17"/>
  <c r="AF1194" i="17"/>
  <c r="AC1193" i="17"/>
  <c r="AE1191" i="17"/>
  <c r="AB1190" i="17"/>
  <c r="AD1188" i="17"/>
  <c r="AF1186" i="17"/>
  <c r="AC1185" i="17"/>
  <c r="AE1183" i="17"/>
  <c r="AB1182" i="17"/>
  <c r="AD1180" i="17"/>
  <c r="AF1178" i="17"/>
  <c r="AC1177" i="17"/>
  <c r="AE1175" i="17"/>
  <c r="AB1174" i="17"/>
  <c r="AD1172" i="17"/>
  <c r="AF1170" i="17"/>
  <c r="AC1169" i="17"/>
  <c r="AI1167" i="17"/>
  <c r="AE1166" i="17"/>
  <c r="AC1165" i="17"/>
  <c r="AI1163" i="17"/>
  <c r="AE1162" i="17"/>
  <c r="AC1161" i="17"/>
  <c r="AI1159" i="17"/>
  <c r="AE1158" i="17"/>
  <c r="AE1360" i="17"/>
  <c r="AF1333" i="17"/>
  <c r="AF1317" i="17"/>
  <c r="AC1310" i="17"/>
  <c r="AE1301" i="17"/>
  <c r="AC1292" i="17"/>
  <c r="AE1284" i="17"/>
  <c r="AB1276" i="17"/>
  <c r="AE1266" i="17"/>
  <c r="AF1261" i="17"/>
  <c r="AE1255" i="17"/>
  <c r="AD1249" i="17"/>
  <c r="AC1245" i="17"/>
  <c r="AF1240" i="17"/>
  <c r="AB1237" i="17"/>
  <c r="AC1233" i="17"/>
  <c r="AE1229" i="17"/>
  <c r="AC1226" i="17"/>
  <c r="AE1223" i="17"/>
  <c r="AD1220" i="17"/>
  <c r="AF1217" i="17"/>
  <c r="AB1215" i="17"/>
  <c r="AC1212" i="17"/>
  <c r="AB1210" i="17"/>
  <c r="AC1207" i="17"/>
  <c r="AC1205" i="17"/>
  <c r="AC1203" i="17"/>
  <c r="AF1200" i="17"/>
  <c r="AF1198" i="17"/>
  <c r="AF1196" i="17"/>
  <c r="AD1194" i="17"/>
  <c r="AD1192" i="17"/>
  <c r="AD1190" i="17"/>
  <c r="AB1188" i="17"/>
  <c r="AB1186" i="17"/>
  <c r="AB1184" i="17"/>
  <c r="AE1181" i="17"/>
  <c r="AE1179" i="17"/>
  <c r="AE1177" i="17"/>
  <c r="AC1175" i="17"/>
  <c r="AC1173" i="17"/>
  <c r="AC1171" i="17"/>
  <c r="AI1168" i="17"/>
  <c r="AC1167" i="17"/>
  <c r="AE1165" i="17"/>
  <c r="AE1163" i="17"/>
  <c r="AI1161" i="17"/>
  <c r="AC1160" i="17"/>
  <c r="AC1158" i="17"/>
  <c r="AF1156" i="17"/>
  <c r="AC1155" i="17"/>
  <c r="AF1153" i="17"/>
  <c r="AC1152" i="17"/>
  <c r="AF1346" i="17"/>
  <c r="AD1332" i="17"/>
  <c r="AE1317" i="17"/>
  <c r="AC1308" i="17"/>
  <c r="AE1300" i="17"/>
  <c r="AB1292" i="17"/>
  <c r="AE1282" i="17"/>
  <c r="AB1275" i="17"/>
  <c r="AD1266" i="17"/>
  <c r="AC1260" i="17"/>
  <c r="AD1255" i="17"/>
  <c r="AC1249" i="17"/>
  <c r="AE1244" i="17"/>
  <c r="AE1240" i="17"/>
  <c r="AE1236" i="17"/>
  <c r="AB1233" i="17"/>
  <c r="AD1229" i="17"/>
  <c r="AB1226" i="17"/>
  <c r="AC1223" i="17"/>
  <c r="AC1220" i="17"/>
  <c r="AB1217" i="17"/>
  <c r="AF1214" i="17"/>
  <c r="AB1212" i="17"/>
  <c r="AE1209" i="17"/>
  <c r="AB1207" i="17"/>
  <c r="AB1205" i="17"/>
  <c r="AE1202" i="17"/>
  <c r="AE1200" i="17"/>
  <c r="AE1198" i="17"/>
  <c r="AC1196" i="17"/>
  <c r="AC1194" i="17"/>
  <c r="AC1192" i="17"/>
  <c r="AF1189" i="17"/>
  <c r="AF1187" i="17"/>
  <c r="AF1185" i="17"/>
  <c r="AD1183" i="17"/>
  <c r="AD1181" i="17"/>
  <c r="AD1179" i="17"/>
  <c r="AB1177" i="17"/>
  <c r="AB1175" i="17"/>
  <c r="AB1173" i="17"/>
  <c r="AE1170" i="17"/>
  <c r="AF1168" i="17"/>
  <c r="AB1167" i="17"/>
  <c r="AB1165" i="17"/>
  <c r="AD1163" i="17"/>
  <c r="AF1161" i="17"/>
  <c r="AF1159" i="17"/>
  <c r="AB1158" i="17"/>
  <c r="AE1156" i="17"/>
  <c r="AB1155" i="17"/>
  <c r="AE1153" i="17"/>
  <c r="AI1151" i="17"/>
  <c r="AD1150" i="17"/>
  <c r="AI1148" i="17"/>
  <c r="AD1147" i="17"/>
  <c r="AI1145" i="17"/>
  <c r="AD1144" i="17"/>
  <c r="AI1142" i="17"/>
  <c r="AE1141" i="17"/>
  <c r="AC1140" i="17"/>
  <c r="AI1138" i="17"/>
  <c r="AE1137" i="17"/>
  <c r="AC1136" i="17"/>
  <c r="AI1134" i="17"/>
  <c r="AE1133" i="17"/>
  <c r="AC1132" i="17"/>
  <c r="AI1130" i="17"/>
  <c r="AE1129" i="17"/>
  <c r="AC1128" i="17"/>
  <c r="AI1126" i="17"/>
  <c r="AE1125" i="17"/>
  <c r="AC1124" i="17"/>
  <c r="AI1122" i="17"/>
  <c r="AE1121" i="17"/>
  <c r="AC1120" i="17"/>
  <c r="AI1118" i="17"/>
  <c r="AE1117" i="17"/>
  <c r="AC1116" i="17"/>
  <c r="AE1346" i="17"/>
  <c r="AE1327" i="17"/>
  <c r="AE1316" i="17"/>
  <c r="AB1308" i="17"/>
  <c r="AE1298" i="17"/>
  <c r="AB1291" i="17"/>
  <c r="AD1282" i="17"/>
  <c r="AB1273" i="17"/>
  <c r="AC1266" i="17"/>
  <c r="AB1260" i="17"/>
  <c r="AF1253" i="17"/>
  <c r="AB1249" i="17"/>
  <c r="AD1244" i="17"/>
  <c r="AD1240" i="17"/>
  <c r="AD1236" i="17"/>
  <c r="AF1232" i="17"/>
  <c r="AC1229" i="17"/>
  <c r="AF1225" i="17"/>
  <c r="AC1345" i="17"/>
  <c r="AD1327" i="17"/>
  <c r="AE1314" i="17"/>
  <c r="AB1307" i="17"/>
  <c r="AD1298" i="17"/>
  <c r="AB1289" i="17"/>
  <c r="AD1281" i="17"/>
  <c r="AF1272" i="17"/>
  <c r="AE1264" i="17"/>
  <c r="AF1259" i="17"/>
  <c r="AE1253" i="17"/>
  <c r="AD1247" i="17"/>
  <c r="AB1243" i="17"/>
  <c r="AB1239" i="17"/>
  <c r="AD1235" i="17"/>
  <c r="AE1231" i="17"/>
  <c r="AB1228" i="17"/>
  <c r="AD1225" i="17"/>
  <c r="AC1222" i="17"/>
  <c r="AE1219" i="17"/>
  <c r="AE1216" i="17"/>
  <c r="AF1213" i="17"/>
  <c r="AE1211" i="17"/>
  <c r="AF1208" i="17"/>
  <c r="AE1206" i="17"/>
  <c r="AC1204" i="17"/>
  <c r="AC1202" i="17"/>
  <c r="AC1200" i="17"/>
  <c r="AF1197" i="17"/>
  <c r="AF1195" i="17"/>
  <c r="AF1193" i="17"/>
  <c r="AD1191" i="17"/>
  <c r="AD1189" i="17"/>
  <c r="AD1187" i="17"/>
  <c r="AB1185" i="17"/>
  <c r="AB1183" i="17"/>
  <c r="AB1181" i="17"/>
  <c r="AE1178" i="17"/>
  <c r="AE1176" i="17"/>
  <c r="AE1174" i="17"/>
  <c r="AC1172" i="17"/>
  <c r="AC1170" i="17"/>
  <c r="AD1168" i="17"/>
  <c r="AD1166" i="17"/>
  <c r="AF1164" i="17"/>
  <c r="AB1163" i="17"/>
  <c r="AB1161" i="17"/>
  <c r="AD1159" i="17"/>
  <c r="AF1157" i="17"/>
  <c r="AC1156" i="17"/>
  <c r="AE1154" i="17"/>
  <c r="AB1153" i="17"/>
  <c r="AE1151" i="17"/>
  <c r="AB1150" i="17"/>
  <c r="AE1148" i="17"/>
  <c r="AB1147" i="17"/>
  <c r="AE1145" i="17"/>
  <c r="AI1143" i="17"/>
  <c r="AE1142" i="17"/>
  <c r="AC1141" i="17"/>
  <c r="AI1139" i="17"/>
  <c r="AE1138" i="17"/>
  <c r="AC1137" i="17"/>
  <c r="AI1135" i="17"/>
  <c r="AE1134" i="17"/>
  <c r="AC1133" i="17"/>
  <c r="AI1131" i="17"/>
  <c r="AE1130" i="17"/>
  <c r="AC1129" i="17"/>
  <c r="AI1127" i="17"/>
  <c r="AE1126" i="17"/>
  <c r="AC1125" i="17"/>
  <c r="AI1123" i="17"/>
  <c r="AE1122" i="17"/>
  <c r="AC1121" i="17"/>
  <c r="AI1119" i="17"/>
  <c r="AE1118" i="17"/>
  <c r="AC1117" i="17"/>
  <c r="AI1115" i="17"/>
  <c r="AE1114" i="17"/>
  <c r="AC1113" i="17"/>
  <c r="AI1111" i="17"/>
  <c r="AE1110" i="17"/>
  <c r="AC1109" i="17"/>
  <c r="AI1107" i="17"/>
  <c r="AD1340" i="17"/>
  <c r="AB1326" i="17"/>
  <c r="AD1314" i="17"/>
  <c r="AB1305" i="17"/>
  <c r="AD1297" i="17"/>
  <c r="AF1288" i="17"/>
  <c r="AD1279" i="17"/>
  <c r="AF1271" i="17"/>
  <c r="AD1264" i="17"/>
  <c r="AC1258" i="17"/>
  <c r="AD1253" i="17"/>
  <c r="AC1247" i="17"/>
  <c r="AF1242" i="17"/>
  <c r="AF1238" i="17"/>
  <c r="AB1235" i="17"/>
  <c r="AD1231" i="17"/>
  <c r="AF1227" i="17"/>
  <c r="AB1225" i="17"/>
  <c r="AB1222" i="17"/>
  <c r="AF1218" i="17"/>
  <c r="AD1216" i="17"/>
  <c r="AE1213" i="17"/>
  <c r="AC1211" i="17"/>
  <c r="AE1208" i="17"/>
  <c r="AD1206" i="17"/>
  <c r="AB1204" i="17"/>
  <c r="AB1202" i="17"/>
  <c r="AB1200" i="17"/>
  <c r="AE1197" i="17"/>
  <c r="AE1195" i="17"/>
  <c r="AE1193" i="17"/>
  <c r="AC1191" i="17"/>
  <c r="AC1189" i="17"/>
  <c r="AC1187" i="17"/>
  <c r="AF1184" i="17"/>
  <c r="AF1182" i="17"/>
  <c r="AF1180" i="17"/>
  <c r="AD1178" i="17"/>
  <c r="AD1176" i="17"/>
  <c r="AD1174" i="17"/>
  <c r="AB1172" i="17"/>
  <c r="AB1170" i="17"/>
  <c r="AC1168" i="17"/>
  <c r="AC1166" i="17"/>
  <c r="AE1164" i="17"/>
  <c r="AI1162" i="17"/>
  <c r="AI1160" i="17"/>
  <c r="AC1159" i="17"/>
  <c r="AE1157" i="17"/>
  <c r="AI1155" i="17"/>
  <c r="AD1154" i="17"/>
  <c r="AI1152" i="17"/>
  <c r="AD1151" i="17"/>
  <c r="AI1149" i="17"/>
  <c r="AD1148" i="17"/>
  <c r="AI1146" i="17"/>
  <c r="AC1145" i="17"/>
  <c r="AF1143" i="17"/>
  <c r="AD1142" i="17"/>
  <c r="AB1141" i="17"/>
  <c r="AF1139" i="17"/>
  <c r="AD1138" i="17"/>
  <c r="AB1137" i="17"/>
  <c r="AF1135" i="17"/>
  <c r="AD1134" i="17"/>
  <c r="AB1133" i="17"/>
  <c r="AF1131" i="17"/>
  <c r="AD1130" i="17"/>
  <c r="AB1129" i="17"/>
  <c r="AF1127" i="17"/>
  <c r="AD1126" i="17"/>
  <c r="AB1125" i="17"/>
  <c r="AF1123" i="17"/>
  <c r="AD1122" i="17"/>
  <c r="AB1121" i="17"/>
  <c r="AF1119" i="17"/>
  <c r="AD1118" i="17"/>
  <c r="AB1117" i="17"/>
  <c r="AF1115" i="17"/>
  <c r="AD1114" i="17"/>
  <c r="AB1113" i="17"/>
  <c r="AF1111" i="17"/>
  <c r="AD1110" i="17"/>
  <c r="AB1109" i="17"/>
  <c r="AF1107" i="17"/>
  <c r="AD1106" i="17"/>
  <c r="AB1105" i="17"/>
  <c r="AF1103" i="17"/>
  <c r="AD1102" i="17"/>
  <c r="AB1101" i="17"/>
  <c r="AF1099" i="17"/>
  <c r="AD1098" i="17"/>
  <c r="AB1097" i="17"/>
  <c r="AF1095" i="17"/>
  <c r="AD1094" i="17"/>
  <c r="AB1093" i="17"/>
  <c r="AF1091" i="17"/>
  <c r="AD1090" i="17"/>
  <c r="AB1089" i="17"/>
  <c r="AF1087" i="17"/>
  <c r="AD1086" i="17"/>
  <c r="AB1085" i="17"/>
  <c r="AF1083" i="17"/>
  <c r="AD1082" i="17"/>
  <c r="AB1081" i="17"/>
  <c r="AF1079" i="17"/>
  <c r="AD1078" i="17"/>
  <c r="AB1077" i="17"/>
  <c r="AB1074" i="17"/>
  <c r="AC1073" i="17"/>
  <c r="AG1073" i="17" s="1"/>
  <c r="AD1072" i="17"/>
  <c r="AE1071" i="17"/>
  <c r="AF1070" i="17"/>
  <c r="AB1066" i="17"/>
  <c r="AC1065" i="17"/>
  <c r="AD1064" i="17"/>
  <c r="AE1063" i="17"/>
  <c r="AF1062" i="17"/>
  <c r="AB1058" i="17"/>
  <c r="AC1057" i="17"/>
  <c r="AD1056" i="17"/>
  <c r="AE1055" i="17"/>
  <c r="AF1054" i="17"/>
  <c r="AB1050" i="17"/>
  <c r="AC1049" i="17"/>
  <c r="AD1048" i="17"/>
  <c r="AE1047" i="17"/>
  <c r="AF1046" i="17"/>
  <c r="AB1042" i="17"/>
  <c r="AC1041" i="17"/>
  <c r="AD1040" i="17"/>
  <c r="AE1039" i="17"/>
  <c r="AF1038" i="17"/>
  <c r="AG1037" i="17"/>
  <c r="AB1034" i="17"/>
  <c r="AC1033" i="17"/>
  <c r="AD1032" i="17"/>
  <c r="AE1031" i="17"/>
  <c r="AF1030" i="17"/>
  <c r="AG1030" i="17" s="1"/>
  <c r="AB1026" i="17"/>
  <c r="AC1025" i="17"/>
  <c r="AD1024" i="17"/>
  <c r="AE1023" i="17"/>
  <c r="AF1022" i="17"/>
  <c r="AC1340" i="17"/>
  <c r="AD1322" i="17"/>
  <c r="AD1313" i="17"/>
  <c r="AF1304" i="17"/>
  <c r="AD1295" i="17"/>
  <c r="AF1287" i="17"/>
  <c r="AC1279" i="17"/>
  <c r="AF1269" i="17"/>
  <c r="AF1263" i="17"/>
  <c r="AB1258" i="17"/>
  <c r="AF1251" i="17"/>
  <c r="AB1247" i="17"/>
  <c r="AE1242" i="17"/>
  <c r="AE1238" i="17"/>
  <c r="AF1234" i="17"/>
  <c r="AC1231" i="17"/>
  <c r="AE1227" i="17"/>
  <c r="AD1224" i="17"/>
  <c r="AF1221" i="17"/>
  <c r="AE1218" i="17"/>
  <c r="AB1216" i="17"/>
  <c r="AD1213" i="17"/>
  <c r="AE1210" i="17"/>
  <c r="AD1208" i="17"/>
  <c r="AF1205" i="17"/>
  <c r="AF1203" i="17"/>
  <c r="AF1201" i="17"/>
  <c r="AD1199" i="17"/>
  <c r="AD1197" i="17"/>
  <c r="AD1195" i="17"/>
  <c r="AB1193" i="17"/>
  <c r="AB1191" i="17"/>
  <c r="AB1189" i="17"/>
  <c r="AE1186" i="17"/>
  <c r="AE1184" i="17"/>
  <c r="AE1182" i="17"/>
  <c r="AC1180" i="17"/>
  <c r="AC1178" i="17"/>
  <c r="AC1176" i="17"/>
  <c r="AF1173" i="17"/>
  <c r="AF1171" i="17"/>
  <c r="AF1169" i="17"/>
  <c r="AF1167" i="17"/>
  <c r="AB1166" i="17"/>
  <c r="AD1164" i="17"/>
  <c r="AD1162" i="17"/>
  <c r="AF1160" i="17"/>
  <c r="AF1338" i="17"/>
  <c r="AC1295" i="17"/>
  <c r="AC1262" i="17"/>
  <c r="AD1242" i="17"/>
  <c r="AD1227" i="17"/>
  <c r="AD1218" i="17"/>
  <c r="AF1211" i="17"/>
  <c r="AD1205" i="17"/>
  <c r="AC1199" i="17"/>
  <c r="AB1194" i="17"/>
  <c r="AC1188" i="17"/>
  <c r="AD1182" i="17"/>
  <c r="AF1176" i="17"/>
  <c r="AD1171" i="17"/>
  <c r="AI1165" i="17"/>
  <c r="AE1161" i="17"/>
  <c r="AC1157" i="17"/>
  <c r="AC1154" i="17"/>
  <c r="AC1151" i="17"/>
  <c r="AB1149" i="17"/>
  <c r="AD1146" i="17"/>
  <c r="AC1144" i="17"/>
  <c r="AI1141" i="17"/>
  <c r="AE1139" i="17"/>
  <c r="AF1137" i="17"/>
  <c r="AD1135" i="17"/>
  <c r="AD1133" i="17"/>
  <c r="AC1131" i="17"/>
  <c r="AI1128" i="17"/>
  <c r="AB1127" i="17"/>
  <c r="AF1124" i="17"/>
  <c r="AF1122" i="17"/>
  <c r="AE1120" i="17"/>
  <c r="AC1118" i="17"/>
  <c r="AD1116" i="17"/>
  <c r="AC1114" i="17"/>
  <c r="AE1112" i="17"/>
  <c r="AI1110" i="17"/>
  <c r="AI1108" i="17"/>
  <c r="AB1334" i="17"/>
  <c r="AC1294" i="17"/>
  <c r="AB1262" i="17"/>
  <c r="AB1241" i="17"/>
  <c r="AF1226" i="17"/>
  <c r="AC1218" i="17"/>
  <c r="AD1210" i="17"/>
  <c r="AF1204" i="17"/>
  <c r="AB1199" i="17"/>
  <c r="AF1192" i="17"/>
  <c r="AE1187" i="17"/>
  <c r="AF1181" i="17"/>
  <c r="AB1176" i="17"/>
  <c r="AD1170" i="17"/>
  <c r="AF1165" i="17"/>
  <c r="AE1160" i="17"/>
  <c r="AB1157" i="17"/>
  <c r="AB1154" i="17"/>
  <c r="AB1151" i="17"/>
  <c r="AF1148" i="17"/>
  <c r="AC1146" i="17"/>
  <c r="AE1143" i="17"/>
  <c r="AF1141" i="17"/>
  <c r="AD1139" i="17"/>
  <c r="AD1137" i="17"/>
  <c r="AC1135" i="17"/>
  <c r="AI1132" i="17"/>
  <c r="AB1131" i="17"/>
  <c r="AF1128" i="17"/>
  <c r="AF1126" i="17"/>
  <c r="AE1124" i="17"/>
  <c r="AC1122" i="17"/>
  <c r="AD1120" i="17"/>
  <c r="AB1118" i="17"/>
  <c r="AB1116" i="17"/>
  <c r="AB1114" i="17"/>
  <c r="AD1112" i="17"/>
  <c r="AF1110" i="17"/>
  <c r="AF1108" i="17"/>
  <c r="AB1107" i="17"/>
  <c r="AE1105" i="17"/>
  <c r="AB1104" i="17"/>
  <c r="AE1102" i="17"/>
  <c r="AI1100" i="17"/>
  <c r="AD1099" i="17"/>
  <c r="AI1097" i="17"/>
  <c r="AD1096" i="17"/>
  <c r="AI1094" i="17"/>
  <c r="AD1093" i="17"/>
  <c r="AI1091" i="17"/>
  <c r="AC1090" i="17"/>
  <c r="AF1088" i="17"/>
  <c r="AC1087" i="17"/>
  <c r="AF1085" i="17"/>
  <c r="AC1084" i="17"/>
  <c r="AF1082" i="17"/>
  <c r="AC1081" i="17"/>
  <c r="AE1079" i="17"/>
  <c r="AB1078" i="17"/>
  <c r="AE1076" i="17"/>
  <c r="AE1075" i="17"/>
  <c r="AE1074" i="17"/>
  <c r="AE1073" i="17"/>
  <c r="AE1072" i="17"/>
  <c r="AD1071" i="17"/>
  <c r="AD1070" i="17"/>
  <c r="AD1069" i="17"/>
  <c r="AD1068" i="17"/>
  <c r="AD1067" i="17"/>
  <c r="AD1066" i="17"/>
  <c r="AD1065" i="17"/>
  <c r="AC1064" i="17"/>
  <c r="AC1063" i="17"/>
  <c r="AG1063" i="17" s="1"/>
  <c r="AC1062" i="17"/>
  <c r="AC1061" i="17"/>
  <c r="AC1060" i="17"/>
  <c r="AC1059" i="17"/>
  <c r="AC1058" i="17"/>
  <c r="AB1057" i="17"/>
  <c r="AB1056" i="17"/>
  <c r="AB1055" i="17"/>
  <c r="AB1054" i="17"/>
  <c r="AB1053" i="17"/>
  <c r="AB1052" i="17"/>
  <c r="AB1051" i="17"/>
  <c r="AC1321" i="17"/>
  <c r="AF1285" i="17"/>
  <c r="AD1257" i="17"/>
  <c r="AC1238" i="17"/>
  <c r="AC1224" i="17"/>
  <c r="AF1216" i="17"/>
  <c r="AC1210" i="17"/>
  <c r="AE1203" i="17"/>
  <c r="AD1198" i="17"/>
  <c r="AE1192" i="17"/>
  <c r="AB1321" i="17"/>
  <c r="AE1285" i="17"/>
  <c r="AF1255" i="17"/>
  <c r="AC1237" i="17"/>
  <c r="AF1223" i="17"/>
  <c r="AD1215" i="17"/>
  <c r="AB1209" i="17"/>
  <c r="AD1203" i="17"/>
  <c r="AC1197" i="17"/>
  <c r="AB1192" i="17"/>
  <c r="AC1186" i="17"/>
  <c r="AB1180" i="17"/>
  <c r="AF1174" i="17"/>
  <c r="AB1169" i="17"/>
  <c r="AC1164" i="17"/>
  <c r="AE1159" i="17"/>
  <c r="AD1156" i="17"/>
  <c r="AC1153" i="17"/>
  <c r="AE1150" i="17"/>
  <c r="AI1147" i="17"/>
  <c r="AD1311" i="17"/>
  <c r="AC1278" i="17"/>
  <c r="AE1251" i="17"/>
  <c r="AE1234" i="17"/>
  <c r="AE1222" i="17"/>
  <c r="AC1215" i="17"/>
  <c r="AB1208" i="17"/>
  <c r="AF1303" i="17"/>
  <c r="AE1269" i="17"/>
  <c r="AF1246" i="17"/>
  <c r="AB1231" i="17"/>
  <c r="AE1220" i="17"/>
  <c r="AC1213" i="17"/>
  <c r="AF1206" i="17"/>
  <c r="AB1201" i="17"/>
  <c r="AC1195" i="17"/>
  <c r="AE1189" i="17"/>
  <c r="AC1184" i="17"/>
  <c r="AB1178" i="17"/>
  <c r="AF1172" i="17"/>
  <c r="AD1167" i="17"/>
  <c r="AC1162" i="17"/>
  <c r="AD1158" i="17"/>
  <c r="AD1155" i="17"/>
  <c r="AD1152" i="17"/>
  <c r="AE1149" i="17"/>
  <c r="AC1147" i="17"/>
  <c r="AF1144" i="17"/>
  <c r="AC1142" i="17"/>
  <c r="AD1140" i="17"/>
  <c r="AB1138" i="17"/>
  <c r="AB1136" i="17"/>
  <c r="AI1133" i="17"/>
  <c r="AE1131" i="17"/>
  <c r="AF1129" i="17"/>
  <c r="AD1127" i="17"/>
  <c r="AD1125" i="17"/>
  <c r="AC1123" i="17"/>
  <c r="AI1120" i="17"/>
  <c r="AB1119" i="17"/>
  <c r="AF1116" i="17"/>
  <c r="AI1114" i="17"/>
  <c r="AI1112" i="17"/>
  <c r="AC1111" i="17"/>
  <c r="AE1109" i="17"/>
  <c r="AE1107" i="17"/>
  <c r="AB1106" i="17"/>
  <c r="AE1104" i="17"/>
  <c r="AB1103" i="17"/>
  <c r="AE1101" i="17"/>
  <c r="AB1100" i="17"/>
  <c r="AE1098" i="17"/>
  <c r="AI1096" i="17"/>
  <c r="AD1095" i="17"/>
  <c r="AI1093" i="17"/>
  <c r="AD1092" i="17"/>
  <c r="AF1301" i="17"/>
  <c r="AC1276" i="17"/>
  <c r="AD1214" i="17"/>
  <c r="AB1196" i="17"/>
  <c r="AC1183" i="17"/>
  <c r="AE1171" i="17"/>
  <c r="AB1162" i="17"/>
  <c r="AI1154" i="17"/>
  <c r="AC1149" i="17"/>
  <c r="AI1144" i="17"/>
  <c r="AI1140" i="17"/>
  <c r="AI1137" i="17"/>
  <c r="AC1134" i="17"/>
  <c r="AF1130" i="17"/>
  <c r="AE1127" i="17"/>
  <c r="AB1124" i="17"/>
  <c r="AF1120" i="17"/>
  <c r="AD1117" i="17"/>
  <c r="AI1113" i="17"/>
  <c r="AD1111" i="17"/>
  <c r="AD1108" i="17"/>
  <c r="AC1106" i="17"/>
  <c r="AC1104" i="17"/>
  <c r="AB1102" i="17"/>
  <c r="AC1100" i="17"/>
  <c r="AB1098" i="17"/>
  <c r="AB1096" i="17"/>
  <c r="AB1094" i="17"/>
  <c r="AB1092" i="17"/>
  <c r="AB1090" i="17"/>
  <c r="AD1088" i="17"/>
  <c r="AF1086" i="17"/>
  <c r="AI1084" i="17"/>
  <c r="AC1083" i="17"/>
  <c r="AE1081" i="17"/>
  <c r="AI1079" i="17"/>
  <c r="AI1077" i="17"/>
  <c r="AC1076" i="17"/>
  <c r="AB1075" i="17"/>
  <c r="AE1070" i="17"/>
  <c r="AC1069" i="17"/>
  <c r="AE1268" i="17"/>
  <c r="AF1212" i="17"/>
  <c r="AE1194" i="17"/>
  <c r="AC1181" i="17"/>
  <c r="AE1169" i="17"/>
  <c r="AD1160" i="17"/>
  <c r="AI1153" i="17"/>
  <c r="AC1148" i="17"/>
  <c r="AE1144" i="17"/>
  <c r="AF1140" i="17"/>
  <c r="AI1136" i="17"/>
  <c r="AB1134" i="17"/>
  <c r="AC1130" i="17"/>
  <c r="AC1127" i="17"/>
  <c r="AE1123" i="17"/>
  <c r="AB1120" i="17"/>
  <c r="AB1251" i="17"/>
  <c r="AD1207" i="17"/>
  <c r="AF1190" i="17"/>
  <c r="AF1179" i="17"/>
  <c r="AE1168" i="17"/>
  <c r="AB1159" i="17"/>
  <c r="AF1152" i="17"/>
  <c r="AF1147" i="17"/>
  <c r="AD1143" i="17"/>
  <c r="AE1140" i="17"/>
  <c r="AF1136" i="17"/>
  <c r="AF1133" i="17"/>
  <c r="AB1130" i="17"/>
  <c r="AC1126" i="17"/>
  <c r="AD1123" i="17"/>
  <c r="AD1245" i="17"/>
  <c r="AE1205" i="17"/>
  <c r="AE1190" i="17"/>
  <c r="AC1179" i="17"/>
  <c r="AE1167" i="17"/>
  <c r="AI1158" i="17"/>
  <c r="AE1152" i="17"/>
  <c r="AE1147" i="17"/>
  <c r="AC1143" i="17"/>
  <c r="AB1140" i="17"/>
  <c r="AE1136" i="17"/>
  <c r="AF1132" i="17"/>
  <c r="AI1129" i="17"/>
  <c r="AB1126" i="17"/>
  <c r="AB1123" i="17"/>
  <c r="AD1119" i="17"/>
  <c r="AD1233" i="17"/>
  <c r="AD1202" i="17"/>
  <c r="AF1188" i="17"/>
  <c r="AF1229" i="17"/>
  <c r="AE1201" i="17"/>
  <c r="AD1186" i="17"/>
  <c r="AD1175" i="17"/>
  <c r="AI1164" i="17"/>
  <c r="AI1156" i="17"/>
  <c r="AI1150" i="17"/>
  <c r="AB1146" i="17"/>
  <c r="AF1142" i="17"/>
  <c r="AB1139" i="17"/>
  <c r="AE1135" i="17"/>
  <c r="AD1132" i="17"/>
  <c r="AE1128" i="17"/>
  <c r="AF1125" i="17"/>
  <c r="AI1121" i="17"/>
  <c r="AF1118" i="17"/>
  <c r="AC1115" i="17"/>
  <c r="AC1112" i="17"/>
  <c r="AF1109" i="17"/>
  <c r="AI1106" i="17"/>
  <c r="AI1104" i="17"/>
  <c r="AI1102" i="17"/>
  <c r="AF1100" i="17"/>
  <c r="AI1098" i="17"/>
  <c r="AF1096" i="17"/>
  <c r="AF1094" i="17"/>
  <c r="AF1092" i="17"/>
  <c r="AI1090" i="17"/>
  <c r="AC1089" i="17"/>
  <c r="AD1087" i="17"/>
  <c r="AE1085" i="17"/>
  <c r="AI1083" i="17"/>
  <c r="AB1082" i="17"/>
  <c r="AD1080" i="17"/>
  <c r="AF1078" i="17"/>
  <c r="AI1076" i="17"/>
  <c r="AF1075" i="17"/>
  <c r="AD1074" i="17"/>
  <c r="AB1073" i="17"/>
  <c r="AF1068" i="17"/>
  <c r="AE1067" i="17"/>
  <c r="AC1066" i="17"/>
  <c r="AF1061" i="17"/>
  <c r="AE1060" i="17"/>
  <c r="AD1059" i="17"/>
  <c r="AE1053" i="17"/>
  <c r="AD1052" i="17"/>
  <c r="AC1051" i="17"/>
  <c r="AD1221" i="17"/>
  <c r="AD1173" i="17"/>
  <c r="AC1150" i="17"/>
  <c r="AC1139" i="17"/>
  <c r="AD1131" i="17"/>
  <c r="AF1121" i="17"/>
  <c r="AE1115" i="17"/>
  <c r="AB1112" i="17"/>
  <c r="AC1108" i="17"/>
  <c r="AD1105" i="17"/>
  <c r="AF1102" i="17"/>
  <c r="AI1099" i="17"/>
  <c r="AD1097" i="17"/>
  <c r="AE1094" i="17"/>
  <c r="AE1091" i="17"/>
  <c r="AE1089" i="17"/>
  <c r="AB1087" i="17"/>
  <c r="AF1084" i="17"/>
  <c r="AE1082" i="17"/>
  <c r="AC1080" i="17"/>
  <c r="AF1077" i="17"/>
  <c r="AC1074" i="17"/>
  <c r="AB1071" i="17"/>
  <c r="AG1071" i="17" s="1"/>
  <c r="AF1069" i="17"/>
  <c r="AB1068" i="17"/>
  <c r="AF1065" i="17"/>
  <c r="AB1064" i="17"/>
  <c r="AE1061" i="17"/>
  <c r="AB1060" i="17"/>
  <c r="AF1057" i="17"/>
  <c r="AC1056" i="17"/>
  <c r="AF1053" i="17"/>
  <c r="AC1052" i="17"/>
  <c r="AF1048" i="17"/>
  <c r="AD1047" i="17"/>
  <c r="AC1046" i="17"/>
  <c r="AB1045" i="17"/>
  <c r="AG1045" i="17" s="1"/>
  <c r="AF1041" i="17"/>
  <c r="AE1040" i="17"/>
  <c r="AC1039" i="17"/>
  <c r="AB1038" i="17"/>
  <c r="AF1034" i="17"/>
  <c r="AE1033" i="17"/>
  <c r="AC1032" i="17"/>
  <c r="AB1031" i="17"/>
  <c r="AF1027" i="17"/>
  <c r="AE1026" i="17"/>
  <c r="AD1025" i="17"/>
  <c r="AB1024" i="17"/>
  <c r="AB1021" i="17"/>
  <c r="AC1020" i="17"/>
  <c r="AG1020" i="17" s="1"/>
  <c r="AD1019" i="17"/>
  <c r="AE1018" i="17"/>
  <c r="AF1017" i="17"/>
  <c r="AB1013" i="17"/>
  <c r="AC1012" i="17"/>
  <c r="AD1011" i="17"/>
  <c r="AE1010" i="17"/>
  <c r="AF1009" i="17"/>
  <c r="AB1005" i="17"/>
  <c r="AC1004" i="17"/>
  <c r="AD1003" i="17"/>
  <c r="AE1002" i="17"/>
  <c r="AF1001" i="17"/>
  <c r="AB997" i="17"/>
  <c r="AC996" i="17"/>
  <c r="AD995" i="17"/>
  <c r="AE994" i="17"/>
  <c r="AF993" i="17"/>
  <c r="AB989" i="17"/>
  <c r="AC988" i="17"/>
  <c r="AD987" i="17"/>
  <c r="AE986" i="17"/>
  <c r="AF985" i="17"/>
  <c r="AG984" i="17"/>
  <c r="AB981" i="17"/>
  <c r="AC980" i="17"/>
  <c r="AD979" i="17"/>
  <c r="AE978" i="17"/>
  <c r="AF977" i="17"/>
  <c r="AB973" i="17"/>
  <c r="AC972" i="17"/>
  <c r="AD971" i="17"/>
  <c r="AE970" i="17"/>
  <c r="AG970" i="17" s="1"/>
  <c r="AF969" i="17"/>
  <c r="AB965" i="17"/>
  <c r="AC964" i="17"/>
  <c r="AD963" i="17"/>
  <c r="AG963" i="17" s="1"/>
  <c r="AE962" i="17"/>
  <c r="AF961" i="17"/>
  <c r="AB957" i="17"/>
  <c r="AC956" i="17"/>
  <c r="AG956" i="17" s="1"/>
  <c r="AD955" i="17"/>
  <c r="AE954" i="17"/>
  <c r="AF953" i="17"/>
  <c r="AB949" i="17"/>
  <c r="AC948" i="17"/>
  <c r="AD947" i="17"/>
  <c r="AE946" i="17"/>
  <c r="AF945" i="17"/>
  <c r="AB1220" i="17"/>
  <c r="AI1166" i="17"/>
  <c r="AF1149" i="17"/>
  <c r="AF1138" i="17"/>
  <c r="AD1129" i="17"/>
  <c r="AD1121" i="17"/>
  <c r="AD1115" i="17"/>
  <c r="AE1111" i="17"/>
  <c r="AB1108" i="17"/>
  <c r="AC1105" i="17"/>
  <c r="AC1102" i="17"/>
  <c r="AE1099" i="17"/>
  <c r="AC1097" i="17"/>
  <c r="AC1094" i="17"/>
  <c r="AD1091" i="17"/>
  <c r="AD1089" i="17"/>
  <c r="AI1086" i="17"/>
  <c r="AE1084" i="17"/>
  <c r="AC1082" i="17"/>
  <c r="AB1080" i="17"/>
  <c r="AE1077" i="17"/>
  <c r="AF1072" i="17"/>
  <c r="AE1069" i="17"/>
  <c r="AE1065" i="17"/>
  <c r="AD1200" i="17"/>
  <c r="AF1163" i="17"/>
  <c r="AE1146" i="17"/>
  <c r="AC1138" i="17"/>
  <c r="AD1128" i="17"/>
  <c r="AE1185" i="17"/>
  <c r="AF1177" i="17"/>
  <c r="AE1155" i="17"/>
  <c r="AB1142" i="17"/>
  <c r="AE1132" i="17"/>
  <c r="AD1124" i="17"/>
  <c r="AI1116" i="17"/>
  <c r="AD1113" i="17"/>
  <c r="AD1109" i="17"/>
  <c r="AI1105" i="17"/>
  <c r="AD1103" i="17"/>
  <c r="AE1100" i="17"/>
  <c r="AF1097" i="17"/>
  <c r="AC1095" i="17"/>
  <c r="AE1092" i="17"/>
  <c r="AI1089" i="17"/>
  <c r="AI1087" i="17"/>
  <c r="AD1085" i="17"/>
  <c r="AB1083" i="17"/>
  <c r="AF1080" i="17"/>
  <c r="AE1078" i="17"/>
  <c r="AB1076" i="17"/>
  <c r="AF1071" i="17"/>
  <c r="AE1068" i="17"/>
  <c r="AB1067" i="17"/>
  <c r="AF1064" i="17"/>
  <c r="AG1064" i="17" s="1"/>
  <c r="AB1063" i="17"/>
  <c r="AF1060" i="17"/>
  <c r="AB1059" i="17"/>
  <c r="AF1056" i="17"/>
  <c r="AC1055" i="17"/>
  <c r="AF1052" i="17"/>
  <c r="AD1051" i="17"/>
  <c r="AE1046" i="17"/>
  <c r="AD1045" i="17"/>
  <c r="AC1044" i="17"/>
  <c r="AB1043" i="17"/>
  <c r="AG1043" i="17" s="1"/>
  <c r="AG1040" i="17"/>
  <c r="AF1039" i="17"/>
  <c r="AD1038" i="17"/>
  <c r="AC1037" i="17"/>
  <c r="AB1036" i="17"/>
  <c r="AF1032" i="17"/>
  <c r="AD1031" i="17"/>
  <c r="AC1030" i="17"/>
  <c r="AB1029" i="17"/>
  <c r="AG1029" i="17" s="1"/>
  <c r="AF1025" i="17"/>
  <c r="AE1024" i="17"/>
  <c r="AC1023" i="17"/>
  <c r="AC1022" i="17"/>
  <c r="AD1021" i="17"/>
  <c r="AE1020" i="17"/>
  <c r="AF1019" i="17"/>
  <c r="AB1015" i="17"/>
  <c r="AG1015" i="17" s="1"/>
  <c r="AC1014" i="17"/>
  <c r="AD1013" i="17"/>
  <c r="AE1012" i="17"/>
  <c r="AF1011" i="17"/>
  <c r="AB1007" i="17"/>
  <c r="AC1006" i="17"/>
  <c r="AD1005" i="17"/>
  <c r="AE1004" i="17"/>
  <c r="AF1003" i="17"/>
  <c r="AC1311" i="17"/>
  <c r="AF1145" i="17"/>
  <c r="AB1128" i="17"/>
  <c r="AE1116" i="17"/>
  <c r="AB1110" i="17"/>
  <c r="AF1104" i="17"/>
  <c r="AC1101" i="17"/>
  <c r="AC1096" i="17"/>
  <c r="AB1197" i="17"/>
  <c r="AB1145" i="17"/>
  <c r="AI1125" i="17"/>
  <c r="AB1115" i="17"/>
  <c r="AI1109" i="17"/>
  <c r="AD1104" i="17"/>
  <c r="AD1100" i="17"/>
  <c r="AI1095" i="17"/>
  <c r="AC1091" i="17"/>
  <c r="AB1088" i="17"/>
  <c r="AB1084" i="17"/>
  <c r="AE1080" i="17"/>
  <c r="AF1076" i="17"/>
  <c r="AB1061" i="17"/>
  <c r="AG1061" i="17" s="1"/>
  <c r="AF1059" i="17"/>
  <c r="AC1054" i="17"/>
  <c r="AG1054" i="17" s="1"/>
  <c r="AE1052" i="17"/>
  <c r="AF1050" i="17"/>
  <c r="AB1049" i="17"/>
  <c r="AF1047" i="17"/>
  <c r="AE1044" i="17"/>
  <c r="AD1041" i="17"/>
  <c r="AC1038" i="17"/>
  <c r="AF1036" i="17"/>
  <c r="AC1035" i="17"/>
  <c r="AF1033" i="17"/>
  <c r="AE1030" i="17"/>
  <c r="AD1027" i="17"/>
  <c r="AC1024" i="17"/>
  <c r="AF1021" i="17"/>
  <c r="AD1020" i="17"/>
  <c r="AB1019" i="17"/>
  <c r="AF1015" i="17"/>
  <c r="AE1014" i="17"/>
  <c r="AG1014" i="17" s="1"/>
  <c r="AC1013" i="17"/>
  <c r="AE1008" i="17"/>
  <c r="AD1007" i="17"/>
  <c r="AB1006" i="17"/>
  <c r="AF1000" i="17"/>
  <c r="AF999" i="17"/>
  <c r="AF998" i="17"/>
  <c r="AF997" i="17"/>
  <c r="AF996" i="17"/>
  <c r="AF995" i="17"/>
  <c r="AF994" i="17"/>
  <c r="AE993" i="17"/>
  <c r="AE992" i="17"/>
  <c r="AE991" i="17"/>
  <c r="AE990" i="17"/>
  <c r="AE989" i="17"/>
  <c r="AE988" i="17"/>
  <c r="AE987" i="17"/>
  <c r="AD986" i="17"/>
  <c r="AD985" i="17"/>
  <c r="AD984" i="17"/>
  <c r="AD983" i="17"/>
  <c r="AD982" i="17"/>
  <c r="AD981" i="17"/>
  <c r="AD980" i="17"/>
  <c r="AG980" i="17" s="1"/>
  <c r="AC979" i="17"/>
  <c r="AC978" i="17"/>
  <c r="AC977" i="17"/>
  <c r="AC976" i="17"/>
  <c r="AC975" i="17"/>
  <c r="AC974" i="17"/>
  <c r="AC973" i="17"/>
  <c r="AB972" i="17"/>
  <c r="AB971" i="17"/>
  <c r="AB970" i="17"/>
  <c r="AB969" i="17"/>
  <c r="AB968" i="17"/>
  <c r="AG968" i="17" s="1"/>
  <c r="AB967" i="17"/>
  <c r="AB966" i="17"/>
  <c r="AD1184" i="17"/>
  <c r="AB1143" i="17"/>
  <c r="AI1124" i="17"/>
  <c r="AF1114" i="17"/>
  <c r="AE1108" i="17"/>
  <c r="AI1103" i="17"/>
  <c r="AC1099" i="17"/>
  <c r="AE1095" i="17"/>
  <c r="AB1091" i="17"/>
  <c r="AE1087" i="17"/>
  <c r="AE1083" i="17"/>
  <c r="AD1079" i="17"/>
  <c r="AD1076" i="17"/>
  <c r="AC1071" i="17"/>
  <c r="AF1066" i="17"/>
  <c r="AE1059" i="17"/>
  <c r="AE1057" i="17"/>
  <c r="AE1050" i="17"/>
  <c r="AC1047" i="17"/>
  <c r="AD1044" i="17"/>
  <c r="AF1042" i="17"/>
  <c r="AB1041" i="17"/>
  <c r="AE1036" i="17"/>
  <c r="AB1035" i="17"/>
  <c r="AD1033" i="17"/>
  <c r="AD1030" i="17"/>
  <c r="AF1028" i="17"/>
  <c r="AC1027" i="17"/>
  <c r="AE1021" i="17"/>
  <c r="AB1020" i="17"/>
  <c r="AF1016" i="17"/>
  <c r="AE1015" i="17"/>
  <c r="AD1014" i="17"/>
  <c r="AE1009" i="17"/>
  <c r="AD1008" i="17"/>
  <c r="AC1007" i="17"/>
  <c r="AF1002" i="17"/>
  <c r="AE1001" i="17"/>
  <c r="AE1000" i="17"/>
  <c r="AE999" i="17"/>
  <c r="AE998" i="17"/>
  <c r="AE997" i="17"/>
  <c r="AE996" i="17"/>
  <c r="AE995" i="17"/>
  <c r="AD994" i="17"/>
  <c r="AD993" i="17"/>
  <c r="AD992" i="17"/>
  <c r="AD991" i="17"/>
  <c r="AD990" i="17"/>
  <c r="AD989" i="17"/>
  <c r="AD988" i="17"/>
  <c r="AC987" i="17"/>
  <c r="AC986" i="17"/>
  <c r="AC985" i="17"/>
  <c r="AC984" i="17"/>
  <c r="AC983" i="17"/>
  <c r="AC982" i="17"/>
  <c r="AC981" i="17"/>
  <c r="AB980" i="17"/>
  <c r="AB979" i="17"/>
  <c r="AB978" i="17"/>
  <c r="AE1173" i="17"/>
  <c r="AD1141" i="17"/>
  <c r="AB1122" i="17"/>
  <c r="AF1113" i="17"/>
  <c r="AD1107" i="17"/>
  <c r="AE1103" i="17"/>
  <c r="AB1099" i="17"/>
  <c r="AB1095" i="17"/>
  <c r="AF1090" i="17"/>
  <c r="AE1086" i="17"/>
  <c r="AD1083" i="17"/>
  <c r="AC1079" i="17"/>
  <c r="AF1073" i="17"/>
  <c r="AE1066" i="17"/>
  <c r="AE1064" i="17"/>
  <c r="AE1062" i="17"/>
  <c r="AD1057" i="17"/>
  <c r="AG1057" i="17" s="1"/>
  <c r="AF1055" i="17"/>
  <c r="AD1050" i="17"/>
  <c r="AG1048" i="17"/>
  <c r="AB1047" i="17"/>
  <c r="AG1047" i="17" s="1"/>
  <c r="AF1045" i="17"/>
  <c r="AB1044" i="17"/>
  <c r="AE1042" i="17"/>
  <c r="AD1039" i="17"/>
  <c r="AD1036" i="17"/>
  <c r="AG1036" i="17" s="1"/>
  <c r="AB1033" i="17"/>
  <c r="AB1030" i="17"/>
  <c r="AE1028" i="17"/>
  <c r="AB1027" i="17"/>
  <c r="AG1027" i="17" s="1"/>
  <c r="AE1025" i="17"/>
  <c r="AE1022" i="17"/>
  <c r="AC1021" i="17"/>
  <c r="AC1163" i="17"/>
  <c r="AD1136" i="17"/>
  <c r="AE1119" i="17"/>
  <c r="AE1113" i="17"/>
  <c r="AC1107" i="17"/>
  <c r="AC1103" i="17"/>
  <c r="AF1098" i="17"/>
  <c r="AF1093" i="17"/>
  <c r="AE1090" i="17"/>
  <c r="AC1086" i="17"/>
  <c r="AI1082" i="17"/>
  <c r="AB1079" i="17"/>
  <c r="AD1075" i="17"/>
  <c r="AD1073" i="17"/>
  <c r="AC1068" i="17"/>
  <c r="AD1062" i="17"/>
  <c r="AD1055" i="17"/>
  <c r="AD1053" i="17"/>
  <c r="AC1050" i="17"/>
  <c r="AG1050" i="17" s="1"/>
  <c r="AE1048" i="17"/>
  <c r="AE1045" i="17"/>
  <c r="AD1042" i="17"/>
  <c r="AB1039" i="17"/>
  <c r="AG1039" i="17" s="1"/>
  <c r="AF1037" i="17"/>
  <c r="AC1036" i="17"/>
  <c r="AE1034" i="17"/>
  <c r="AF1031" i="17"/>
  <c r="AI1157" i="17"/>
  <c r="AB1135" i="17"/>
  <c r="AC1119" i="17"/>
  <c r="AF1112" i="17"/>
  <c r="AF1106" i="17"/>
  <c r="AI1101" i="17"/>
  <c r="AC1098" i="17"/>
  <c r="AE1093" i="17"/>
  <c r="AF1089" i="17"/>
  <c r="AB1086" i="17"/>
  <c r="AI1081" i="17"/>
  <c r="AI1078" i="17"/>
  <c r="AC1075" i="17"/>
  <c r="AG1075" i="17" s="1"/>
  <c r="AC1070" i="17"/>
  <c r="AB1062" i="17"/>
  <c r="AG1062" i="17" s="1"/>
  <c r="AD1060" i="17"/>
  <c r="AG1060" i="17" s="1"/>
  <c r="AF1058" i="17"/>
  <c r="AC1053" i="17"/>
  <c r="AF1051" i="17"/>
  <c r="AC1048" i="17"/>
  <c r="AC1045" i="17"/>
  <c r="AF1043" i="17"/>
  <c r="AC1042" i="17"/>
  <c r="AG1042" i="17" s="1"/>
  <c r="AF1040" i="17"/>
  <c r="AE1037" i="17"/>
  <c r="AD1034" i="17"/>
  <c r="AG1034" i="17" s="1"/>
  <c r="AC1031" i="17"/>
  <c r="AF1029" i="17"/>
  <c r="AC1028" i="17"/>
  <c r="AF1026" i="17"/>
  <c r="AF1023" i="17"/>
  <c r="AB1022" i="17"/>
  <c r="AF1155" i="17"/>
  <c r="AF1134" i="17"/>
  <c r="AI1117" i="17"/>
  <c r="AB1111" i="17"/>
  <c r="AE1106" i="17"/>
  <c r="AF1101" i="17"/>
  <c r="AE1097" i="17"/>
  <c r="AC1093" i="17"/>
  <c r="AI1088" i="17"/>
  <c r="AI1085" i="17"/>
  <c r="AF1081" i="17"/>
  <c r="AC1078" i="17"/>
  <c r="AC1072" i="17"/>
  <c r="AG1072" i="17" s="1"/>
  <c r="AB1070" i="17"/>
  <c r="AG1070" i="17" s="1"/>
  <c r="AG1065" i="17"/>
  <c r="AE1058" i="17"/>
  <c r="AG1056" i="17"/>
  <c r="AE1051" i="17"/>
  <c r="AG1051" i="17" s="1"/>
  <c r="AF1049" i="17"/>
  <c r="AB1048" i="17"/>
  <c r="AE1043" i="17"/>
  <c r="AC1040" i="17"/>
  <c r="AD1037" i="17"/>
  <c r="AF1035" i="17"/>
  <c r="AC1034" i="17"/>
  <c r="AE1029" i="17"/>
  <c r="AB1028" i="17"/>
  <c r="AD1026" i="17"/>
  <c r="AD1023" i="17"/>
  <c r="AF1151" i="17"/>
  <c r="AB1132" i="17"/>
  <c r="AF1117" i="17"/>
  <c r="AC1110" i="17"/>
  <c r="AF1105" i="17"/>
  <c r="AD1101" i="17"/>
  <c r="AE1096" i="17"/>
  <c r="AI1092" i="17"/>
  <c r="AE1088" i="17"/>
  <c r="AC1085" i="17"/>
  <c r="AD1081" i="17"/>
  <c r="AD1077" i="17"/>
  <c r="AB1072" i="17"/>
  <c r="AF1067" i="17"/>
  <c r="AB1065" i="17"/>
  <c r="AF1063" i="17"/>
  <c r="AD1058" i="17"/>
  <c r="AG1058" i="17" s="1"/>
  <c r="AE1056" i="17"/>
  <c r="AE1054" i="17"/>
  <c r="AE1049" i="17"/>
  <c r="AD1046" i="17"/>
  <c r="AG1044" i="17"/>
  <c r="AD1043" i="17"/>
  <c r="AB1040" i="17"/>
  <c r="AB1037" i="17"/>
  <c r="AE1035" i="17"/>
  <c r="AE1032" i="17"/>
  <c r="AD1029" i="17"/>
  <c r="AC1026" i="17"/>
  <c r="AB1023" i="17"/>
  <c r="AE1019" i="17"/>
  <c r="AC1018" i="17"/>
  <c r="AB1017" i="17"/>
  <c r="AF1013" i="17"/>
  <c r="AD1012" i="17"/>
  <c r="AB1011" i="17"/>
  <c r="AF1007" i="17"/>
  <c r="AE1006" i="17"/>
  <c r="AC1005" i="17"/>
  <c r="AG985" i="17"/>
  <c r="AF984" i="17"/>
  <c r="AF983" i="17"/>
  <c r="AF982" i="17"/>
  <c r="AF981" i="17"/>
  <c r="AF980" i="17"/>
  <c r="AF979" i="17"/>
  <c r="AF978" i="17"/>
  <c r="AE977" i="17"/>
  <c r="AG977" i="17" s="1"/>
  <c r="AE976" i="17"/>
  <c r="AE975" i="17"/>
  <c r="AE974" i="17"/>
  <c r="AE973" i="17"/>
  <c r="AE972" i="17"/>
  <c r="AE971" i="17"/>
  <c r="AD970" i="17"/>
  <c r="AD969" i="17"/>
  <c r="AG969" i="17" s="1"/>
  <c r="AD968" i="17"/>
  <c r="AD967" i="17"/>
  <c r="AD966" i="17"/>
  <c r="AD965" i="17"/>
  <c r="AD964" i="17"/>
  <c r="AC963" i="17"/>
  <c r="AC962" i="17"/>
  <c r="AC961" i="17"/>
  <c r="AG961" i="17" s="1"/>
  <c r="AC960" i="17"/>
  <c r="AC959" i="17"/>
  <c r="AC958" i="17"/>
  <c r="AC957" i="17"/>
  <c r="AB956" i="17"/>
  <c r="AB955" i="17"/>
  <c r="AB954" i="17"/>
  <c r="AB953" i="17"/>
  <c r="AB952" i="17"/>
  <c r="AG952" i="17" s="1"/>
  <c r="AB951" i="17"/>
  <c r="AB950" i="17"/>
  <c r="AB943" i="17"/>
  <c r="AC942" i="17"/>
  <c r="AD941" i="17"/>
  <c r="AE940" i="17"/>
  <c r="AF939" i="17"/>
  <c r="AB935" i="17"/>
  <c r="AC934" i="17"/>
  <c r="AD933" i="17"/>
  <c r="AE932" i="17"/>
  <c r="AF931" i="17"/>
  <c r="AG930" i="17"/>
  <c r="AB927" i="17"/>
  <c r="AC926" i="17"/>
  <c r="AD925" i="17"/>
  <c r="AE924" i="17"/>
  <c r="AF923" i="17"/>
  <c r="AC1092" i="17"/>
  <c r="AC1067" i="17"/>
  <c r="AG1067" i="17" s="1"/>
  <c r="AG1052" i="17"/>
  <c r="AD1028" i="17"/>
  <c r="AG1028" i="17" s="1"/>
  <c r="AD1022" i="17"/>
  <c r="AC1019" i="17"/>
  <c r="AD1017" i="17"/>
  <c r="AD1015" i="17"/>
  <c r="AB1004" i="17"/>
  <c r="AC1002" i="17"/>
  <c r="AB999" i="17"/>
  <c r="AG999" i="17" s="1"/>
  <c r="AD997" i="17"/>
  <c r="AB994" i="17"/>
  <c r="AF992" i="17"/>
  <c r="AC989" i="17"/>
  <c r="AE984" i="17"/>
  <c r="AF976" i="17"/>
  <c r="AB975" i="17"/>
  <c r="AF972" i="17"/>
  <c r="AE968" i="17"/>
  <c r="AE964" i="17"/>
  <c r="AF959" i="17"/>
  <c r="AE958" i="17"/>
  <c r="AD957" i="17"/>
  <c r="AF952" i="17"/>
  <c r="AE951" i="17"/>
  <c r="AD950" i="17"/>
  <c r="AG950" i="17" s="1"/>
  <c r="AC949" i="17"/>
  <c r="AE944" i="17"/>
  <c r="AE943" i="17"/>
  <c r="AE942" i="17"/>
  <c r="AE941" i="17"/>
  <c r="AD940" i="17"/>
  <c r="AD939" i="17"/>
  <c r="AD938" i="17"/>
  <c r="AD937" i="17"/>
  <c r="AD936" i="17"/>
  <c r="AD935" i="17"/>
  <c r="AD934" i="17"/>
  <c r="AC933" i="17"/>
  <c r="AG933" i="17" s="1"/>
  <c r="AC932" i="17"/>
  <c r="AC931" i="17"/>
  <c r="AC930" i="17"/>
  <c r="AC929" i="17"/>
  <c r="AC928" i="17"/>
  <c r="AC927" i="17"/>
  <c r="AB926" i="17"/>
  <c r="AB925" i="17"/>
  <c r="AB924" i="17"/>
  <c r="AB923" i="17"/>
  <c r="AB922" i="17"/>
  <c r="AB921" i="17"/>
  <c r="AB920" i="17"/>
  <c r="AC919" i="17"/>
  <c r="AD918" i="17"/>
  <c r="AE917" i="17"/>
  <c r="AG917" i="17" s="1"/>
  <c r="AC1088" i="17"/>
  <c r="AE1038" i="17"/>
  <c r="AE1027" i="17"/>
  <c r="AG1021" i="17"/>
  <c r="AC1017" i="17"/>
  <c r="AG1017" i="17" s="1"/>
  <c r="AC1015" i="17"/>
  <c r="AE1013" i="17"/>
  <c r="AE1011" i="17"/>
  <c r="AD1009" i="17"/>
  <c r="AG1007" i="17"/>
  <c r="AB1002" i="17"/>
  <c r="AD1000" i="17"/>
  <c r="AC997" i="17"/>
  <c r="AC992" i="17"/>
  <c r="AF987" i="17"/>
  <c r="AB984" i="17"/>
  <c r="AE979" i="17"/>
  <c r="AG979" i="17" s="1"/>
  <c r="AD976" i="17"/>
  <c r="AD972" i="17"/>
  <c r="AC968" i="17"/>
  <c r="AF965" i="17"/>
  <c r="AB964" i="17"/>
  <c r="AF960" i="17"/>
  <c r="AE959" i="17"/>
  <c r="AD958" i="17"/>
  <c r="AE952" i="17"/>
  <c r="AD951" i="17"/>
  <c r="AC950" i="17"/>
  <c r="AE945" i="17"/>
  <c r="AD944" i="17"/>
  <c r="AD943" i="17"/>
  <c r="AD942" i="17"/>
  <c r="AC941" i="17"/>
  <c r="AC940" i="17"/>
  <c r="AC939" i="17"/>
  <c r="AC938" i="17"/>
  <c r="AC937" i="17"/>
  <c r="AC936" i="17"/>
  <c r="AC935" i="17"/>
  <c r="AB934" i="17"/>
  <c r="AB933" i="17"/>
  <c r="AB932" i="17"/>
  <c r="AB931" i="17"/>
  <c r="AB930" i="17"/>
  <c r="AB929" i="17"/>
  <c r="AB928" i="17"/>
  <c r="AD1084" i="17"/>
  <c r="AD1063" i="17"/>
  <c r="AD1049" i="17"/>
  <c r="AC1011" i="17"/>
  <c r="AC1009" i="17"/>
  <c r="AE1007" i="17"/>
  <c r="AF1005" i="17"/>
  <c r="AE1003" i="17"/>
  <c r="AC1000" i="17"/>
  <c r="AC995" i="17"/>
  <c r="AB992" i="17"/>
  <c r="AF990" i="17"/>
  <c r="AB987" i="17"/>
  <c r="AE982" i="17"/>
  <c r="AB976" i="17"/>
  <c r="AG976" i="17" s="1"/>
  <c r="AF973" i="17"/>
  <c r="AE969" i="17"/>
  <c r="AG966" i="17"/>
  <c r="AE965" i="17"/>
  <c r="AE960" i="17"/>
  <c r="AD959" i="17"/>
  <c r="AB958" i="17"/>
  <c r="AE953" i="17"/>
  <c r="AD952" i="17"/>
  <c r="AC951" i="17"/>
  <c r="AF946" i="17"/>
  <c r="AD945" i="17"/>
  <c r="AC944" i="17"/>
  <c r="AC943" i="17"/>
  <c r="AB942" i="17"/>
  <c r="AB941" i="17"/>
  <c r="AB940" i="17"/>
  <c r="AB939" i="17"/>
  <c r="AB938" i="17"/>
  <c r="AG938" i="17" s="1"/>
  <c r="AB937" i="17"/>
  <c r="AB936" i="17"/>
  <c r="AI1080" i="17"/>
  <c r="AD1061" i="17"/>
  <c r="AD1035" i="17"/>
  <c r="AF1018" i="17"/>
  <c r="AE1016" i="17"/>
  <c r="AB1009" i="17"/>
  <c r="AG1009" i="17" s="1"/>
  <c r="AE1005" i="17"/>
  <c r="AC1003" i="17"/>
  <c r="AB1000" i="17"/>
  <c r="AG1000" i="17" s="1"/>
  <c r="AD998" i="17"/>
  <c r="AB995" i="17"/>
  <c r="AG995" i="17" s="1"/>
  <c r="AC990" i="17"/>
  <c r="AF1074" i="17"/>
  <c r="AG1074" i="17" s="1"/>
  <c r="AF1044" i="17"/>
  <c r="AB1032" i="17"/>
  <c r="AF1024" i="17"/>
  <c r="AB1018" i="17"/>
  <c r="AC1016" i="17"/>
  <c r="AB1014" i="17"/>
  <c r="AF1012" i="17"/>
  <c r="AD1010" i="17"/>
  <c r="AF1008" i="17"/>
  <c r="AG1004" i="17"/>
  <c r="AC1001" i="17"/>
  <c r="AB998" i="17"/>
  <c r="AD996" i="17"/>
  <c r="AC1043" i="17"/>
  <c r="AB1016" i="17"/>
  <c r="AG1016" i="17" s="1"/>
  <c r="AB1012" i="17"/>
  <c r="AC1010" i="17"/>
  <c r="AG1010" i="17" s="1"/>
  <c r="AC1008" i="17"/>
  <c r="AF1006" i="17"/>
  <c r="AF1004" i="17"/>
  <c r="AB1001" i="17"/>
  <c r="AD999" i="17"/>
  <c r="AB1069" i="17"/>
  <c r="AD1054" i="17"/>
  <c r="AE1041" i="17"/>
  <c r="AC1029" i="17"/>
  <c r="AG1019" i="17"/>
  <c r="AE1017" i="17"/>
  <c r="AB1010" i="17"/>
  <c r="AB1008" i="17"/>
  <c r="AD1006" i="17"/>
  <c r="AG1006" i="17" s="1"/>
  <c r="AD1004" i="17"/>
  <c r="AD1002" i="17"/>
  <c r="AC999" i="17"/>
  <c r="AG997" i="17"/>
  <c r="AC994" i="17"/>
  <c r="AB991" i="17"/>
  <c r="AF989" i="17"/>
  <c r="AG989" i="17" s="1"/>
  <c r="AB986" i="17"/>
  <c r="AE981" i="17"/>
  <c r="AG981" i="17" s="1"/>
  <c r="AD975" i="17"/>
  <c r="AG975" i="17" s="1"/>
  <c r="AC971" i="17"/>
  <c r="AF968" i="17"/>
  <c r="AC967" i="17"/>
  <c r="AF964" i="17"/>
  <c r="AG964" i="17" s="1"/>
  <c r="AB963" i="17"/>
  <c r="AF958" i="17"/>
  <c r="AE957" i="17"/>
  <c r="AD956" i="17"/>
  <c r="AF951" i="17"/>
  <c r="AE950" i="17"/>
  <c r="AD949" i="17"/>
  <c r="AB948" i="17"/>
  <c r="AF944" i="17"/>
  <c r="AF943" i="17"/>
  <c r="AF942" i="17"/>
  <c r="AF941" i="17"/>
  <c r="AF940" i="17"/>
  <c r="AE939" i="17"/>
  <c r="AE938" i="17"/>
  <c r="AE937" i="17"/>
  <c r="AG937" i="17" s="1"/>
  <c r="AE936" i="17"/>
  <c r="AE935" i="17"/>
  <c r="AE934" i="17"/>
  <c r="AE933" i="17"/>
  <c r="AD932" i="17"/>
  <c r="AD931" i="17"/>
  <c r="AD930" i="17"/>
  <c r="AD929" i="17"/>
  <c r="AD928" i="17"/>
  <c r="AD927" i="17"/>
  <c r="AD926" i="17"/>
  <c r="AC925" i="17"/>
  <c r="AC924" i="17"/>
  <c r="AG924" i="17" s="1"/>
  <c r="AC923" i="17"/>
  <c r="AC922" i="17"/>
  <c r="AG922" i="17" s="1"/>
  <c r="AC921" i="17"/>
  <c r="AG921" i="17" s="1"/>
  <c r="AC920" i="17"/>
  <c r="AD919" i="17"/>
  <c r="AE918" i="17"/>
  <c r="AF917" i="17"/>
  <c r="AB913" i="17"/>
  <c r="AC912" i="17"/>
  <c r="AD911" i="17"/>
  <c r="AE910" i="17"/>
  <c r="AF909" i="17"/>
  <c r="AB905" i="17"/>
  <c r="AC904" i="17"/>
  <c r="AD903" i="17"/>
  <c r="AE902" i="17"/>
  <c r="AF901" i="17"/>
  <c r="AB897" i="17"/>
  <c r="AC896" i="17"/>
  <c r="AD895" i="17"/>
  <c r="AE894" i="17"/>
  <c r="AF893" i="17"/>
  <c r="AG892" i="17"/>
  <c r="AB889" i="17"/>
  <c r="AC888" i="17"/>
  <c r="AD887" i="17"/>
  <c r="AE886" i="17"/>
  <c r="AF885" i="17"/>
  <c r="AB881" i="17"/>
  <c r="AG881" i="17" s="1"/>
  <c r="AC880" i="17"/>
  <c r="AD879" i="17"/>
  <c r="AE878" i="17"/>
  <c r="AF877" i="17"/>
  <c r="AC1077" i="17"/>
  <c r="AF1014" i="17"/>
  <c r="AB988" i="17"/>
  <c r="AG978" i="17"/>
  <c r="AC970" i="17"/>
  <c r="AG1059" i="17"/>
  <c r="AC998" i="17"/>
  <c r="AD978" i="17"/>
  <c r="AF975" i="17"/>
  <c r="AE967" i="17"/>
  <c r="AB962" i="17"/>
  <c r="AF957" i="17"/>
  <c r="AC955" i="17"/>
  <c r="AG955" i="17" s="1"/>
  <c r="AF950" i="17"/>
  <c r="AD948" i="17"/>
  <c r="AG948" i="17" s="1"/>
  <c r="AG943" i="17"/>
  <c r="AF937" i="17"/>
  <c r="AF935" i="17"/>
  <c r="AF933" i="17"/>
  <c r="AE931" i="17"/>
  <c r="AG931" i="17" s="1"/>
  <c r="AE929" i="17"/>
  <c r="AF927" i="17"/>
  <c r="AD924" i="17"/>
  <c r="AF922" i="17"/>
  <c r="AF918" i="17"/>
  <c r="AG918" i="17" s="1"/>
  <c r="AC917" i="17"/>
  <c r="AC916" i="17"/>
  <c r="AC915" i="17"/>
  <c r="AC914" i="17"/>
  <c r="AC913" i="17"/>
  <c r="AB912" i="17"/>
  <c r="AB911" i="17"/>
  <c r="AB910" i="17"/>
  <c r="AB909" i="17"/>
  <c r="AB908" i="17"/>
  <c r="AB907" i="17"/>
  <c r="AB906" i="17"/>
  <c r="AG877" i="17"/>
  <c r="AB873" i="17"/>
  <c r="AC872" i="17"/>
  <c r="AD871" i="17"/>
  <c r="AE870" i="17"/>
  <c r="AF869" i="17"/>
  <c r="AB865" i="17"/>
  <c r="AC864" i="17"/>
  <c r="AD863" i="17"/>
  <c r="AE862" i="17"/>
  <c r="AF861" i="17"/>
  <c r="AB857" i="17"/>
  <c r="AC856" i="17"/>
  <c r="AD855" i="17"/>
  <c r="AE854" i="17"/>
  <c r="AF853" i="17"/>
  <c r="AB849" i="17"/>
  <c r="AC848" i="17"/>
  <c r="AD847" i="17"/>
  <c r="AE846" i="17"/>
  <c r="AF845" i="17"/>
  <c r="AB1046" i="17"/>
  <c r="AF1010" i="17"/>
  <c r="AF991" i="17"/>
  <c r="AD977" i="17"/>
  <c r="AG974" i="17"/>
  <c r="AC969" i="17"/>
  <c r="AF966" i="17"/>
  <c r="AE961" i="17"/>
  <c r="AB959" i="17"/>
  <c r="AF954" i="17"/>
  <c r="AC952" i="17"/>
  <c r="AF947" i="17"/>
  <c r="AC945" i="17"/>
  <c r="AE927" i="17"/>
  <c r="AE922" i="17"/>
  <c r="AF919" i="17"/>
  <c r="AC918" i="17"/>
  <c r="AB917" i="17"/>
  <c r="AB916" i="17"/>
  <c r="AG916" i="17" s="1"/>
  <c r="AB915" i="17"/>
  <c r="AB914" i="17"/>
  <c r="AG888" i="17"/>
  <c r="AF884" i="17"/>
  <c r="AF883" i="17"/>
  <c r="AF882" i="17"/>
  <c r="AF881" i="17"/>
  <c r="AF880" i="17"/>
  <c r="AF879" i="17"/>
  <c r="AF878" i="17"/>
  <c r="AE877" i="17"/>
  <c r="AF876" i="17"/>
  <c r="AB872" i="17"/>
  <c r="AC871" i="17"/>
  <c r="AD870" i="17"/>
  <c r="AE869" i="17"/>
  <c r="AF868" i="17"/>
  <c r="AB864" i="17"/>
  <c r="AC863" i="17"/>
  <c r="AD862" i="17"/>
  <c r="AE861" i="17"/>
  <c r="AF860" i="17"/>
  <c r="AB996" i="17"/>
  <c r="AG996" i="17" s="1"/>
  <c r="AB1025" i="17"/>
  <c r="AB990" i="17"/>
  <c r="AG990" i="17" s="1"/>
  <c r="AE983" i="17"/>
  <c r="AD974" i="17"/>
  <c r="AC966" i="17"/>
  <c r="AF963" i="17"/>
  <c r="AB961" i="17"/>
  <c r="AF956" i="17"/>
  <c r="AC954" i="17"/>
  <c r="AG954" i="17" s="1"/>
  <c r="AF949" i="17"/>
  <c r="AC947" i="17"/>
  <c r="AG936" i="17"/>
  <c r="AG932" i="17"/>
  <c r="AF930" i="17"/>
  <c r="AF928" i="17"/>
  <c r="AF1020" i="17"/>
  <c r="AF986" i="17"/>
  <c r="AB983" i="17"/>
  <c r="AB974" i="17"/>
  <c r="AF971" i="17"/>
  <c r="AG971" i="17" s="1"/>
  <c r="AE963" i="17"/>
  <c r="AG958" i="17"/>
  <c r="AE956" i="17"/>
  <c r="AG951" i="17"/>
  <c r="AE949" i="17"/>
  <c r="AB947" i="17"/>
  <c r="AG942" i="17"/>
  <c r="AG940" i="17"/>
  <c r="AF938" i="17"/>
  <c r="AF936" i="17"/>
  <c r="AF934" i="17"/>
  <c r="AG934" i="17" s="1"/>
  <c r="AF932" i="17"/>
  <c r="AE930" i="17"/>
  <c r="AE928" i="17"/>
  <c r="AD1018" i="17"/>
  <c r="AB1003" i="17"/>
  <c r="AC993" i="17"/>
  <c r="AE985" i="17"/>
  <c r="AB982" i="17"/>
  <c r="AG982" i="17" s="1"/>
  <c r="AD973" i="17"/>
  <c r="AG973" i="17" s="1"/>
  <c r="AC965" i="17"/>
  <c r="AD960" i="17"/>
  <c r="AD953" i="17"/>
  <c r="AD946" i="17"/>
  <c r="AB944" i="17"/>
  <c r="AG944" i="17" s="1"/>
  <c r="AD1016" i="17"/>
  <c r="AD1001" i="17"/>
  <c r="AB993" i="17"/>
  <c r="AG993" i="17" s="1"/>
  <c r="AF988" i="17"/>
  <c r="AB985" i="17"/>
  <c r="AF970" i="17"/>
  <c r="AF962" i="17"/>
  <c r="AB960" i="17"/>
  <c r="AG960" i="17" s="1"/>
  <c r="AF955" i="17"/>
  <c r="AC953" i="17"/>
  <c r="AF948" i="17"/>
  <c r="AC946" i="17"/>
  <c r="AG946" i="17" s="1"/>
  <c r="AG929" i="17"/>
  <c r="AE926" i="17"/>
  <c r="AE921" i="17"/>
  <c r="AE916" i="17"/>
  <c r="AE915" i="17"/>
  <c r="AE914" i="17"/>
  <c r="AE913" i="17"/>
  <c r="AE912" i="17"/>
  <c r="AE911" i="17"/>
  <c r="AD910" i="17"/>
  <c r="AD909" i="17"/>
  <c r="AD908" i="17"/>
  <c r="AD907" i="17"/>
  <c r="AD906" i="17"/>
  <c r="AD905" i="17"/>
  <c r="AD904" i="17"/>
  <c r="AC903" i="17"/>
  <c r="AC902" i="17"/>
  <c r="AC901" i="17"/>
  <c r="AC900" i="17"/>
  <c r="AC899" i="17"/>
  <c r="AC898" i="17"/>
  <c r="AC897" i="17"/>
  <c r="AB896" i="17"/>
  <c r="AB895" i="17"/>
  <c r="AB894" i="17"/>
  <c r="AB893" i="17"/>
  <c r="AB892" i="17"/>
  <c r="AB891" i="17"/>
  <c r="AB890" i="17"/>
  <c r="AB875" i="17"/>
  <c r="AC874" i="17"/>
  <c r="AD873" i="17"/>
  <c r="AE872" i="17"/>
  <c r="AF871" i="17"/>
  <c r="AB867" i="17"/>
  <c r="AC866" i="17"/>
  <c r="AD865" i="17"/>
  <c r="AE864" i="17"/>
  <c r="AF863" i="17"/>
  <c r="AG862" i="17"/>
  <c r="AB859" i="17"/>
  <c r="AC858" i="17"/>
  <c r="AG858" i="17" s="1"/>
  <c r="AD857" i="17"/>
  <c r="AE856" i="17"/>
  <c r="AF855" i="17"/>
  <c r="AB851" i="17"/>
  <c r="AG851" i="17" s="1"/>
  <c r="AC850" i="17"/>
  <c r="AD849" i="17"/>
  <c r="AE848" i="17"/>
  <c r="AG848" i="17" s="1"/>
  <c r="AF847" i="17"/>
  <c r="AB843" i="17"/>
  <c r="AC842" i="17"/>
  <c r="AD841" i="17"/>
  <c r="AE840" i="17"/>
  <c r="AF839" i="17"/>
  <c r="AB835" i="17"/>
  <c r="AC834" i="17"/>
  <c r="AG834" i="17" s="1"/>
  <c r="AD833" i="17"/>
  <c r="AE832" i="17"/>
  <c r="AF831" i="17"/>
  <c r="AB827" i="17"/>
  <c r="AC826" i="17"/>
  <c r="AD825" i="17"/>
  <c r="AE824" i="17"/>
  <c r="AF823" i="17"/>
  <c r="AB819" i="17"/>
  <c r="AC818" i="17"/>
  <c r="AD817" i="17"/>
  <c r="AE816" i="17"/>
  <c r="AF815" i="17"/>
  <c r="AB811" i="17"/>
  <c r="AC810" i="17"/>
  <c r="AD809" i="17"/>
  <c r="AE808" i="17"/>
  <c r="AF807" i="17"/>
  <c r="AB803" i="17"/>
  <c r="AC802" i="17"/>
  <c r="AD801" i="17"/>
  <c r="AE800" i="17"/>
  <c r="AF799" i="17"/>
  <c r="AB795" i="17"/>
  <c r="AC794" i="17"/>
  <c r="AD793" i="17"/>
  <c r="AC991" i="17"/>
  <c r="AF967" i="17"/>
  <c r="AG957" i="17"/>
  <c r="AE948" i="17"/>
  <c r="AF926" i="17"/>
  <c r="AD921" i="17"/>
  <c r="AF915" i="17"/>
  <c r="AD912" i="17"/>
  <c r="AE907" i="17"/>
  <c r="AG905" i="17"/>
  <c r="AB904" i="17"/>
  <c r="AF902" i="17"/>
  <c r="AD899" i="17"/>
  <c r="AF897" i="17"/>
  <c r="AD894" i="17"/>
  <c r="AF892" i="17"/>
  <c r="AC891" i="17"/>
  <c r="AG891" i="17" s="1"/>
  <c r="AE889" i="17"/>
  <c r="AC886" i="17"/>
  <c r="AE884" i="17"/>
  <c r="AB883" i="17"/>
  <c r="AD881" i="17"/>
  <c r="AB878" i="17"/>
  <c r="AE876" i="17"/>
  <c r="AC875" i="17"/>
  <c r="AD872" i="17"/>
  <c r="AD869" i="17"/>
  <c r="AB868" i="17"/>
  <c r="AF866" i="17"/>
  <c r="AC865" i="17"/>
  <c r="AC862" i="17"/>
  <c r="AE859" i="17"/>
  <c r="AB858" i="17"/>
  <c r="AE855" i="17"/>
  <c r="AC854" i="17"/>
  <c r="AB853" i="17"/>
  <c r="AF849" i="17"/>
  <c r="AD848" i="17"/>
  <c r="AB847" i="17"/>
  <c r="AF843" i="17"/>
  <c r="AE842" i="17"/>
  <c r="AE841" i="17"/>
  <c r="AD840" i="17"/>
  <c r="AD839" i="17"/>
  <c r="AD838" i="17"/>
  <c r="AD837" i="17"/>
  <c r="AD836" i="17"/>
  <c r="AD835" i="17"/>
  <c r="AD834" i="17"/>
  <c r="AC833" i="17"/>
  <c r="AC832" i="17"/>
  <c r="AC831" i="17"/>
  <c r="AC830" i="17"/>
  <c r="AC829" i="17"/>
  <c r="AC828" i="17"/>
  <c r="AC827" i="17"/>
  <c r="AB826" i="17"/>
  <c r="AB825" i="17"/>
  <c r="AB824" i="17"/>
  <c r="AB823" i="17"/>
  <c r="AB822" i="17"/>
  <c r="AG822" i="17" s="1"/>
  <c r="AB821" i="17"/>
  <c r="AB820" i="17"/>
  <c r="AG797" i="17"/>
  <c r="AB789" i="17"/>
  <c r="AC788" i="17"/>
  <c r="AD787" i="17"/>
  <c r="AE786" i="17"/>
  <c r="AF785" i="17"/>
  <c r="AB781" i="17"/>
  <c r="AC780" i="17"/>
  <c r="AD779" i="17"/>
  <c r="AE778" i="17"/>
  <c r="AF777" i="17"/>
  <c r="AB773" i="17"/>
  <c r="AC772" i="17"/>
  <c r="AD771" i="17"/>
  <c r="AE770" i="17"/>
  <c r="AF769" i="17"/>
  <c r="AB765" i="17"/>
  <c r="AC764" i="17"/>
  <c r="AD763" i="17"/>
  <c r="AE762" i="17"/>
  <c r="AF761" i="17"/>
  <c r="AE966" i="17"/>
  <c r="AE947" i="17"/>
  <c r="AG947" i="17" s="1"/>
  <c r="AE923" i="17"/>
  <c r="AF920" i="17"/>
  <c r="AD915" i="17"/>
  <c r="AG915" i="17" s="1"/>
  <c r="AF910" i="17"/>
  <c r="AC907" i="17"/>
  <c r="AF905" i="17"/>
  <c r="AD902" i="17"/>
  <c r="AG902" i="17" s="1"/>
  <c r="AF900" i="17"/>
  <c r="AB899" i="17"/>
  <c r="AE897" i="17"/>
  <c r="AC894" i="17"/>
  <c r="AE892" i="17"/>
  <c r="AD889" i="17"/>
  <c r="AF887" i="17"/>
  <c r="AB886" i="17"/>
  <c r="AG886" i="17" s="1"/>
  <c r="AD884" i="17"/>
  <c r="AC881" i="17"/>
  <c r="AE879" i="17"/>
  <c r="AD876" i="17"/>
  <c r="AF873" i="17"/>
  <c r="AC869" i="17"/>
  <c r="AE866" i="17"/>
  <c r="AB862" i="17"/>
  <c r="AD859" i="17"/>
  <c r="AF856" i="17"/>
  <c r="AC855" i="17"/>
  <c r="AB854" i="17"/>
  <c r="AF850" i="17"/>
  <c r="AE849" i="17"/>
  <c r="AB848" i="17"/>
  <c r="AF844" i="17"/>
  <c r="AE843" i="17"/>
  <c r="AD842" i="17"/>
  <c r="AC841" i="17"/>
  <c r="AC840" i="17"/>
  <c r="AC839" i="17"/>
  <c r="AC838" i="17"/>
  <c r="AC837" i="17"/>
  <c r="AC836" i="17"/>
  <c r="AG836" i="17" s="1"/>
  <c r="AI836" i="17" s="1"/>
  <c r="AC835" i="17"/>
  <c r="AB834" i="17"/>
  <c r="AB833" i="17"/>
  <c r="AB832" i="17"/>
  <c r="AG832" i="17" s="1"/>
  <c r="AB831" i="17"/>
  <c r="AB830" i="17"/>
  <c r="AG830" i="17" s="1"/>
  <c r="AB829" i="17"/>
  <c r="AB828" i="17"/>
  <c r="AG803" i="17"/>
  <c r="AF798" i="17"/>
  <c r="AF797" i="17"/>
  <c r="AF796" i="17"/>
  <c r="AF795" i="17"/>
  <c r="AF794" i="17"/>
  <c r="AF793" i="17"/>
  <c r="AF792" i="17"/>
  <c r="AB788" i="17"/>
  <c r="AC787" i="17"/>
  <c r="AD786" i="17"/>
  <c r="AE785" i="17"/>
  <c r="AF784" i="17"/>
  <c r="AB780" i="17"/>
  <c r="AC779" i="17"/>
  <c r="AD778" i="17"/>
  <c r="AE777" i="17"/>
  <c r="AF776" i="17"/>
  <c r="AB772" i="17"/>
  <c r="AC771" i="17"/>
  <c r="AD770" i="17"/>
  <c r="AE769" i="17"/>
  <c r="AF768" i="17"/>
  <c r="AB764" i="17"/>
  <c r="AC763" i="17"/>
  <c r="AD762" i="17"/>
  <c r="AE761" i="17"/>
  <c r="AF760" i="17"/>
  <c r="AB756" i="17"/>
  <c r="AC755" i="17"/>
  <c r="AD754" i="17"/>
  <c r="AE753" i="17"/>
  <c r="AF752" i="17"/>
  <c r="AB748" i="17"/>
  <c r="AC747" i="17"/>
  <c r="AD746" i="17"/>
  <c r="AE745" i="17"/>
  <c r="AF744" i="17"/>
  <c r="AB740" i="17"/>
  <c r="AE955" i="17"/>
  <c r="AB946" i="17"/>
  <c r="AF929" i="17"/>
  <c r="AF925" i="17"/>
  <c r="AD923" i="17"/>
  <c r="AG923" i="17" s="1"/>
  <c r="AE920" i="17"/>
  <c r="AF913" i="17"/>
  <c r="AC910" i="17"/>
  <c r="AF908" i="17"/>
  <c r="AE905" i="17"/>
  <c r="AB902" i="17"/>
  <c r="AE900" i="17"/>
  <c r="AD897" i="17"/>
  <c r="AF895" i="17"/>
  <c r="AG895" i="17" s="1"/>
  <c r="AD892" i="17"/>
  <c r="AF890" i="17"/>
  <c r="AC889" i="17"/>
  <c r="AE887" i="17"/>
  <c r="AC884" i="17"/>
  <c r="AE882" i="17"/>
  <c r="AC879" i="17"/>
  <c r="AC876" i="17"/>
  <c r="AE873" i="17"/>
  <c r="AF870" i="17"/>
  <c r="AB869" i="17"/>
  <c r="AF867" i="17"/>
  <c r="AD866" i="17"/>
  <c r="AG866" i="17" s="1"/>
  <c r="AE863" i="17"/>
  <c r="AE860" i="17"/>
  <c r="AC859" i="17"/>
  <c r="AD856" i="17"/>
  <c r="AG856" i="17" s="1"/>
  <c r="AB855" i="17"/>
  <c r="AG855" i="17" s="1"/>
  <c r="AF851" i="17"/>
  <c r="AE850" i="17"/>
  <c r="AC849" i="17"/>
  <c r="AE844" i="17"/>
  <c r="AD843" i="17"/>
  <c r="AB842" i="17"/>
  <c r="AB841" i="17"/>
  <c r="AB840" i="17"/>
  <c r="AB839" i="17"/>
  <c r="AB838" i="17"/>
  <c r="AB837" i="17"/>
  <c r="AB836" i="17"/>
  <c r="AG813" i="17"/>
  <c r="AG808" i="17"/>
  <c r="AF806" i="17"/>
  <c r="AF805" i="17"/>
  <c r="AF804" i="17"/>
  <c r="AF803" i="17"/>
  <c r="AF802" i="17"/>
  <c r="AF801" i="17"/>
  <c r="AF800" i="17"/>
  <c r="AE799" i="17"/>
  <c r="AE798" i="17"/>
  <c r="AE797" i="17"/>
  <c r="AE796" i="17"/>
  <c r="AE795" i="17"/>
  <c r="AE794" i="17"/>
  <c r="AE793" i="17"/>
  <c r="AE792" i="17"/>
  <c r="AF791" i="17"/>
  <c r="AB787" i="17"/>
  <c r="AC786" i="17"/>
  <c r="AD785" i="17"/>
  <c r="AE784" i="17"/>
  <c r="AF783" i="17"/>
  <c r="AG782" i="17"/>
  <c r="AB779" i="17"/>
  <c r="AC778" i="17"/>
  <c r="AD777" i="17"/>
  <c r="AE776" i="17"/>
  <c r="AF775" i="17"/>
  <c r="AB771" i="17"/>
  <c r="AC770" i="17"/>
  <c r="AD769" i="17"/>
  <c r="AE768" i="17"/>
  <c r="AG768" i="17" s="1"/>
  <c r="AF767" i="17"/>
  <c r="AB763" i="17"/>
  <c r="AC762" i="17"/>
  <c r="AD761" i="17"/>
  <c r="AE760" i="17"/>
  <c r="AF759" i="17"/>
  <c r="AB755" i="17"/>
  <c r="AC754" i="17"/>
  <c r="AG754" i="17" s="1"/>
  <c r="AD753" i="17"/>
  <c r="AE752" i="17"/>
  <c r="AF751" i="17"/>
  <c r="AB747" i="17"/>
  <c r="AC746" i="17"/>
  <c r="AD745" i="17"/>
  <c r="AE744" i="17"/>
  <c r="AF743" i="17"/>
  <c r="AE980" i="17"/>
  <c r="AD954" i="17"/>
  <c r="AB945" i="17"/>
  <c r="AG945" i="17" s="1"/>
  <c r="AG928" i="17"/>
  <c r="AE925" i="17"/>
  <c r="AD920" i="17"/>
  <c r="AG920" i="17" s="1"/>
  <c r="AB918" i="17"/>
  <c r="AF916" i="17"/>
  <c r="AD913" i="17"/>
  <c r="AG913" i="17" s="1"/>
  <c r="AE908" i="17"/>
  <c r="AG906" i="17"/>
  <c r="AC905" i="17"/>
  <c r="AF903" i="17"/>
  <c r="AD900" i="17"/>
  <c r="AF898" i="17"/>
  <c r="AE895" i="17"/>
  <c r="AG893" i="17"/>
  <c r="AC892" i="17"/>
  <c r="AE890" i="17"/>
  <c r="AC887" i="17"/>
  <c r="AE885" i="17"/>
  <c r="AB884" i="17"/>
  <c r="AG884" i="17" s="1"/>
  <c r="AI884" i="17" s="1"/>
  <c r="AD882" i="17"/>
  <c r="AB879" i="17"/>
  <c r="AD877" i="17"/>
  <c r="AB876" i="17"/>
  <c r="AG876" i="17" s="1"/>
  <c r="AF874" i="17"/>
  <c r="AC873" i="17"/>
  <c r="AG873" i="17" s="1"/>
  <c r="AC870" i="17"/>
  <c r="AE867" i="17"/>
  <c r="AB866" i="17"/>
  <c r="AB863" i="17"/>
  <c r="AD860" i="17"/>
  <c r="AF857" i="17"/>
  <c r="AB856" i="17"/>
  <c r="AF852" i="17"/>
  <c r="AE851" i="17"/>
  <c r="AD850" i="17"/>
  <c r="AG850" i="17" s="1"/>
  <c r="AE845" i="17"/>
  <c r="AD844" i="17"/>
  <c r="AC843" i="17"/>
  <c r="AF814" i="17"/>
  <c r="AF813" i="17"/>
  <c r="AF812" i="17"/>
  <c r="AF811" i="17"/>
  <c r="AF810" i="17"/>
  <c r="AF809" i="17"/>
  <c r="AF808" i="17"/>
  <c r="AE807" i="17"/>
  <c r="AE806" i="17"/>
  <c r="AE805" i="17"/>
  <c r="AE804" i="17"/>
  <c r="AE803" i="17"/>
  <c r="AE802" i="17"/>
  <c r="AE801" i="17"/>
  <c r="AD800" i="17"/>
  <c r="AD799" i="17"/>
  <c r="AD798" i="17"/>
  <c r="AG798" i="17" s="1"/>
  <c r="AD797" i="17"/>
  <c r="AD796" i="17"/>
  <c r="AD795" i="17"/>
  <c r="AD794" i="17"/>
  <c r="AC793" i="17"/>
  <c r="AD792" i="17"/>
  <c r="AG792" i="17" s="1"/>
  <c r="AE791" i="17"/>
  <c r="AF790" i="17"/>
  <c r="AB786" i="17"/>
  <c r="AC785" i="17"/>
  <c r="AD784" i="17"/>
  <c r="AE783" i="17"/>
  <c r="AF782" i="17"/>
  <c r="AB778" i="17"/>
  <c r="AC777" i="17"/>
  <c r="AD776" i="17"/>
  <c r="AE775" i="17"/>
  <c r="AF774" i="17"/>
  <c r="AB977" i="17"/>
  <c r="AD962" i="17"/>
  <c r="AG962" i="17" s="1"/>
  <c r="AG935" i="17"/>
  <c r="AG927" i="17"/>
  <c r="AD922" i="17"/>
  <c r="AD916" i="17"/>
  <c r="AF911" i="17"/>
  <c r="AG911" i="17" s="1"/>
  <c r="AC908" i="17"/>
  <c r="AG908" i="17" s="1"/>
  <c r="AF906" i="17"/>
  <c r="AE903" i="17"/>
  <c r="AG903" i="17" s="1"/>
  <c r="AB900" i="17"/>
  <c r="AE898" i="17"/>
  <c r="AC895" i="17"/>
  <c r="AE893" i="17"/>
  <c r="AD890" i="17"/>
  <c r="AF888" i="17"/>
  <c r="AB887" i="17"/>
  <c r="AD885" i="17"/>
  <c r="AC882" i="17"/>
  <c r="AE880" i="17"/>
  <c r="AC877" i="17"/>
  <c r="AE874" i="17"/>
  <c r="AB870" i="17"/>
  <c r="AD867" i="17"/>
  <c r="AF864" i="17"/>
  <c r="AG861" i="17"/>
  <c r="AC860" i="17"/>
  <c r="AE857" i="17"/>
  <c r="AE852" i="17"/>
  <c r="AD851" i="17"/>
  <c r="AB850" i="17"/>
  <c r="AF846" i="17"/>
  <c r="AD845" i="17"/>
  <c r="AC844" i="17"/>
  <c r="AG829" i="17"/>
  <c r="AG826" i="17"/>
  <c r="AG825" i="17"/>
  <c r="AF822" i="17"/>
  <c r="AF821" i="17"/>
  <c r="AF820" i="17"/>
  <c r="AF819" i="17"/>
  <c r="AF818" i="17"/>
  <c r="AF817" i="17"/>
  <c r="AG817" i="17" s="1"/>
  <c r="AF816" i="17"/>
  <c r="AE815" i="17"/>
  <c r="AE814" i="17"/>
  <c r="AE813" i="17"/>
  <c r="AE812" i="17"/>
  <c r="AE811" i="17"/>
  <c r="AE810" i="17"/>
  <c r="AE809" i="17"/>
  <c r="AD808" i="17"/>
  <c r="AD807" i="17"/>
  <c r="AD806" i="17"/>
  <c r="AD805" i="17"/>
  <c r="AD804" i="17"/>
  <c r="AD803" i="17"/>
  <c r="AD802" i="17"/>
  <c r="AC801" i="17"/>
  <c r="AC800" i="17"/>
  <c r="AC799" i="17"/>
  <c r="AC798" i="17"/>
  <c r="AC797" i="17"/>
  <c r="AC796" i="17"/>
  <c r="AC795" i="17"/>
  <c r="AB794" i="17"/>
  <c r="AB793" i="17"/>
  <c r="AG793" i="17" s="1"/>
  <c r="AC792" i="17"/>
  <c r="AD791" i="17"/>
  <c r="AE790" i="17"/>
  <c r="AF789" i="17"/>
  <c r="AB785" i="17"/>
  <c r="AC784" i="17"/>
  <c r="AD783" i="17"/>
  <c r="AF974" i="17"/>
  <c r="AD961" i="17"/>
  <c r="AF914" i="17"/>
  <c r="AC911" i="17"/>
  <c r="AE906" i="17"/>
  <c r="AB903" i="17"/>
  <c r="AE901" i="17"/>
  <c r="AD898" i="17"/>
  <c r="AF896" i="17"/>
  <c r="AD893" i="17"/>
  <c r="AF891" i="17"/>
  <c r="AC890" i="17"/>
  <c r="AG890" i="17" s="1"/>
  <c r="AE888" i="17"/>
  <c r="AC885" i="17"/>
  <c r="AE883" i="17"/>
  <c r="AB882" i="17"/>
  <c r="AG882" i="17" s="1"/>
  <c r="AD880" i="17"/>
  <c r="AB877" i="17"/>
  <c r="AF875" i="17"/>
  <c r="AD874" i="17"/>
  <c r="AE871" i="17"/>
  <c r="AE868" i="17"/>
  <c r="AC867" i="17"/>
  <c r="AG867" i="17" s="1"/>
  <c r="AD864" i="17"/>
  <c r="AG864" i="17" s="1"/>
  <c r="AD861" i="17"/>
  <c r="AB860" i="17"/>
  <c r="AG860" i="17" s="1"/>
  <c r="AF858" i="17"/>
  <c r="AC857" i="17"/>
  <c r="AG857" i="17" s="1"/>
  <c r="AE853" i="17"/>
  <c r="AD852" i="17"/>
  <c r="AC851" i="17"/>
  <c r="AD846" i="17"/>
  <c r="AC845" i="17"/>
  <c r="AB844" i="17"/>
  <c r="AF830" i="17"/>
  <c r="AF829" i="17"/>
  <c r="AF828" i="17"/>
  <c r="AF827" i="17"/>
  <c r="AF826" i="17"/>
  <c r="AF825" i="17"/>
  <c r="AF824" i="17"/>
  <c r="AE823" i="17"/>
  <c r="AE822" i="17"/>
  <c r="AE821" i="17"/>
  <c r="AE820" i="17"/>
  <c r="AE819" i="17"/>
  <c r="AE818" i="17"/>
  <c r="AE817" i="17"/>
  <c r="AD816" i="17"/>
  <c r="AD815" i="17"/>
  <c r="AD814" i="17"/>
  <c r="AD813" i="17"/>
  <c r="AD812" i="17"/>
  <c r="AD811" i="17"/>
  <c r="AD810" i="17"/>
  <c r="AC809" i="17"/>
  <c r="AC808" i="17"/>
  <c r="AC807" i="17"/>
  <c r="AC806" i="17"/>
  <c r="AC805" i="17"/>
  <c r="AC804" i="17"/>
  <c r="AC803" i="17"/>
  <c r="AB802" i="17"/>
  <c r="AB801" i="17"/>
  <c r="AG801" i="17" s="1"/>
  <c r="AB800" i="17"/>
  <c r="AG800" i="17" s="1"/>
  <c r="AB799" i="17"/>
  <c r="AG799" i="17" s="1"/>
  <c r="AB798" i="17"/>
  <c r="AB797" i="17"/>
  <c r="AB796" i="17"/>
  <c r="AG796" i="17" s="1"/>
  <c r="AB792" i="17"/>
  <c r="AC791" i="17"/>
  <c r="AD790" i="17"/>
  <c r="AE789" i="17"/>
  <c r="AF788" i="17"/>
  <c r="AB784" i="17"/>
  <c r="AG784" i="17" s="1"/>
  <c r="AF924" i="17"/>
  <c r="AE919" i="17"/>
  <c r="AD914" i="17"/>
  <c r="AG914" i="17" s="1"/>
  <c r="AG912" i="17"/>
  <c r="AE909" i="17"/>
  <c r="AC906" i="17"/>
  <c r="AF904" i="17"/>
  <c r="AG904" i="17" s="1"/>
  <c r="AD901" i="17"/>
  <c r="AF899" i="17"/>
  <c r="AG899" i="17" s="1"/>
  <c r="AB898" i="17"/>
  <c r="AG898" i="17" s="1"/>
  <c r="AE896" i="17"/>
  <c r="AC893" i="17"/>
  <c r="AE891" i="17"/>
  <c r="AD888" i="17"/>
  <c r="AF886" i="17"/>
  <c r="AB885" i="17"/>
  <c r="AD883" i="17"/>
  <c r="AB880" i="17"/>
  <c r="AG880" i="17" s="1"/>
  <c r="AD878" i="17"/>
  <c r="AE875" i="17"/>
  <c r="AB874" i="17"/>
  <c r="AG874" i="17" s="1"/>
  <c r="AB871" i="17"/>
  <c r="AG871" i="17" s="1"/>
  <c r="AD868" i="17"/>
  <c r="AF865" i="17"/>
  <c r="AC861" i="17"/>
  <c r="AE858" i="17"/>
  <c r="AF854" i="17"/>
  <c r="AD853" i="17"/>
  <c r="AC852" i="17"/>
  <c r="AE847" i="17"/>
  <c r="AC846" i="17"/>
  <c r="AB845" i="17"/>
  <c r="AG845" i="17" s="1"/>
  <c r="AG842" i="17"/>
  <c r="AF838" i="17"/>
  <c r="AF837" i="17"/>
  <c r="AG837" i="17" s="1"/>
  <c r="AF836" i="17"/>
  <c r="AF835" i="17"/>
  <c r="AG835" i="17" s="1"/>
  <c r="AF834" i="17"/>
  <c r="AF833" i="17"/>
  <c r="AF832" i="17"/>
  <c r="AE831" i="17"/>
  <c r="AE830" i="17"/>
  <c r="AE829" i="17"/>
  <c r="AE828" i="17"/>
  <c r="AE827" i="17"/>
  <c r="AE826" i="17"/>
  <c r="AE825" i="17"/>
  <c r="AD824" i="17"/>
  <c r="AD823" i="17"/>
  <c r="AD822" i="17"/>
  <c r="AD821" i="17"/>
  <c r="AG821" i="17" s="1"/>
  <c r="AI821" i="17" s="1"/>
  <c r="AD820" i="17"/>
  <c r="AD819" i="17"/>
  <c r="AD818" i="17"/>
  <c r="AC817" i="17"/>
  <c r="AC816" i="17"/>
  <c r="AC815" i="17"/>
  <c r="AC814" i="17"/>
  <c r="AC813" i="17"/>
  <c r="AC812" i="17"/>
  <c r="AC811" i="17"/>
  <c r="AG811" i="17" s="1"/>
  <c r="AB810" i="17"/>
  <c r="AB809" i="17"/>
  <c r="AB808" i="17"/>
  <c r="AB807" i="17"/>
  <c r="AB806" i="17"/>
  <c r="AB805" i="17"/>
  <c r="AG805" i="17" s="1"/>
  <c r="AB804" i="17"/>
  <c r="AB791" i="17"/>
  <c r="AG791" i="17" s="1"/>
  <c r="AC790" i="17"/>
  <c r="AD789" i="17"/>
  <c r="AG789" i="17" s="1"/>
  <c r="AE788" i="17"/>
  <c r="AF787" i="17"/>
  <c r="AG787" i="17" s="1"/>
  <c r="AG786" i="17"/>
  <c r="AB783" i="17"/>
  <c r="AG783" i="17" s="1"/>
  <c r="AC782" i="17"/>
  <c r="AD781" i="17"/>
  <c r="AE780" i="17"/>
  <c r="AF779" i="17"/>
  <c r="AG926" i="17"/>
  <c r="AF921" i="17"/>
  <c r="AB919" i="17"/>
  <c r="AG919" i="17" s="1"/>
  <c r="AD917" i="17"/>
  <c r="AF912" i="17"/>
  <c r="AC909" i="17"/>
  <c r="AG909" i="17" s="1"/>
  <c r="AF907" i="17"/>
  <c r="AG907" i="17" s="1"/>
  <c r="AE904" i="17"/>
  <c r="AB901" i="17"/>
  <c r="AE899" i="17"/>
  <c r="AG897" i="17"/>
  <c r="AD896" i="17"/>
  <c r="AG896" i="17" s="1"/>
  <c r="AF894" i="17"/>
  <c r="AG894" i="17" s="1"/>
  <c r="AD891" i="17"/>
  <c r="AF889" i="17"/>
  <c r="AB888" i="17"/>
  <c r="AD886" i="17"/>
  <c r="AC883" i="17"/>
  <c r="AE881" i="17"/>
  <c r="AC878" i="17"/>
  <c r="AD875" i="17"/>
  <c r="AG875" i="17" s="1"/>
  <c r="AF872" i="17"/>
  <c r="AG872" i="17" s="1"/>
  <c r="AG869" i="17"/>
  <c r="AC868" i="17"/>
  <c r="AE865" i="17"/>
  <c r="AG865" i="17" s="1"/>
  <c r="AF862" i="17"/>
  <c r="AB861" i="17"/>
  <c r="AF859" i="17"/>
  <c r="AD858" i="17"/>
  <c r="AD854" i="17"/>
  <c r="AC853" i="17"/>
  <c r="AG853" i="17" s="1"/>
  <c r="AB852" i="17"/>
  <c r="AF848" i="17"/>
  <c r="AC847" i="17"/>
  <c r="AB846" i="17"/>
  <c r="AG846" i="17" s="1"/>
  <c r="AG843" i="17"/>
  <c r="AF842" i="17"/>
  <c r="AF841" i="17"/>
  <c r="AF840" i="17"/>
  <c r="AE839" i="17"/>
  <c r="AG839" i="17" s="1"/>
  <c r="AE838" i="17"/>
  <c r="AE837" i="17"/>
  <c r="AE836" i="17"/>
  <c r="AE835" i="17"/>
  <c r="AE834" i="17"/>
  <c r="AE833" i="17"/>
  <c r="AG833" i="17" s="1"/>
  <c r="AD832" i="17"/>
  <c r="AD831" i="17"/>
  <c r="AG831" i="17" s="1"/>
  <c r="AD830" i="17"/>
  <c r="AD829" i="17"/>
  <c r="AD828" i="17"/>
  <c r="AD827" i="17"/>
  <c r="AD826" i="17"/>
  <c r="AC825" i="17"/>
  <c r="AC824" i="17"/>
  <c r="AG824" i="17" s="1"/>
  <c r="AI824" i="17" s="1"/>
  <c r="AC823" i="17"/>
  <c r="AG823" i="17" s="1"/>
  <c r="AC822" i="17"/>
  <c r="AC821" i="17"/>
  <c r="AC820" i="17"/>
  <c r="AG820" i="17" s="1"/>
  <c r="AI820" i="17" s="1"/>
  <c r="AC819" i="17"/>
  <c r="AB818" i="17"/>
  <c r="AB817" i="17"/>
  <c r="AB816" i="17"/>
  <c r="AB815" i="17"/>
  <c r="AB814" i="17"/>
  <c r="AB813" i="17"/>
  <c r="AB812" i="17"/>
  <c r="AG812" i="17" s="1"/>
  <c r="AB790" i="17"/>
  <c r="AC789" i="17"/>
  <c r="AD788" i="17"/>
  <c r="AE787" i="17"/>
  <c r="AF786" i="17"/>
  <c r="AG785" i="17"/>
  <c r="AB782" i="17"/>
  <c r="AC781" i="17"/>
  <c r="AD780" i="17"/>
  <c r="AG780" i="17" s="1"/>
  <c r="AE779" i="17"/>
  <c r="AF778" i="17"/>
  <c r="AB774" i="17"/>
  <c r="AC773" i="17"/>
  <c r="AD772" i="17"/>
  <c r="AE771" i="17"/>
  <c r="AF770" i="17"/>
  <c r="AB766" i="17"/>
  <c r="AC765" i="17"/>
  <c r="AD764" i="17"/>
  <c r="AE763" i="17"/>
  <c r="AG763" i="17" s="1"/>
  <c r="AF762" i="17"/>
  <c r="AB758" i="17"/>
  <c r="AC757" i="17"/>
  <c r="AD756" i="17"/>
  <c r="AE755" i="17"/>
  <c r="AF754" i="17"/>
  <c r="AB750" i="17"/>
  <c r="AC749" i="17"/>
  <c r="AG749" i="17" s="1"/>
  <c r="AD748" i="17"/>
  <c r="AE747" i="17"/>
  <c r="AF746" i="17"/>
  <c r="AB742" i="17"/>
  <c r="AC741" i="17"/>
  <c r="AD740" i="17"/>
  <c r="AE739" i="17"/>
  <c r="AF738" i="17"/>
  <c r="AB734" i="17"/>
  <c r="AG734" i="17" s="1"/>
  <c r="AC733" i="17"/>
  <c r="AD732" i="17"/>
  <c r="AE731" i="17"/>
  <c r="AF730" i="17"/>
  <c r="AB726" i="17"/>
  <c r="AC725" i="17"/>
  <c r="AD724" i="17"/>
  <c r="AE723" i="17"/>
  <c r="AF722" i="17"/>
  <c r="AB718" i="17"/>
  <c r="AC717" i="17"/>
  <c r="AD716" i="17"/>
  <c r="AE715" i="17"/>
  <c r="AF714" i="17"/>
  <c r="AB710" i="17"/>
  <c r="AC709" i="17"/>
  <c r="AD708" i="17"/>
  <c r="AE707" i="17"/>
  <c r="AF706" i="17"/>
  <c r="AB702" i="17"/>
  <c r="AC701" i="17"/>
  <c r="AD700" i="17"/>
  <c r="AE699" i="17"/>
  <c r="AF698" i="17"/>
  <c r="AB694" i="17"/>
  <c r="AC693" i="17"/>
  <c r="AD692" i="17"/>
  <c r="AE691" i="17"/>
  <c r="AF690" i="17"/>
  <c r="AB686" i="17"/>
  <c r="AC685" i="17"/>
  <c r="AD684" i="17"/>
  <c r="AE683" i="17"/>
  <c r="AF682" i="17"/>
  <c r="AB678" i="17"/>
  <c r="AC677" i="17"/>
  <c r="AD676" i="17"/>
  <c r="AE675" i="17"/>
  <c r="AF674" i="17"/>
  <c r="AB670" i="17"/>
  <c r="AC669" i="17"/>
  <c r="AD668" i="17"/>
  <c r="AE667" i="17"/>
  <c r="AF666" i="17"/>
  <c r="AC783" i="17"/>
  <c r="AG779" i="17"/>
  <c r="AE774" i="17"/>
  <c r="AF772" i="17"/>
  <c r="AC767" i="17"/>
  <c r="AE765" i="17"/>
  <c r="AB760" i="17"/>
  <c r="AD758" i="17"/>
  <c r="AD755" i="17"/>
  <c r="AD752" i="17"/>
  <c r="AB751" i="17"/>
  <c r="AF749" i="17"/>
  <c r="AC748" i="17"/>
  <c r="AC745" i="17"/>
  <c r="AE742" i="17"/>
  <c r="AB741" i="17"/>
  <c r="AF729" i="17"/>
  <c r="AF728" i="17"/>
  <c r="AF727" i="17"/>
  <c r="AF726" i="17"/>
  <c r="AF725" i="17"/>
  <c r="AF724" i="17"/>
  <c r="AF723" i="17"/>
  <c r="AE722" i="17"/>
  <c r="AE721" i="17"/>
  <c r="AE720" i="17"/>
  <c r="AE719" i="17"/>
  <c r="AE718" i="17"/>
  <c r="AE717" i="17"/>
  <c r="AE716" i="17"/>
  <c r="AD715" i="17"/>
  <c r="AG715" i="17" s="1"/>
  <c r="AD714" i="17"/>
  <c r="AD713" i="17"/>
  <c r="AD712" i="17"/>
  <c r="AD711" i="17"/>
  <c r="AE782" i="17"/>
  <c r="AD774" i="17"/>
  <c r="AE772" i="17"/>
  <c r="AB767" i="17"/>
  <c r="AD765" i="17"/>
  <c r="AF763" i="17"/>
  <c r="AC758" i="17"/>
  <c r="AF756" i="17"/>
  <c r="AC752" i="17"/>
  <c r="AE749" i="17"/>
  <c r="AB745" i="17"/>
  <c r="AD742" i="17"/>
  <c r="AF737" i="17"/>
  <c r="AF736" i="17"/>
  <c r="AF735" i="17"/>
  <c r="AF734" i="17"/>
  <c r="AF733" i="17"/>
  <c r="AF732" i="17"/>
  <c r="AF731" i="17"/>
  <c r="AE730" i="17"/>
  <c r="AE729" i="17"/>
  <c r="AE728" i="17"/>
  <c r="AE727" i="17"/>
  <c r="AE726" i="17"/>
  <c r="AE725" i="17"/>
  <c r="AE724" i="17"/>
  <c r="AD723" i="17"/>
  <c r="AD722" i="17"/>
  <c r="AD721" i="17"/>
  <c r="AD720" i="17"/>
  <c r="AD719" i="17"/>
  <c r="AD718" i="17"/>
  <c r="AD717" i="17"/>
  <c r="AC716" i="17"/>
  <c r="AC715" i="17"/>
  <c r="AC714" i="17"/>
  <c r="AC713" i="17"/>
  <c r="AC712" i="17"/>
  <c r="AC711" i="17"/>
  <c r="AC710" i="17"/>
  <c r="AB709" i="17"/>
  <c r="AB708" i="17"/>
  <c r="AB707" i="17"/>
  <c r="AB706" i="17"/>
  <c r="AB705" i="17"/>
  <c r="AG705" i="17" s="1"/>
  <c r="AB704" i="17"/>
  <c r="AB703" i="17"/>
  <c r="AG680" i="17"/>
  <c r="AF673" i="17"/>
  <c r="AF672" i="17"/>
  <c r="AF671" i="17"/>
  <c r="AF670" i="17"/>
  <c r="AF669" i="17"/>
  <c r="AF668" i="17"/>
  <c r="AF667" i="17"/>
  <c r="AE666" i="17"/>
  <c r="AE665" i="17"/>
  <c r="AF664" i="17"/>
  <c r="AB660" i="17"/>
  <c r="AC659" i="17"/>
  <c r="AD658" i="17"/>
  <c r="AE657" i="17"/>
  <c r="AF656" i="17"/>
  <c r="AB652" i="17"/>
  <c r="AC651" i="17"/>
  <c r="AD650" i="17"/>
  <c r="AE649" i="17"/>
  <c r="AF648" i="17"/>
  <c r="AB644" i="17"/>
  <c r="AC643" i="17"/>
  <c r="AD642" i="17"/>
  <c r="AE641" i="17"/>
  <c r="AF640" i="17"/>
  <c r="AB636" i="17"/>
  <c r="AC635" i="17"/>
  <c r="AD634" i="17"/>
  <c r="AE633" i="17"/>
  <c r="AF632" i="17"/>
  <c r="AB628" i="17"/>
  <c r="AC627" i="17"/>
  <c r="AD626" i="17"/>
  <c r="AE625" i="17"/>
  <c r="AF624" i="17"/>
  <c r="AB620" i="17"/>
  <c r="AC619" i="17"/>
  <c r="AD618" i="17"/>
  <c r="AE617" i="17"/>
  <c r="AF616" i="17"/>
  <c r="AB612" i="17"/>
  <c r="AC611" i="17"/>
  <c r="AD610" i="17"/>
  <c r="AE609" i="17"/>
  <c r="AF608" i="17"/>
  <c r="AB604" i="17"/>
  <c r="AC603" i="17"/>
  <c r="AD602" i="17"/>
  <c r="AE601" i="17"/>
  <c r="AF600" i="17"/>
  <c r="AB596" i="17"/>
  <c r="AC595" i="17"/>
  <c r="AD594" i="17"/>
  <c r="AE593" i="17"/>
  <c r="AF592" i="17"/>
  <c r="AB588" i="17"/>
  <c r="AC587" i="17"/>
  <c r="AD586" i="17"/>
  <c r="AE585" i="17"/>
  <c r="AF584" i="17"/>
  <c r="AD782" i="17"/>
  <c r="AC776" i="17"/>
  <c r="AC774" i="17"/>
  <c r="AB770" i="17"/>
  <c r="AD768" i="17"/>
  <c r="AF766" i="17"/>
  <c r="AC761" i="17"/>
  <c r="AE759" i="17"/>
  <c r="AE756" i="17"/>
  <c r="AF753" i="17"/>
  <c r="AB752" i="17"/>
  <c r="AG752" i="17" s="1"/>
  <c r="AF750" i="17"/>
  <c r="AD749" i="17"/>
  <c r="AE746" i="17"/>
  <c r="AE743" i="17"/>
  <c r="AC742" i="17"/>
  <c r="AF739" i="17"/>
  <c r="AE738" i="17"/>
  <c r="AE737" i="17"/>
  <c r="AE736" i="17"/>
  <c r="AE735" i="17"/>
  <c r="AE734" i="17"/>
  <c r="AE733" i="17"/>
  <c r="AE732" i="17"/>
  <c r="AD731" i="17"/>
  <c r="AD730" i="17"/>
  <c r="AD729" i="17"/>
  <c r="AD728" i="17"/>
  <c r="AD727" i="17"/>
  <c r="AD726" i="17"/>
  <c r="AD725" i="17"/>
  <c r="AC724" i="17"/>
  <c r="AC723" i="17"/>
  <c r="AC722" i="17"/>
  <c r="AC721" i="17"/>
  <c r="AC720" i="17"/>
  <c r="AC719" i="17"/>
  <c r="AC718" i="17"/>
  <c r="AB717" i="17"/>
  <c r="AB716" i="17"/>
  <c r="AB715" i="17"/>
  <c r="AB714" i="17"/>
  <c r="AB713" i="17"/>
  <c r="AG713" i="17" s="1"/>
  <c r="AB712" i="17"/>
  <c r="AB711" i="17"/>
  <c r="AF681" i="17"/>
  <c r="AF680" i="17"/>
  <c r="AF679" i="17"/>
  <c r="AF678" i="17"/>
  <c r="AF677" i="17"/>
  <c r="AF676" i="17"/>
  <c r="AF675" i="17"/>
  <c r="AE674" i="17"/>
  <c r="AE673" i="17"/>
  <c r="AE672" i="17"/>
  <c r="AE671" i="17"/>
  <c r="AE670" i="17"/>
  <c r="AE669" i="17"/>
  <c r="AE668" i="17"/>
  <c r="AD667" i="17"/>
  <c r="AD666" i="17"/>
  <c r="AD665" i="17"/>
  <c r="AE664" i="17"/>
  <c r="AF663" i="17"/>
  <c r="AB659" i="17"/>
  <c r="AC658" i="17"/>
  <c r="AD657" i="17"/>
  <c r="AE656" i="17"/>
  <c r="AF655" i="17"/>
  <c r="AB651" i="17"/>
  <c r="AC650" i="17"/>
  <c r="AD649" i="17"/>
  <c r="AE648" i="17"/>
  <c r="AF647" i="17"/>
  <c r="AB643" i="17"/>
  <c r="AC642" i="17"/>
  <c r="AD641" i="17"/>
  <c r="AE640" i="17"/>
  <c r="AF639" i="17"/>
  <c r="AB635" i="17"/>
  <c r="AC634" i="17"/>
  <c r="AD633" i="17"/>
  <c r="AE632" i="17"/>
  <c r="AF631" i="17"/>
  <c r="AB627" i="17"/>
  <c r="AC626" i="17"/>
  <c r="AD625" i="17"/>
  <c r="AE624" i="17"/>
  <c r="AF623" i="17"/>
  <c r="AB619" i="17"/>
  <c r="AC618" i="17"/>
  <c r="AD617" i="17"/>
  <c r="AE616" i="17"/>
  <c r="AF615" i="17"/>
  <c r="AB611" i="17"/>
  <c r="AC610" i="17"/>
  <c r="AD609" i="17"/>
  <c r="AE608" i="17"/>
  <c r="AF607" i="17"/>
  <c r="AB603" i="17"/>
  <c r="AC602" i="17"/>
  <c r="AF781" i="17"/>
  <c r="AG778" i="17"/>
  <c r="AB776" i="17"/>
  <c r="AF773" i="17"/>
  <c r="AC768" i="17"/>
  <c r="AE766" i="17"/>
  <c r="AG764" i="17"/>
  <c r="AB761" i="17"/>
  <c r="AG761" i="17" s="1"/>
  <c r="AD759" i="17"/>
  <c r="AF757" i="17"/>
  <c r="AC756" i="17"/>
  <c r="AC753" i="17"/>
  <c r="AE750" i="17"/>
  <c r="AB749" i="17"/>
  <c r="AB746" i="17"/>
  <c r="AG746" i="17" s="1"/>
  <c r="AD743" i="17"/>
  <c r="AF740" i="17"/>
  <c r="AG740" i="17" s="1"/>
  <c r="AD739" i="17"/>
  <c r="AD738" i="17"/>
  <c r="AD737" i="17"/>
  <c r="AD736" i="17"/>
  <c r="AD735" i="17"/>
  <c r="AD734" i="17"/>
  <c r="AD733" i="17"/>
  <c r="AC732" i="17"/>
  <c r="AC731" i="17"/>
  <c r="AC730" i="17"/>
  <c r="AC729" i="17"/>
  <c r="AC728" i="17"/>
  <c r="AC727" i="17"/>
  <c r="AC726" i="17"/>
  <c r="AE781" i="17"/>
  <c r="AE773" i="17"/>
  <c r="AB768" i="17"/>
  <c r="AD766" i="17"/>
  <c r="AF764" i="17"/>
  <c r="AC759" i="17"/>
  <c r="AE757" i="17"/>
  <c r="AB753" i="17"/>
  <c r="AG753" i="17" s="1"/>
  <c r="AD750" i="17"/>
  <c r="AF747" i="17"/>
  <c r="AC743" i="17"/>
  <c r="AE740" i="17"/>
  <c r="AC739" i="17"/>
  <c r="AG739" i="17" s="1"/>
  <c r="AC738" i="17"/>
  <c r="AC737" i="17"/>
  <c r="AC736" i="17"/>
  <c r="AC735" i="17"/>
  <c r="AC734" i="17"/>
  <c r="AB733" i="17"/>
  <c r="AG733" i="17" s="1"/>
  <c r="AB732" i="17"/>
  <c r="AB731" i="17"/>
  <c r="AB730" i="17"/>
  <c r="AB729" i="17"/>
  <c r="AG729" i="17" s="1"/>
  <c r="AB728" i="17"/>
  <c r="AB727" i="17"/>
  <c r="AG727" i="17" s="1"/>
  <c r="AF697" i="17"/>
  <c r="AF696" i="17"/>
  <c r="AF695" i="17"/>
  <c r="AF694" i="17"/>
  <c r="AF693" i="17"/>
  <c r="AF692" i="17"/>
  <c r="AF691" i="17"/>
  <c r="AE690" i="17"/>
  <c r="AE689" i="17"/>
  <c r="AD775" i="17"/>
  <c r="AD773" i="17"/>
  <c r="AF771" i="17"/>
  <c r="AG771" i="17" s="1"/>
  <c r="AC766" i="17"/>
  <c r="AE764" i="17"/>
  <c r="AB759" i="17"/>
  <c r="AD757" i="17"/>
  <c r="AE754" i="17"/>
  <c r="AE751" i="17"/>
  <c r="AC750" i="17"/>
  <c r="AD747" i="17"/>
  <c r="AD744" i="17"/>
  <c r="AB743" i="17"/>
  <c r="AF741" i="17"/>
  <c r="AC740" i="17"/>
  <c r="AB739" i="17"/>
  <c r="AB738" i="17"/>
  <c r="AB737" i="17"/>
  <c r="AB736" i="17"/>
  <c r="AG736" i="17" s="1"/>
  <c r="AB735" i="17"/>
  <c r="AG735" i="17" s="1"/>
  <c r="AF705" i="17"/>
  <c r="AF704" i="17"/>
  <c r="AF703" i="17"/>
  <c r="AF702" i="17"/>
  <c r="AF701" i="17"/>
  <c r="AF700" i="17"/>
  <c r="AF699" i="17"/>
  <c r="AE698" i="17"/>
  <c r="AE697" i="17"/>
  <c r="AE696" i="17"/>
  <c r="AE695" i="17"/>
  <c r="AE694" i="17"/>
  <c r="AE693" i="17"/>
  <c r="AE692" i="17"/>
  <c r="AD691" i="17"/>
  <c r="AD690" i="17"/>
  <c r="AD689" i="17"/>
  <c r="AD688" i="17"/>
  <c r="AD687" i="17"/>
  <c r="AD686" i="17"/>
  <c r="AD685" i="17"/>
  <c r="AF780" i="17"/>
  <c r="AC775" i="17"/>
  <c r="AC769" i="17"/>
  <c r="AE767" i="17"/>
  <c r="AG765" i="17"/>
  <c r="AB762" i="17"/>
  <c r="AG762" i="17" s="1"/>
  <c r="AD760" i="17"/>
  <c r="AF758" i="17"/>
  <c r="AB757" i="17"/>
  <c r="AB754" i="17"/>
  <c r="AD751" i="17"/>
  <c r="AF748" i="17"/>
  <c r="AC744" i="17"/>
  <c r="AE741" i="17"/>
  <c r="AG741" i="17" s="1"/>
  <c r="AG719" i="17"/>
  <c r="AG716" i="17"/>
  <c r="AF713" i="17"/>
  <c r="AF712" i="17"/>
  <c r="AF711" i="17"/>
  <c r="AG711" i="17" s="1"/>
  <c r="AF710" i="17"/>
  <c r="AF709" i="17"/>
  <c r="AF708" i="17"/>
  <c r="AF707" i="17"/>
  <c r="AE706" i="17"/>
  <c r="AE705" i="17"/>
  <c r="AE704" i="17"/>
  <c r="AE703" i="17"/>
  <c r="AE702" i="17"/>
  <c r="AE701" i="17"/>
  <c r="AE700" i="17"/>
  <c r="AD699" i="17"/>
  <c r="AD698" i="17"/>
  <c r="AD697" i="17"/>
  <c r="AD696" i="17"/>
  <c r="AD695" i="17"/>
  <c r="AD694" i="17"/>
  <c r="AD693" i="17"/>
  <c r="AC692" i="17"/>
  <c r="AG692" i="17" s="1"/>
  <c r="AI692" i="17" s="1"/>
  <c r="AC691" i="17"/>
  <c r="AC690" i="17"/>
  <c r="AB777" i="17"/>
  <c r="AB775" i="17"/>
  <c r="AG772" i="17"/>
  <c r="AB769" i="17"/>
  <c r="AD767" i="17"/>
  <c r="AF765" i="17"/>
  <c r="AC760" i="17"/>
  <c r="AE758" i="17"/>
  <c r="AF755" i="17"/>
  <c r="AG755" i="17" s="1"/>
  <c r="AC751" i="17"/>
  <c r="AE748" i="17"/>
  <c r="AG748" i="17" s="1"/>
  <c r="AF745" i="17"/>
  <c r="AB744" i="17"/>
  <c r="AF742" i="17"/>
  <c r="AD741" i="17"/>
  <c r="AG728" i="17"/>
  <c r="AG726" i="17"/>
  <c r="AG722" i="17"/>
  <c r="AF721" i="17"/>
  <c r="AF720" i="17"/>
  <c r="AF719" i="17"/>
  <c r="AF718" i="17"/>
  <c r="AG718" i="17" s="1"/>
  <c r="AF717" i="17"/>
  <c r="AF716" i="17"/>
  <c r="AF715" i="17"/>
  <c r="AE714" i="17"/>
  <c r="AE713" i="17"/>
  <c r="AE712" i="17"/>
  <c r="AG712" i="17" s="1"/>
  <c r="AE711" i="17"/>
  <c r="AE710" i="17"/>
  <c r="AE709" i="17"/>
  <c r="AE708" i="17"/>
  <c r="AD707" i="17"/>
  <c r="AD706" i="17"/>
  <c r="AD705" i="17"/>
  <c r="AD704" i="17"/>
  <c r="AD703" i="17"/>
  <c r="AD702" i="17"/>
  <c r="AD701" i="17"/>
  <c r="AG701" i="17" s="1"/>
  <c r="AC700" i="17"/>
  <c r="AC699" i="17"/>
  <c r="AC698" i="17"/>
  <c r="AC697" i="17"/>
  <c r="AC696" i="17"/>
  <c r="AC695" i="17"/>
  <c r="AC694" i="17"/>
  <c r="AB693" i="17"/>
  <c r="AB692" i="17"/>
  <c r="AB691" i="17"/>
  <c r="AB690" i="17"/>
  <c r="AB689" i="17"/>
  <c r="AB688" i="17"/>
  <c r="AB687" i="17"/>
  <c r="AB662" i="17"/>
  <c r="AC661" i="17"/>
  <c r="AD660" i="17"/>
  <c r="AE659" i="17"/>
  <c r="AF658" i="17"/>
  <c r="AB654" i="17"/>
  <c r="AC653" i="17"/>
  <c r="AD652" i="17"/>
  <c r="AE651" i="17"/>
  <c r="AF650" i="17"/>
  <c r="AB646" i="17"/>
  <c r="AC645" i="17"/>
  <c r="AD644" i="17"/>
  <c r="AG644" i="17" s="1"/>
  <c r="AI644" i="17" s="1"/>
  <c r="AE643" i="17"/>
  <c r="AF642" i="17"/>
  <c r="AB638" i="17"/>
  <c r="AC637" i="17"/>
  <c r="AD636" i="17"/>
  <c r="AE635" i="17"/>
  <c r="AF634" i="17"/>
  <c r="AB630" i="17"/>
  <c r="AC629" i="17"/>
  <c r="AD628" i="17"/>
  <c r="AE627" i="17"/>
  <c r="AF626" i="17"/>
  <c r="AB622" i="17"/>
  <c r="AG622" i="17" s="1"/>
  <c r="AC621" i="17"/>
  <c r="AD620" i="17"/>
  <c r="AE619" i="17"/>
  <c r="AF618" i="17"/>
  <c r="AB614" i="17"/>
  <c r="AC613" i="17"/>
  <c r="AD612" i="17"/>
  <c r="AE611" i="17"/>
  <c r="AF610" i="17"/>
  <c r="AB606" i="17"/>
  <c r="AC605" i="17"/>
  <c r="AD604" i="17"/>
  <c r="AE603" i="17"/>
  <c r="AF602" i="17"/>
  <c r="AB598" i="17"/>
  <c r="AC597" i="17"/>
  <c r="AD596" i="17"/>
  <c r="AE595" i="17"/>
  <c r="AF594" i="17"/>
  <c r="AB590" i="17"/>
  <c r="AC589" i="17"/>
  <c r="AD588" i="17"/>
  <c r="AE587" i="17"/>
  <c r="AF586" i="17"/>
  <c r="AB582" i="17"/>
  <c r="AC581" i="17"/>
  <c r="AD580" i="17"/>
  <c r="AE579" i="17"/>
  <c r="AF578" i="17"/>
  <c r="AB574" i="17"/>
  <c r="AC573" i="17"/>
  <c r="AD572" i="17"/>
  <c r="AE571" i="17"/>
  <c r="AF570" i="17"/>
  <c r="AB566" i="17"/>
  <c r="AC565" i="17"/>
  <c r="AD564" i="17"/>
  <c r="AE563" i="17"/>
  <c r="AF562" i="17"/>
  <c r="AB558" i="17"/>
  <c r="AC557" i="17"/>
  <c r="AD556" i="17"/>
  <c r="AE555" i="17"/>
  <c r="AF554" i="17"/>
  <c r="AB550" i="17"/>
  <c r="AC549" i="17"/>
  <c r="AD548" i="17"/>
  <c r="AG548" i="17" s="1"/>
  <c r="AB725" i="17"/>
  <c r="AG725" i="17" s="1"/>
  <c r="AF689" i="17"/>
  <c r="AE687" i="17"/>
  <c r="AE685" i="17"/>
  <c r="AF683" i="17"/>
  <c r="AB682" i="17"/>
  <c r="AD680" i="17"/>
  <c r="AB677" i="17"/>
  <c r="AD675" i="17"/>
  <c r="AC672" i="17"/>
  <c r="AC667" i="17"/>
  <c r="AC664" i="17"/>
  <c r="AE661" i="17"/>
  <c r="AB657" i="17"/>
  <c r="AD654" i="17"/>
  <c r="AF651" i="17"/>
  <c r="AC647" i="17"/>
  <c r="AE644" i="17"/>
  <c r="AF641" i="17"/>
  <c r="AB640" i="17"/>
  <c r="AF638" i="17"/>
  <c r="AD637" i="17"/>
  <c r="AE634" i="17"/>
  <c r="AE631" i="17"/>
  <c r="AC630" i="17"/>
  <c r="AD627" i="17"/>
  <c r="AG627" i="17" s="1"/>
  <c r="AD624" i="17"/>
  <c r="AB623" i="17"/>
  <c r="AF621" i="17"/>
  <c r="AG621" i="17" s="1"/>
  <c r="AC620" i="17"/>
  <c r="AC617" i="17"/>
  <c r="AE614" i="17"/>
  <c r="AB613" i="17"/>
  <c r="AB610" i="17"/>
  <c r="AD607" i="17"/>
  <c r="AF604" i="17"/>
  <c r="AE600" i="17"/>
  <c r="AD599" i="17"/>
  <c r="AC598" i="17"/>
  <c r="AD593" i="17"/>
  <c r="AC592" i="17"/>
  <c r="AB591" i="17"/>
  <c r="AG588" i="17"/>
  <c r="AB724" i="17"/>
  <c r="AG724" i="17" s="1"/>
  <c r="AD709" i="17"/>
  <c r="AG709" i="17" s="1"/>
  <c r="AC705" i="17"/>
  <c r="AB701" i="17"/>
  <c r="AB697" i="17"/>
  <c r="AG697" i="17" s="1"/>
  <c r="AC689" i="17"/>
  <c r="AC687" i="17"/>
  <c r="AB685" i="17"/>
  <c r="AD683" i="17"/>
  <c r="AC680" i="17"/>
  <c r="AE678" i="17"/>
  <c r="AC675" i="17"/>
  <c r="AB672" i="17"/>
  <c r="AD670" i="17"/>
  <c r="AB667" i="17"/>
  <c r="AF665" i="17"/>
  <c r="AB664" i="17"/>
  <c r="AF662" i="17"/>
  <c r="AD661" i="17"/>
  <c r="AE658" i="17"/>
  <c r="AE655" i="17"/>
  <c r="AC654" i="17"/>
  <c r="AD651" i="17"/>
  <c r="AD648" i="17"/>
  <c r="AB647" i="17"/>
  <c r="AF645" i="17"/>
  <c r="AC644" i="17"/>
  <c r="AC641" i="17"/>
  <c r="AE638" i="17"/>
  <c r="AB637" i="17"/>
  <c r="AB634" i="17"/>
  <c r="AD631" i="17"/>
  <c r="AF628" i="17"/>
  <c r="AC624" i="17"/>
  <c r="AE621" i="17"/>
  <c r="AB617" i="17"/>
  <c r="AD614" i="17"/>
  <c r="AF611" i="17"/>
  <c r="AG608" i="17"/>
  <c r="AC607" i="17"/>
  <c r="AG607" i="17" s="1"/>
  <c r="AE604" i="17"/>
  <c r="AF601" i="17"/>
  <c r="AD600" i="17"/>
  <c r="AC599" i="17"/>
  <c r="AE594" i="17"/>
  <c r="AC593" i="17"/>
  <c r="AB592" i="17"/>
  <c r="AF588" i="17"/>
  <c r="AD587" i="17"/>
  <c r="AB586" i="17"/>
  <c r="AF582" i="17"/>
  <c r="AE581" i="17"/>
  <c r="AE580" i="17"/>
  <c r="AD579" i="17"/>
  <c r="AD578" i="17"/>
  <c r="AD577" i="17"/>
  <c r="AD576" i="17"/>
  <c r="AD575" i="17"/>
  <c r="AD574" i="17"/>
  <c r="AD573" i="17"/>
  <c r="AC572" i="17"/>
  <c r="AC571" i="17"/>
  <c r="AC570" i="17"/>
  <c r="AC569" i="17"/>
  <c r="AG569" i="17" s="1"/>
  <c r="AI569" i="17" s="1"/>
  <c r="AC568" i="17"/>
  <c r="AC567" i="17"/>
  <c r="AC566" i="17"/>
  <c r="AB565" i="17"/>
  <c r="AB564" i="17"/>
  <c r="AB563" i="17"/>
  <c r="AB562" i="17"/>
  <c r="AB561" i="17"/>
  <c r="AB560" i="17"/>
  <c r="AB559" i="17"/>
  <c r="AB546" i="17"/>
  <c r="AG546" i="17" s="1"/>
  <c r="AC545" i="17"/>
  <c r="AD544" i="17"/>
  <c r="AE543" i="17"/>
  <c r="AF542" i="17"/>
  <c r="AB538" i="17"/>
  <c r="AC537" i="17"/>
  <c r="AD536" i="17"/>
  <c r="AE535" i="17"/>
  <c r="AF534" i="17"/>
  <c r="AB530" i="17"/>
  <c r="AC529" i="17"/>
  <c r="AD528" i="17"/>
  <c r="AE527" i="17"/>
  <c r="AF526" i="17"/>
  <c r="AB522" i="17"/>
  <c r="AG522" i="17" s="1"/>
  <c r="AC521" i="17"/>
  <c r="AD520" i="17"/>
  <c r="AE519" i="17"/>
  <c r="AF518" i="17"/>
  <c r="AG517" i="17"/>
  <c r="AB514" i="17"/>
  <c r="AC513" i="17"/>
  <c r="AD512" i="17"/>
  <c r="AE511" i="17"/>
  <c r="AF510" i="17"/>
  <c r="AB506" i="17"/>
  <c r="AC505" i="17"/>
  <c r="AD504" i="17"/>
  <c r="AE503" i="17"/>
  <c r="AF502" i="17"/>
  <c r="AB498" i="17"/>
  <c r="AC497" i="17"/>
  <c r="AD496" i="17"/>
  <c r="AE495" i="17"/>
  <c r="AF494" i="17"/>
  <c r="AB490" i="17"/>
  <c r="AB723" i="17"/>
  <c r="AC683" i="17"/>
  <c r="AE681" i="17"/>
  <c r="AB680" i="17"/>
  <c r="AD678" i="17"/>
  <c r="AB675" i="17"/>
  <c r="AD673" i="17"/>
  <c r="AC670" i="17"/>
  <c r="AG668" i="17"/>
  <c r="AC665" i="17"/>
  <c r="AE662" i="17"/>
  <c r="AB661" i="17"/>
  <c r="AB658" i="17"/>
  <c r="AD655" i="17"/>
  <c r="AF652" i="17"/>
  <c r="AC648" i="17"/>
  <c r="AE645" i="17"/>
  <c r="AB641" i="17"/>
  <c r="AG641" i="17" s="1"/>
  <c r="AD638" i="17"/>
  <c r="AF635" i="17"/>
  <c r="AC631" i="17"/>
  <c r="AE628" i="17"/>
  <c r="AF625" i="17"/>
  <c r="AB624" i="17"/>
  <c r="AF622" i="17"/>
  <c r="AD621" i="17"/>
  <c r="AE618" i="17"/>
  <c r="AE615" i="17"/>
  <c r="AC614" i="17"/>
  <c r="AG614" i="17" s="1"/>
  <c r="AD611" i="17"/>
  <c r="AG611" i="17" s="1"/>
  <c r="AD608" i="17"/>
  <c r="AB607" i="17"/>
  <c r="AF605" i="17"/>
  <c r="AC604" i="17"/>
  <c r="AD601" i="17"/>
  <c r="AC600" i="17"/>
  <c r="AB599" i="17"/>
  <c r="AF595" i="17"/>
  <c r="AC594" i="17"/>
  <c r="AB593" i="17"/>
  <c r="AG593" i="17" s="1"/>
  <c r="AF589" i="17"/>
  <c r="AE588" i="17"/>
  <c r="AB587" i="17"/>
  <c r="AF583" i="17"/>
  <c r="AE582" i="17"/>
  <c r="AD581" i="17"/>
  <c r="AC580" i="17"/>
  <c r="AC579" i="17"/>
  <c r="AC578" i="17"/>
  <c r="AC577" i="17"/>
  <c r="AC576" i="17"/>
  <c r="AC575" i="17"/>
  <c r="AC574" i="17"/>
  <c r="AB573" i="17"/>
  <c r="AB572" i="17"/>
  <c r="AB571" i="17"/>
  <c r="AB570" i="17"/>
  <c r="AB569" i="17"/>
  <c r="AB568" i="17"/>
  <c r="AB567" i="17"/>
  <c r="AB545" i="17"/>
  <c r="AC544" i="17"/>
  <c r="AD543" i="17"/>
  <c r="AE542" i="17"/>
  <c r="AF541" i="17"/>
  <c r="AB537" i="17"/>
  <c r="AC536" i="17"/>
  <c r="AD535" i="17"/>
  <c r="AE534" i="17"/>
  <c r="AF533" i="17"/>
  <c r="AB529" i="17"/>
  <c r="AC528" i="17"/>
  <c r="AD527" i="17"/>
  <c r="AE526" i="17"/>
  <c r="AF525" i="17"/>
  <c r="AB521" i="17"/>
  <c r="AC520" i="17"/>
  <c r="AD519" i="17"/>
  <c r="AE518" i="17"/>
  <c r="AF517" i="17"/>
  <c r="AB513" i="17"/>
  <c r="AC512" i="17"/>
  <c r="AD511" i="17"/>
  <c r="AE510" i="17"/>
  <c r="AF509" i="17"/>
  <c r="AG508" i="17"/>
  <c r="AB505" i="17"/>
  <c r="AC504" i="17"/>
  <c r="AD503" i="17"/>
  <c r="AE502" i="17"/>
  <c r="AF501" i="17"/>
  <c r="AB722" i="17"/>
  <c r="AC708" i="17"/>
  <c r="AG708" i="17" s="1"/>
  <c r="AC704" i="17"/>
  <c r="AB700" i="17"/>
  <c r="AG700" i="17" s="1"/>
  <c r="AB696" i="17"/>
  <c r="AF688" i="17"/>
  <c r="AF686" i="17"/>
  <c r="AF684" i="17"/>
  <c r="AB683" i="17"/>
  <c r="AD681" i="17"/>
  <c r="AC678" i="17"/>
  <c r="AE676" i="17"/>
  <c r="AC673" i="17"/>
  <c r="AC668" i="17"/>
  <c r="AB665" i="17"/>
  <c r="AG665" i="17" s="1"/>
  <c r="AD662" i="17"/>
  <c r="AF659" i="17"/>
  <c r="AC655" i="17"/>
  <c r="AE652" i="17"/>
  <c r="AF649" i="17"/>
  <c r="AB648" i="17"/>
  <c r="AF646" i="17"/>
  <c r="AD645" i="17"/>
  <c r="AE642" i="17"/>
  <c r="AE639" i="17"/>
  <c r="AC638" i="17"/>
  <c r="AG638" i="17" s="1"/>
  <c r="AD635" i="17"/>
  <c r="AG635" i="17" s="1"/>
  <c r="AD632" i="17"/>
  <c r="AB631" i="17"/>
  <c r="AG631" i="17" s="1"/>
  <c r="AF629" i="17"/>
  <c r="AC628" i="17"/>
  <c r="AG628" i="17" s="1"/>
  <c r="AI628" i="17" s="1"/>
  <c r="AC625" i="17"/>
  <c r="AE622" i="17"/>
  <c r="AB621" i="17"/>
  <c r="AG619" i="17"/>
  <c r="AB618" i="17"/>
  <c r="AD615" i="17"/>
  <c r="AF612" i="17"/>
  <c r="AC608" i="17"/>
  <c r="AE605" i="17"/>
  <c r="AB721" i="17"/>
  <c r="AG691" i="17"/>
  <c r="AE688" i="17"/>
  <c r="AE686" i="17"/>
  <c r="AE684" i="17"/>
  <c r="AC681" i="17"/>
  <c r="AE679" i="17"/>
  <c r="AC676" i="17"/>
  <c r="AB673" i="17"/>
  <c r="AD671" i="17"/>
  <c r="AB668" i="17"/>
  <c r="AE663" i="17"/>
  <c r="AC662" i="17"/>
  <c r="AD659" i="17"/>
  <c r="AG659" i="17" s="1"/>
  <c r="AD656" i="17"/>
  <c r="AB655" i="17"/>
  <c r="AG655" i="17" s="1"/>
  <c r="AF653" i="17"/>
  <c r="AC652" i="17"/>
  <c r="AG652" i="17" s="1"/>
  <c r="AC649" i="17"/>
  <c r="AE646" i="17"/>
  <c r="AB645" i="17"/>
  <c r="AG645" i="17" s="1"/>
  <c r="AB642" i="17"/>
  <c r="AD639" i="17"/>
  <c r="AF636" i="17"/>
  <c r="AC632" i="17"/>
  <c r="AG632" i="17" s="1"/>
  <c r="AI632" i="17" s="1"/>
  <c r="AE629" i="17"/>
  <c r="AB625" i="17"/>
  <c r="AD622" i="17"/>
  <c r="AF619" i="17"/>
  <c r="AC615" i="17"/>
  <c r="AG613" i="17"/>
  <c r="AE612" i="17"/>
  <c r="AF609" i="17"/>
  <c r="AB608" i="17"/>
  <c r="AF606" i="17"/>
  <c r="AD605" i="17"/>
  <c r="AE602" i="17"/>
  <c r="AG602" i="17" s="1"/>
  <c r="AB601" i="17"/>
  <c r="AF597" i="17"/>
  <c r="AE596" i="17"/>
  <c r="AB595" i="17"/>
  <c r="AF591" i="17"/>
  <c r="AE590" i="17"/>
  <c r="AD589" i="17"/>
  <c r="AE584" i="17"/>
  <c r="AD583" i="17"/>
  <c r="AC582" i="17"/>
  <c r="AF553" i="17"/>
  <c r="AF552" i="17"/>
  <c r="AF551" i="17"/>
  <c r="AF550" i="17"/>
  <c r="AF549" i="17"/>
  <c r="AF548" i="17"/>
  <c r="AF547" i="17"/>
  <c r="AB543" i="17"/>
  <c r="AC542" i="17"/>
  <c r="AD541" i="17"/>
  <c r="AE540" i="17"/>
  <c r="AF539" i="17"/>
  <c r="AB535" i="17"/>
  <c r="AC534" i="17"/>
  <c r="AD533" i="17"/>
  <c r="AE532" i="17"/>
  <c r="AF531" i="17"/>
  <c r="AB527" i="17"/>
  <c r="AC526" i="17"/>
  <c r="AD525" i="17"/>
  <c r="AE524" i="17"/>
  <c r="AF523" i="17"/>
  <c r="AB519" i="17"/>
  <c r="AG519" i="17" s="1"/>
  <c r="AC518" i="17"/>
  <c r="AD517" i="17"/>
  <c r="AE516" i="17"/>
  <c r="AF515" i="17"/>
  <c r="AG514" i="17"/>
  <c r="AB511" i="17"/>
  <c r="AC510" i="17"/>
  <c r="AD509" i="17"/>
  <c r="AE508" i="17"/>
  <c r="AF507" i="17"/>
  <c r="AB503" i="17"/>
  <c r="AC502" i="17"/>
  <c r="AD501" i="17"/>
  <c r="AE500" i="17"/>
  <c r="AB720" i="17"/>
  <c r="AG720" i="17" s="1"/>
  <c r="AC707" i="17"/>
  <c r="AC703" i="17"/>
  <c r="AB699" i="17"/>
  <c r="AB695" i="17"/>
  <c r="AC688" i="17"/>
  <c r="AG688" i="17" s="1"/>
  <c r="AC686" i="17"/>
  <c r="AG686" i="17" s="1"/>
  <c r="AC684" i="17"/>
  <c r="AE682" i="17"/>
  <c r="AB681" i="17"/>
  <c r="AD679" i="17"/>
  <c r="AB676" i="17"/>
  <c r="AD674" i="17"/>
  <c r="AC671" i="17"/>
  <c r="AG669" i="17"/>
  <c r="AC666" i="17"/>
  <c r="AD663" i="17"/>
  <c r="AF660" i="17"/>
  <c r="AC656" i="17"/>
  <c r="AE653" i="17"/>
  <c r="AG650" i="17"/>
  <c r="AB649" i="17"/>
  <c r="AG649" i="17" s="1"/>
  <c r="AD646" i="17"/>
  <c r="AF643" i="17"/>
  <c r="AC639" i="17"/>
  <c r="AE636" i="17"/>
  <c r="AF633" i="17"/>
  <c r="AB632" i="17"/>
  <c r="AF630" i="17"/>
  <c r="AD629" i="17"/>
  <c r="AE626" i="17"/>
  <c r="AE623" i="17"/>
  <c r="AC622" i="17"/>
  <c r="AD619" i="17"/>
  <c r="AD616" i="17"/>
  <c r="AB615" i="17"/>
  <c r="AF613" i="17"/>
  <c r="AC612" i="17"/>
  <c r="AG612" i="17" s="1"/>
  <c r="AC609" i="17"/>
  <c r="AE606" i="17"/>
  <c r="AB605" i="17"/>
  <c r="AB602" i="17"/>
  <c r="AF598" i="17"/>
  <c r="AE597" i="17"/>
  <c r="AC596" i="17"/>
  <c r="AE591" i="17"/>
  <c r="AD590" i="17"/>
  <c r="AB589" i="17"/>
  <c r="AF585" i="17"/>
  <c r="AD584" i="17"/>
  <c r="AC583" i="17"/>
  <c r="AG568" i="17"/>
  <c r="AI568" i="17" s="1"/>
  <c r="AG564" i="17"/>
  <c r="AF561" i="17"/>
  <c r="AF560" i="17"/>
  <c r="AF559" i="17"/>
  <c r="AF558" i="17"/>
  <c r="AF557" i="17"/>
  <c r="AF556" i="17"/>
  <c r="AF555" i="17"/>
  <c r="AE554" i="17"/>
  <c r="AE553" i="17"/>
  <c r="AE552" i="17"/>
  <c r="AG552" i="17" s="1"/>
  <c r="AE551" i="17"/>
  <c r="AE550" i="17"/>
  <c r="AE549" i="17"/>
  <c r="AE548" i="17"/>
  <c r="AE547" i="17"/>
  <c r="AF546" i="17"/>
  <c r="AB719" i="17"/>
  <c r="AG694" i="17"/>
  <c r="AG690" i="17"/>
  <c r="AB684" i="17"/>
  <c r="AD682" i="17"/>
  <c r="AC679" i="17"/>
  <c r="AE677" i="17"/>
  <c r="AC674" i="17"/>
  <c r="AB671" i="17"/>
  <c r="AD669" i="17"/>
  <c r="AB666" i="17"/>
  <c r="AG664" i="17"/>
  <c r="AC663" i="17"/>
  <c r="AE660" i="17"/>
  <c r="AF657" i="17"/>
  <c r="AB656" i="17"/>
  <c r="AF654" i="17"/>
  <c r="AD653" i="17"/>
  <c r="AE650" i="17"/>
  <c r="AE647" i="17"/>
  <c r="AC646" i="17"/>
  <c r="AD643" i="17"/>
  <c r="AG643" i="17" s="1"/>
  <c r="AD640" i="17"/>
  <c r="AB639" i="17"/>
  <c r="AF637" i="17"/>
  <c r="AC636" i="17"/>
  <c r="AG636" i="17" s="1"/>
  <c r="AC633" i="17"/>
  <c r="AE630" i="17"/>
  <c r="AB629" i="17"/>
  <c r="AG629" i="17" s="1"/>
  <c r="AI629" i="17" s="1"/>
  <c r="AB626" i="17"/>
  <c r="AG626" i="17" s="1"/>
  <c r="AD623" i="17"/>
  <c r="AF620" i="17"/>
  <c r="AC616" i="17"/>
  <c r="AE613" i="17"/>
  <c r="AG610" i="17"/>
  <c r="AB609" i="17"/>
  <c r="AG609" i="17" s="1"/>
  <c r="AD606" i="17"/>
  <c r="AF603" i="17"/>
  <c r="AF599" i="17"/>
  <c r="AE598" i="17"/>
  <c r="AD597" i="17"/>
  <c r="AE592" i="17"/>
  <c r="AD591" i="17"/>
  <c r="AC590" i="17"/>
  <c r="AG590" i="17" s="1"/>
  <c r="AD585" i="17"/>
  <c r="AC584" i="17"/>
  <c r="AB583" i="17"/>
  <c r="AG574" i="17"/>
  <c r="AF569" i="17"/>
  <c r="AF568" i="17"/>
  <c r="AF567" i="17"/>
  <c r="AF566" i="17"/>
  <c r="AF565" i="17"/>
  <c r="AF564" i="17"/>
  <c r="AF563" i="17"/>
  <c r="AE562" i="17"/>
  <c r="AE561" i="17"/>
  <c r="AE560" i="17"/>
  <c r="AE559" i="17"/>
  <c r="AE558" i="17"/>
  <c r="AE557" i="17"/>
  <c r="AE556" i="17"/>
  <c r="AD555" i="17"/>
  <c r="AD554" i="17"/>
  <c r="AD553" i="17"/>
  <c r="AD552" i="17"/>
  <c r="AD551" i="17"/>
  <c r="AD550" i="17"/>
  <c r="AG550" i="17" s="1"/>
  <c r="AD549" i="17"/>
  <c r="AC548" i="17"/>
  <c r="AD547" i="17"/>
  <c r="AD710" i="17"/>
  <c r="AG710" i="17" s="1"/>
  <c r="AC706" i="17"/>
  <c r="AG706" i="17" s="1"/>
  <c r="AC702" i="17"/>
  <c r="AG702" i="17" s="1"/>
  <c r="AB698" i="17"/>
  <c r="AF687" i="17"/>
  <c r="AF685" i="17"/>
  <c r="AC682" i="17"/>
  <c r="AE680" i="17"/>
  <c r="AB679" i="17"/>
  <c r="AD677" i="17"/>
  <c r="AB674" i="17"/>
  <c r="AD672" i="17"/>
  <c r="AG672" i="17" s="1"/>
  <c r="AB669" i="17"/>
  <c r="AG667" i="17"/>
  <c r="AD664" i="17"/>
  <c r="AB663" i="17"/>
  <c r="AF661" i="17"/>
  <c r="AG661" i="17" s="1"/>
  <c r="AC660" i="17"/>
  <c r="AG660" i="17" s="1"/>
  <c r="AC657" i="17"/>
  <c r="AG657" i="17" s="1"/>
  <c r="AE654" i="17"/>
  <c r="AB653" i="17"/>
  <c r="AG653" i="17" s="1"/>
  <c r="AG651" i="17"/>
  <c r="AB650" i="17"/>
  <c r="AD647" i="17"/>
  <c r="AF644" i="17"/>
  <c r="AC640" i="17"/>
  <c r="AE637" i="17"/>
  <c r="AG637" i="17" s="1"/>
  <c r="AG634" i="17"/>
  <c r="AB633" i="17"/>
  <c r="AG633" i="17" s="1"/>
  <c r="AD630" i="17"/>
  <c r="AF627" i="17"/>
  <c r="AC623" i="17"/>
  <c r="AE620" i="17"/>
  <c r="AG620" i="17" s="1"/>
  <c r="AF617" i="17"/>
  <c r="AB616" i="17"/>
  <c r="AG616" i="17" s="1"/>
  <c r="AF614" i="17"/>
  <c r="AD613" i="17"/>
  <c r="AE610" i="17"/>
  <c r="AE607" i="17"/>
  <c r="AC606" i="17"/>
  <c r="AG604" i="17"/>
  <c r="AD603" i="17"/>
  <c r="AG603" i="17" s="1"/>
  <c r="AE599" i="17"/>
  <c r="AD598" i="17"/>
  <c r="AG598" i="17" s="1"/>
  <c r="AB597" i="17"/>
  <c r="AF593" i="17"/>
  <c r="AD592" i="17"/>
  <c r="AG592" i="17" s="1"/>
  <c r="AC591" i="17"/>
  <c r="AE586" i="17"/>
  <c r="AC585" i="17"/>
  <c r="AB584" i="17"/>
  <c r="AG579" i="17"/>
  <c r="AF577" i="17"/>
  <c r="AF576" i="17"/>
  <c r="AF575" i="17"/>
  <c r="AF574" i="17"/>
  <c r="AF573" i="17"/>
  <c r="AF572" i="17"/>
  <c r="AF571" i="17"/>
  <c r="AE570" i="17"/>
  <c r="AE569" i="17"/>
  <c r="AE568" i="17"/>
  <c r="AE567" i="17"/>
  <c r="AE566" i="17"/>
  <c r="AE565" i="17"/>
  <c r="AE564" i="17"/>
  <c r="AD563" i="17"/>
  <c r="AD562" i="17"/>
  <c r="AD561" i="17"/>
  <c r="AD560" i="17"/>
  <c r="AD559" i="17"/>
  <c r="AD558" i="17"/>
  <c r="AD557" i="17"/>
  <c r="AC556" i="17"/>
  <c r="AC555" i="17"/>
  <c r="AC554" i="17"/>
  <c r="AC553" i="17"/>
  <c r="AC552" i="17"/>
  <c r="AC551" i="17"/>
  <c r="AC550" i="17"/>
  <c r="AB549" i="17"/>
  <c r="AB548" i="17"/>
  <c r="AC547" i="17"/>
  <c r="AD546" i="17"/>
  <c r="AE545" i="17"/>
  <c r="AF544" i="17"/>
  <c r="AB540" i="17"/>
  <c r="AC539" i="17"/>
  <c r="AD538" i="17"/>
  <c r="AE537" i="17"/>
  <c r="AF536" i="17"/>
  <c r="AB532" i="17"/>
  <c r="AC531" i="17"/>
  <c r="AD530" i="17"/>
  <c r="AE529" i="17"/>
  <c r="AF528" i="17"/>
  <c r="AB524" i="17"/>
  <c r="AC523" i="17"/>
  <c r="AD522" i="17"/>
  <c r="AE521" i="17"/>
  <c r="AF520" i="17"/>
  <c r="AB516" i="17"/>
  <c r="AC515" i="17"/>
  <c r="AD514" i="17"/>
  <c r="AE513" i="17"/>
  <c r="AF512" i="17"/>
  <c r="AG511" i="17"/>
  <c r="AB508" i="17"/>
  <c r="AC507" i="17"/>
  <c r="AD506" i="17"/>
  <c r="AE505" i="17"/>
  <c r="AF504" i="17"/>
  <c r="AB500" i="17"/>
  <c r="AC499" i="17"/>
  <c r="AD498" i="17"/>
  <c r="AE497" i="17"/>
  <c r="AF496" i="17"/>
  <c r="AB492" i="17"/>
  <c r="AC491" i="17"/>
  <c r="AD490" i="17"/>
  <c r="AG490" i="17" s="1"/>
  <c r="AE489" i="17"/>
  <c r="AF488" i="17"/>
  <c r="AB581" i="17"/>
  <c r="AB577" i="17"/>
  <c r="AI564" i="17"/>
  <c r="AB542" i="17"/>
  <c r="AD540" i="17"/>
  <c r="AF538" i="17"/>
  <c r="AC533" i="17"/>
  <c r="AE531" i="17"/>
  <c r="AG529" i="17"/>
  <c r="AB526" i="17"/>
  <c r="AD524" i="17"/>
  <c r="AF522" i="17"/>
  <c r="AC517" i="17"/>
  <c r="AE515" i="17"/>
  <c r="AB510" i="17"/>
  <c r="AD508" i="17"/>
  <c r="AF506" i="17"/>
  <c r="AC501" i="17"/>
  <c r="AF498" i="17"/>
  <c r="AD497" i="17"/>
  <c r="AB496" i="17"/>
  <c r="AF492" i="17"/>
  <c r="AE491" i="17"/>
  <c r="AC490" i="17"/>
  <c r="AB489" i="17"/>
  <c r="AB488" i="17"/>
  <c r="AB487" i="17"/>
  <c r="AC601" i="17"/>
  <c r="AB585" i="17"/>
  <c r="AF580" i="17"/>
  <c r="AE576" i="17"/>
  <c r="AE572" i="17"/>
  <c r="AG572" i="17" s="1"/>
  <c r="AI572" i="17" s="1"/>
  <c r="AD568" i="17"/>
  <c r="AC564" i="17"/>
  <c r="AC560" i="17"/>
  <c r="AG560" i="17" s="1"/>
  <c r="AB556" i="17"/>
  <c r="AG556" i="17" s="1"/>
  <c r="AB552" i="17"/>
  <c r="AF545" i="17"/>
  <c r="AC540" i="17"/>
  <c r="AE538" i="17"/>
  <c r="AB533" i="17"/>
  <c r="AD531" i="17"/>
  <c r="AF529" i="17"/>
  <c r="AC524" i="17"/>
  <c r="AE522" i="17"/>
  <c r="AB517" i="17"/>
  <c r="AD515" i="17"/>
  <c r="AF513" i="17"/>
  <c r="AG513" i="17" s="1"/>
  <c r="AC508" i="17"/>
  <c r="AE506" i="17"/>
  <c r="AB501" i="17"/>
  <c r="AG501" i="17" s="1"/>
  <c r="AF499" i="17"/>
  <c r="AE498" i="17"/>
  <c r="AB497" i="17"/>
  <c r="AF493" i="17"/>
  <c r="AE492" i="17"/>
  <c r="AD491" i="17"/>
  <c r="AB484" i="17"/>
  <c r="AC483" i="17"/>
  <c r="AD482" i="17"/>
  <c r="AE481" i="17"/>
  <c r="AF480" i="17"/>
  <c r="AB476" i="17"/>
  <c r="AC475" i="17"/>
  <c r="AD474" i="17"/>
  <c r="AE473" i="17"/>
  <c r="AF472" i="17"/>
  <c r="AB468" i="17"/>
  <c r="AC467" i="17"/>
  <c r="AD466" i="17"/>
  <c r="AE465" i="17"/>
  <c r="AF464" i="17"/>
  <c r="AB460" i="17"/>
  <c r="AC459" i="17"/>
  <c r="AD458" i="17"/>
  <c r="AE457" i="17"/>
  <c r="AF456" i="17"/>
  <c r="AB452" i="17"/>
  <c r="AC451" i="17"/>
  <c r="AD450" i="17"/>
  <c r="AE449" i="17"/>
  <c r="AF448" i="17"/>
  <c r="AB444" i="17"/>
  <c r="AC443" i="17"/>
  <c r="AD442" i="17"/>
  <c r="AE441" i="17"/>
  <c r="AF440" i="17"/>
  <c r="AB436" i="17"/>
  <c r="AC435" i="17"/>
  <c r="AD434" i="17"/>
  <c r="AE433" i="17"/>
  <c r="AF432" i="17"/>
  <c r="AB428" i="17"/>
  <c r="AC427" i="17"/>
  <c r="AD426" i="17"/>
  <c r="AE425" i="17"/>
  <c r="AF424" i="17"/>
  <c r="AG423" i="17"/>
  <c r="AB420" i="17"/>
  <c r="AC419" i="17"/>
  <c r="AD418" i="17"/>
  <c r="AE417" i="17"/>
  <c r="AF416" i="17"/>
  <c r="AB412" i="17"/>
  <c r="AC411" i="17"/>
  <c r="AD410" i="17"/>
  <c r="AE409" i="17"/>
  <c r="AF408" i="17"/>
  <c r="AB404" i="17"/>
  <c r="AC403" i="17"/>
  <c r="AD402" i="17"/>
  <c r="AG402" i="17" s="1"/>
  <c r="AE401" i="17"/>
  <c r="AF400" i="17"/>
  <c r="AB396" i="17"/>
  <c r="AC395" i="17"/>
  <c r="AD394" i="17"/>
  <c r="AE393" i="17"/>
  <c r="AF392" i="17"/>
  <c r="AB388" i="17"/>
  <c r="AC387" i="17"/>
  <c r="AD386" i="17"/>
  <c r="AE385" i="17"/>
  <c r="AF384" i="17"/>
  <c r="AB380" i="17"/>
  <c r="AC379" i="17"/>
  <c r="AD378" i="17"/>
  <c r="AE377" i="17"/>
  <c r="AF376" i="17"/>
  <c r="AB372" i="17"/>
  <c r="AC371" i="17"/>
  <c r="AD370" i="17"/>
  <c r="AE369" i="17"/>
  <c r="AF368" i="17"/>
  <c r="AB364" i="17"/>
  <c r="AC363" i="17"/>
  <c r="AD362" i="17"/>
  <c r="AE361" i="17"/>
  <c r="AF360" i="17"/>
  <c r="AG359" i="17"/>
  <c r="AB356" i="17"/>
  <c r="AC355" i="17"/>
  <c r="AD354" i="17"/>
  <c r="AE353" i="17"/>
  <c r="AF352" i="17"/>
  <c r="AB348" i="17"/>
  <c r="AC347" i="17"/>
  <c r="AD346" i="17"/>
  <c r="AE345" i="17"/>
  <c r="AG345" i="17" s="1"/>
  <c r="AF344" i="17"/>
  <c r="AB340" i="17"/>
  <c r="AC339" i="17"/>
  <c r="AD338" i="17"/>
  <c r="AE337" i="17"/>
  <c r="AF336" i="17"/>
  <c r="AB332" i="17"/>
  <c r="AC331" i="17"/>
  <c r="AD330" i="17"/>
  <c r="AE329" i="17"/>
  <c r="AF328" i="17"/>
  <c r="AB324" i="17"/>
  <c r="AC323" i="17"/>
  <c r="AD322" i="17"/>
  <c r="AE321" i="17"/>
  <c r="AF320" i="17"/>
  <c r="AB316" i="17"/>
  <c r="AC315" i="17"/>
  <c r="AD314" i="17"/>
  <c r="AE313" i="17"/>
  <c r="AF312" i="17"/>
  <c r="AB308" i="17"/>
  <c r="AC307" i="17"/>
  <c r="AD306" i="17"/>
  <c r="AE305" i="17"/>
  <c r="AF304" i="17"/>
  <c r="AB300" i="17"/>
  <c r="AC299" i="17"/>
  <c r="AD298" i="17"/>
  <c r="AE297" i="17"/>
  <c r="AF296" i="17"/>
  <c r="AG295" i="17"/>
  <c r="AB292" i="17"/>
  <c r="AC291" i="17"/>
  <c r="AD290" i="17"/>
  <c r="AE289" i="17"/>
  <c r="AF288" i="17"/>
  <c r="AG288" i="17" s="1"/>
  <c r="AB284" i="17"/>
  <c r="AC283" i="17"/>
  <c r="AD282" i="17"/>
  <c r="AE281" i="17"/>
  <c r="AF280" i="17"/>
  <c r="AB276" i="17"/>
  <c r="AC275" i="17"/>
  <c r="AD274" i="17"/>
  <c r="AE273" i="17"/>
  <c r="AF272" i="17"/>
  <c r="AB268" i="17"/>
  <c r="AC267" i="17"/>
  <c r="AD266" i="17"/>
  <c r="AE265" i="17"/>
  <c r="AF264" i="17"/>
  <c r="AB260" i="17"/>
  <c r="AC259" i="17"/>
  <c r="AD258" i="17"/>
  <c r="AE257" i="17"/>
  <c r="AB600" i="17"/>
  <c r="AF590" i="17"/>
  <c r="AG584" i="17"/>
  <c r="AI584" i="17" s="1"/>
  <c r="AB580" i="17"/>
  <c r="AB576" i="17"/>
  <c r="AG551" i="17"/>
  <c r="AD545" i="17"/>
  <c r="AG545" i="17" s="1"/>
  <c r="AF543" i="17"/>
  <c r="AC538" i="17"/>
  <c r="AG538" i="17" s="1"/>
  <c r="AE536" i="17"/>
  <c r="AG534" i="17"/>
  <c r="AB531" i="17"/>
  <c r="AD529" i="17"/>
  <c r="AF527" i="17"/>
  <c r="AC522" i="17"/>
  <c r="AE520" i="17"/>
  <c r="AB515" i="17"/>
  <c r="AD513" i="17"/>
  <c r="AF511" i="17"/>
  <c r="AC506" i="17"/>
  <c r="AG506" i="17" s="1"/>
  <c r="AE504" i="17"/>
  <c r="AG502" i="17"/>
  <c r="AE499" i="17"/>
  <c r="AC498" i="17"/>
  <c r="AG498" i="17" s="1"/>
  <c r="AE493" i="17"/>
  <c r="AD492" i="17"/>
  <c r="AG492" i="17" s="1"/>
  <c r="AB491" i="17"/>
  <c r="AB483" i="17"/>
  <c r="AC482" i="17"/>
  <c r="AD481" i="17"/>
  <c r="AG481" i="17" s="1"/>
  <c r="AE480" i="17"/>
  <c r="AF479" i="17"/>
  <c r="AB475" i="17"/>
  <c r="AC474" i="17"/>
  <c r="AD473" i="17"/>
  <c r="AE472" i="17"/>
  <c r="AF471" i="17"/>
  <c r="AB467" i="17"/>
  <c r="AC466" i="17"/>
  <c r="AD465" i="17"/>
  <c r="AE464" i="17"/>
  <c r="AF463" i="17"/>
  <c r="AG462" i="17"/>
  <c r="AB459" i="17"/>
  <c r="AC458" i="17"/>
  <c r="AD457" i="17"/>
  <c r="AE456" i="17"/>
  <c r="AF455" i="17"/>
  <c r="AB451" i="17"/>
  <c r="AC450" i="17"/>
  <c r="AD449" i="17"/>
  <c r="AE448" i="17"/>
  <c r="AG448" i="17" s="1"/>
  <c r="AF447" i="17"/>
  <c r="AB443" i="17"/>
  <c r="AC442" i="17"/>
  <c r="AD441" i="17"/>
  <c r="AG441" i="17" s="1"/>
  <c r="AE440" i="17"/>
  <c r="AF439" i="17"/>
  <c r="AB435" i="17"/>
  <c r="AC434" i="17"/>
  <c r="AG434" i="17" s="1"/>
  <c r="AD433" i="17"/>
  <c r="AE432" i="17"/>
  <c r="AF431" i="17"/>
  <c r="AB427" i="17"/>
  <c r="AC426" i="17"/>
  <c r="AD425" i="17"/>
  <c r="AE424" i="17"/>
  <c r="AF423" i="17"/>
  <c r="AB419" i="17"/>
  <c r="AC418" i="17"/>
  <c r="AD417" i="17"/>
  <c r="AE416" i="17"/>
  <c r="AF415" i="17"/>
  <c r="AB411" i="17"/>
  <c r="AC410" i="17"/>
  <c r="AD409" i="17"/>
  <c r="AE408" i="17"/>
  <c r="AF407" i="17"/>
  <c r="AB403" i="17"/>
  <c r="AC402" i="17"/>
  <c r="AD401" i="17"/>
  <c r="AE400" i="17"/>
  <c r="AF399" i="17"/>
  <c r="AB395" i="17"/>
  <c r="AC394" i="17"/>
  <c r="AD393" i="17"/>
  <c r="AE392" i="17"/>
  <c r="AF391" i="17"/>
  <c r="AB387" i="17"/>
  <c r="AC386" i="17"/>
  <c r="AD385" i="17"/>
  <c r="AE384" i="17"/>
  <c r="AF383" i="17"/>
  <c r="AB379" i="17"/>
  <c r="AC378" i="17"/>
  <c r="AD377" i="17"/>
  <c r="AE376" i="17"/>
  <c r="AF375" i="17"/>
  <c r="AB371" i="17"/>
  <c r="AC370" i="17"/>
  <c r="AG370" i="17" s="1"/>
  <c r="AD369" i="17"/>
  <c r="AE368" i="17"/>
  <c r="AF367" i="17"/>
  <c r="AB363" i="17"/>
  <c r="AC362" i="17"/>
  <c r="AD361" i="17"/>
  <c r="AE360" i="17"/>
  <c r="AF359" i="17"/>
  <c r="AB355" i="17"/>
  <c r="AC354" i="17"/>
  <c r="AD353" i="17"/>
  <c r="AE352" i="17"/>
  <c r="AF351" i="17"/>
  <c r="AB347" i="17"/>
  <c r="AC346" i="17"/>
  <c r="AD345" i="17"/>
  <c r="AE344" i="17"/>
  <c r="AF343" i="17"/>
  <c r="AB339" i="17"/>
  <c r="AC338" i="17"/>
  <c r="AD337" i="17"/>
  <c r="AE336" i="17"/>
  <c r="AF335" i="17"/>
  <c r="AG334" i="17"/>
  <c r="AB331" i="17"/>
  <c r="AC330" i="17"/>
  <c r="AD329" i="17"/>
  <c r="AE328" i="17"/>
  <c r="AF327" i="17"/>
  <c r="AB323" i="17"/>
  <c r="AC322" i="17"/>
  <c r="AD321" i="17"/>
  <c r="AE320" i="17"/>
  <c r="AF319" i="17"/>
  <c r="AB315" i="17"/>
  <c r="AC314" i="17"/>
  <c r="AD313" i="17"/>
  <c r="AE312" i="17"/>
  <c r="AF311" i="17"/>
  <c r="AB307" i="17"/>
  <c r="AC306" i="17"/>
  <c r="AD305" i="17"/>
  <c r="AE304" i="17"/>
  <c r="AF303" i="17"/>
  <c r="AB299" i="17"/>
  <c r="AC298" i="17"/>
  <c r="AD297" i="17"/>
  <c r="AE296" i="17"/>
  <c r="AF295" i="17"/>
  <c r="AB291" i="17"/>
  <c r="AC290" i="17"/>
  <c r="AD289" i="17"/>
  <c r="AE288" i="17"/>
  <c r="AF287" i="17"/>
  <c r="AB283" i="17"/>
  <c r="AC282" i="17"/>
  <c r="AD281" i="17"/>
  <c r="AE280" i="17"/>
  <c r="AF279" i="17"/>
  <c r="AE589" i="17"/>
  <c r="AF579" i="17"/>
  <c r="AE575" i="17"/>
  <c r="AD571" i="17"/>
  <c r="AD567" i="17"/>
  <c r="AG567" i="17" s="1"/>
  <c r="AC563" i="17"/>
  <c r="AC559" i="17"/>
  <c r="AG559" i="17" s="1"/>
  <c r="AB555" i="17"/>
  <c r="AG555" i="17" s="1"/>
  <c r="AB551" i="17"/>
  <c r="AB547" i="17"/>
  <c r="AC543" i="17"/>
  <c r="AE541" i="17"/>
  <c r="AB536" i="17"/>
  <c r="AG536" i="17" s="1"/>
  <c r="AD534" i="17"/>
  <c r="AF532" i="17"/>
  <c r="AC527" i="17"/>
  <c r="AG527" i="17" s="1"/>
  <c r="AE525" i="17"/>
  <c r="AG523" i="17"/>
  <c r="AB520" i="17"/>
  <c r="AG520" i="17" s="1"/>
  <c r="AD518" i="17"/>
  <c r="AF516" i="17"/>
  <c r="AC511" i="17"/>
  <c r="AE509" i="17"/>
  <c r="AB504" i="17"/>
  <c r="AD502" i="17"/>
  <c r="AF500" i="17"/>
  <c r="AD499" i="17"/>
  <c r="AE494" i="17"/>
  <c r="AD493" i="17"/>
  <c r="AC492" i="17"/>
  <c r="AB482" i="17"/>
  <c r="AC481" i="17"/>
  <c r="AD480" i="17"/>
  <c r="AE479" i="17"/>
  <c r="AF478" i="17"/>
  <c r="AB474" i="17"/>
  <c r="AC473" i="17"/>
  <c r="AG473" i="17" s="1"/>
  <c r="AD472" i="17"/>
  <c r="AE471" i="17"/>
  <c r="AF470" i="17"/>
  <c r="AB466" i="17"/>
  <c r="AC465" i="17"/>
  <c r="AD464" i="17"/>
  <c r="AE463" i="17"/>
  <c r="AF462" i="17"/>
  <c r="AB458" i="17"/>
  <c r="AC457" i="17"/>
  <c r="AD456" i="17"/>
  <c r="AE455" i="17"/>
  <c r="AF454" i="17"/>
  <c r="AB450" i="17"/>
  <c r="AC449" i="17"/>
  <c r="AD448" i="17"/>
  <c r="AE447" i="17"/>
  <c r="AF446" i="17"/>
  <c r="AB442" i="17"/>
  <c r="AC441" i="17"/>
  <c r="AD440" i="17"/>
  <c r="AE439" i="17"/>
  <c r="AF438" i="17"/>
  <c r="AG437" i="17"/>
  <c r="AI437" i="17" s="1"/>
  <c r="AB434" i="17"/>
  <c r="AC433" i="17"/>
  <c r="AD432" i="17"/>
  <c r="AE431" i="17"/>
  <c r="AF430" i="17"/>
  <c r="AB426" i="17"/>
  <c r="AC425" i="17"/>
  <c r="AD424" i="17"/>
  <c r="AG597" i="17"/>
  <c r="AC588" i="17"/>
  <c r="AE583" i="17"/>
  <c r="AB579" i="17"/>
  <c r="AB575" i="17"/>
  <c r="AC541" i="17"/>
  <c r="AE539" i="17"/>
  <c r="AB534" i="17"/>
  <c r="AD532" i="17"/>
  <c r="AF530" i="17"/>
  <c r="AC525" i="17"/>
  <c r="AE523" i="17"/>
  <c r="AB518" i="17"/>
  <c r="AG518" i="17" s="1"/>
  <c r="AD516" i="17"/>
  <c r="AF514" i="17"/>
  <c r="AC509" i="17"/>
  <c r="AE507" i="17"/>
  <c r="AB502" i="17"/>
  <c r="AD500" i="17"/>
  <c r="AB499" i="17"/>
  <c r="AG499" i="17" s="1"/>
  <c r="AF495" i="17"/>
  <c r="AD494" i="17"/>
  <c r="AC493" i="17"/>
  <c r="AF487" i="17"/>
  <c r="AF486" i="17"/>
  <c r="AF485" i="17"/>
  <c r="AB481" i="17"/>
  <c r="AC480" i="17"/>
  <c r="AD479" i="17"/>
  <c r="AE478" i="17"/>
  <c r="AF477" i="17"/>
  <c r="AB473" i="17"/>
  <c r="AC472" i="17"/>
  <c r="AD471" i="17"/>
  <c r="AE470" i="17"/>
  <c r="AF469" i="17"/>
  <c r="AB465" i="17"/>
  <c r="AC464" i="17"/>
  <c r="AD463" i="17"/>
  <c r="AE462" i="17"/>
  <c r="AF461" i="17"/>
  <c r="AB457" i="17"/>
  <c r="AC456" i="17"/>
  <c r="AD455" i="17"/>
  <c r="AE454" i="17"/>
  <c r="AF453" i="17"/>
  <c r="AB449" i="17"/>
  <c r="AC448" i="17"/>
  <c r="AD447" i="17"/>
  <c r="AE446" i="17"/>
  <c r="AF445" i="17"/>
  <c r="AG444" i="17"/>
  <c r="AB441" i="17"/>
  <c r="AC440" i="17"/>
  <c r="AD439" i="17"/>
  <c r="AE438" i="17"/>
  <c r="AF437" i="17"/>
  <c r="AB433" i="17"/>
  <c r="AC432" i="17"/>
  <c r="AD431" i="17"/>
  <c r="AE430" i="17"/>
  <c r="AF429" i="17"/>
  <c r="AB425" i="17"/>
  <c r="AC424" i="17"/>
  <c r="AD423" i="17"/>
  <c r="AE422" i="17"/>
  <c r="AF421" i="17"/>
  <c r="AB417" i="17"/>
  <c r="AC416" i="17"/>
  <c r="AD415" i="17"/>
  <c r="AE414" i="17"/>
  <c r="AF413" i="17"/>
  <c r="AB409" i="17"/>
  <c r="AC408" i="17"/>
  <c r="AD407" i="17"/>
  <c r="AE406" i="17"/>
  <c r="AF405" i="17"/>
  <c r="AF596" i="17"/>
  <c r="AF587" i="17"/>
  <c r="AG587" i="17" s="1"/>
  <c r="AE578" i="17"/>
  <c r="AE574" i="17"/>
  <c r="AD570" i="17"/>
  <c r="AG570" i="17" s="1"/>
  <c r="AD566" i="17"/>
  <c r="AC562" i="17"/>
  <c r="AG562" i="17" s="1"/>
  <c r="AC558" i="17"/>
  <c r="AG558" i="17" s="1"/>
  <c r="AB554" i="17"/>
  <c r="AE546" i="17"/>
  <c r="AB541" i="17"/>
  <c r="AD539" i="17"/>
  <c r="AF537" i="17"/>
  <c r="AG537" i="17" s="1"/>
  <c r="AC532" i="17"/>
  <c r="AE530" i="17"/>
  <c r="AB525" i="17"/>
  <c r="AG525" i="17" s="1"/>
  <c r="AD523" i="17"/>
  <c r="AF521" i="17"/>
  <c r="AC516" i="17"/>
  <c r="AE514" i="17"/>
  <c r="AG512" i="17"/>
  <c r="AB509" i="17"/>
  <c r="AD507" i="17"/>
  <c r="AF505" i="17"/>
  <c r="AC500" i="17"/>
  <c r="AG496" i="17"/>
  <c r="AD495" i="17"/>
  <c r="AC494" i="17"/>
  <c r="AB493" i="17"/>
  <c r="AF489" i="17"/>
  <c r="AG489" i="17" s="1"/>
  <c r="AE488" i="17"/>
  <c r="AE487" i="17"/>
  <c r="AE486" i="17"/>
  <c r="AE485" i="17"/>
  <c r="AF484" i="17"/>
  <c r="AB480" i="17"/>
  <c r="AC479" i="17"/>
  <c r="AD478" i="17"/>
  <c r="AE477" i="17"/>
  <c r="AF476" i="17"/>
  <c r="AB472" i="17"/>
  <c r="AC471" i="17"/>
  <c r="AD470" i="17"/>
  <c r="AE469" i="17"/>
  <c r="AF468" i="17"/>
  <c r="AB464" i="17"/>
  <c r="AC463" i="17"/>
  <c r="AD462" i="17"/>
  <c r="AE461" i="17"/>
  <c r="AF460" i="17"/>
  <c r="AB456" i="17"/>
  <c r="AC455" i="17"/>
  <c r="AD454" i="17"/>
  <c r="AE453" i="17"/>
  <c r="AF452" i="17"/>
  <c r="AG451" i="17"/>
  <c r="AB448" i="17"/>
  <c r="AC447" i="17"/>
  <c r="AD446" i="17"/>
  <c r="AE445" i="17"/>
  <c r="AF444" i="17"/>
  <c r="AB440" i="17"/>
  <c r="AC439" i="17"/>
  <c r="AD438" i="17"/>
  <c r="AE437" i="17"/>
  <c r="AF436" i="17"/>
  <c r="AB432" i="17"/>
  <c r="AC431" i="17"/>
  <c r="AD430" i="17"/>
  <c r="AE429" i="17"/>
  <c r="AF428" i="17"/>
  <c r="AB424" i="17"/>
  <c r="AC423" i="17"/>
  <c r="AD422" i="17"/>
  <c r="AE421" i="17"/>
  <c r="AF420" i="17"/>
  <c r="AB416" i="17"/>
  <c r="AC415" i="17"/>
  <c r="AD414" i="17"/>
  <c r="AE413" i="17"/>
  <c r="AF412" i="17"/>
  <c r="AB408" i="17"/>
  <c r="AC407" i="17"/>
  <c r="AD406" i="17"/>
  <c r="AE405" i="17"/>
  <c r="AF404" i="17"/>
  <c r="AD595" i="17"/>
  <c r="AD582" i="17"/>
  <c r="AG582" i="17" s="1"/>
  <c r="AB578" i="17"/>
  <c r="AG578" i="17" s="1"/>
  <c r="AG549" i="17"/>
  <c r="AC546" i="17"/>
  <c r="AE544" i="17"/>
  <c r="AB539" i="17"/>
  <c r="AD537" i="17"/>
  <c r="AF535" i="17"/>
  <c r="AC530" i="17"/>
  <c r="AG530" i="17" s="1"/>
  <c r="AE528" i="17"/>
  <c r="AB523" i="17"/>
  <c r="AD521" i="17"/>
  <c r="AG521" i="17" s="1"/>
  <c r="AF519" i="17"/>
  <c r="AC514" i="17"/>
  <c r="AE512" i="17"/>
  <c r="AB507" i="17"/>
  <c r="AD505" i="17"/>
  <c r="AG505" i="17" s="1"/>
  <c r="AF503" i="17"/>
  <c r="AE496" i="17"/>
  <c r="AC495" i="17"/>
  <c r="AB494" i="17"/>
  <c r="AF490" i="17"/>
  <c r="AD489" i="17"/>
  <c r="AD488" i="17"/>
  <c r="AD487" i="17"/>
  <c r="AD486" i="17"/>
  <c r="AD485" i="17"/>
  <c r="AE484" i="17"/>
  <c r="AF483" i="17"/>
  <c r="AB479" i="17"/>
  <c r="AG479" i="17" s="1"/>
  <c r="AC478" i="17"/>
  <c r="AD477" i="17"/>
  <c r="AE476" i="17"/>
  <c r="AF475" i="17"/>
  <c r="AB471" i="17"/>
  <c r="AG471" i="17" s="1"/>
  <c r="AC470" i="17"/>
  <c r="AD469" i="17"/>
  <c r="AE468" i="17"/>
  <c r="AF467" i="17"/>
  <c r="AB463" i="17"/>
  <c r="AG463" i="17" s="1"/>
  <c r="AC462" i="17"/>
  <c r="AD461" i="17"/>
  <c r="AE460" i="17"/>
  <c r="AF459" i="17"/>
  <c r="AB455" i="17"/>
  <c r="AC454" i="17"/>
  <c r="AD453" i="17"/>
  <c r="AE452" i="17"/>
  <c r="AF451" i="17"/>
  <c r="AB447" i="17"/>
  <c r="AG447" i="17" s="1"/>
  <c r="AC446" i="17"/>
  <c r="AD445" i="17"/>
  <c r="AE444" i="17"/>
  <c r="AF443" i="17"/>
  <c r="AB439" i="17"/>
  <c r="AG439" i="17" s="1"/>
  <c r="AC438" i="17"/>
  <c r="AD437" i="17"/>
  <c r="AE436" i="17"/>
  <c r="AF435" i="17"/>
  <c r="AB431" i="17"/>
  <c r="AC430" i="17"/>
  <c r="AD429" i="17"/>
  <c r="AE428" i="17"/>
  <c r="AF427" i="17"/>
  <c r="AB423" i="17"/>
  <c r="AC422" i="17"/>
  <c r="AD421" i="17"/>
  <c r="AE420" i="17"/>
  <c r="AF419" i="17"/>
  <c r="AB415" i="17"/>
  <c r="AG415" i="17" s="1"/>
  <c r="AC414" i="17"/>
  <c r="AD413" i="17"/>
  <c r="AE412" i="17"/>
  <c r="AF411" i="17"/>
  <c r="AB407" i="17"/>
  <c r="AG407" i="17" s="1"/>
  <c r="AC406" i="17"/>
  <c r="AD405" i="17"/>
  <c r="AE404" i="17"/>
  <c r="AF403" i="17"/>
  <c r="AB594" i="17"/>
  <c r="AG594" i="17" s="1"/>
  <c r="AC586" i="17"/>
  <c r="AF581" i="17"/>
  <c r="AG581" i="17" s="1"/>
  <c r="AI581" i="17" s="1"/>
  <c r="AE577" i="17"/>
  <c r="AE573" i="17"/>
  <c r="AG573" i="17" s="1"/>
  <c r="AD569" i="17"/>
  <c r="AD565" i="17"/>
  <c r="AG565" i="17" s="1"/>
  <c r="AI565" i="17" s="1"/>
  <c r="AC561" i="17"/>
  <c r="AB557" i="17"/>
  <c r="AG557" i="17" s="1"/>
  <c r="AB553" i="17"/>
  <c r="AG553" i="17" s="1"/>
  <c r="AB544" i="17"/>
  <c r="AD542" i="17"/>
  <c r="AG542" i="17" s="1"/>
  <c r="AF540" i="17"/>
  <c r="AC535" i="17"/>
  <c r="AG535" i="17" s="1"/>
  <c r="AE533" i="17"/>
  <c r="AB528" i="17"/>
  <c r="AD526" i="17"/>
  <c r="AG526" i="17" s="1"/>
  <c r="AF524" i="17"/>
  <c r="AC519" i="17"/>
  <c r="AE517" i="17"/>
  <c r="AG515" i="17"/>
  <c r="AB512" i="17"/>
  <c r="AD510" i="17"/>
  <c r="AG510" i="17" s="1"/>
  <c r="AF508" i="17"/>
  <c r="AC503" i="17"/>
  <c r="AG503" i="17" s="1"/>
  <c r="AE501" i="17"/>
  <c r="AF497" i="17"/>
  <c r="AC496" i="17"/>
  <c r="AB495" i="17"/>
  <c r="AF491" i="17"/>
  <c r="AG491" i="17" s="1"/>
  <c r="AE490" i="17"/>
  <c r="AC489" i="17"/>
  <c r="AC488" i="17"/>
  <c r="AC487" i="17"/>
  <c r="AG487" i="17" s="1"/>
  <c r="AC486" i="17"/>
  <c r="AC485" i="17"/>
  <c r="AD484" i="17"/>
  <c r="AE483" i="17"/>
  <c r="AF482" i="17"/>
  <c r="AB478" i="17"/>
  <c r="AC477" i="17"/>
  <c r="AD476" i="17"/>
  <c r="AE475" i="17"/>
  <c r="AF474" i="17"/>
  <c r="AB470" i="17"/>
  <c r="AC469" i="17"/>
  <c r="AD468" i="17"/>
  <c r="AE467" i="17"/>
  <c r="AF466" i="17"/>
  <c r="AG466" i="17" s="1"/>
  <c r="AB462" i="17"/>
  <c r="AC461" i="17"/>
  <c r="AD460" i="17"/>
  <c r="AE459" i="17"/>
  <c r="AF458" i="17"/>
  <c r="AB454" i="17"/>
  <c r="AG454" i="17" s="1"/>
  <c r="AC453" i="17"/>
  <c r="AD452" i="17"/>
  <c r="AE451" i="17"/>
  <c r="AF450" i="17"/>
  <c r="AG449" i="17"/>
  <c r="AB446" i="17"/>
  <c r="AG446" i="17" s="1"/>
  <c r="AC445" i="17"/>
  <c r="AD444" i="17"/>
  <c r="AE443" i="17"/>
  <c r="AF442" i="17"/>
  <c r="AG442" i="17" s="1"/>
  <c r="AB438" i="17"/>
  <c r="AC437" i="17"/>
  <c r="AD436" i="17"/>
  <c r="AE435" i="17"/>
  <c r="AF434" i="17"/>
  <c r="AG433" i="17"/>
  <c r="AB430" i="17"/>
  <c r="AG430" i="17" s="1"/>
  <c r="AC429" i="17"/>
  <c r="AD428" i="17"/>
  <c r="AE427" i="17"/>
  <c r="AF426" i="17"/>
  <c r="AB422" i="17"/>
  <c r="AC421" i="17"/>
  <c r="AD420" i="17"/>
  <c r="AE419" i="17"/>
  <c r="AF418" i="17"/>
  <c r="AB414" i="17"/>
  <c r="AC413" i="17"/>
  <c r="AD412" i="17"/>
  <c r="AE411" i="17"/>
  <c r="AF410" i="17"/>
  <c r="AG409" i="17"/>
  <c r="AB406" i="17"/>
  <c r="AC405" i="17"/>
  <c r="AD404" i="17"/>
  <c r="AE403" i="17"/>
  <c r="AF402" i="17"/>
  <c r="AB398" i="17"/>
  <c r="AC397" i="17"/>
  <c r="AD396" i="17"/>
  <c r="AE395" i="17"/>
  <c r="AF394" i="17"/>
  <c r="AB390" i="17"/>
  <c r="AC389" i="17"/>
  <c r="AD388" i="17"/>
  <c r="AE387" i="17"/>
  <c r="AF386" i="17"/>
  <c r="AB382" i="17"/>
  <c r="AC381" i="17"/>
  <c r="AD380" i="17"/>
  <c r="AE379" i="17"/>
  <c r="AF378" i="17"/>
  <c r="AB374" i="17"/>
  <c r="AC373" i="17"/>
  <c r="AD372" i="17"/>
  <c r="AE371" i="17"/>
  <c r="AF370" i="17"/>
  <c r="AB366" i="17"/>
  <c r="AC365" i="17"/>
  <c r="AD364" i="17"/>
  <c r="AE363" i="17"/>
  <c r="AF362" i="17"/>
  <c r="AB358" i="17"/>
  <c r="AC357" i="17"/>
  <c r="AD356" i="17"/>
  <c r="AE355" i="17"/>
  <c r="AF354" i="17"/>
  <c r="AB350" i="17"/>
  <c r="AC349" i="17"/>
  <c r="AD348" i="17"/>
  <c r="AE347" i="17"/>
  <c r="AF346" i="17"/>
  <c r="AB342" i="17"/>
  <c r="AC341" i="17"/>
  <c r="AD340" i="17"/>
  <c r="AE339" i="17"/>
  <c r="AF338" i="17"/>
  <c r="AB334" i="17"/>
  <c r="AC333" i="17"/>
  <c r="AD332" i="17"/>
  <c r="AE331" i="17"/>
  <c r="AG331" i="17" s="1"/>
  <c r="AF330" i="17"/>
  <c r="AB326" i="17"/>
  <c r="AG326" i="17" s="1"/>
  <c r="AI326" i="17" s="1"/>
  <c r="AC325" i="17"/>
  <c r="AD324" i="17"/>
  <c r="AE323" i="17"/>
  <c r="AF322" i="17"/>
  <c r="AB318" i="17"/>
  <c r="AG318" i="17" s="1"/>
  <c r="AC317" i="17"/>
  <c r="AG317" i="17" s="1"/>
  <c r="AI317" i="17" s="1"/>
  <c r="AD316" i="17"/>
  <c r="AE315" i="17"/>
  <c r="AF314" i="17"/>
  <c r="AB310" i="17"/>
  <c r="AC309" i="17"/>
  <c r="AD308" i="17"/>
  <c r="AE307" i="17"/>
  <c r="AF306" i="17"/>
  <c r="AB302" i="17"/>
  <c r="AG302" i="17" s="1"/>
  <c r="AC301" i="17"/>
  <c r="AD300" i="17"/>
  <c r="AE299" i="17"/>
  <c r="AF298" i="17"/>
  <c r="AB294" i="17"/>
  <c r="AC293" i="17"/>
  <c r="AD292" i="17"/>
  <c r="AE291" i="17"/>
  <c r="AF290" i="17"/>
  <c r="AB286" i="17"/>
  <c r="AC285" i="17"/>
  <c r="AD284" i="17"/>
  <c r="AE283" i="17"/>
  <c r="AF282" i="17"/>
  <c r="AG281" i="17"/>
  <c r="AB278" i="17"/>
  <c r="AC277" i="17"/>
  <c r="AD276" i="17"/>
  <c r="AE275" i="17"/>
  <c r="AF274" i="17"/>
  <c r="AB270" i="17"/>
  <c r="AC269" i="17"/>
  <c r="AD268" i="17"/>
  <c r="AE267" i="17"/>
  <c r="AF266" i="17"/>
  <c r="AB262" i="17"/>
  <c r="AC261" i="17"/>
  <c r="AD260" i="17"/>
  <c r="AE259" i="17"/>
  <c r="AF258" i="17"/>
  <c r="AB254" i="17"/>
  <c r="AC253" i="17"/>
  <c r="AD252" i="17"/>
  <c r="AE251" i="17"/>
  <c r="AF250" i="17"/>
  <c r="AB246" i="17"/>
  <c r="AC245" i="17"/>
  <c r="AD244" i="17"/>
  <c r="AE243" i="17"/>
  <c r="AF242" i="17"/>
  <c r="AB238" i="17"/>
  <c r="AC237" i="17"/>
  <c r="AD236" i="17"/>
  <c r="AE235" i="17"/>
  <c r="AF234" i="17"/>
  <c r="AB230" i="17"/>
  <c r="AC229" i="17"/>
  <c r="AD228" i="17"/>
  <c r="AE227" i="17"/>
  <c r="AB486" i="17"/>
  <c r="AG486" i="17" s="1"/>
  <c r="AG464" i="17"/>
  <c r="AF457" i="17"/>
  <c r="AG457" i="17" s="1"/>
  <c r="AE450" i="17"/>
  <c r="AG450" i="17" s="1"/>
  <c r="AD443" i="17"/>
  <c r="AG443" i="17" s="1"/>
  <c r="AC436" i="17"/>
  <c r="AG436" i="17" s="1"/>
  <c r="AI436" i="17" s="1"/>
  <c r="AB429" i="17"/>
  <c r="AG429" i="17" s="1"/>
  <c r="AD419" i="17"/>
  <c r="AG419" i="17" s="1"/>
  <c r="AC412" i="17"/>
  <c r="AG412" i="17" s="1"/>
  <c r="AG408" i="17"/>
  <c r="AB405" i="17"/>
  <c r="AD400" i="17"/>
  <c r="AB399" i="17"/>
  <c r="AG399" i="17" s="1"/>
  <c r="AF397" i="17"/>
  <c r="AC396" i="17"/>
  <c r="AC393" i="17"/>
  <c r="AE390" i="17"/>
  <c r="AB389" i="17"/>
  <c r="AB386" i="17"/>
  <c r="AG386" i="17" s="1"/>
  <c r="AD383" i="17"/>
  <c r="AF380" i="17"/>
  <c r="AC376" i="17"/>
  <c r="AE373" i="17"/>
  <c r="AB369" i="17"/>
  <c r="AG369" i="17" s="1"/>
  <c r="AD366" i="17"/>
  <c r="AF363" i="17"/>
  <c r="AC359" i="17"/>
  <c r="AE356" i="17"/>
  <c r="AF353" i="17"/>
  <c r="AB352" i="17"/>
  <c r="AF350" i="17"/>
  <c r="AD349" i="17"/>
  <c r="AE346" i="17"/>
  <c r="AE343" i="17"/>
  <c r="AC342" i="17"/>
  <c r="AG340" i="17"/>
  <c r="AI340" i="17" s="1"/>
  <c r="AD339" i="17"/>
  <c r="AD336" i="17"/>
  <c r="AB335" i="17"/>
  <c r="AG335" i="17" s="1"/>
  <c r="AF333" i="17"/>
  <c r="AC332" i="17"/>
  <c r="AC329" i="17"/>
  <c r="AE326" i="17"/>
  <c r="AB325" i="17"/>
  <c r="AB322" i="17"/>
  <c r="AD319" i="17"/>
  <c r="AF316" i="17"/>
  <c r="AC312" i="17"/>
  <c r="AE309" i="17"/>
  <c r="AG306" i="17"/>
  <c r="AB305" i="17"/>
  <c r="AD302" i="17"/>
  <c r="AF299" i="17"/>
  <c r="AC295" i="17"/>
  <c r="AE292" i="17"/>
  <c r="AF289" i="17"/>
  <c r="AB288" i="17"/>
  <c r="AF286" i="17"/>
  <c r="AD285" i="17"/>
  <c r="AE282" i="17"/>
  <c r="AE279" i="17"/>
  <c r="AC278" i="17"/>
  <c r="AD273" i="17"/>
  <c r="AC272" i="17"/>
  <c r="AB271" i="17"/>
  <c r="AG271" i="17" s="1"/>
  <c r="AF267" i="17"/>
  <c r="AC266" i="17"/>
  <c r="AB265" i="17"/>
  <c r="AB485" i="17"/>
  <c r="AG485" i="17" s="1"/>
  <c r="AG456" i="17"/>
  <c r="AF449" i="17"/>
  <c r="AE442" i="17"/>
  <c r="AD435" i="17"/>
  <c r="AC428" i="17"/>
  <c r="AF422" i="17"/>
  <c r="AE415" i="17"/>
  <c r="AD408" i="17"/>
  <c r="AC400" i="17"/>
  <c r="AE397" i="17"/>
  <c r="AG397" i="17" s="1"/>
  <c r="AB393" i="17"/>
  <c r="AG393" i="17" s="1"/>
  <c r="AD390" i="17"/>
  <c r="AF387" i="17"/>
  <c r="AC383" i="17"/>
  <c r="AE380" i="17"/>
  <c r="AF377" i="17"/>
  <c r="AB376" i="17"/>
  <c r="AF374" i="17"/>
  <c r="AD373" i="17"/>
  <c r="AE370" i="17"/>
  <c r="AE367" i="17"/>
  <c r="AC366" i="17"/>
  <c r="AD363" i="17"/>
  <c r="AD360" i="17"/>
  <c r="AB359" i="17"/>
  <c r="AF357" i="17"/>
  <c r="AC356" i="17"/>
  <c r="AG356" i="17" s="1"/>
  <c r="AI356" i="17" s="1"/>
  <c r="AC353" i="17"/>
  <c r="AE350" i="17"/>
  <c r="AB349" i="17"/>
  <c r="AB346" i="17"/>
  <c r="AD343" i="17"/>
  <c r="AF340" i="17"/>
  <c r="AC336" i="17"/>
  <c r="AE333" i="17"/>
  <c r="AB329" i="17"/>
  <c r="AG329" i="17" s="1"/>
  <c r="AI329" i="17" s="1"/>
  <c r="AD326" i="17"/>
  <c r="AF323" i="17"/>
  <c r="AC319" i="17"/>
  <c r="AE316" i="17"/>
  <c r="AF313" i="17"/>
  <c r="AB312" i="17"/>
  <c r="AF310" i="17"/>
  <c r="AD309" i="17"/>
  <c r="AE306" i="17"/>
  <c r="AE303" i="17"/>
  <c r="AC302" i="17"/>
  <c r="AD299" i="17"/>
  <c r="AD296" i="17"/>
  <c r="AB295" i="17"/>
  <c r="AF293" i="17"/>
  <c r="AC292" i="17"/>
  <c r="AC289" i="17"/>
  <c r="AE286" i="17"/>
  <c r="AB285" i="17"/>
  <c r="AG283" i="17"/>
  <c r="AB282" i="17"/>
  <c r="AD279" i="17"/>
  <c r="AE274" i="17"/>
  <c r="AC273" i="17"/>
  <c r="AB272" i="17"/>
  <c r="AF268" i="17"/>
  <c r="AD267" i="17"/>
  <c r="AB266" i="17"/>
  <c r="AF262" i="17"/>
  <c r="AE261" i="17"/>
  <c r="AC260" i="17"/>
  <c r="AF249" i="17"/>
  <c r="AF248" i="17"/>
  <c r="AF247" i="17"/>
  <c r="AF246" i="17"/>
  <c r="AF245" i="17"/>
  <c r="AF244" i="17"/>
  <c r="AF243" i="17"/>
  <c r="AE242" i="17"/>
  <c r="AE241" i="17"/>
  <c r="AE240" i="17"/>
  <c r="AE239" i="17"/>
  <c r="AE238" i="17"/>
  <c r="AE237" i="17"/>
  <c r="AE236" i="17"/>
  <c r="AD235" i="17"/>
  <c r="AD234" i="17"/>
  <c r="AD233" i="17"/>
  <c r="AD232" i="17"/>
  <c r="AD231" i="17"/>
  <c r="AD230" i="17"/>
  <c r="AD229" i="17"/>
  <c r="AC228" i="17"/>
  <c r="AC227" i="17"/>
  <c r="AD226" i="17"/>
  <c r="AE225" i="17"/>
  <c r="AF224" i="17"/>
  <c r="AB220" i="17"/>
  <c r="AC219" i="17"/>
  <c r="AD218" i="17"/>
  <c r="AE217" i="17"/>
  <c r="AF216" i="17"/>
  <c r="AB212" i="17"/>
  <c r="AC211" i="17"/>
  <c r="AG211" i="17" s="1"/>
  <c r="AD210" i="17"/>
  <c r="AE209" i="17"/>
  <c r="AF208" i="17"/>
  <c r="AB204" i="17"/>
  <c r="AC203" i="17"/>
  <c r="AD202" i="17"/>
  <c r="AE201" i="17"/>
  <c r="AF200" i="17"/>
  <c r="AC484" i="17"/>
  <c r="AG484" i="17" s="1"/>
  <c r="AB477" i="17"/>
  <c r="AG477" i="17" s="1"/>
  <c r="AF441" i="17"/>
  <c r="AE434" i="17"/>
  <c r="AD427" i="17"/>
  <c r="AE418" i="17"/>
  <c r="AD411" i="17"/>
  <c r="AG411" i="17" s="1"/>
  <c r="AC404" i="17"/>
  <c r="AG404" i="17" s="1"/>
  <c r="AI404" i="17" s="1"/>
  <c r="AF401" i="17"/>
  <c r="AB400" i="17"/>
  <c r="AF398" i="17"/>
  <c r="AD397" i="17"/>
  <c r="AE394" i="17"/>
  <c r="AE391" i="17"/>
  <c r="AC390" i="17"/>
  <c r="AD387" i="17"/>
  <c r="AG387" i="17" s="1"/>
  <c r="AD384" i="17"/>
  <c r="AB383" i="17"/>
  <c r="AG383" i="17" s="1"/>
  <c r="AF381" i="17"/>
  <c r="AC380" i="17"/>
  <c r="AC377" i="17"/>
  <c r="AE374" i="17"/>
  <c r="AB373" i="17"/>
  <c r="AB370" i="17"/>
  <c r="AD367" i="17"/>
  <c r="AF364" i="17"/>
  <c r="AC360" i="17"/>
  <c r="AE357" i="17"/>
  <c r="AB353" i="17"/>
  <c r="AG353" i="17" s="1"/>
  <c r="AD350" i="17"/>
  <c r="AF347" i="17"/>
  <c r="AC343" i="17"/>
  <c r="AE340" i="17"/>
  <c r="AF337" i="17"/>
  <c r="AB336" i="17"/>
  <c r="AF334" i="17"/>
  <c r="AD333" i="17"/>
  <c r="AG333" i="17" s="1"/>
  <c r="AE330" i="17"/>
  <c r="AE327" i="17"/>
  <c r="AC326" i="17"/>
  <c r="AD323" i="17"/>
  <c r="AG323" i="17" s="1"/>
  <c r="AD320" i="17"/>
  <c r="AB319" i="17"/>
  <c r="AG319" i="17" s="1"/>
  <c r="AF317" i="17"/>
  <c r="AC316" i="17"/>
  <c r="AC313" i="17"/>
  <c r="AE310" i="17"/>
  <c r="AB309" i="17"/>
  <c r="AB306" i="17"/>
  <c r="AD303" i="17"/>
  <c r="AF300" i="17"/>
  <c r="AC296" i="17"/>
  <c r="AE293" i="17"/>
  <c r="AB289" i="17"/>
  <c r="AG289" i="17" s="1"/>
  <c r="AD286" i="17"/>
  <c r="AF283" i="17"/>
  <c r="AC279" i="17"/>
  <c r="AF275" i="17"/>
  <c r="AC274" i="17"/>
  <c r="AB273" i="17"/>
  <c r="AF269" i="17"/>
  <c r="AE268" i="17"/>
  <c r="AB267" i="17"/>
  <c r="AF263" i="17"/>
  <c r="AE262" i="17"/>
  <c r="AD261" i="17"/>
  <c r="AF256" i="17"/>
  <c r="AF255" i="17"/>
  <c r="AF254" i="17"/>
  <c r="AF253" i="17"/>
  <c r="AF252" i="17"/>
  <c r="AF251" i="17"/>
  <c r="AE250" i="17"/>
  <c r="AE249" i="17"/>
  <c r="AE248" i="17"/>
  <c r="AE247" i="17"/>
  <c r="AE246" i="17"/>
  <c r="AE245" i="17"/>
  <c r="AE244" i="17"/>
  <c r="AD243" i="17"/>
  <c r="AD242" i="17"/>
  <c r="AD241" i="17"/>
  <c r="AD240" i="17"/>
  <c r="AD239" i="17"/>
  <c r="AD238" i="17"/>
  <c r="AD237" i="17"/>
  <c r="AC236" i="17"/>
  <c r="AC235" i="17"/>
  <c r="AC234" i="17"/>
  <c r="AC233" i="17"/>
  <c r="AC232" i="17"/>
  <c r="AC231" i="17"/>
  <c r="AC230" i="17"/>
  <c r="AB229" i="17"/>
  <c r="AB228" i="17"/>
  <c r="AB227" i="17"/>
  <c r="AC226" i="17"/>
  <c r="AD225" i="17"/>
  <c r="AE224" i="17"/>
  <c r="AF223" i="17"/>
  <c r="AB219" i="17"/>
  <c r="AC218" i="17"/>
  <c r="AD217" i="17"/>
  <c r="AE216" i="17"/>
  <c r="AF215" i="17"/>
  <c r="AG214" i="17"/>
  <c r="AB211" i="17"/>
  <c r="AC210" i="17"/>
  <c r="AD209" i="17"/>
  <c r="AE208" i="17"/>
  <c r="AF207" i="17"/>
  <c r="AB203" i="17"/>
  <c r="AC202" i="17"/>
  <c r="AD201" i="17"/>
  <c r="AD483" i="17"/>
  <c r="AG483" i="17" s="1"/>
  <c r="AC476" i="17"/>
  <c r="AG476" i="17" s="1"/>
  <c r="AB469" i="17"/>
  <c r="AG469" i="17" s="1"/>
  <c r="AG440" i="17"/>
  <c r="AI440" i="17" s="1"/>
  <c r="AF433" i="17"/>
  <c r="AE426" i="17"/>
  <c r="AG426" i="17" s="1"/>
  <c r="AB418" i="17"/>
  <c r="AF414" i="17"/>
  <c r="AE407" i="17"/>
  <c r="AC401" i="17"/>
  <c r="AE398" i="17"/>
  <c r="AB397" i="17"/>
  <c r="AB394" i="17"/>
  <c r="AD391" i="17"/>
  <c r="AF388" i="17"/>
  <c r="AC384" i="17"/>
  <c r="AG384" i="17" s="1"/>
  <c r="AE381" i="17"/>
  <c r="AB377" i="17"/>
  <c r="AD374" i="17"/>
  <c r="AF371" i="17"/>
  <c r="AC367" i="17"/>
  <c r="AG365" i="17"/>
  <c r="AE364" i="17"/>
  <c r="AF361" i="17"/>
  <c r="AB360" i="17"/>
  <c r="AG360" i="17" s="1"/>
  <c r="AF358" i="17"/>
  <c r="AD357" i="17"/>
  <c r="AE354" i="17"/>
  <c r="AE351" i="17"/>
  <c r="AC350" i="17"/>
  <c r="AD347" i="17"/>
  <c r="AG347" i="17" s="1"/>
  <c r="AD344" i="17"/>
  <c r="AB343" i="17"/>
  <c r="AG343" i="17" s="1"/>
  <c r="AF341" i="17"/>
  <c r="AC340" i="17"/>
  <c r="AC337" i="17"/>
  <c r="AE334" i="17"/>
  <c r="AB333" i="17"/>
  <c r="AB330" i="17"/>
  <c r="AG330" i="17" s="1"/>
  <c r="AD327" i="17"/>
  <c r="AF324" i="17"/>
  <c r="AC320" i="17"/>
  <c r="AE317" i="17"/>
  <c r="AB313" i="17"/>
  <c r="AD310" i="17"/>
  <c r="AF307" i="17"/>
  <c r="AC303" i="17"/>
  <c r="AE300" i="17"/>
  <c r="AF297" i="17"/>
  <c r="AB296" i="17"/>
  <c r="AF294" i="17"/>
  <c r="AD293" i="17"/>
  <c r="AE290" i="17"/>
  <c r="AE287" i="17"/>
  <c r="AC286" i="17"/>
  <c r="AD283" i="17"/>
  <c r="AE482" i="17"/>
  <c r="AG482" i="17" s="1"/>
  <c r="AD475" i="17"/>
  <c r="AG475" i="17" s="1"/>
  <c r="AC468" i="17"/>
  <c r="AG468" i="17" s="1"/>
  <c r="AB461" i="17"/>
  <c r="AG432" i="17"/>
  <c r="AF425" i="17"/>
  <c r="AG425" i="17" s="1"/>
  <c r="AB421" i="17"/>
  <c r="AG421" i="17" s="1"/>
  <c r="AF417" i="17"/>
  <c r="AE410" i="17"/>
  <c r="AD403" i="17"/>
  <c r="AG403" i="17" s="1"/>
  <c r="AB401" i="17"/>
  <c r="AG401" i="17" s="1"/>
  <c r="AD398" i="17"/>
  <c r="AF395" i="17"/>
  <c r="AC391" i="17"/>
  <c r="AE388" i="17"/>
  <c r="AF385" i="17"/>
  <c r="AB384" i="17"/>
  <c r="AF382" i="17"/>
  <c r="AD381" i="17"/>
  <c r="AE378" i="17"/>
  <c r="AE375" i="17"/>
  <c r="AC374" i="17"/>
  <c r="AD371" i="17"/>
  <c r="AG371" i="17" s="1"/>
  <c r="AD368" i="17"/>
  <c r="AB367" i="17"/>
  <c r="AF365" i="17"/>
  <c r="AC364" i="17"/>
  <c r="AG364" i="17" s="1"/>
  <c r="AC361" i="17"/>
  <c r="AE358" i="17"/>
  <c r="AB357" i="17"/>
  <c r="AG357" i="17" s="1"/>
  <c r="AB354" i="17"/>
  <c r="AD351" i="17"/>
  <c r="AF348" i="17"/>
  <c r="AC344" i="17"/>
  <c r="AE341" i="17"/>
  <c r="AB337" i="17"/>
  <c r="AD334" i="17"/>
  <c r="AF331" i="17"/>
  <c r="AC327" i="17"/>
  <c r="AG325" i="17"/>
  <c r="AI325" i="17" s="1"/>
  <c r="AE324" i="17"/>
  <c r="AF321" i="17"/>
  <c r="AB320" i="17"/>
  <c r="AF318" i="17"/>
  <c r="AD317" i="17"/>
  <c r="AE314" i="17"/>
  <c r="AE311" i="17"/>
  <c r="AC310" i="17"/>
  <c r="AD307" i="17"/>
  <c r="AG307" i="17" s="1"/>
  <c r="AD304" i="17"/>
  <c r="AB303" i="17"/>
  <c r="AF301" i="17"/>
  <c r="AC300" i="17"/>
  <c r="AG300" i="17" s="1"/>
  <c r="AC297" i="17"/>
  <c r="AE294" i="17"/>
  <c r="AB293" i="17"/>
  <c r="AG293" i="17" s="1"/>
  <c r="AG291" i="17"/>
  <c r="AB290" i="17"/>
  <c r="AG290" i="17" s="1"/>
  <c r="AD287" i="17"/>
  <c r="AF284" i="17"/>
  <c r="AC280" i="17"/>
  <c r="AF277" i="17"/>
  <c r="AE276" i="17"/>
  <c r="AB275" i="17"/>
  <c r="AF271" i="17"/>
  <c r="AE270" i="17"/>
  <c r="AD269" i="17"/>
  <c r="AE264" i="17"/>
  <c r="AD263" i="17"/>
  <c r="AC262" i="17"/>
  <c r="AD257" i="17"/>
  <c r="AD256" i="17"/>
  <c r="AD255" i="17"/>
  <c r="AD254" i="17"/>
  <c r="AG254" i="17" s="1"/>
  <c r="AD253" i="17"/>
  <c r="AC252" i="17"/>
  <c r="AC251" i="17"/>
  <c r="AC250" i="17"/>
  <c r="AC249" i="17"/>
  <c r="AC248" i="17"/>
  <c r="AC247" i="17"/>
  <c r="AC246" i="17"/>
  <c r="AB245" i="17"/>
  <c r="AB244" i="17"/>
  <c r="AB243" i="17"/>
  <c r="AB242" i="17"/>
  <c r="AB241" i="17"/>
  <c r="AB240" i="17"/>
  <c r="AB239" i="17"/>
  <c r="AB225" i="17"/>
  <c r="AC224" i="17"/>
  <c r="AD223" i="17"/>
  <c r="AE222" i="17"/>
  <c r="AF221" i="17"/>
  <c r="AB217" i="17"/>
  <c r="AC216" i="17"/>
  <c r="AD215" i="17"/>
  <c r="AE214" i="17"/>
  <c r="AF213" i="17"/>
  <c r="AG213" i="17" s="1"/>
  <c r="AB209" i="17"/>
  <c r="AC208" i="17"/>
  <c r="AD207" i="17"/>
  <c r="AE206" i="17"/>
  <c r="AF205" i="17"/>
  <c r="AB201" i="17"/>
  <c r="AF481" i="17"/>
  <c r="AE474" i="17"/>
  <c r="AD467" i="17"/>
  <c r="AG467" i="17" s="1"/>
  <c r="AC460" i="17"/>
  <c r="AG460" i="17" s="1"/>
  <c r="AB453" i="17"/>
  <c r="AG424" i="17"/>
  <c r="AC417" i="17"/>
  <c r="AG417" i="17" s="1"/>
  <c r="AB410" i="17"/>
  <c r="AF406" i="17"/>
  <c r="AE399" i="17"/>
  <c r="AC398" i="17"/>
  <c r="AG398" i="17" s="1"/>
  <c r="AD395" i="17"/>
  <c r="AD392" i="17"/>
  <c r="AB391" i="17"/>
  <c r="AF389" i="17"/>
  <c r="AC388" i="17"/>
  <c r="AC385" i="17"/>
  <c r="AE382" i="17"/>
  <c r="AB381" i="17"/>
  <c r="AG379" i="17"/>
  <c r="AB378" i="17"/>
  <c r="AD375" i="17"/>
  <c r="AF372" i="17"/>
  <c r="AC368" i="17"/>
  <c r="AG368" i="17" s="1"/>
  <c r="AE365" i="17"/>
  <c r="AB361" i="17"/>
  <c r="AG361" i="17" s="1"/>
  <c r="AD358" i="17"/>
  <c r="AF355" i="17"/>
  <c r="AG352" i="17"/>
  <c r="AC351" i="17"/>
  <c r="AE348" i="17"/>
  <c r="AF345" i="17"/>
  <c r="AB344" i="17"/>
  <c r="AF342" i="17"/>
  <c r="AD341" i="17"/>
  <c r="AE338" i="17"/>
  <c r="AE335" i="17"/>
  <c r="AC334" i="17"/>
  <c r="AD331" i="17"/>
  <c r="AD328" i="17"/>
  <c r="AB327" i="17"/>
  <c r="AF325" i="17"/>
  <c r="AC324" i="17"/>
  <c r="AC321" i="17"/>
  <c r="AE318" i="17"/>
  <c r="AB317" i="17"/>
  <c r="AB314" i="17"/>
  <c r="AD311" i="17"/>
  <c r="AF308" i="17"/>
  <c r="AC304" i="17"/>
  <c r="AE301" i="17"/>
  <c r="AB297" i="17"/>
  <c r="AG297" i="17" s="1"/>
  <c r="AD294" i="17"/>
  <c r="AF291" i="17"/>
  <c r="AC287" i="17"/>
  <c r="AE284" i="17"/>
  <c r="AF281" i="17"/>
  <c r="AB280" i="17"/>
  <c r="AF278" i="17"/>
  <c r="AE277" i="17"/>
  <c r="AC276" i="17"/>
  <c r="AG276" i="17" s="1"/>
  <c r="AE271" i="17"/>
  <c r="AD270" i="17"/>
  <c r="AB269" i="17"/>
  <c r="AF265" i="17"/>
  <c r="AD264" i="17"/>
  <c r="AC263" i="17"/>
  <c r="AE258" i="17"/>
  <c r="AC257" i="17"/>
  <c r="AC256" i="17"/>
  <c r="AC255" i="17"/>
  <c r="AC254" i="17"/>
  <c r="AB253" i="17"/>
  <c r="AB252" i="17"/>
  <c r="AB251" i="17"/>
  <c r="AG251" i="17" s="1"/>
  <c r="AB250" i="17"/>
  <c r="AB249" i="17"/>
  <c r="AB248" i="17"/>
  <c r="AB247" i="17"/>
  <c r="AB224" i="17"/>
  <c r="AC223" i="17"/>
  <c r="AD222" i="17"/>
  <c r="AE221" i="17"/>
  <c r="AF220" i="17"/>
  <c r="AB216" i="17"/>
  <c r="AC215" i="17"/>
  <c r="AD214" i="17"/>
  <c r="AE213" i="17"/>
  <c r="AF212" i="17"/>
  <c r="AF473" i="17"/>
  <c r="AE466" i="17"/>
  <c r="AD459" i="17"/>
  <c r="AC452" i="17"/>
  <c r="AB445" i="17"/>
  <c r="AC420" i="17"/>
  <c r="AG420" i="17" s="1"/>
  <c r="AB413" i="17"/>
  <c r="AG413" i="17" s="1"/>
  <c r="AF409" i="17"/>
  <c r="AE402" i="17"/>
  <c r="AD399" i="17"/>
  <c r="AF396" i="17"/>
  <c r="AC392" i="17"/>
  <c r="AE389" i="17"/>
  <c r="AB385" i="17"/>
  <c r="AD382" i="17"/>
  <c r="AF379" i="17"/>
  <c r="AC375" i="17"/>
  <c r="AE372" i="17"/>
  <c r="AF369" i="17"/>
  <c r="AB368" i="17"/>
  <c r="AF366" i="17"/>
  <c r="AD365" i="17"/>
  <c r="AE362" i="17"/>
  <c r="AE359" i="17"/>
  <c r="AC358" i="17"/>
  <c r="AD355" i="17"/>
  <c r="AG355" i="17" s="1"/>
  <c r="AD352" i="17"/>
  <c r="AB351" i="17"/>
  <c r="AG351" i="17" s="1"/>
  <c r="AF349" i="17"/>
  <c r="AC348" i="17"/>
  <c r="AG348" i="17" s="1"/>
  <c r="AC345" i="17"/>
  <c r="AE342" i="17"/>
  <c r="AB341" i="17"/>
  <c r="AB338" i="17"/>
  <c r="AD335" i="17"/>
  <c r="AF332" i="17"/>
  <c r="AC328" i="17"/>
  <c r="AE325" i="17"/>
  <c r="AB321" i="17"/>
  <c r="AD318" i="17"/>
  <c r="AF315" i="17"/>
  <c r="AC311" i="17"/>
  <c r="AG309" i="17"/>
  <c r="AI309" i="17" s="1"/>
  <c r="AE308" i="17"/>
  <c r="AF305" i="17"/>
  <c r="AB304" i="17"/>
  <c r="AG304" i="17" s="1"/>
  <c r="AF302" i="17"/>
  <c r="AD301" i="17"/>
  <c r="AE298" i="17"/>
  <c r="AE295" i="17"/>
  <c r="AC294" i="17"/>
  <c r="AD291" i="17"/>
  <c r="AD288" i="17"/>
  <c r="AB287" i="17"/>
  <c r="AF285" i="17"/>
  <c r="AC284" i="17"/>
  <c r="AC281" i="17"/>
  <c r="AE278" i="17"/>
  <c r="AD277" i="17"/>
  <c r="AE272" i="17"/>
  <c r="AD271" i="17"/>
  <c r="AC270" i="17"/>
  <c r="AG270" i="17" s="1"/>
  <c r="AG266" i="17"/>
  <c r="AD265" i="17"/>
  <c r="AC264" i="17"/>
  <c r="AB263" i="17"/>
  <c r="AF259" i="17"/>
  <c r="AC258" i="17"/>
  <c r="AB257" i="17"/>
  <c r="AB256" i="17"/>
  <c r="AG256" i="17" s="1"/>
  <c r="AB255" i="17"/>
  <c r="AG472" i="17"/>
  <c r="AF465" i="17"/>
  <c r="AG465" i="17" s="1"/>
  <c r="AE458" i="17"/>
  <c r="AG458" i="17" s="1"/>
  <c r="AD451" i="17"/>
  <c r="AC444" i="17"/>
  <c r="AB437" i="17"/>
  <c r="AE423" i="17"/>
  <c r="AD416" i="17"/>
  <c r="AC409" i="17"/>
  <c r="AG405" i="17"/>
  <c r="AB402" i="17"/>
  <c r="AG400" i="17"/>
  <c r="AC399" i="17"/>
  <c r="AE396" i="17"/>
  <c r="AG396" i="17" s="1"/>
  <c r="AF393" i="17"/>
  <c r="AB392" i="17"/>
  <c r="AG392" i="17" s="1"/>
  <c r="AI392" i="17" s="1"/>
  <c r="AF390" i="17"/>
  <c r="AD389" i="17"/>
  <c r="AE386" i="17"/>
  <c r="AE383" i="17"/>
  <c r="AC382" i="17"/>
  <c r="AG380" i="17"/>
  <c r="AI380" i="17" s="1"/>
  <c r="AD379" i="17"/>
  <c r="AD376" i="17"/>
  <c r="AG376" i="17" s="1"/>
  <c r="AI376" i="17" s="1"/>
  <c r="AB375" i="17"/>
  <c r="AF373" i="17"/>
  <c r="AC372" i="17"/>
  <c r="AG372" i="17" s="1"/>
  <c r="AI372" i="17" s="1"/>
  <c r="AC369" i="17"/>
  <c r="AE366" i="17"/>
  <c r="AB365" i="17"/>
  <c r="AB362" i="17"/>
  <c r="AD359" i="17"/>
  <c r="AF356" i="17"/>
  <c r="AC352" i="17"/>
  <c r="AE349" i="17"/>
  <c r="AG349" i="17" s="1"/>
  <c r="AG346" i="17"/>
  <c r="AB345" i="17"/>
  <c r="AD342" i="17"/>
  <c r="AF339" i="17"/>
  <c r="AG339" i="17" s="1"/>
  <c r="AG336" i="17"/>
  <c r="AC335" i="17"/>
  <c r="AE332" i="17"/>
  <c r="AG332" i="17" s="1"/>
  <c r="AI332" i="17" s="1"/>
  <c r="AF329" i="17"/>
  <c r="AB328" i="17"/>
  <c r="AF326" i="17"/>
  <c r="AD325" i="17"/>
  <c r="AE322" i="17"/>
  <c r="AG322" i="17" s="1"/>
  <c r="AE319" i="17"/>
  <c r="AC318" i="17"/>
  <c r="AG316" i="17"/>
  <c r="AI316" i="17" s="1"/>
  <c r="AD315" i="17"/>
  <c r="AG315" i="17" s="1"/>
  <c r="AD312" i="17"/>
  <c r="AG312" i="17" s="1"/>
  <c r="AI312" i="17" s="1"/>
  <c r="AB311" i="17"/>
  <c r="AG311" i="17" s="1"/>
  <c r="AI311" i="17" s="1"/>
  <c r="AF309" i="17"/>
  <c r="AC308" i="17"/>
  <c r="AG308" i="17" s="1"/>
  <c r="AI308" i="17" s="1"/>
  <c r="AC305" i="17"/>
  <c r="AG305" i="17" s="1"/>
  <c r="AE302" i="17"/>
  <c r="AB301" i="17"/>
  <c r="AB298" i="17"/>
  <c r="AD295" i="17"/>
  <c r="AF292" i="17"/>
  <c r="AG292" i="17" s="1"/>
  <c r="AC288" i="17"/>
  <c r="AE285" i="17"/>
  <c r="AG285" i="17" s="1"/>
  <c r="AG282" i="17"/>
  <c r="AB281" i="17"/>
  <c r="AD278" i="17"/>
  <c r="AB277" i="17"/>
  <c r="AF273" i="17"/>
  <c r="AD272" i="17"/>
  <c r="AG272" i="17" s="1"/>
  <c r="AC271" i="17"/>
  <c r="AE266" i="17"/>
  <c r="AC265" i="17"/>
  <c r="AG265" i="17" s="1"/>
  <c r="AB264" i="17"/>
  <c r="AF260" i="17"/>
  <c r="AD259" i="17"/>
  <c r="AB258" i="17"/>
  <c r="AG258" i="17" s="1"/>
  <c r="AG240" i="17"/>
  <c r="AG237" i="17"/>
  <c r="AG234" i="17"/>
  <c r="AF233" i="17"/>
  <c r="AF232" i="17"/>
  <c r="AG232" i="17" s="1"/>
  <c r="AF231" i="17"/>
  <c r="AF230" i="17"/>
  <c r="AF229" i="17"/>
  <c r="AF228" i="17"/>
  <c r="AF227" i="17"/>
  <c r="AF226" i="17"/>
  <c r="AB222" i="17"/>
  <c r="AC221" i="17"/>
  <c r="AD220" i="17"/>
  <c r="AE219" i="17"/>
  <c r="AG219" i="17" s="1"/>
  <c r="AF218" i="17"/>
  <c r="AB214" i="17"/>
  <c r="AC213" i="17"/>
  <c r="AD212" i="17"/>
  <c r="AE211" i="17"/>
  <c r="AF210" i="17"/>
  <c r="AB206" i="17"/>
  <c r="AC205" i="17"/>
  <c r="AD204" i="17"/>
  <c r="AE203" i="17"/>
  <c r="AF202" i="17"/>
  <c r="AD280" i="17"/>
  <c r="AF270" i="17"/>
  <c r="AD262" i="17"/>
  <c r="AF257" i="17"/>
  <c r="AE253" i="17"/>
  <c r="AD249" i="17"/>
  <c r="AD245" i="17"/>
  <c r="AC241" i="17"/>
  <c r="AB237" i="17"/>
  <c r="AB233" i="17"/>
  <c r="AC225" i="17"/>
  <c r="AF222" i="17"/>
  <c r="AC220" i="17"/>
  <c r="AE215" i="17"/>
  <c r="AB213" i="17"/>
  <c r="AD208" i="17"/>
  <c r="AF206" i="17"/>
  <c r="AC201" i="17"/>
  <c r="AC200" i="17"/>
  <c r="AB199" i="17"/>
  <c r="AB198" i="17"/>
  <c r="AC197" i="17"/>
  <c r="AF196" i="17"/>
  <c r="AF194" i="17"/>
  <c r="AC193" i="17"/>
  <c r="AE191" i="17"/>
  <c r="AB190" i="17"/>
  <c r="AD188" i="17"/>
  <c r="AF186" i="17"/>
  <c r="AG186" i="17" s="1"/>
  <c r="AC185" i="17"/>
  <c r="AE183" i="17"/>
  <c r="AB182" i="17"/>
  <c r="AD180" i="17"/>
  <c r="AF178" i="17"/>
  <c r="AC177" i="17"/>
  <c r="AE175" i="17"/>
  <c r="AB174" i="17"/>
  <c r="AD172" i="17"/>
  <c r="AF170" i="17"/>
  <c r="AC169" i="17"/>
  <c r="AE167" i="17"/>
  <c r="AB166" i="17"/>
  <c r="AD164" i="17"/>
  <c r="AF162" i="17"/>
  <c r="AC161" i="17"/>
  <c r="AG161" i="17" s="1"/>
  <c r="AE159" i="17"/>
  <c r="AB279" i="17"/>
  <c r="AG279" i="17" s="1"/>
  <c r="AE269" i="17"/>
  <c r="AF261" i="17"/>
  <c r="AG261" i="17" s="1"/>
  <c r="AF240" i="17"/>
  <c r="AF236" i="17"/>
  <c r="AE232" i="17"/>
  <c r="AE228" i="17"/>
  <c r="AG228" i="17" s="1"/>
  <c r="AC222" i="17"/>
  <c r="AF217" i="17"/>
  <c r="AB215" i="17"/>
  <c r="AE210" i="17"/>
  <c r="AB208" i="17"/>
  <c r="AD206" i="17"/>
  <c r="AF204" i="17"/>
  <c r="AB200" i="17"/>
  <c r="AB197" i="17"/>
  <c r="AE196" i="17"/>
  <c r="AE194" i="17"/>
  <c r="AB193" i="17"/>
  <c r="AD191" i="17"/>
  <c r="AF189" i="17"/>
  <c r="AC188" i="17"/>
  <c r="AE186" i="17"/>
  <c r="AB185" i="17"/>
  <c r="AD183" i="17"/>
  <c r="AF181" i="17"/>
  <c r="AC180" i="17"/>
  <c r="AE178" i="17"/>
  <c r="AB177" i="17"/>
  <c r="AD175" i="17"/>
  <c r="AF173" i="17"/>
  <c r="AC172" i="17"/>
  <c r="AE170" i="17"/>
  <c r="AB169" i="17"/>
  <c r="AD167" i="17"/>
  <c r="AF165" i="17"/>
  <c r="AC164" i="17"/>
  <c r="AE162" i="17"/>
  <c r="AB161" i="17"/>
  <c r="AD159" i="17"/>
  <c r="AF157" i="17"/>
  <c r="AC156" i="17"/>
  <c r="AE154" i="17"/>
  <c r="AB153" i="17"/>
  <c r="AD151" i="17"/>
  <c r="AF149" i="17"/>
  <c r="AC148" i="17"/>
  <c r="AE146" i="17"/>
  <c r="AB145" i="17"/>
  <c r="AD143" i="17"/>
  <c r="AF141" i="17"/>
  <c r="AC140" i="17"/>
  <c r="AE138" i="17"/>
  <c r="AB137" i="17"/>
  <c r="AD135" i="17"/>
  <c r="AG277" i="17"/>
  <c r="AC268" i="17"/>
  <c r="AG268" i="17" s="1"/>
  <c r="AB261" i="17"/>
  <c r="AE256" i="17"/>
  <c r="AE252" i="17"/>
  <c r="AD248" i="17"/>
  <c r="AG248" i="17" s="1"/>
  <c r="AI248" i="17" s="1"/>
  <c r="AC244" i="17"/>
  <c r="AC240" i="17"/>
  <c r="AB236" i="17"/>
  <c r="AB232" i="17"/>
  <c r="AD224" i="17"/>
  <c r="AF219" i="17"/>
  <c r="AC217" i="17"/>
  <c r="AG217" i="17" s="1"/>
  <c r="AE212" i="17"/>
  <c r="AB210" i="17"/>
  <c r="AC206" i="17"/>
  <c r="AE204" i="17"/>
  <c r="AD196" i="17"/>
  <c r="AD194" i="17"/>
  <c r="AF192" i="17"/>
  <c r="AC191" i="17"/>
  <c r="AE189" i="17"/>
  <c r="AB188" i="17"/>
  <c r="AD186" i="17"/>
  <c r="AF184" i="17"/>
  <c r="AC183" i="17"/>
  <c r="AE181" i="17"/>
  <c r="AB180" i="17"/>
  <c r="AD178" i="17"/>
  <c r="AF176" i="17"/>
  <c r="AC175" i="17"/>
  <c r="AE173" i="17"/>
  <c r="AB172" i="17"/>
  <c r="AG172" i="17" s="1"/>
  <c r="AD170" i="17"/>
  <c r="AF168" i="17"/>
  <c r="AC167" i="17"/>
  <c r="AE165" i="17"/>
  <c r="AG165" i="17" s="1"/>
  <c r="AB164" i="17"/>
  <c r="AD162" i="17"/>
  <c r="AF160" i="17"/>
  <c r="AC159" i="17"/>
  <c r="AE157" i="17"/>
  <c r="AB156" i="17"/>
  <c r="AG156" i="17" s="1"/>
  <c r="AD154" i="17"/>
  <c r="AF152" i="17"/>
  <c r="AC151" i="17"/>
  <c r="AE149" i="17"/>
  <c r="AB148" i="17"/>
  <c r="AD146" i="17"/>
  <c r="AF144" i="17"/>
  <c r="AC143" i="17"/>
  <c r="AE141" i="17"/>
  <c r="AB140" i="17"/>
  <c r="AD138" i="17"/>
  <c r="AF136" i="17"/>
  <c r="AF276" i="17"/>
  <c r="AE260" i="17"/>
  <c r="AG243" i="17"/>
  <c r="AF239" i="17"/>
  <c r="AF235" i="17"/>
  <c r="AE231" i="17"/>
  <c r="AD227" i="17"/>
  <c r="AG227" i="17" s="1"/>
  <c r="AD219" i="17"/>
  <c r="AF214" i="17"/>
  <c r="AC212" i="17"/>
  <c r="AG212" i="17" s="1"/>
  <c r="AI212" i="17" s="1"/>
  <c r="AC204" i="17"/>
  <c r="AE202" i="17"/>
  <c r="AC196" i="17"/>
  <c r="AF195" i="17"/>
  <c r="AC194" i="17"/>
  <c r="AG194" i="17" s="1"/>
  <c r="AE192" i="17"/>
  <c r="AB191" i="17"/>
  <c r="AD189" i="17"/>
  <c r="AF187" i="17"/>
  <c r="AC186" i="17"/>
  <c r="AE184" i="17"/>
  <c r="AB183" i="17"/>
  <c r="AG182" i="17"/>
  <c r="AI182" i="17" s="1"/>
  <c r="AD181" i="17"/>
  <c r="AF179" i="17"/>
  <c r="AC178" i="17"/>
  <c r="AG178" i="17" s="1"/>
  <c r="AE176" i="17"/>
  <c r="AB175" i="17"/>
  <c r="AG174" i="17"/>
  <c r="AD173" i="17"/>
  <c r="AF171" i="17"/>
  <c r="AC170" i="17"/>
  <c r="AE168" i="17"/>
  <c r="AB167" i="17"/>
  <c r="AG167" i="17" s="1"/>
  <c r="AD165" i="17"/>
  <c r="AF163" i="17"/>
  <c r="AC162" i="17"/>
  <c r="AD275" i="17"/>
  <c r="AE255" i="17"/>
  <c r="AD251" i="17"/>
  <c r="AD247" i="17"/>
  <c r="AC243" i="17"/>
  <c r="AC239" i="17"/>
  <c r="AG239" i="17" s="1"/>
  <c r="AB235" i="17"/>
  <c r="AB231" i="17"/>
  <c r="AD221" i="17"/>
  <c r="AC214" i="17"/>
  <c r="AF209" i="17"/>
  <c r="AE207" i="17"/>
  <c r="AB202" i="17"/>
  <c r="AF199" i="17"/>
  <c r="AF198" i="17"/>
  <c r="AB196" i="17"/>
  <c r="AE195" i="17"/>
  <c r="AB194" i="17"/>
  <c r="AD192" i="17"/>
  <c r="AF190" i="17"/>
  <c r="AG190" i="17" s="1"/>
  <c r="AC189" i="17"/>
  <c r="AE187" i="17"/>
  <c r="AG187" i="17" s="1"/>
  <c r="AB186" i="17"/>
  <c r="AD184" i="17"/>
  <c r="AF182" i="17"/>
  <c r="AC181" i="17"/>
  <c r="AE179" i="17"/>
  <c r="AB178" i="17"/>
  <c r="AG177" i="17"/>
  <c r="AD176" i="17"/>
  <c r="AF174" i="17"/>
  <c r="AC173" i="17"/>
  <c r="AE171" i="17"/>
  <c r="AB170" i="17"/>
  <c r="AG169" i="17"/>
  <c r="AD168" i="17"/>
  <c r="AF166" i="17"/>
  <c r="AC165" i="17"/>
  <c r="AE163" i="17"/>
  <c r="AB162" i="17"/>
  <c r="AD160" i="17"/>
  <c r="AF158" i="17"/>
  <c r="AC157" i="17"/>
  <c r="AE155" i="17"/>
  <c r="AB154" i="17"/>
  <c r="AD152" i="17"/>
  <c r="AF150" i="17"/>
  <c r="AC149" i="17"/>
  <c r="AE147" i="17"/>
  <c r="AB146" i="17"/>
  <c r="AD144" i="17"/>
  <c r="AF142" i="17"/>
  <c r="AC141" i="17"/>
  <c r="AE139" i="17"/>
  <c r="AB138" i="17"/>
  <c r="AB274" i="17"/>
  <c r="AG264" i="17"/>
  <c r="AB259" i="17"/>
  <c r="AG242" i="17"/>
  <c r="AF238" i="17"/>
  <c r="AE234" i="17"/>
  <c r="AE230" i="17"/>
  <c r="AE226" i="17"/>
  <c r="AE223" i="17"/>
  <c r="AB221" i="17"/>
  <c r="AG221" i="17" s="1"/>
  <c r="AD216" i="17"/>
  <c r="AF211" i="17"/>
  <c r="AC209" i="17"/>
  <c r="AC207" i="17"/>
  <c r="AE205" i="17"/>
  <c r="AG205" i="17" s="1"/>
  <c r="AE199" i="17"/>
  <c r="AE198" i="17"/>
  <c r="AF197" i="17"/>
  <c r="AD195" i="17"/>
  <c r="AF193" i="17"/>
  <c r="AC192" i="17"/>
  <c r="AE190" i="17"/>
  <c r="AB189" i="17"/>
  <c r="AG189" i="17" s="1"/>
  <c r="AG188" i="17"/>
  <c r="AI188" i="17" s="1"/>
  <c r="AD187" i="17"/>
  <c r="AF185" i="17"/>
  <c r="AC184" i="17"/>
  <c r="AE182" i="17"/>
  <c r="AB181" i="17"/>
  <c r="AD179" i="17"/>
  <c r="AF177" i="17"/>
  <c r="AC176" i="17"/>
  <c r="AE174" i="17"/>
  <c r="AB173" i="17"/>
  <c r="AG173" i="17" s="1"/>
  <c r="AD171" i="17"/>
  <c r="AF169" i="17"/>
  <c r="AC168" i="17"/>
  <c r="AE166" i="17"/>
  <c r="AB165" i="17"/>
  <c r="AG164" i="17"/>
  <c r="AI164" i="17" s="1"/>
  <c r="AD163" i="17"/>
  <c r="AF161" i="17"/>
  <c r="AC160" i="17"/>
  <c r="AG160" i="17" s="1"/>
  <c r="AE158" i="17"/>
  <c r="AB157" i="17"/>
  <c r="AD155" i="17"/>
  <c r="AF153" i="17"/>
  <c r="AC152" i="17"/>
  <c r="AE150" i="17"/>
  <c r="AB149" i="17"/>
  <c r="AD147" i="17"/>
  <c r="AF145" i="17"/>
  <c r="AC144" i="17"/>
  <c r="AE142" i="17"/>
  <c r="AB141" i="17"/>
  <c r="AD139" i="17"/>
  <c r="AF137" i="17"/>
  <c r="AE263" i="17"/>
  <c r="AE254" i="17"/>
  <c r="AD250" i="17"/>
  <c r="AD246" i="17"/>
  <c r="AC242" i="17"/>
  <c r="AC238" i="17"/>
  <c r="AG238" i="17" s="1"/>
  <c r="AB234" i="17"/>
  <c r="AB226" i="17"/>
  <c r="AB223" i="17"/>
  <c r="AE218" i="17"/>
  <c r="AD211" i="17"/>
  <c r="AB207" i="17"/>
  <c r="AD205" i="17"/>
  <c r="AF203" i="17"/>
  <c r="AE200" i="17"/>
  <c r="AG200" i="17" s="1"/>
  <c r="AI200" i="17" s="1"/>
  <c r="AD199" i="17"/>
  <c r="AD198" i="17"/>
  <c r="AE197" i="17"/>
  <c r="AG197" i="17" s="1"/>
  <c r="AI197" i="17" s="1"/>
  <c r="AC195" i="17"/>
  <c r="AE193" i="17"/>
  <c r="AB192" i="17"/>
  <c r="AD190" i="17"/>
  <c r="AF188" i="17"/>
  <c r="AC187" i="17"/>
  <c r="AE185" i="17"/>
  <c r="AB184" i="17"/>
  <c r="AD182" i="17"/>
  <c r="AF180" i="17"/>
  <c r="AC179" i="17"/>
  <c r="AE177" i="17"/>
  <c r="AB176" i="17"/>
  <c r="AD174" i="17"/>
  <c r="AF172" i="17"/>
  <c r="AC171" i="17"/>
  <c r="AE169" i="17"/>
  <c r="AB168" i="17"/>
  <c r="AG168" i="17" s="1"/>
  <c r="AD166" i="17"/>
  <c r="AF164" i="17"/>
  <c r="AC163" i="17"/>
  <c r="AE161" i="17"/>
  <c r="AB160" i="17"/>
  <c r="AD158" i="17"/>
  <c r="AF156" i="17"/>
  <c r="AC155" i="17"/>
  <c r="AE153" i="17"/>
  <c r="AB152" i="17"/>
  <c r="AD150" i="17"/>
  <c r="AF148" i="17"/>
  <c r="AC147" i="17"/>
  <c r="AE145" i="17"/>
  <c r="AB144" i="17"/>
  <c r="AD142" i="17"/>
  <c r="AF140" i="17"/>
  <c r="AC139" i="17"/>
  <c r="AE137" i="17"/>
  <c r="AG262" i="17"/>
  <c r="AF241" i="17"/>
  <c r="AF237" i="17"/>
  <c r="AE233" i="17"/>
  <c r="AE229" i="17"/>
  <c r="AF225" i="17"/>
  <c r="AE220" i="17"/>
  <c r="AG220" i="17" s="1"/>
  <c r="AB218" i="17"/>
  <c r="AD213" i="17"/>
  <c r="AG208" i="17"/>
  <c r="AB205" i="17"/>
  <c r="AD203" i="17"/>
  <c r="AG203" i="17" s="1"/>
  <c r="AF201" i="17"/>
  <c r="AD200" i="17"/>
  <c r="AC199" i="17"/>
  <c r="AC198" i="17"/>
  <c r="AG198" i="17" s="1"/>
  <c r="AD197" i="17"/>
  <c r="AB195" i="17"/>
  <c r="AG195" i="17" s="1"/>
  <c r="AD193" i="17"/>
  <c r="AF191" i="17"/>
  <c r="AC190" i="17"/>
  <c r="AE188" i="17"/>
  <c r="AB187" i="17"/>
  <c r="AD185" i="17"/>
  <c r="AG185" i="17" s="1"/>
  <c r="AI185" i="17" s="1"/>
  <c r="AF183" i="17"/>
  <c r="AG183" i="17" s="1"/>
  <c r="AC182" i="17"/>
  <c r="AE180" i="17"/>
  <c r="AG180" i="17" s="1"/>
  <c r="AI180" i="17" s="1"/>
  <c r="AB179" i="17"/>
  <c r="AD177" i="17"/>
  <c r="AF175" i="17"/>
  <c r="AC174" i="17"/>
  <c r="AE172" i="17"/>
  <c r="AB171" i="17"/>
  <c r="AG170" i="17"/>
  <c r="AD169" i="17"/>
  <c r="AF167" i="17"/>
  <c r="AC166" i="17"/>
  <c r="AG166" i="17" s="1"/>
  <c r="AE164" i="17"/>
  <c r="AB163" i="17"/>
  <c r="AG163" i="17" s="1"/>
  <c r="AD161" i="17"/>
  <c r="AF159" i="17"/>
  <c r="AC158" i="17"/>
  <c r="AE156" i="17"/>
  <c r="AB155" i="17"/>
  <c r="AG154" i="17"/>
  <c r="AD153" i="17"/>
  <c r="AF151" i="17"/>
  <c r="AC150" i="17"/>
  <c r="AE148" i="17"/>
  <c r="AB147" i="17"/>
  <c r="AD145" i="17"/>
  <c r="AG145" i="17" s="1"/>
  <c r="AF143" i="17"/>
  <c r="AC142" i="17"/>
  <c r="AE140" i="17"/>
  <c r="AB139" i="17"/>
  <c r="AD137" i="17"/>
  <c r="AF135" i="17"/>
  <c r="AE160" i="17"/>
  <c r="AF155" i="17"/>
  <c r="AB151" i="17"/>
  <c r="AG151" i="17" s="1"/>
  <c r="AD149" i="17"/>
  <c r="AC136" i="17"/>
  <c r="AG136" i="17" s="1"/>
  <c r="AI136" i="17" s="1"/>
  <c r="AE134" i="17"/>
  <c r="AB133" i="17"/>
  <c r="AG133" i="17" s="1"/>
  <c r="AI133" i="17" s="1"/>
  <c r="AD131" i="17"/>
  <c r="AF129" i="17"/>
  <c r="AG129" i="17" s="1"/>
  <c r="AC128" i="17"/>
  <c r="AE126" i="17"/>
  <c r="AB125" i="17"/>
  <c r="AD123" i="17"/>
  <c r="AF121" i="17"/>
  <c r="AC120" i="17"/>
  <c r="AE118" i="17"/>
  <c r="AB117" i="17"/>
  <c r="AG116" i="17"/>
  <c r="AI116" i="17" s="1"/>
  <c r="AD115" i="17"/>
  <c r="AF113" i="17"/>
  <c r="AC112" i="17"/>
  <c r="AE110" i="17"/>
  <c r="AB109" i="17"/>
  <c r="AD107" i="17"/>
  <c r="AF105" i="17"/>
  <c r="AC104" i="17"/>
  <c r="AE102" i="17"/>
  <c r="AB101" i="17"/>
  <c r="AB99" i="17"/>
  <c r="AD97" i="17"/>
  <c r="AF95" i="17"/>
  <c r="AC94" i="17"/>
  <c r="AG94" i="17" s="1"/>
  <c r="AE92" i="17"/>
  <c r="AB91" i="17"/>
  <c r="AD89" i="17"/>
  <c r="AB159" i="17"/>
  <c r="AC153" i="17"/>
  <c r="AF147" i="17"/>
  <c r="AC145" i="17"/>
  <c r="AB136" i="17"/>
  <c r="AD134" i="17"/>
  <c r="AG134" i="17" s="1"/>
  <c r="AI134" i="17" s="1"/>
  <c r="AF132" i="17"/>
  <c r="AC131" i="17"/>
  <c r="AE129" i="17"/>
  <c r="AB128" i="17"/>
  <c r="AD126" i="17"/>
  <c r="AF124" i="17"/>
  <c r="AC123" i="17"/>
  <c r="AE121" i="17"/>
  <c r="AB120" i="17"/>
  <c r="AG120" i="17" s="1"/>
  <c r="AI120" i="17" s="1"/>
  <c r="AD118" i="17"/>
  <c r="AF116" i="17"/>
  <c r="AC115" i="17"/>
  <c r="AG115" i="17" s="1"/>
  <c r="AE113" i="17"/>
  <c r="AB112" i="17"/>
  <c r="AD110" i="17"/>
  <c r="AF108" i="17"/>
  <c r="AC107" i="17"/>
  <c r="AE105" i="17"/>
  <c r="AG105" i="17" s="1"/>
  <c r="AB104" i="17"/>
  <c r="AD102" i="17"/>
  <c r="AF100" i="17"/>
  <c r="AF98" i="17"/>
  <c r="AC97" i="17"/>
  <c r="AE95" i="17"/>
  <c r="AB94" i="17"/>
  <c r="AD92" i="17"/>
  <c r="AF90" i="17"/>
  <c r="AF138" i="17"/>
  <c r="AC134" i="17"/>
  <c r="AE132" i="17"/>
  <c r="AB131" i="17"/>
  <c r="AG130" i="17"/>
  <c r="AD129" i="17"/>
  <c r="AF127" i="17"/>
  <c r="AC126" i="17"/>
  <c r="AE124" i="17"/>
  <c r="AB123" i="17"/>
  <c r="AG123" i="17" s="1"/>
  <c r="AD121" i="17"/>
  <c r="AF119" i="17"/>
  <c r="AC118" i="17"/>
  <c r="AE116" i="17"/>
  <c r="AB115" i="17"/>
  <c r="AD113" i="17"/>
  <c r="AF111" i="17"/>
  <c r="AC110" i="17"/>
  <c r="AE108" i="17"/>
  <c r="AB107" i="17"/>
  <c r="AD105" i="17"/>
  <c r="AF103" i="17"/>
  <c r="AC102" i="17"/>
  <c r="AE100" i="17"/>
  <c r="AE98" i="17"/>
  <c r="AB97" i="17"/>
  <c r="AG97" i="17" s="1"/>
  <c r="AD95" i="17"/>
  <c r="AF93" i="17"/>
  <c r="AC92" i="17"/>
  <c r="AE90" i="17"/>
  <c r="AB158" i="17"/>
  <c r="AG150" i="17"/>
  <c r="AB142" i="17"/>
  <c r="AD140" i="17"/>
  <c r="AG140" i="17" s="1"/>
  <c r="AI140" i="17" s="1"/>
  <c r="AC138" i="17"/>
  <c r="AG138" i="17" s="1"/>
  <c r="AB134" i="17"/>
  <c r="AD132" i="17"/>
  <c r="AF130" i="17"/>
  <c r="AC129" i="17"/>
  <c r="AE127" i="17"/>
  <c r="AG127" i="17" s="1"/>
  <c r="AB126" i="17"/>
  <c r="AD124" i="17"/>
  <c r="AF122" i="17"/>
  <c r="AC121" i="17"/>
  <c r="AE119" i="17"/>
  <c r="AB118" i="17"/>
  <c r="AD116" i="17"/>
  <c r="AF114" i="17"/>
  <c r="AC113" i="17"/>
  <c r="AE111" i="17"/>
  <c r="AB110" i="17"/>
  <c r="AD108" i="17"/>
  <c r="AF106" i="17"/>
  <c r="AC105" i="17"/>
  <c r="AE103" i="17"/>
  <c r="AB102" i="17"/>
  <c r="AD100" i="17"/>
  <c r="AG99" i="17"/>
  <c r="AD98" i="17"/>
  <c r="AF96" i="17"/>
  <c r="AC95" i="17"/>
  <c r="AE93" i="17"/>
  <c r="AB92" i="17"/>
  <c r="AG92" i="17" s="1"/>
  <c r="AI92" i="17" s="1"/>
  <c r="AD90" i="17"/>
  <c r="AF88" i="17"/>
  <c r="AC87" i="17"/>
  <c r="AE85" i="17"/>
  <c r="AB84" i="17"/>
  <c r="AD156" i="17"/>
  <c r="AF154" i="17"/>
  <c r="AE152" i="17"/>
  <c r="AB150" i="17"/>
  <c r="AE144" i="17"/>
  <c r="AE135" i="17"/>
  <c r="AF133" i="17"/>
  <c r="AC132" i="17"/>
  <c r="AE130" i="17"/>
  <c r="AB129" i="17"/>
  <c r="AG128" i="17"/>
  <c r="AI128" i="17" s="1"/>
  <c r="AD127" i="17"/>
  <c r="AF125" i="17"/>
  <c r="AC124" i="17"/>
  <c r="AE122" i="17"/>
  <c r="AB121" i="17"/>
  <c r="AD119" i="17"/>
  <c r="AF117" i="17"/>
  <c r="AC116" i="17"/>
  <c r="AE114" i="17"/>
  <c r="AB113" i="17"/>
  <c r="AG112" i="17"/>
  <c r="AD111" i="17"/>
  <c r="AF109" i="17"/>
  <c r="AC108" i="17"/>
  <c r="AE106" i="17"/>
  <c r="AB105" i="17"/>
  <c r="AD103" i="17"/>
  <c r="AF101" i="17"/>
  <c r="AC100" i="17"/>
  <c r="AF99" i="17"/>
  <c r="AC98" i="17"/>
  <c r="AE96" i="17"/>
  <c r="AB95" i="17"/>
  <c r="AD93" i="17"/>
  <c r="AF91" i="17"/>
  <c r="AC90" i="17"/>
  <c r="AE88" i="17"/>
  <c r="AB87" i="17"/>
  <c r="AD85" i="17"/>
  <c r="AF83" i="17"/>
  <c r="AC154" i="17"/>
  <c r="AD148" i="17"/>
  <c r="AF146" i="17"/>
  <c r="AC135" i="17"/>
  <c r="AG135" i="17" s="1"/>
  <c r="AE133" i="17"/>
  <c r="AB132" i="17"/>
  <c r="AD130" i="17"/>
  <c r="AF128" i="17"/>
  <c r="AC127" i="17"/>
  <c r="AE125" i="17"/>
  <c r="AB124" i="17"/>
  <c r="AD122" i="17"/>
  <c r="AF120" i="17"/>
  <c r="AC119" i="17"/>
  <c r="AE117" i="17"/>
  <c r="AB116" i="17"/>
  <c r="AD114" i="17"/>
  <c r="AF112" i="17"/>
  <c r="AC111" i="17"/>
  <c r="AE109" i="17"/>
  <c r="AB108" i="17"/>
  <c r="AG107" i="17"/>
  <c r="AD106" i="17"/>
  <c r="AF104" i="17"/>
  <c r="AG104" i="17" s="1"/>
  <c r="AI104" i="17" s="1"/>
  <c r="AC103" i="17"/>
  <c r="AE101" i="17"/>
  <c r="AB100" i="17"/>
  <c r="AE99" i="17"/>
  <c r="AB98" i="17"/>
  <c r="AD96" i="17"/>
  <c r="AF94" i="17"/>
  <c r="AC93" i="17"/>
  <c r="AE91" i="17"/>
  <c r="AB90" i="17"/>
  <c r="AC146" i="17"/>
  <c r="AG146" i="17" s="1"/>
  <c r="AE143" i="17"/>
  <c r="AD141" i="17"/>
  <c r="AF139" i="17"/>
  <c r="AC137" i="17"/>
  <c r="AG137" i="17" s="1"/>
  <c r="AI137" i="17" s="1"/>
  <c r="AE136" i="17"/>
  <c r="AB135" i="17"/>
  <c r="AD133" i="17"/>
  <c r="AF131" i="17"/>
  <c r="AG131" i="17" s="1"/>
  <c r="AC130" i="17"/>
  <c r="AE128" i="17"/>
  <c r="AB127" i="17"/>
  <c r="AD125" i="17"/>
  <c r="AF123" i="17"/>
  <c r="AC122" i="17"/>
  <c r="AE120" i="17"/>
  <c r="AB119" i="17"/>
  <c r="AD117" i="17"/>
  <c r="AF115" i="17"/>
  <c r="AC114" i="17"/>
  <c r="AE112" i="17"/>
  <c r="AB111" i="17"/>
  <c r="AG110" i="17"/>
  <c r="AD109" i="17"/>
  <c r="AF107" i="17"/>
  <c r="AC106" i="17"/>
  <c r="AE104" i="17"/>
  <c r="AB103" i="17"/>
  <c r="AD101" i="17"/>
  <c r="AG101" i="17" s="1"/>
  <c r="AI101" i="17" s="1"/>
  <c r="AD99" i="17"/>
  <c r="AF97" i="17"/>
  <c r="AC96" i="17"/>
  <c r="AE94" i="17"/>
  <c r="AB93" i="17"/>
  <c r="AD91" i="17"/>
  <c r="AD157" i="17"/>
  <c r="AG157" i="17" s="1"/>
  <c r="AE151" i="17"/>
  <c r="AG149" i="17"/>
  <c r="AI149" i="17" s="1"/>
  <c r="AB143" i="17"/>
  <c r="AG143" i="17" s="1"/>
  <c r="AD136" i="17"/>
  <c r="AF134" i="17"/>
  <c r="AC133" i="17"/>
  <c r="AE131" i="17"/>
  <c r="AB130" i="17"/>
  <c r="AD128" i="17"/>
  <c r="AF126" i="17"/>
  <c r="AG126" i="17" s="1"/>
  <c r="AC125" i="17"/>
  <c r="AG125" i="17" s="1"/>
  <c r="AI125" i="17" s="1"/>
  <c r="AE123" i="17"/>
  <c r="AB122" i="17"/>
  <c r="AD120" i="17"/>
  <c r="AF118" i="17"/>
  <c r="AG118" i="17" s="1"/>
  <c r="AI118" i="17" s="1"/>
  <c r="AC117" i="17"/>
  <c r="AE115" i="17"/>
  <c r="AB114" i="17"/>
  <c r="AG113" i="17"/>
  <c r="AD112" i="17"/>
  <c r="AF110" i="17"/>
  <c r="AC109" i="17"/>
  <c r="AG109" i="17" s="1"/>
  <c r="AE107" i="17"/>
  <c r="AB106" i="17"/>
  <c r="AG106" i="17" s="1"/>
  <c r="AD104" i="17"/>
  <c r="AF102" i="17"/>
  <c r="AC101" i="17"/>
  <c r="AC99" i="17"/>
  <c r="AE97" i="17"/>
  <c r="AB96" i="17"/>
  <c r="AG96" i="17" s="1"/>
  <c r="AG95" i="17"/>
  <c r="AD94" i="17"/>
  <c r="AF92" i="17"/>
  <c r="AC91" i="17"/>
  <c r="AE89" i="17"/>
  <c r="AB88" i="17"/>
  <c r="AE53" i="17"/>
  <c r="AC54" i="17"/>
  <c r="AD56" i="17"/>
  <c r="AB58" i="17"/>
  <c r="AE59" i="17"/>
  <c r="AC61" i="17"/>
  <c r="AF62" i="17"/>
  <c r="AC64" i="17"/>
  <c r="AE65" i="17"/>
  <c r="AC68" i="17"/>
  <c r="AG68" i="17" s="1"/>
  <c r="AI68" i="17" s="1"/>
  <c r="AE69" i="17"/>
  <c r="AC72" i="17"/>
  <c r="AE73" i="17"/>
  <c r="AC75" i="17"/>
  <c r="AF76" i="17"/>
  <c r="AD78" i="17"/>
  <c r="AB80" i="17"/>
  <c r="AE81" i="17"/>
  <c r="AB85" i="17"/>
  <c r="AE86" i="17"/>
  <c r="AC89" i="17"/>
  <c r="AF53" i="17"/>
  <c r="AG53" i="17" s="1"/>
  <c r="AI53" i="17" s="1"/>
  <c r="AD54" i="17"/>
  <c r="AB55" i="17"/>
  <c r="AE56" i="17"/>
  <c r="AC58" i="17"/>
  <c r="AF59" i="17"/>
  <c r="AD61" i="17"/>
  <c r="AB63" i="17"/>
  <c r="AD64" i="17"/>
  <c r="AF65" i="17"/>
  <c r="AG65" i="17" s="1"/>
  <c r="AI65" i="17" s="1"/>
  <c r="AB67" i="17"/>
  <c r="AD68" i="17"/>
  <c r="AF69" i="17"/>
  <c r="AB71" i="17"/>
  <c r="AD72" i="17"/>
  <c r="AF73" i="17"/>
  <c r="AG73" i="17" s="1"/>
  <c r="AI73" i="17" s="1"/>
  <c r="AD75" i="17"/>
  <c r="AB77" i="17"/>
  <c r="AE78" i="17"/>
  <c r="AC80" i="17"/>
  <c r="AF81" i="17"/>
  <c r="AC85" i="17"/>
  <c r="AF86" i="17"/>
  <c r="AC88" i="17"/>
  <c r="AF89" i="17"/>
  <c r="AB52" i="17"/>
  <c r="AE54" i="17"/>
  <c r="AC55" i="17"/>
  <c r="AF56" i="17"/>
  <c r="AD58" i="17"/>
  <c r="AG59" i="17"/>
  <c r="AI59" i="17" s="1"/>
  <c r="AB60" i="17"/>
  <c r="AE61" i="17"/>
  <c r="AC63" i="17"/>
  <c r="AE64" i="17"/>
  <c r="AC67" i="17"/>
  <c r="AE68" i="17"/>
  <c r="AG69" i="17"/>
  <c r="AC71" i="17"/>
  <c r="AE72" i="17"/>
  <c r="AB74" i="17"/>
  <c r="AG74" i="17" s="1"/>
  <c r="AI74" i="17" s="1"/>
  <c r="AE75" i="17"/>
  <c r="AC77" i="17"/>
  <c r="AF78" i="17"/>
  <c r="AD80" i="17"/>
  <c r="AG81" i="17"/>
  <c r="AB82" i="17"/>
  <c r="AC84" i="17"/>
  <c r="AF85" i="17"/>
  <c r="AD88" i="17"/>
  <c r="AG89" i="17"/>
  <c r="AI89" i="17" s="1"/>
  <c r="AC52" i="17"/>
  <c r="AF54" i="17"/>
  <c r="AD55" i="17"/>
  <c r="AG56" i="17"/>
  <c r="AI56" i="17" s="1"/>
  <c r="AB57" i="17"/>
  <c r="AE58" i="17"/>
  <c r="AC60" i="17"/>
  <c r="AF61" i="17"/>
  <c r="AD63" i="17"/>
  <c r="AF64" i="17"/>
  <c r="AB66" i="17"/>
  <c r="AD67" i="17"/>
  <c r="AF68" i="17"/>
  <c r="AB70" i="17"/>
  <c r="AG70" i="17" s="1"/>
  <c r="AI70" i="17" s="1"/>
  <c r="AD71" i="17"/>
  <c r="AF72" i="17"/>
  <c r="AG72" i="17" s="1"/>
  <c r="AI72" i="17" s="1"/>
  <c r="AC74" i="17"/>
  <c r="AF75" i="17"/>
  <c r="AD77" i="17"/>
  <c r="AG78" i="17"/>
  <c r="AB79" i="17"/>
  <c r="AE80" i="17"/>
  <c r="AC82" i="17"/>
  <c r="AD84" i="17"/>
  <c r="AG85" i="17"/>
  <c r="AI85" i="17" s="1"/>
  <c r="AG54" i="17"/>
  <c r="AI54" i="17" s="1"/>
  <c r="AE55" i="17"/>
  <c r="AC57" i="17"/>
  <c r="AF58" i="17"/>
  <c r="AD60" i="17"/>
  <c r="AG61" i="17"/>
  <c r="AI61" i="17" s="1"/>
  <c r="AB62" i="17"/>
  <c r="AG62" i="17" s="1"/>
  <c r="AI62" i="17" s="1"/>
  <c r="AE63" i="17"/>
  <c r="AG64" i="17"/>
  <c r="AI64" i="17" s="1"/>
  <c r="AC66" i="17"/>
  <c r="AE67" i="17"/>
  <c r="AI69" i="17"/>
  <c r="AC70" i="17"/>
  <c r="AE71" i="17"/>
  <c r="AD74" i="17"/>
  <c r="AG75" i="17"/>
  <c r="AB76" i="17"/>
  <c r="AG76" i="17" s="1"/>
  <c r="AI76" i="17" s="1"/>
  <c r="AE77" i="17"/>
  <c r="AC79" i="17"/>
  <c r="AG79" i="17" s="1"/>
  <c r="AF80" i="17"/>
  <c r="AD82" i="17"/>
  <c r="AB83" i="17"/>
  <c r="AG83" i="17" s="1"/>
  <c r="AE84" i="17"/>
  <c r="AD87" i="17"/>
  <c r="E27" i="6"/>
  <c r="E26" i="6"/>
  <c r="E25" i="6"/>
  <c r="E24" i="6"/>
  <c r="D18" i="15" a="1"/>
  <c r="L14" i="15"/>
  <c r="L32" i="15" s="1" a="1"/>
  <c r="L32" i="15" s="1"/>
  <c r="K103" i="15" a="1"/>
  <c r="K103" i="15" s="1"/>
  <c r="R82" i="15" a="1"/>
  <c r="R82" i="15" s="1"/>
  <c r="R74" i="15" a="1"/>
  <c r="R74" i="15" s="1"/>
  <c r="R85" i="15" a="1"/>
  <c r="R85" i="15" s="1"/>
  <c r="R77" i="15" a="1"/>
  <c r="R77" i="15" s="1"/>
  <c r="R71" i="15" a="1"/>
  <c r="R71" i="15" s="1"/>
  <c r="R67" i="15" a="1"/>
  <c r="R67" i="15" s="1"/>
  <c r="R86" i="15" a="1"/>
  <c r="R86" i="15" s="1"/>
  <c r="R78" i="15" a="1"/>
  <c r="R78" i="15" s="1"/>
  <c r="R89" i="15" a="1"/>
  <c r="R89" i="15" s="1"/>
  <c r="R81" i="15" a="1"/>
  <c r="R81" i="15" s="1"/>
  <c r="R87" i="15" a="1"/>
  <c r="R87" i="15" s="1"/>
  <c r="R79" i="15" a="1"/>
  <c r="R79" i="15" s="1"/>
  <c r="R70" i="15" a="1"/>
  <c r="R70" i="15" s="1"/>
  <c r="R83" i="15" a="1"/>
  <c r="R83" i="15" s="1"/>
  <c r="R80" i="15" a="1"/>
  <c r="R80" i="15" s="1"/>
  <c r="R68" i="15" a="1"/>
  <c r="R68" i="15" s="1"/>
  <c r="E18" i="15"/>
  <c r="R88" i="15" a="1"/>
  <c r="R88" i="15" s="1"/>
  <c r="R73" i="15" a="1"/>
  <c r="R73" i="15" s="1"/>
  <c r="R69" i="15" a="1"/>
  <c r="R69" i="15" s="1"/>
  <c r="R84" i="15" a="1"/>
  <c r="R84" i="15" s="1"/>
  <c r="R76" i="15" a="1"/>
  <c r="R76" i="15" s="1"/>
  <c r="R72" i="15" a="1"/>
  <c r="R72" i="15" s="1"/>
  <c r="R75" i="15" a="1"/>
  <c r="R75" i="15" s="1"/>
  <c r="H14" i="15"/>
  <c r="H90" i="15" s="1" a="1"/>
  <c r="H90" i="15" s="1"/>
  <c r="AL28" i="15"/>
  <c r="J198" i="15" a="1"/>
  <c r="J198" i="15" s="1"/>
  <c r="J194" i="15" a="1"/>
  <c r="J194" i="15" s="1"/>
  <c r="J186" i="15" a="1"/>
  <c r="J186" i="15" s="1"/>
  <c r="J178" i="15" a="1"/>
  <c r="J178" i="15" s="1"/>
  <c r="J170" i="15" a="1"/>
  <c r="J170" i="15" s="1"/>
  <c r="J162" i="15" a="1"/>
  <c r="J162" i="15" s="1"/>
  <c r="J154" i="15" a="1"/>
  <c r="J154" i="15" s="1"/>
  <c r="J146" i="15" a="1"/>
  <c r="J146" i="15" s="1"/>
  <c r="J201" i="15" a="1"/>
  <c r="J201" i="15" s="1"/>
  <c r="J189" i="15" a="1"/>
  <c r="J189" i="15" s="1"/>
  <c r="J181" i="15" a="1"/>
  <c r="J181" i="15" s="1"/>
  <c r="J173" i="15" a="1"/>
  <c r="J173" i="15" s="1"/>
  <c r="J165" i="15" a="1"/>
  <c r="J165" i="15" s="1"/>
  <c r="J157" i="15" a="1"/>
  <c r="J157" i="15" s="1"/>
  <c r="J149" i="15" a="1"/>
  <c r="J149" i="15" s="1"/>
  <c r="J192" i="15" a="1"/>
  <c r="J192" i="15" s="1"/>
  <c r="J184" i="15" a="1"/>
  <c r="J184" i="15" s="1"/>
  <c r="J197" i="15" a="1"/>
  <c r="J197" i="15" s="1"/>
  <c r="J195" i="15" a="1"/>
  <c r="J195" i="15" s="1"/>
  <c r="J187" i="15" a="1"/>
  <c r="J187" i="15" s="1"/>
  <c r="J179" i="15" a="1"/>
  <c r="J179" i="15" s="1"/>
  <c r="J190" i="15" a="1"/>
  <c r="J190" i="15" s="1"/>
  <c r="J182" i="15" a="1"/>
  <c r="J182" i="15" s="1"/>
  <c r="J174" i="15" a="1"/>
  <c r="J174" i="15" s="1"/>
  <c r="J166" i="15" a="1"/>
  <c r="J166" i="15" s="1"/>
  <c r="J193" i="15" a="1"/>
  <c r="J193" i="15" s="1"/>
  <c r="J185" i="15" a="1"/>
  <c r="J185" i="15" s="1"/>
  <c r="J177" i="15" a="1"/>
  <c r="J177" i="15" s="1"/>
  <c r="J169" i="15" a="1"/>
  <c r="J169" i="15" s="1"/>
  <c r="J161" i="15" a="1"/>
  <c r="J161" i="15" s="1"/>
  <c r="J200" i="15" a="1"/>
  <c r="J200" i="15" s="1"/>
  <c r="J196" i="15" a="1"/>
  <c r="J196" i="15" s="1"/>
  <c r="J188" i="15" a="1"/>
  <c r="J188" i="15" s="1"/>
  <c r="J199" i="15" a="1"/>
  <c r="J199" i="15" s="1"/>
  <c r="J191" i="15" a="1"/>
  <c r="J191" i="15" s="1"/>
  <c r="J183" i="15" a="1"/>
  <c r="J183" i="15" s="1"/>
  <c r="J175" i="15" a="1"/>
  <c r="J175" i="15" s="1"/>
  <c r="J167" i="15" a="1"/>
  <c r="J167" i="15" s="1"/>
  <c r="J159" i="15" a="1"/>
  <c r="J159" i="15" s="1"/>
  <c r="J151" i="15" a="1"/>
  <c r="J151" i="15" s="1"/>
  <c r="J171" i="15" a="1"/>
  <c r="J171" i="15" s="1"/>
  <c r="J147" i="15" a="1"/>
  <c r="J147" i="15" s="1"/>
  <c r="J144" i="15" a="1"/>
  <c r="J144" i="15" s="1"/>
  <c r="J136" i="15" a="1"/>
  <c r="J136" i="15" s="1"/>
  <c r="J128" i="15" a="1"/>
  <c r="J128" i="15" s="1"/>
  <c r="J120" i="15" a="1"/>
  <c r="J120" i="15" s="1"/>
  <c r="J112" i="15" a="1"/>
  <c r="J112" i="15" s="1"/>
  <c r="J104" i="15" a="1"/>
  <c r="J104" i="15" s="1"/>
  <c r="J96" i="15" a="1"/>
  <c r="J96" i="15" s="1"/>
  <c r="J88" i="15" a="1"/>
  <c r="J88" i="15" s="1"/>
  <c r="J180" i="15" a="1"/>
  <c r="J180" i="15" s="1"/>
  <c r="J158" i="15" a="1"/>
  <c r="J158" i="15" s="1"/>
  <c r="J152" i="15" a="1"/>
  <c r="J152" i="15" s="1"/>
  <c r="J139" i="15" a="1"/>
  <c r="J139" i="15" s="1"/>
  <c r="J131" i="15" a="1"/>
  <c r="J131" i="15" s="1"/>
  <c r="J123" i="15" a="1"/>
  <c r="J123" i="15" s="1"/>
  <c r="J115" i="15" a="1"/>
  <c r="J115" i="15" s="1"/>
  <c r="J107" i="15" a="1"/>
  <c r="J107" i="15" s="1"/>
  <c r="J99" i="15" a="1"/>
  <c r="J99" i="15" s="1"/>
  <c r="J91" i="15" a="1"/>
  <c r="J91" i="15" s="1"/>
  <c r="J168" i="15" a="1"/>
  <c r="J168" i="15" s="1"/>
  <c r="J156" i="15" a="1"/>
  <c r="J156" i="15" s="1"/>
  <c r="J142" i="15" a="1"/>
  <c r="J142" i="15" s="1"/>
  <c r="J134" i="15" a="1"/>
  <c r="J134" i="15" s="1"/>
  <c r="J126" i="15" a="1"/>
  <c r="J126" i="15" s="1"/>
  <c r="J118" i="15" a="1"/>
  <c r="J118" i="15" s="1"/>
  <c r="J110" i="15" a="1"/>
  <c r="J110" i="15" s="1"/>
  <c r="J150" i="15" a="1"/>
  <c r="J150" i="15" s="1"/>
  <c r="J145" i="15" a="1"/>
  <c r="J145" i="15" s="1"/>
  <c r="J137" i="15" a="1"/>
  <c r="J137" i="15" s="1"/>
  <c r="J129" i="15" a="1"/>
  <c r="J129" i="15" s="1"/>
  <c r="J121" i="15" a="1"/>
  <c r="J121" i="15" s="1"/>
  <c r="J113" i="15" a="1"/>
  <c r="J113" i="15" s="1"/>
  <c r="J105" i="15" a="1"/>
  <c r="J105" i="15" s="1"/>
  <c r="J163" i="15" a="1"/>
  <c r="J163" i="15" s="1"/>
  <c r="J148" i="15" a="1"/>
  <c r="J148" i="15" s="1"/>
  <c r="J140" i="15" a="1"/>
  <c r="J140" i="15" s="1"/>
  <c r="J132" i="15" a="1"/>
  <c r="J132" i="15" s="1"/>
  <c r="J124" i="15" a="1"/>
  <c r="J124" i="15" s="1"/>
  <c r="J116" i="15" a="1"/>
  <c r="J116" i="15" s="1"/>
  <c r="J108" i="15" a="1"/>
  <c r="J108" i="15" s="1"/>
  <c r="J100" i="15" a="1"/>
  <c r="J100" i="15" s="1"/>
  <c r="J92" i="15" a="1"/>
  <c r="J92" i="15" s="1"/>
  <c r="J176" i="15" a="1"/>
  <c r="J176" i="15" s="1"/>
  <c r="J164" i="15" a="1"/>
  <c r="J164" i="15" s="1"/>
  <c r="J143" i="15" a="1"/>
  <c r="J143" i="15" s="1"/>
  <c r="J135" i="15" a="1"/>
  <c r="J135" i="15" s="1"/>
  <c r="J127" i="15" a="1"/>
  <c r="J127" i="15" s="1"/>
  <c r="J119" i="15" a="1"/>
  <c r="J119" i="15" s="1"/>
  <c r="J111" i="15" a="1"/>
  <c r="J111" i="15" s="1"/>
  <c r="J103" i="15" a="1"/>
  <c r="J103" i="15" s="1"/>
  <c r="J95" i="15" a="1"/>
  <c r="J95" i="15" s="1"/>
  <c r="J160" i="15" a="1"/>
  <c r="J160" i="15" s="1"/>
  <c r="J155" i="15" a="1"/>
  <c r="J155" i="15" s="1"/>
  <c r="J138" i="15" a="1"/>
  <c r="J138" i="15" s="1"/>
  <c r="J130" i="15" a="1"/>
  <c r="J130" i="15" s="1"/>
  <c r="J122" i="15" a="1"/>
  <c r="J122" i="15" s="1"/>
  <c r="J114" i="15" a="1"/>
  <c r="J114" i="15" s="1"/>
  <c r="J172" i="15" a="1"/>
  <c r="J172" i="15" s="1"/>
  <c r="J153" i="15" a="1"/>
  <c r="J153" i="15" s="1"/>
  <c r="J141" i="15" a="1"/>
  <c r="J141" i="15" s="1"/>
  <c r="J133" i="15" a="1"/>
  <c r="J133" i="15" s="1"/>
  <c r="J125" i="15" a="1"/>
  <c r="J125" i="15" s="1"/>
  <c r="J117" i="15" a="1"/>
  <c r="J117" i="15" s="1"/>
  <c r="J109" i="15" a="1"/>
  <c r="J109" i="15" s="1"/>
  <c r="J101" i="15" a="1"/>
  <c r="J101" i="15" s="1"/>
  <c r="J93" i="15" a="1"/>
  <c r="J93" i="15" s="1"/>
  <c r="J97" i="15" a="1"/>
  <c r="J97" i="15" s="1"/>
  <c r="J98" i="15" a="1"/>
  <c r="J98" i="15" s="1"/>
  <c r="J102" i="15" a="1"/>
  <c r="J102" i="15" s="1"/>
  <c r="J94" i="15" a="1"/>
  <c r="J94" i="15" s="1"/>
  <c r="J106" i="15" a="1"/>
  <c r="J106" i="15" s="1"/>
  <c r="K100" i="15" a="1"/>
  <c r="K100" i="15" s="1"/>
  <c r="K92" i="15" a="1"/>
  <c r="K92" i="15" s="1"/>
  <c r="K88" i="15" a="1"/>
  <c r="K88" i="15" s="1"/>
  <c r="AL24" i="15"/>
  <c r="Y19" i="15"/>
  <c r="N90" i="15" a="1"/>
  <c r="N90" i="15" s="1"/>
  <c r="N82" i="15" a="1"/>
  <c r="N82" i="15" s="1"/>
  <c r="N74" i="15" a="1"/>
  <c r="N74" i="15" s="1"/>
  <c r="N85" i="15" a="1"/>
  <c r="N85" i="15" s="1"/>
  <c r="N77" i="15" a="1"/>
  <c r="N77" i="15" s="1"/>
  <c r="N71" i="15" a="1"/>
  <c r="N71" i="15" s="1"/>
  <c r="N67" i="15" a="1"/>
  <c r="N67" i="15" s="1"/>
  <c r="N86" i="15" a="1"/>
  <c r="N86" i="15" s="1"/>
  <c r="N78" i="15" a="1"/>
  <c r="N78" i="15" s="1"/>
  <c r="N89" i="15" a="1"/>
  <c r="N89" i="15" s="1"/>
  <c r="N81" i="15" a="1"/>
  <c r="N81" i="15" s="1"/>
  <c r="N87" i="15" a="1"/>
  <c r="N87" i="15" s="1"/>
  <c r="N79" i="15" a="1"/>
  <c r="N79" i="15" s="1"/>
  <c r="N70" i="15" a="1"/>
  <c r="N70" i="15" s="1"/>
  <c r="N66" i="15" a="1"/>
  <c r="N66" i="15" s="1"/>
  <c r="N84" i="15" a="1"/>
  <c r="N84" i="15" s="1"/>
  <c r="N73" i="15" a="1"/>
  <c r="N73" i="15" s="1"/>
  <c r="A18" i="15"/>
  <c r="U27" i="15" s="1"/>
  <c r="N91" i="15" a="1"/>
  <c r="N91" i="15" s="1"/>
  <c r="N76" i="15" a="1"/>
  <c r="N76" i="15" s="1"/>
  <c r="N72" i="15" a="1"/>
  <c r="N72" i="15" s="1"/>
  <c r="N83" i="15" a="1"/>
  <c r="N83" i="15" s="1"/>
  <c r="N80" i="15" a="1"/>
  <c r="N80" i="15" s="1"/>
  <c r="N75" i="15" a="1"/>
  <c r="N75" i="15" s="1"/>
  <c r="N69" i="15" a="1"/>
  <c r="N69" i="15" s="1"/>
  <c r="N88" i="15" a="1"/>
  <c r="N88" i="15" s="1"/>
  <c r="N68" i="15" a="1"/>
  <c r="N68" i="15" s="1"/>
  <c r="N65" i="15" a="1"/>
  <c r="N65" i="15" s="1"/>
  <c r="AB20" i="15"/>
  <c r="AB18" i="15"/>
  <c r="AB19" i="15"/>
  <c r="AL34" i="15"/>
  <c r="AE50" i="15"/>
  <c r="AD60" i="15"/>
  <c r="AD52" i="15"/>
  <c r="I14" i="15"/>
  <c r="I172" i="15" s="1" a="1"/>
  <c r="I172" i="15" s="1"/>
  <c r="B18" i="15" a="1"/>
  <c r="AL27" i="15"/>
  <c r="AB23" i="15"/>
  <c r="AB33" i="15"/>
  <c r="AD53" i="15"/>
  <c r="AB54" i="15"/>
  <c r="AE57" i="15"/>
  <c r="AD58" i="15"/>
  <c r="AB62" i="15"/>
  <c r="AB65" i="15"/>
  <c r="AE70" i="15"/>
  <c r="AC71" i="15"/>
  <c r="AC74" i="15"/>
  <c r="AD80" i="15"/>
  <c r="AE90" i="15"/>
  <c r="K95" i="15" a="1"/>
  <c r="K95" i="15" s="1"/>
  <c r="AD95" i="15"/>
  <c r="AE98" i="15"/>
  <c r="AD103" i="15"/>
  <c r="AE107" i="15"/>
  <c r="AC62" i="15"/>
  <c r="AD71" i="15"/>
  <c r="AE83" i="15"/>
  <c r="AB86" i="15"/>
  <c r="AE95" i="15"/>
  <c r="AB97" i="15"/>
  <c r="AE103" i="15"/>
  <c r="AC109" i="15"/>
  <c r="K192" i="15" a="1"/>
  <c r="K192" i="15" s="1"/>
  <c r="K184" i="15" a="1"/>
  <c r="K184" i="15" s="1"/>
  <c r="K176" i="15" a="1"/>
  <c r="K176" i="15" s="1"/>
  <c r="K168" i="15" a="1"/>
  <c r="K168" i="15" s="1"/>
  <c r="K160" i="15" a="1"/>
  <c r="K160" i="15" s="1"/>
  <c r="K152" i="15" a="1"/>
  <c r="K152" i="15" s="1"/>
  <c r="K195" i="15" a="1"/>
  <c r="K195" i="15" s="1"/>
  <c r="K187" i="15" a="1"/>
  <c r="K187" i="15" s="1"/>
  <c r="K179" i="15" a="1"/>
  <c r="K179" i="15" s="1"/>
  <c r="K171" i="15" a="1"/>
  <c r="K171" i="15" s="1"/>
  <c r="K163" i="15" a="1"/>
  <c r="K163" i="15" s="1"/>
  <c r="K155" i="15" a="1"/>
  <c r="K155" i="15" s="1"/>
  <c r="K147" i="15" a="1"/>
  <c r="K147" i="15" s="1"/>
  <c r="K190" i="15" a="1"/>
  <c r="K190" i="15" s="1"/>
  <c r="K182" i="15" a="1"/>
  <c r="K182" i="15" s="1"/>
  <c r="K193" i="15" a="1"/>
  <c r="K193" i="15" s="1"/>
  <c r="K185" i="15" a="1"/>
  <c r="K185" i="15" s="1"/>
  <c r="K188" i="15" a="1"/>
  <c r="K188" i="15" s="1"/>
  <c r="K180" i="15" a="1"/>
  <c r="K180" i="15" s="1"/>
  <c r="K172" i="15" a="1"/>
  <c r="K172" i="15" s="1"/>
  <c r="K164" i="15" a="1"/>
  <c r="K164" i="15" s="1"/>
  <c r="K191" i="15" a="1"/>
  <c r="K191" i="15" s="1"/>
  <c r="K183" i="15" a="1"/>
  <c r="K183" i="15" s="1"/>
  <c r="K175" i="15" a="1"/>
  <c r="K175" i="15" s="1"/>
  <c r="K167" i="15" a="1"/>
  <c r="K167" i="15" s="1"/>
  <c r="K194" i="15" a="1"/>
  <c r="K194" i="15" s="1"/>
  <c r="K186" i="15" a="1"/>
  <c r="K186" i="15" s="1"/>
  <c r="K189" i="15" a="1"/>
  <c r="K189" i="15" s="1"/>
  <c r="K181" i="15" a="1"/>
  <c r="K181" i="15" s="1"/>
  <c r="K173" i="15" a="1"/>
  <c r="K173" i="15" s="1"/>
  <c r="K165" i="15" a="1"/>
  <c r="K165" i="15" s="1"/>
  <c r="K157" i="15" a="1"/>
  <c r="K157" i="15" s="1"/>
  <c r="K149" i="15" a="1"/>
  <c r="K149" i="15" s="1"/>
  <c r="K178" i="15" a="1"/>
  <c r="K178" i="15" s="1"/>
  <c r="K162" i="15" a="1"/>
  <c r="K162" i="15" s="1"/>
  <c r="K156" i="15" a="1"/>
  <c r="K156" i="15" s="1"/>
  <c r="K142" i="15" a="1"/>
  <c r="K142" i="15" s="1"/>
  <c r="K134" i="15" a="1"/>
  <c r="K134" i="15" s="1"/>
  <c r="K126" i="15" a="1"/>
  <c r="K126" i="15" s="1"/>
  <c r="K118" i="15" a="1"/>
  <c r="K118" i="15" s="1"/>
  <c r="K110" i="15" a="1"/>
  <c r="K110" i="15" s="1"/>
  <c r="K102" i="15" a="1"/>
  <c r="K102" i="15" s="1"/>
  <c r="K94" i="15" a="1"/>
  <c r="K94" i="15" s="1"/>
  <c r="K86" i="15" a="1"/>
  <c r="K86" i="15" s="1"/>
  <c r="K174" i="15" a="1"/>
  <c r="K174" i="15" s="1"/>
  <c r="K154" i="15" a="1"/>
  <c r="K154" i="15" s="1"/>
  <c r="K150" i="15" a="1"/>
  <c r="K150" i="15" s="1"/>
  <c r="K145" i="15" a="1"/>
  <c r="K145" i="15" s="1"/>
  <c r="K137" i="15" a="1"/>
  <c r="K137" i="15" s="1"/>
  <c r="K129" i="15" a="1"/>
  <c r="K129" i="15" s="1"/>
  <c r="K121" i="15" a="1"/>
  <c r="K121" i="15" s="1"/>
  <c r="K113" i="15" a="1"/>
  <c r="K113" i="15" s="1"/>
  <c r="K105" i="15" a="1"/>
  <c r="K105" i="15" s="1"/>
  <c r="K97" i="15" a="1"/>
  <c r="K97" i="15" s="1"/>
  <c r="K89" i="15" a="1"/>
  <c r="K89" i="15" s="1"/>
  <c r="K81" i="15" a="1"/>
  <c r="K81" i="15" s="1"/>
  <c r="K148" i="15" a="1"/>
  <c r="K148" i="15" s="1"/>
  <c r="K140" i="15" a="1"/>
  <c r="K140" i="15" s="1"/>
  <c r="K132" i="15" a="1"/>
  <c r="K132" i="15" s="1"/>
  <c r="K124" i="15" a="1"/>
  <c r="K124" i="15" s="1"/>
  <c r="K116" i="15" a="1"/>
  <c r="K116" i="15" s="1"/>
  <c r="K146" i="15" a="1"/>
  <c r="K146" i="15" s="1"/>
  <c r="K143" i="15" a="1"/>
  <c r="K143" i="15" s="1"/>
  <c r="K135" i="15" a="1"/>
  <c r="K135" i="15" s="1"/>
  <c r="K127" i="15" a="1"/>
  <c r="K127" i="15" s="1"/>
  <c r="K119" i="15" a="1"/>
  <c r="K119" i="15" s="1"/>
  <c r="K111" i="15" a="1"/>
  <c r="K111" i="15" s="1"/>
  <c r="K170" i="15" a="1"/>
  <c r="K170" i="15" s="1"/>
  <c r="K169" i="15" a="1"/>
  <c r="K169" i="15" s="1"/>
  <c r="K159" i="15" a="1"/>
  <c r="K159" i="15" s="1"/>
  <c r="K138" i="15" a="1"/>
  <c r="K138" i="15" s="1"/>
  <c r="K130" i="15" a="1"/>
  <c r="K130" i="15" s="1"/>
  <c r="K122" i="15" a="1"/>
  <c r="K122" i="15" s="1"/>
  <c r="K114" i="15" a="1"/>
  <c r="K114" i="15" s="1"/>
  <c r="K106" i="15" a="1"/>
  <c r="K106" i="15" s="1"/>
  <c r="K98" i="15" a="1"/>
  <c r="K98" i="15" s="1"/>
  <c r="K90" i="15" a="1"/>
  <c r="K90" i="15" s="1"/>
  <c r="K82" i="15" a="1"/>
  <c r="K82" i="15" s="1"/>
  <c r="K153" i="15" a="1"/>
  <c r="K153" i="15" s="1"/>
  <c r="K141" i="15" a="1"/>
  <c r="K141" i="15" s="1"/>
  <c r="K133" i="15" a="1"/>
  <c r="K133" i="15" s="1"/>
  <c r="K125" i="15" a="1"/>
  <c r="K125" i="15" s="1"/>
  <c r="K117" i="15" a="1"/>
  <c r="K117" i="15" s="1"/>
  <c r="K101" i="15" a="1"/>
  <c r="K101" i="15" s="1"/>
  <c r="K93" i="15" a="1"/>
  <c r="K93" i="15" s="1"/>
  <c r="K85" i="15" a="1"/>
  <c r="K85" i="15" s="1"/>
  <c r="K144" i="15" a="1"/>
  <c r="K144" i="15" s="1"/>
  <c r="K136" i="15" a="1"/>
  <c r="K136" i="15" s="1"/>
  <c r="K128" i="15" a="1"/>
  <c r="K128" i="15" s="1"/>
  <c r="K120" i="15" a="1"/>
  <c r="K120" i="15" s="1"/>
  <c r="K177" i="15" a="1"/>
  <c r="K177" i="15" s="1"/>
  <c r="K166" i="15" a="1"/>
  <c r="K166" i="15" s="1"/>
  <c r="K161" i="15" a="1"/>
  <c r="K161" i="15" s="1"/>
  <c r="K158" i="15" a="1"/>
  <c r="K158" i="15" s="1"/>
  <c r="K151" i="15" a="1"/>
  <c r="K151" i="15" s="1"/>
  <c r="K139" i="15" a="1"/>
  <c r="K139" i="15" s="1"/>
  <c r="K131" i="15" a="1"/>
  <c r="K131" i="15" s="1"/>
  <c r="K123" i="15" a="1"/>
  <c r="K123" i="15" s="1"/>
  <c r="K115" i="15" a="1"/>
  <c r="K115" i="15" s="1"/>
  <c r="K107" i="15" a="1"/>
  <c r="K107" i="15" s="1"/>
  <c r="K99" i="15" a="1"/>
  <c r="K99" i="15" s="1"/>
  <c r="K91" i="15" a="1"/>
  <c r="K91" i="15" s="1"/>
  <c r="K83" i="15" a="1"/>
  <c r="K83" i="15" s="1"/>
  <c r="C18" i="15" a="1"/>
  <c r="J39" i="15" s="1" a="1"/>
  <c r="J39" i="15" s="1"/>
  <c r="AB22" i="15"/>
  <c r="AL26" i="15"/>
  <c r="AB31" i="15"/>
  <c r="AL32" i="15"/>
  <c r="AD54" i="15"/>
  <c r="AB55" i="15"/>
  <c r="AB59" i="15"/>
  <c r="AD62" i="15"/>
  <c r="AC63" i="15"/>
  <c r="AB66" i="15"/>
  <c r="AE71" i="15"/>
  <c r="AE74" i="15"/>
  <c r="AB78" i="15"/>
  <c r="K80" i="15" a="1"/>
  <c r="K80" i="15" s="1"/>
  <c r="AB81" i="15"/>
  <c r="AB89" i="15"/>
  <c r="AC97" i="15"/>
  <c r="AF1361" i="15"/>
  <c r="AC1360" i="15"/>
  <c r="AE1358" i="15"/>
  <c r="AB1357" i="15"/>
  <c r="AD1346" i="15"/>
  <c r="AF1344" i="15"/>
  <c r="AC1343" i="15"/>
  <c r="AE1341" i="15"/>
  <c r="AB1340" i="15"/>
  <c r="AD1338" i="15"/>
  <c r="AF1336" i="15"/>
  <c r="AC1335" i="15"/>
  <c r="AE1333" i="15"/>
  <c r="AB1332" i="15"/>
  <c r="AD1330" i="15"/>
  <c r="AF1328" i="15"/>
  <c r="AC1327" i="15"/>
  <c r="AE1325" i="15"/>
  <c r="AB1324" i="15"/>
  <c r="AD1322" i="15"/>
  <c r="AF1320" i="15"/>
  <c r="AC1319" i="15"/>
  <c r="AE1317" i="15"/>
  <c r="AB1316" i="15"/>
  <c r="AD1314" i="15"/>
  <c r="AF1312" i="15"/>
  <c r="AC1311" i="15"/>
  <c r="AE1309" i="15"/>
  <c r="AB1308" i="15"/>
  <c r="AD1306" i="15"/>
  <c r="AF1304" i="15"/>
  <c r="AC1303" i="15"/>
  <c r="AE1301" i="15"/>
  <c r="AB1300" i="15"/>
  <c r="AD1298" i="15"/>
  <c r="AF1296" i="15"/>
  <c r="AC1295" i="15"/>
  <c r="AE1293" i="15"/>
  <c r="AB1292" i="15"/>
  <c r="AD1290" i="15"/>
  <c r="AE1361" i="15"/>
  <c r="AB1360" i="15"/>
  <c r="AD1358" i="15"/>
  <c r="AF1356" i="15"/>
  <c r="AC1346" i="15"/>
  <c r="AE1344" i="15"/>
  <c r="AB1343" i="15"/>
  <c r="AD1341" i="15"/>
  <c r="AF1339" i="15"/>
  <c r="AC1338" i="15"/>
  <c r="AE1336" i="15"/>
  <c r="AB1335" i="15"/>
  <c r="AD1333" i="15"/>
  <c r="AF1331" i="15"/>
  <c r="AC1330" i="15"/>
  <c r="AE1328" i="15"/>
  <c r="AB1327" i="15"/>
  <c r="AD1325" i="15"/>
  <c r="AF1323" i="15"/>
  <c r="AC1322" i="15"/>
  <c r="AE1320" i="15"/>
  <c r="AB1319" i="15"/>
  <c r="AD1317" i="15"/>
  <c r="AF1315" i="15"/>
  <c r="AC1314" i="15"/>
  <c r="AE1312" i="15"/>
  <c r="AB1311" i="15"/>
  <c r="AD1309" i="15"/>
  <c r="AF1307" i="15"/>
  <c r="AC1306" i="15"/>
  <c r="AE1304" i="15"/>
  <c r="AB1303" i="15"/>
  <c r="AD1301" i="15"/>
  <c r="AF1299" i="15"/>
  <c r="AC1298" i="15"/>
  <c r="AE1296" i="15"/>
  <c r="AB1295" i="15"/>
  <c r="AD1293" i="15"/>
  <c r="AF1291" i="15"/>
  <c r="AC1290" i="15"/>
  <c r="AE1288" i="15"/>
  <c r="AB1287" i="15"/>
  <c r="AD1285" i="15"/>
  <c r="AF1283" i="15"/>
  <c r="AC1282" i="15"/>
  <c r="AE1280" i="15"/>
  <c r="AB1279" i="15"/>
  <c r="AD1277" i="15"/>
  <c r="AF1275" i="15"/>
  <c r="AC1274" i="15"/>
  <c r="AE1272" i="15"/>
  <c r="AB1271" i="15"/>
  <c r="AD1269" i="15"/>
  <c r="AF1267" i="15"/>
  <c r="AC1266" i="15"/>
  <c r="AE1264" i="15"/>
  <c r="AB1263" i="15"/>
  <c r="AD1261" i="15"/>
  <c r="AF1259" i="15"/>
  <c r="AC1258" i="15"/>
  <c r="AE1256" i="15"/>
  <c r="AB1255" i="15"/>
  <c r="AD1253" i="15"/>
  <c r="AF1251" i="15"/>
  <c r="AC1250" i="15"/>
  <c r="AE1248" i="15"/>
  <c r="AB1247" i="15"/>
  <c r="AD1245" i="15"/>
  <c r="AF1243" i="15"/>
  <c r="AC1242" i="15"/>
  <c r="AE1240" i="15"/>
  <c r="AB1239" i="15"/>
  <c r="AD1237" i="15"/>
  <c r="AF1235" i="15"/>
  <c r="AC1234" i="15"/>
  <c r="AE1232" i="15"/>
  <c r="AB1231" i="15"/>
  <c r="AD1229" i="15"/>
  <c r="AF1227" i="15"/>
  <c r="AC1226" i="15"/>
  <c r="AE1224" i="15"/>
  <c r="AB1223" i="15"/>
  <c r="AD1221" i="15"/>
  <c r="AF1219" i="15"/>
  <c r="AC1218" i="15"/>
  <c r="AE1360" i="15"/>
  <c r="AB1359" i="15"/>
  <c r="AD1357" i="15"/>
  <c r="AF1346" i="15"/>
  <c r="AC1345" i="15"/>
  <c r="AE1343" i="15"/>
  <c r="AB1342" i="15"/>
  <c r="AD1340" i="15"/>
  <c r="AF1338" i="15"/>
  <c r="AC1337" i="15"/>
  <c r="AE1335" i="15"/>
  <c r="AB1334" i="15"/>
  <c r="AD1332" i="15"/>
  <c r="AF1330" i="15"/>
  <c r="AC1329" i="15"/>
  <c r="AE1327" i="15"/>
  <c r="AB1326" i="15"/>
  <c r="AD1324" i="15"/>
  <c r="AF1322" i="15"/>
  <c r="AC1321" i="15"/>
  <c r="AE1319" i="15"/>
  <c r="AB1318" i="15"/>
  <c r="AD1316" i="15"/>
  <c r="AF1314" i="15"/>
  <c r="AC1313" i="15"/>
  <c r="AE1311" i="15"/>
  <c r="AB1310" i="15"/>
  <c r="AD1308" i="15"/>
  <c r="AF1306" i="15"/>
  <c r="AC1305" i="15"/>
  <c r="AE1303" i="15"/>
  <c r="AB1302" i="15"/>
  <c r="AD1300" i="15"/>
  <c r="AF1298" i="15"/>
  <c r="AC1297" i="15"/>
  <c r="AE1295" i="15"/>
  <c r="AB1294" i="15"/>
  <c r="AD1292" i="15"/>
  <c r="AF1290" i="15"/>
  <c r="AC1289" i="15"/>
  <c r="AE1287" i="15"/>
  <c r="AB1286" i="15"/>
  <c r="AD1284" i="15"/>
  <c r="AF1282" i="15"/>
  <c r="AC1281" i="15"/>
  <c r="AE1279" i="15"/>
  <c r="AB1278" i="15"/>
  <c r="AD1276" i="15"/>
  <c r="AF1274" i="15"/>
  <c r="AC1273" i="15"/>
  <c r="AE1271" i="15"/>
  <c r="AB1270" i="15"/>
  <c r="AD1268" i="15"/>
  <c r="AF1266" i="15"/>
  <c r="AC1265" i="15"/>
  <c r="AE1263" i="15"/>
  <c r="AB1262" i="15"/>
  <c r="AD1260" i="15"/>
  <c r="AF1258" i="15"/>
  <c r="AC1257" i="15"/>
  <c r="AE1255" i="15"/>
  <c r="AB1254" i="15"/>
  <c r="AD1252" i="15"/>
  <c r="AF1250" i="15"/>
  <c r="AC1249" i="15"/>
  <c r="AE1247" i="15"/>
  <c r="AB1246" i="15"/>
  <c r="AD1244" i="15"/>
  <c r="AF1242" i="15"/>
  <c r="AC1241" i="15"/>
  <c r="AE1239" i="15"/>
  <c r="AB1238" i="15"/>
  <c r="AD1236" i="15"/>
  <c r="AF1234" i="15"/>
  <c r="AC1233" i="15"/>
  <c r="AE1231" i="15"/>
  <c r="AB1230" i="15"/>
  <c r="AD1228" i="15"/>
  <c r="AF1226" i="15"/>
  <c r="AC1225" i="15"/>
  <c r="AE1223" i="15"/>
  <c r="AB1222" i="15"/>
  <c r="AD1220" i="15"/>
  <c r="AF1218" i="15"/>
  <c r="AC1217" i="15"/>
  <c r="AD1360" i="15"/>
  <c r="AF1358" i="15"/>
  <c r="AC1357" i="15"/>
  <c r="AE1346" i="15"/>
  <c r="AB1345" i="15"/>
  <c r="AD1343" i="15"/>
  <c r="AF1341" i="15"/>
  <c r="AC1340" i="15"/>
  <c r="AE1338" i="15"/>
  <c r="AB1337" i="15"/>
  <c r="AD1335" i="15"/>
  <c r="AF1333" i="15"/>
  <c r="AC1332" i="15"/>
  <c r="AE1330" i="15"/>
  <c r="AB1329" i="15"/>
  <c r="AD1327" i="15"/>
  <c r="AF1325" i="15"/>
  <c r="AC1324" i="15"/>
  <c r="AE1322" i="15"/>
  <c r="AB1321" i="15"/>
  <c r="AD1319" i="15"/>
  <c r="AF1317" i="15"/>
  <c r="AC1316" i="15"/>
  <c r="AE1314" i="15"/>
  <c r="AB1313" i="15"/>
  <c r="AD1311" i="15"/>
  <c r="AF1309" i="15"/>
  <c r="AC1308" i="15"/>
  <c r="AE1306" i="15"/>
  <c r="AB1305" i="15"/>
  <c r="AD1303" i="15"/>
  <c r="AF1301" i="15"/>
  <c r="AC1300" i="15"/>
  <c r="AE1298" i="15"/>
  <c r="AB1297" i="15"/>
  <c r="AD1295" i="15"/>
  <c r="AF1293" i="15"/>
  <c r="AC1292" i="15"/>
  <c r="AE1290" i="15"/>
  <c r="AB1289" i="15"/>
  <c r="AD1287" i="15"/>
  <c r="AF1285" i="15"/>
  <c r="AC1284" i="15"/>
  <c r="AE1282" i="15"/>
  <c r="AB1281" i="15"/>
  <c r="AD1279" i="15"/>
  <c r="AF1277" i="15"/>
  <c r="AC1276" i="15"/>
  <c r="AE1274" i="15"/>
  <c r="AB1273" i="15"/>
  <c r="AD1271" i="15"/>
  <c r="AF1269" i="15"/>
  <c r="AC1268" i="15"/>
  <c r="AE1266" i="15"/>
  <c r="AB1265" i="15"/>
  <c r="AD1263" i="15"/>
  <c r="AF1261" i="15"/>
  <c r="AC1260" i="15"/>
  <c r="AE1258" i="15"/>
  <c r="AB1257" i="15"/>
  <c r="AD1255" i="15"/>
  <c r="AF1253" i="15"/>
  <c r="AC1252" i="15"/>
  <c r="AE1250" i="15"/>
  <c r="AB1249" i="15"/>
  <c r="AD1247" i="15"/>
  <c r="AF1245" i="15"/>
  <c r="AC1244" i="15"/>
  <c r="AE1242" i="15"/>
  <c r="AB1241" i="15"/>
  <c r="AD1239" i="15"/>
  <c r="AF1237" i="15"/>
  <c r="AC1236" i="15"/>
  <c r="AE1234" i="15"/>
  <c r="AB1233" i="15"/>
  <c r="AD1231" i="15"/>
  <c r="AF1229" i="15"/>
  <c r="AC1228" i="15"/>
  <c r="AE1226" i="15"/>
  <c r="AB1225" i="15"/>
  <c r="AD1223" i="15"/>
  <c r="AF1221" i="15"/>
  <c r="AC1220" i="15"/>
  <c r="AE1218" i="15"/>
  <c r="AB1217" i="15"/>
  <c r="AD1361" i="15"/>
  <c r="AC1358" i="15"/>
  <c r="AB1346" i="15"/>
  <c r="AF1342" i="15"/>
  <c r="AE1339" i="15"/>
  <c r="AD1336" i="15"/>
  <c r="AC1333" i="15"/>
  <c r="AB1330" i="15"/>
  <c r="AF1326" i="15"/>
  <c r="AE1323" i="15"/>
  <c r="AD1320" i="15"/>
  <c r="AC1317" i="15"/>
  <c r="AB1314" i="15"/>
  <c r="AF1310" i="15"/>
  <c r="AE1307" i="15"/>
  <c r="AD1304" i="15"/>
  <c r="AC1301" i="15"/>
  <c r="AB1298" i="15"/>
  <c r="AF1294" i="15"/>
  <c r="AE1291" i="15"/>
  <c r="AF1288" i="15"/>
  <c r="AD1286" i="15"/>
  <c r="AE1283" i="15"/>
  <c r="AD1281" i="15"/>
  <c r="AE1278" i="15"/>
  <c r="AB1276" i="15"/>
  <c r="AE1273" i="15"/>
  <c r="AF1270" i="15"/>
  <c r="AE1268" i="15"/>
  <c r="AF1265" i="15"/>
  <c r="AC1263" i="15"/>
  <c r="AF1260" i="15"/>
  <c r="AB1258" i="15"/>
  <c r="AF1255" i="15"/>
  <c r="AB1253" i="15"/>
  <c r="AD1250" i="15"/>
  <c r="AB1248" i="15"/>
  <c r="AC1245" i="15"/>
  <c r="AB1243" i="15"/>
  <c r="AC1240" i="15"/>
  <c r="AE1237" i="15"/>
  <c r="AC1235" i="15"/>
  <c r="AD1232" i="15"/>
  <c r="AC1230" i="15"/>
  <c r="AD1227" i="15"/>
  <c r="AF1224" i="15"/>
  <c r="AD1222" i="15"/>
  <c r="AE1219" i="15"/>
  <c r="AD1217" i="15"/>
  <c r="AD1215" i="15"/>
  <c r="AF1213" i="15"/>
  <c r="AC1212" i="15"/>
  <c r="AE1210" i="15"/>
  <c r="AB1209" i="15"/>
  <c r="AD1207" i="15"/>
  <c r="AF1205" i="15"/>
  <c r="AC1204" i="15"/>
  <c r="AE1202" i="15"/>
  <c r="AB1201" i="15"/>
  <c r="AD1199" i="15"/>
  <c r="AF1197" i="15"/>
  <c r="AC1196" i="15"/>
  <c r="AE1194" i="15"/>
  <c r="AB1193" i="15"/>
  <c r="AD1191" i="15"/>
  <c r="AF1189" i="15"/>
  <c r="AC1188" i="15"/>
  <c r="AE1186" i="15"/>
  <c r="AC1361" i="15"/>
  <c r="AB1358" i="15"/>
  <c r="AF1345" i="15"/>
  <c r="AE1342" i="15"/>
  <c r="AD1339" i="15"/>
  <c r="AC1336" i="15"/>
  <c r="AB1333" i="15"/>
  <c r="AF1329" i="15"/>
  <c r="AE1326" i="15"/>
  <c r="AD1323" i="15"/>
  <c r="AC1320" i="15"/>
  <c r="AB1317" i="15"/>
  <c r="AF1313" i="15"/>
  <c r="AE1310" i="15"/>
  <c r="AD1307" i="15"/>
  <c r="AC1304" i="15"/>
  <c r="AB1301" i="15"/>
  <c r="AF1297" i="15"/>
  <c r="AE1294" i="15"/>
  <c r="AD1291" i="15"/>
  <c r="AD1288" i="15"/>
  <c r="AC1286" i="15"/>
  <c r="AD1283" i="15"/>
  <c r="AF1280" i="15"/>
  <c r="AD1278" i="15"/>
  <c r="AE1275" i="15"/>
  <c r="AD1273" i="15"/>
  <c r="AE1270" i="15"/>
  <c r="AB1268" i="15"/>
  <c r="AE1265" i="15"/>
  <c r="AF1262" i="15"/>
  <c r="AE1260" i="15"/>
  <c r="AF1257" i="15"/>
  <c r="AC1255" i="15"/>
  <c r="AF1252" i="15"/>
  <c r="AB1250" i="15"/>
  <c r="AF1247" i="15"/>
  <c r="AB1245" i="15"/>
  <c r="AD1242" i="15"/>
  <c r="AB1240" i="15"/>
  <c r="AC1237" i="15"/>
  <c r="AB1235" i="15"/>
  <c r="AC1232" i="15"/>
  <c r="AE1229" i="15"/>
  <c r="AC1227" i="15"/>
  <c r="AD1224" i="15"/>
  <c r="AC1222" i="15"/>
  <c r="AD1219" i="15"/>
  <c r="AF1216" i="15"/>
  <c r="AC1215" i="15"/>
  <c r="AE1213" i="15"/>
  <c r="AB1212" i="15"/>
  <c r="AD1210" i="15"/>
  <c r="AF1208" i="15"/>
  <c r="AC1207" i="15"/>
  <c r="AE1205" i="15"/>
  <c r="AB1204" i="15"/>
  <c r="AD1202" i="15"/>
  <c r="AF1200" i="15"/>
  <c r="AC1199" i="15"/>
  <c r="AE1197" i="15"/>
  <c r="AB1361" i="15"/>
  <c r="AF1357" i="15"/>
  <c r="AE1345" i="15"/>
  <c r="AD1342" i="15"/>
  <c r="AC1339" i="15"/>
  <c r="AB1336" i="15"/>
  <c r="AF1332" i="15"/>
  <c r="AE1329" i="15"/>
  <c r="AD1326" i="15"/>
  <c r="AC1323" i="15"/>
  <c r="AB1320" i="15"/>
  <c r="AF1316" i="15"/>
  <c r="AE1313" i="15"/>
  <c r="AD1310" i="15"/>
  <c r="AC1307" i="15"/>
  <c r="AB1304" i="15"/>
  <c r="AF1300" i="15"/>
  <c r="AE1297" i="15"/>
  <c r="AD1294" i="15"/>
  <c r="AC1291" i="15"/>
  <c r="AC1288" i="15"/>
  <c r="AE1285" i="15"/>
  <c r="AC1283" i="15"/>
  <c r="AD1280" i="15"/>
  <c r="AC1278" i="15"/>
  <c r="AD1275" i="15"/>
  <c r="AF1272" i="15"/>
  <c r="AD1270" i="15"/>
  <c r="AE1267" i="15"/>
  <c r="AD1265" i="15"/>
  <c r="AE1262" i="15"/>
  <c r="AB1260" i="15"/>
  <c r="AE1257" i="15"/>
  <c r="AF1254" i="15"/>
  <c r="AE1252" i="15"/>
  <c r="AF1249" i="15"/>
  <c r="AC1247" i="15"/>
  <c r="AF1244" i="15"/>
  <c r="AB1242" i="15"/>
  <c r="AF1239" i="15"/>
  <c r="AB1237" i="15"/>
  <c r="AD1234" i="15"/>
  <c r="AB1232" i="15"/>
  <c r="AC1229" i="15"/>
  <c r="AB1227" i="15"/>
  <c r="AC1224" i="15"/>
  <c r="AE1221" i="15"/>
  <c r="AC1219" i="15"/>
  <c r="AE1216" i="15"/>
  <c r="AB1215" i="15"/>
  <c r="AD1213" i="15"/>
  <c r="AF1211" i="15"/>
  <c r="AC1210" i="15"/>
  <c r="AE1208" i="15"/>
  <c r="AB1207" i="15"/>
  <c r="AD1205" i="15"/>
  <c r="AF1203" i="15"/>
  <c r="AC1202" i="15"/>
  <c r="AE1200" i="15"/>
  <c r="AB1199" i="15"/>
  <c r="AD1197" i="15"/>
  <c r="AF1195" i="15"/>
  <c r="AC1194" i="15"/>
  <c r="AE1192" i="15"/>
  <c r="AB1191" i="15"/>
  <c r="AD1189" i="15"/>
  <c r="AF1187" i="15"/>
  <c r="AC1186" i="15"/>
  <c r="AE1184" i="15"/>
  <c r="AB1183" i="15"/>
  <c r="AD1181" i="15"/>
  <c r="AF1179" i="15"/>
  <c r="AC1178" i="15"/>
  <c r="AE1176" i="15"/>
  <c r="AB1175" i="15"/>
  <c r="AD1173" i="15"/>
  <c r="AF1171" i="15"/>
  <c r="AC1170" i="15"/>
  <c r="AF1168" i="15"/>
  <c r="AD1167" i="15"/>
  <c r="AB1166" i="15"/>
  <c r="AF1164" i="15"/>
  <c r="AD1163" i="15"/>
  <c r="AB1162" i="15"/>
  <c r="AF1160" i="15"/>
  <c r="AF1360" i="15"/>
  <c r="AE1357" i="15"/>
  <c r="AD1345" i="15"/>
  <c r="AC1342" i="15"/>
  <c r="AB1339" i="15"/>
  <c r="AF1335" i="15"/>
  <c r="AE1332" i="15"/>
  <c r="AD1329" i="15"/>
  <c r="AC1326" i="15"/>
  <c r="AB1323" i="15"/>
  <c r="AF1319" i="15"/>
  <c r="AE1316" i="15"/>
  <c r="AD1313" i="15"/>
  <c r="AC1310" i="15"/>
  <c r="AB1307" i="15"/>
  <c r="AF1303" i="15"/>
  <c r="AE1300" i="15"/>
  <c r="AD1297" i="15"/>
  <c r="AC1294" i="15"/>
  <c r="AB1291" i="15"/>
  <c r="AB1288" i="15"/>
  <c r="AC1285" i="15"/>
  <c r="AB1283" i="15"/>
  <c r="AC1280" i="15"/>
  <c r="AE1277" i="15"/>
  <c r="AC1275" i="15"/>
  <c r="AD1272" i="15"/>
  <c r="AC1270" i="15"/>
  <c r="AD1267" i="15"/>
  <c r="AF1264" i="15"/>
  <c r="AD1262" i="15"/>
  <c r="AE1259" i="15"/>
  <c r="AD1257" i="15"/>
  <c r="AE1254" i="15"/>
  <c r="AB1252" i="15"/>
  <c r="AE1249" i="15"/>
  <c r="AF1246" i="15"/>
  <c r="AE1244" i="15"/>
  <c r="AF1241" i="15"/>
  <c r="AC1239" i="15"/>
  <c r="AF1236" i="15"/>
  <c r="AB1234" i="15"/>
  <c r="AF1231" i="15"/>
  <c r="AB1229" i="15"/>
  <c r="AD1226" i="15"/>
  <c r="AB1224" i="15"/>
  <c r="AC1221" i="15"/>
  <c r="AB1219" i="15"/>
  <c r="AD1216" i="15"/>
  <c r="AF1214" i="15"/>
  <c r="AC1213" i="15"/>
  <c r="AE1211" i="15"/>
  <c r="AB1210" i="15"/>
  <c r="AD1208" i="15"/>
  <c r="AF1206" i="15"/>
  <c r="AC1205" i="15"/>
  <c r="AE1203" i="15"/>
  <c r="AB1202" i="15"/>
  <c r="AD1200" i="15"/>
  <c r="AF1198" i="15"/>
  <c r="AC1197" i="15"/>
  <c r="AE1195" i="15"/>
  <c r="AB1194" i="15"/>
  <c r="AD1192" i="15"/>
  <c r="AF1190" i="15"/>
  <c r="AC1189" i="15"/>
  <c r="AE1187" i="15"/>
  <c r="AB1186" i="15"/>
  <c r="AD1184" i="15"/>
  <c r="AF1182" i="15"/>
  <c r="AC1181" i="15"/>
  <c r="AE1179" i="15"/>
  <c r="AB1178" i="15"/>
  <c r="AD1176" i="15"/>
  <c r="AF1174" i="15"/>
  <c r="AC1173" i="15"/>
  <c r="AE1171" i="15"/>
  <c r="AB1170" i="15"/>
  <c r="AE1168" i="15"/>
  <c r="AC1167" i="15"/>
  <c r="AE1164" i="15"/>
  <c r="AC1163" i="15"/>
  <c r="AE1160" i="15"/>
  <c r="AF1359" i="15"/>
  <c r="AE1356" i="15"/>
  <c r="AD1344" i="15"/>
  <c r="AC1341" i="15"/>
  <c r="AB1338" i="15"/>
  <c r="AF1334" i="15"/>
  <c r="AE1331" i="15"/>
  <c r="AD1328" i="15"/>
  <c r="AC1325" i="15"/>
  <c r="AB1322" i="15"/>
  <c r="AF1318" i="15"/>
  <c r="AE1315" i="15"/>
  <c r="AD1312" i="15"/>
  <c r="AC1309" i="15"/>
  <c r="AB1306" i="15"/>
  <c r="AF1302" i="15"/>
  <c r="AE1299" i="15"/>
  <c r="AD1296" i="15"/>
  <c r="AC1293" i="15"/>
  <c r="AB1290" i="15"/>
  <c r="AF1287" i="15"/>
  <c r="AB1285" i="15"/>
  <c r="AD1282" i="15"/>
  <c r="AB1280" i="15"/>
  <c r="AC1277" i="15"/>
  <c r="AB1275" i="15"/>
  <c r="AC1272" i="15"/>
  <c r="AE1269" i="15"/>
  <c r="AE1359" i="15"/>
  <c r="AD1356" i="15"/>
  <c r="AC1344" i="15"/>
  <c r="AB1341" i="15"/>
  <c r="AF1337" i="15"/>
  <c r="AE1334" i="15"/>
  <c r="AD1331" i="15"/>
  <c r="AC1328" i="15"/>
  <c r="AB1325" i="15"/>
  <c r="AF1321" i="15"/>
  <c r="AE1318" i="15"/>
  <c r="AD1315" i="15"/>
  <c r="AC1312" i="15"/>
  <c r="AB1309" i="15"/>
  <c r="AF1305" i="15"/>
  <c r="AE1302" i="15"/>
  <c r="AD1299" i="15"/>
  <c r="AC1296" i="15"/>
  <c r="AB1293" i="15"/>
  <c r="AF1289" i="15"/>
  <c r="AC1287" i="15"/>
  <c r="AF1284" i="15"/>
  <c r="AB1282" i="15"/>
  <c r="AF1279" i="15"/>
  <c r="AB1277" i="15"/>
  <c r="AD1274" i="15"/>
  <c r="AB1272" i="15"/>
  <c r="AC1269" i="15"/>
  <c r="AB1267" i="15"/>
  <c r="AC1264" i="15"/>
  <c r="AE1261" i="15"/>
  <c r="AC1259" i="15"/>
  <c r="AD1256" i="15"/>
  <c r="AC1254" i="15"/>
  <c r="AD1251" i="15"/>
  <c r="AF1248" i="15"/>
  <c r="AD1246" i="15"/>
  <c r="AE1243" i="15"/>
  <c r="AD1241" i="15"/>
  <c r="AE1238" i="15"/>
  <c r="AB1236" i="15"/>
  <c r="AE1233" i="15"/>
  <c r="AF1230" i="15"/>
  <c r="AE1228" i="15"/>
  <c r="AF1225" i="15"/>
  <c r="AC1223" i="15"/>
  <c r="AF1220" i="15"/>
  <c r="AB1218" i="15"/>
  <c r="AB1216" i="15"/>
  <c r="AD1214" i="15"/>
  <c r="AF1212" i="15"/>
  <c r="AC1211" i="15"/>
  <c r="AE1209" i="15"/>
  <c r="AB1208" i="15"/>
  <c r="AD1206" i="15"/>
  <c r="AF1204" i="15"/>
  <c r="AC1203" i="15"/>
  <c r="AE1201" i="15"/>
  <c r="AB1200" i="15"/>
  <c r="AD1198" i="15"/>
  <c r="AF1196" i="15"/>
  <c r="AC1195" i="15"/>
  <c r="AE1193" i="15"/>
  <c r="AB1192" i="15"/>
  <c r="AD1190" i="15"/>
  <c r="AF1188" i="15"/>
  <c r="AC1187" i="15"/>
  <c r="AE1185" i="15"/>
  <c r="AB1184" i="15"/>
  <c r="AD1182" i="15"/>
  <c r="AF1180" i="15"/>
  <c r="AC1179" i="15"/>
  <c r="AE1177" i="15"/>
  <c r="AD1359" i="15"/>
  <c r="AC1356" i="15"/>
  <c r="AB1344" i="15"/>
  <c r="AF1340" i="15"/>
  <c r="AE1337" i="15"/>
  <c r="AD1334" i="15"/>
  <c r="AC1331" i="15"/>
  <c r="AB1328" i="15"/>
  <c r="AF1324" i="15"/>
  <c r="AE1321" i="15"/>
  <c r="AD1318" i="15"/>
  <c r="AC1315" i="15"/>
  <c r="AB1312" i="15"/>
  <c r="AF1308" i="15"/>
  <c r="AE1305" i="15"/>
  <c r="AD1302" i="15"/>
  <c r="AC1299" i="15"/>
  <c r="AB1296" i="15"/>
  <c r="AF1292" i="15"/>
  <c r="AE1289" i="15"/>
  <c r="AF1286" i="15"/>
  <c r="AE1284" i="15"/>
  <c r="AF1281" i="15"/>
  <c r="AC1279" i="15"/>
  <c r="AF1276" i="15"/>
  <c r="AB1274" i="15"/>
  <c r="AF1271" i="15"/>
  <c r="AB1269" i="15"/>
  <c r="AD1266" i="15"/>
  <c r="AB1264" i="15"/>
  <c r="AC1261" i="15"/>
  <c r="AB1259" i="15"/>
  <c r="AC1256" i="15"/>
  <c r="AE1253" i="15"/>
  <c r="AC1251" i="15"/>
  <c r="AD1248" i="15"/>
  <c r="AC1246" i="15"/>
  <c r="AD1243" i="15"/>
  <c r="AF1240" i="15"/>
  <c r="AD1238" i="15"/>
  <c r="AE1235" i="15"/>
  <c r="AD1233" i="15"/>
  <c r="AE1230" i="15"/>
  <c r="AB1228" i="15"/>
  <c r="AE1225" i="15"/>
  <c r="AF1222" i="15"/>
  <c r="AE1220" i="15"/>
  <c r="AF1217" i="15"/>
  <c r="AF1215" i="15"/>
  <c r="AC1214" i="15"/>
  <c r="AE1212" i="15"/>
  <c r="AB1211" i="15"/>
  <c r="AD1209" i="15"/>
  <c r="AF1207" i="15"/>
  <c r="AC1206" i="15"/>
  <c r="AE1204" i="15"/>
  <c r="AB1203" i="15"/>
  <c r="AD1201" i="15"/>
  <c r="AF1199" i="15"/>
  <c r="AC1198" i="15"/>
  <c r="AE1196" i="15"/>
  <c r="AB1195" i="15"/>
  <c r="AD1193" i="15"/>
  <c r="AF1191" i="15"/>
  <c r="AC1190" i="15"/>
  <c r="AE1188" i="15"/>
  <c r="AB1187" i="15"/>
  <c r="AD1185" i="15"/>
  <c r="AF1183" i="15"/>
  <c r="AC1182" i="15"/>
  <c r="AE1180" i="15"/>
  <c r="AB1179" i="15"/>
  <c r="AD1177" i="15"/>
  <c r="AF1175" i="15"/>
  <c r="AC1174" i="15"/>
  <c r="AE1172" i="15"/>
  <c r="AB1171" i="15"/>
  <c r="AD1169" i="15"/>
  <c r="AB1168" i="15"/>
  <c r="AF1166" i="15"/>
  <c r="AD1165" i="15"/>
  <c r="AB1164" i="15"/>
  <c r="AF1162" i="15"/>
  <c r="AD1161" i="15"/>
  <c r="AB1160" i="15"/>
  <c r="AF1158" i="15"/>
  <c r="AD1157" i="15"/>
  <c r="AB1156" i="15"/>
  <c r="AF1154" i="15"/>
  <c r="AD1153" i="15"/>
  <c r="AB1152" i="15"/>
  <c r="AF1150" i="15"/>
  <c r="AD1149" i="15"/>
  <c r="AB1148" i="15"/>
  <c r="AF1146" i="15"/>
  <c r="AD1145" i="15"/>
  <c r="AB1144" i="15"/>
  <c r="AF1142" i="15"/>
  <c r="AD1141" i="15"/>
  <c r="AB1140" i="15"/>
  <c r="AF1138" i="15"/>
  <c r="AD1137" i="15"/>
  <c r="AB1136" i="15"/>
  <c r="AF1134" i="15"/>
  <c r="AD1133" i="15"/>
  <c r="AB1132" i="15"/>
  <c r="AF1130" i="15"/>
  <c r="AD1129" i="15"/>
  <c r="AB1128" i="15"/>
  <c r="AF1126" i="15"/>
  <c r="AD1125" i="15"/>
  <c r="AC1359" i="15"/>
  <c r="AB1356" i="15"/>
  <c r="AF1343" i="15"/>
  <c r="AE1340" i="15"/>
  <c r="AD1337" i="15"/>
  <c r="AC1334" i="15"/>
  <c r="AB1331" i="15"/>
  <c r="AF1327" i="15"/>
  <c r="AE1324" i="15"/>
  <c r="AD1321" i="15"/>
  <c r="AC1318" i="15"/>
  <c r="AB1315" i="15"/>
  <c r="AF1311" i="15"/>
  <c r="AE1308" i="15"/>
  <c r="AD1305" i="15"/>
  <c r="AC1302" i="15"/>
  <c r="AB1299" i="15"/>
  <c r="AF1295" i="15"/>
  <c r="AE1292" i="15"/>
  <c r="AD1289" i="15"/>
  <c r="AE1286" i="15"/>
  <c r="AB1284" i="15"/>
  <c r="AE1281" i="15"/>
  <c r="AF1278" i="15"/>
  <c r="AE1276" i="15"/>
  <c r="AF1273" i="15"/>
  <c r="AC1271" i="15"/>
  <c r="AF1268" i="15"/>
  <c r="AB1266" i="15"/>
  <c r="AF1263" i="15"/>
  <c r="AB1261" i="15"/>
  <c r="AD1258" i="15"/>
  <c r="AB1256" i="15"/>
  <c r="AC1253" i="15"/>
  <c r="AB1251" i="15"/>
  <c r="AC1248" i="15"/>
  <c r="AE1245" i="15"/>
  <c r="AC1243" i="15"/>
  <c r="AD1240" i="15"/>
  <c r="AC1238" i="15"/>
  <c r="AD1235" i="15"/>
  <c r="AF1232" i="15"/>
  <c r="AD1230" i="15"/>
  <c r="AE1227" i="15"/>
  <c r="AD1225" i="15"/>
  <c r="AE1222" i="15"/>
  <c r="AB1220" i="15"/>
  <c r="AE1217" i="15"/>
  <c r="AE1215" i="15"/>
  <c r="AB1214" i="15"/>
  <c r="AD1212" i="15"/>
  <c r="AF1210" i="15"/>
  <c r="AC1209" i="15"/>
  <c r="AE1207" i="15"/>
  <c r="AB1206" i="15"/>
  <c r="AD1204" i="15"/>
  <c r="AF1202" i="15"/>
  <c r="AC1201" i="15"/>
  <c r="AE1199" i="15"/>
  <c r="AB1198" i="15"/>
  <c r="AD1196" i="15"/>
  <c r="AF1194" i="15"/>
  <c r="AC1193" i="15"/>
  <c r="AE1191" i="15"/>
  <c r="AB1190" i="15"/>
  <c r="AD1188" i="15"/>
  <c r="AF1186" i="15"/>
  <c r="AC1185" i="15"/>
  <c r="AE1183" i="15"/>
  <c r="AB1182" i="15"/>
  <c r="AD1180" i="15"/>
  <c r="AF1178" i="15"/>
  <c r="AC1177" i="15"/>
  <c r="AE1175" i="15"/>
  <c r="AB1174" i="15"/>
  <c r="AD1172" i="15"/>
  <c r="AF1170" i="15"/>
  <c r="AC1169" i="15"/>
  <c r="AE1166" i="15"/>
  <c r="AC1165" i="15"/>
  <c r="AE1162" i="15"/>
  <c r="AC1161" i="15"/>
  <c r="AE1158" i="15"/>
  <c r="AC1157" i="15"/>
  <c r="AE1154" i="15"/>
  <c r="AC1153" i="15"/>
  <c r="AE1150" i="15"/>
  <c r="AC1149" i="15"/>
  <c r="AE1146" i="15"/>
  <c r="AC1145" i="15"/>
  <c r="AE1142" i="15"/>
  <c r="AC1141" i="15"/>
  <c r="AE1138" i="15"/>
  <c r="AC1137" i="15"/>
  <c r="AE1134" i="15"/>
  <c r="AC1133" i="15"/>
  <c r="AE1130" i="15"/>
  <c r="AC1129" i="15"/>
  <c r="AE1126" i="15"/>
  <c r="AC1125" i="15"/>
  <c r="AE1122" i="15"/>
  <c r="AC1121" i="15"/>
  <c r="AE1118" i="15"/>
  <c r="AC1117" i="15"/>
  <c r="AE1114" i="15"/>
  <c r="AC1113" i="15"/>
  <c r="AE1110" i="15"/>
  <c r="AC1109" i="15"/>
  <c r="AE1106" i="15"/>
  <c r="AC1105" i="15"/>
  <c r="AE1102" i="15"/>
  <c r="AC1101" i="15"/>
  <c r="AE1098" i="15"/>
  <c r="AC1097" i="15"/>
  <c r="AE1094" i="15"/>
  <c r="AC1093" i="15"/>
  <c r="AE1090" i="15"/>
  <c r="AC1089" i="15"/>
  <c r="AE1086" i="15"/>
  <c r="AC1085" i="15"/>
  <c r="AE1082" i="15"/>
  <c r="AC1081" i="15"/>
  <c r="AE1078" i="15"/>
  <c r="AC1077" i="15"/>
  <c r="AB1075" i="15"/>
  <c r="AC1074" i="15"/>
  <c r="AD1073" i="15"/>
  <c r="AE1072" i="15"/>
  <c r="AB1067" i="15"/>
  <c r="AC1066" i="15"/>
  <c r="AD1065" i="15"/>
  <c r="AE1064" i="15"/>
  <c r="AB1059" i="15"/>
  <c r="AC1058" i="15"/>
  <c r="AD1057" i="15"/>
  <c r="AC1267" i="15"/>
  <c r="AE1246" i="15"/>
  <c r="AB1226" i="15"/>
  <c r="AF1209" i="15"/>
  <c r="AB1197" i="15"/>
  <c r="AE1190" i="15"/>
  <c r="AF1184" i="15"/>
  <c r="AC1180" i="15"/>
  <c r="AC1176" i="15"/>
  <c r="AB1173" i="15"/>
  <c r="AF1169" i="15"/>
  <c r="AB1167" i="15"/>
  <c r="AD1164" i="15"/>
  <c r="AF1161" i="15"/>
  <c r="AD1159" i="15"/>
  <c r="AF1157" i="15"/>
  <c r="AF1155" i="15"/>
  <c r="AB1154" i="15"/>
  <c r="AD1152" i="15"/>
  <c r="AD1150" i="15"/>
  <c r="AF1148" i="15"/>
  <c r="AB1147" i="15"/>
  <c r="AB1145" i="15"/>
  <c r="AD1143" i="15"/>
  <c r="AF1141" i="15"/>
  <c r="AF1139" i="15"/>
  <c r="AB1138" i="15"/>
  <c r="AD1136" i="15"/>
  <c r="AD1134" i="15"/>
  <c r="AF1132" i="15"/>
  <c r="AB1131" i="15"/>
  <c r="AB1129" i="15"/>
  <c r="AD1127" i="15"/>
  <c r="AF1125" i="15"/>
  <c r="AB1124" i="15"/>
  <c r="AD1122" i="15"/>
  <c r="AD1119" i="15"/>
  <c r="AD1116" i="15"/>
  <c r="AD1113" i="15"/>
  <c r="AF1111" i="15"/>
  <c r="AC1110" i="15"/>
  <c r="AF1108" i="15"/>
  <c r="AC1107" i="15"/>
  <c r="AF1105" i="15"/>
  <c r="AC1104" i="15"/>
  <c r="AF1102" i="15"/>
  <c r="AB1101" i="15"/>
  <c r="AE1099" i="15"/>
  <c r="AB1098" i="15"/>
  <c r="AE1096" i="15"/>
  <c r="AB1095" i="15"/>
  <c r="AE1093" i="15"/>
  <c r="AB1092" i="15"/>
  <c r="AD1090" i="15"/>
  <c r="AD1087" i="15"/>
  <c r="AD1264" i="15"/>
  <c r="AB1244" i="15"/>
  <c r="AF1223" i="15"/>
  <c r="AC1208" i="15"/>
  <c r="AB1196" i="15"/>
  <c r="AE1189" i="15"/>
  <c r="AC1184" i="15"/>
  <c r="AB1180" i="15"/>
  <c r="AB1176" i="15"/>
  <c r="AF1172" i="15"/>
  <c r="AE1169" i="15"/>
  <c r="AC1164" i="15"/>
  <c r="AE1161" i="15"/>
  <c r="AC1159" i="15"/>
  <c r="AE1157" i="15"/>
  <c r="AE1155" i="15"/>
  <c r="AC1152" i="15"/>
  <c r="AC1150" i="15"/>
  <c r="AE1148" i="15"/>
  <c r="AC1143" i="15"/>
  <c r="AE1141" i="15"/>
  <c r="AE1139" i="15"/>
  <c r="AC1136" i="15"/>
  <c r="AC1134" i="15"/>
  <c r="AE1132" i="15"/>
  <c r="AC1127" i="15"/>
  <c r="AE1125" i="15"/>
  <c r="AF1123" i="15"/>
  <c r="AC1122" i="15"/>
  <c r="AF1120" i="15"/>
  <c r="AC1119" i="15"/>
  <c r="AF1117" i="15"/>
  <c r="AC1116" i="15"/>
  <c r="AF1114" i="15"/>
  <c r="AB1113" i="15"/>
  <c r="AE1111" i="15"/>
  <c r="AB1110" i="15"/>
  <c r="AE1108" i="15"/>
  <c r="AB1107" i="15"/>
  <c r="AE1105" i="15"/>
  <c r="AB1104" i="15"/>
  <c r="AD1102" i="15"/>
  <c r="AD1099" i="15"/>
  <c r="AD1096" i="15"/>
  <c r="AD1093" i="15"/>
  <c r="AC1262" i="15"/>
  <c r="AE1241" i="15"/>
  <c r="AB1221" i="15"/>
  <c r="AE1206" i="15"/>
  <c r="AD1195" i="15"/>
  <c r="AB1189" i="15"/>
  <c r="AD1183" i="15"/>
  <c r="AD1179" i="15"/>
  <c r="AD1175" i="15"/>
  <c r="AC1172" i="15"/>
  <c r="AB1169" i="15"/>
  <c r="AD1166" i="15"/>
  <c r="AF1163" i="15"/>
  <c r="AB1161" i="15"/>
  <c r="AB1159" i="15"/>
  <c r="AB1157" i="15"/>
  <c r="AD1155" i="15"/>
  <c r="AF1153" i="15"/>
  <c r="AF1151" i="15"/>
  <c r="AB1150" i="15"/>
  <c r="AD1148" i="15"/>
  <c r="AD1146" i="15"/>
  <c r="AF1144" i="15"/>
  <c r="AB1143" i="15"/>
  <c r="AB1141" i="15"/>
  <c r="AD1139" i="15"/>
  <c r="AF1137" i="15"/>
  <c r="AF1135" i="15"/>
  <c r="AB1134" i="15"/>
  <c r="AD1132" i="15"/>
  <c r="AD1130" i="15"/>
  <c r="AF1128" i="15"/>
  <c r="AB1127" i="15"/>
  <c r="AB1125" i="15"/>
  <c r="AE1123" i="15"/>
  <c r="AB1122" i="15"/>
  <c r="AE1120" i="15"/>
  <c r="AB1119" i="15"/>
  <c r="AE1117" i="15"/>
  <c r="AB1116" i="15"/>
  <c r="AD1114" i="15"/>
  <c r="AD1111" i="15"/>
  <c r="AD1108" i="15"/>
  <c r="AD1105" i="15"/>
  <c r="AF1103" i="15"/>
  <c r="AC1102" i="15"/>
  <c r="AF1100" i="15"/>
  <c r="AC1099" i="15"/>
  <c r="AF1097" i="15"/>
  <c r="AC1096" i="15"/>
  <c r="AF1094" i="15"/>
  <c r="AB1093" i="15"/>
  <c r="AE1091" i="15"/>
  <c r="AB1090" i="15"/>
  <c r="AE1088" i="15"/>
  <c r="AB1087" i="15"/>
  <c r="AE1085" i="15"/>
  <c r="AB1084" i="15"/>
  <c r="AD1082" i="15"/>
  <c r="AD1079" i="15"/>
  <c r="AD1076" i="15"/>
  <c r="AD1075" i="15"/>
  <c r="AD1074" i="15"/>
  <c r="AC1073" i="15"/>
  <c r="AC1072" i="15"/>
  <c r="AC1071" i="15"/>
  <c r="AC1070" i="15"/>
  <c r="AC1069" i="15"/>
  <c r="AC1068" i="15"/>
  <c r="AC1067" i="15"/>
  <c r="AB1066" i="15"/>
  <c r="AB1065" i="15"/>
  <c r="AB1064" i="15"/>
  <c r="AB1063" i="15"/>
  <c r="AB1062" i="15"/>
  <c r="AB1061" i="15"/>
  <c r="AB1060" i="15"/>
  <c r="AB1056" i="15"/>
  <c r="AC1055" i="15"/>
  <c r="AD1054" i="15"/>
  <c r="AE1053" i="15"/>
  <c r="AB1048" i="15"/>
  <c r="AC1047" i="15"/>
  <c r="AD1046" i="15"/>
  <c r="AE1045" i="15"/>
  <c r="AB1040" i="15"/>
  <c r="AC1039" i="15"/>
  <c r="AD1038" i="15"/>
  <c r="AE1037" i="15"/>
  <c r="AB1032" i="15"/>
  <c r="AC1031" i="15"/>
  <c r="AD1259" i="15"/>
  <c r="AF1238" i="15"/>
  <c r="AD1218" i="15"/>
  <c r="AB1205" i="15"/>
  <c r="AD1194" i="15"/>
  <c r="AB1188" i="15"/>
  <c r="AC1183" i="15"/>
  <c r="AE1178" i="15"/>
  <c r="AC1175" i="15"/>
  <c r="AB1172" i="15"/>
  <c r="AC1166" i="15"/>
  <c r="AE1163" i="15"/>
  <c r="AC1155" i="15"/>
  <c r="AE1153" i="15"/>
  <c r="AE1151" i="15"/>
  <c r="AC1148" i="15"/>
  <c r="AC1146" i="15"/>
  <c r="AE1144" i="15"/>
  <c r="AC1139" i="15"/>
  <c r="AE1137" i="15"/>
  <c r="AE1135" i="15"/>
  <c r="AC1132" i="15"/>
  <c r="AC1130" i="15"/>
  <c r="AE1128" i="15"/>
  <c r="AD1123" i="15"/>
  <c r="AD1120" i="15"/>
  <c r="AD1117" i="15"/>
  <c r="AF1115" i="15"/>
  <c r="AC1114" i="15"/>
  <c r="AF1112" i="15"/>
  <c r="AC1111" i="15"/>
  <c r="AF1109" i="15"/>
  <c r="AC1108" i="15"/>
  <c r="AF1106" i="15"/>
  <c r="AB1105" i="15"/>
  <c r="AE1103" i="15"/>
  <c r="AB1102" i="15"/>
  <c r="AE1100" i="15"/>
  <c r="AB1099" i="15"/>
  <c r="AE1097" i="15"/>
  <c r="AB1096" i="15"/>
  <c r="AD1094" i="15"/>
  <c r="AD1091" i="15"/>
  <c r="AD1088" i="15"/>
  <c r="AD1085" i="15"/>
  <c r="AF1083" i="15"/>
  <c r="AC1082" i="15"/>
  <c r="AF1080" i="15"/>
  <c r="AC1079" i="15"/>
  <c r="AF1077" i="15"/>
  <c r="AC1076" i="15"/>
  <c r="AC1075" i="15"/>
  <c r="AB1074" i="15"/>
  <c r="AB1073" i="15"/>
  <c r="AB1072" i="15"/>
  <c r="AB1071" i="15"/>
  <c r="AB1070" i="15"/>
  <c r="AB1069" i="15"/>
  <c r="AB1068" i="15"/>
  <c r="AB1055" i="15"/>
  <c r="AC1054" i="15"/>
  <c r="AD1053" i="15"/>
  <c r="AE1052" i="15"/>
  <c r="AB1047" i="15"/>
  <c r="AC1046" i="15"/>
  <c r="AD1045" i="15"/>
  <c r="AE1044" i="15"/>
  <c r="AB1039" i="15"/>
  <c r="AC1038" i="15"/>
  <c r="AD1037" i="15"/>
  <c r="AE1036" i="15"/>
  <c r="AF1256" i="15"/>
  <c r="AE1236" i="15"/>
  <c r="AC1216" i="15"/>
  <c r="AD1203" i="15"/>
  <c r="AF1193" i="15"/>
  <c r="AD1187" i="15"/>
  <c r="AE1182" i="15"/>
  <c r="AD1178" i="15"/>
  <c r="AE1174" i="15"/>
  <c r="AD1171" i="15"/>
  <c r="AD1168" i="15"/>
  <c r="AF1165" i="15"/>
  <c r="AB1163" i="15"/>
  <c r="AD1160" i="15"/>
  <c r="AD1158" i="15"/>
  <c r="AF1156" i="15"/>
  <c r="AB1155" i="15"/>
  <c r="AB1153" i="15"/>
  <c r="AD1151" i="15"/>
  <c r="AF1149" i="15"/>
  <c r="AF1147" i="15"/>
  <c r="AB1146" i="15"/>
  <c r="AD1144" i="15"/>
  <c r="AD1142" i="15"/>
  <c r="AF1140" i="15"/>
  <c r="AB1139" i="15"/>
  <c r="AB1137" i="15"/>
  <c r="AD1135" i="15"/>
  <c r="AF1133" i="15"/>
  <c r="AF1131" i="15"/>
  <c r="AB1130" i="15"/>
  <c r="AD1128" i="15"/>
  <c r="AD1126" i="15"/>
  <c r="AF1124" i="15"/>
  <c r="AC1123" i="15"/>
  <c r="AD1254" i="15"/>
  <c r="AF1233" i="15"/>
  <c r="AE1214" i="15"/>
  <c r="AF1201" i="15"/>
  <c r="AF1192" i="15"/>
  <c r="AD1186" i="15"/>
  <c r="AF1181" i="15"/>
  <c r="AF1177" i="15"/>
  <c r="AD1174" i="15"/>
  <c r="AC1171" i="15"/>
  <c r="AC1168" i="15"/>
  <c r="AE1165" i="15"/>
  <c r="AC1160" i="15"/>
  <c r="AC1158" i="15"/>
  <c r="AE1156" i="15"/>
  <c r="AC1151" i="15"/>
  <c r="AE1149" i="15"/>
  <c r="AE1147" i="15"/>
  <c r="AC1144" i="15"/>
  <c r="AC1142" i="15"/>
  <c r="AE1140" i="15"/>
  <c r="AC1135" i="15"/>
  <c r="AE1133" i="15"/>
  <c r="AE1131" i="15"/>
  <c r="AC1128" i="15"/>
  <c r="AE1251" i="15"/>
  <c r="AC1231" i="15"/>
  <c r="AB1213" i="15"/>
  <c r="AC1200" i="15"/>
  <c r="AC1192" i="15"/>
  <c r="AF1185" i="15"/>
  <c r="AE1181" i="15"/>
  <c r="AB1177" i="15"/>
  <c r="AF1173" i="15"/>
  <c r="AE1170" i="15"/>
  <c r="AF1167" i="15"/>
  <c r="AB1165" i="15"/>
  <c r="AD1162" i="15"/>
  <c r="AF1159" i="15"/>
  <c r="AB1158" i="15"/>
  <c r="AD1156" i="15"/>
  <c r="AD1154" i="15"/>
  <c r="AF1152" i="15"/>
  <c r="AB1151" i="15"/>
  <c r="AB1149" i="15"/>
  <c r="AD1147" i="15"/>
  <c r="AF1145" i="15"/>
  <c r="AF1143" i="15"/>
  <c r="AB1142" i="15"/>
  <c r="AD1140" i="15"/>
  <c r="AD1138" i="15"/>
  <c r="AF1136" i="15"/>
  <c r="AB1135" i="15"/>
  <c r="AB1133" i="15"/>
  <c r="AD1131" i="15"/>
  <c r="AF1129" i="15"/>
  <c r="AF1127" i="15"/>
  <c r="AB1126" i="15"/>
  <c r="AD1124" i="15"/>
  <c r="AD1121" i="15"/>
  <c r="AF1119" i="15"/>
  <c r="AC1118" i="15"/>
  <c r="AF1116" i="15"/>
  <c r="AC1115" i="15"/>
  <c r="AF1113" i="15"/>
  <c r="AC1112" i="15"/>
  <c r="AF1110" i="15"/>
  <c r="AB1109" i="15"/>
  <c r="AE1107" i="15"/>
  <c r="AB1106" i="15"/>
  <c r="AE1104" i="15"/>
  <c r="AB1103" i="15"/>
  <c r="AE1101" i="15"/>
  <c r="AB1100" i="15"/>
  <c r="AD1098" i="15"/>
  <c r="AD1095" i="15"/>
  <c r="AD1092" i="15"/>
  <c r="AD1089" i="15"/>
  <c r="AF1087" i="15"/>
  <c r="AC1086" i="15"/>
  <c r="AF1084" i="15"/>
  <c r="AC1083" i="15"/>
  <c r="AF1081" i="15"/>
  <c r="AC1080" i="15"/>
  <c r="AF1078" i="15"/>
  <c r="AB1077" i="15"/>
  <c r="AB1052" i="15"/>
  <c r="AC1051" i="15"/>
  <c r="AD1050" i="15"/>
  <c r="AE1049" i="15"/>
  <c r="AD1249" i="15"/>
  <c r="AF1228" i="15"/>
  <c r="AD1211" i="15"/>
  <c r="AE1198" i="15"/>
  <c r="AC1191" i="15"/>
  <c r="AB1185" i="15"/>
  <c r="AB1181" i="15"/>
  <c r="AF1176" i="15"/>
  <c r="AE1173" i="15"/>
  <c r="AD1170" i="15"/>
  <c r="AE1167" i="15"/>
  <c r="AC1162" i="15"/>
  <c r="AE1159" i="15"/>
  <c r="AC1156" i="15"/>
  <c r="AC1154" i="15"/>
  <c r="AE1152" i="15"/>
  <c r="AC1147" i="15"/>
  <c r="AE1145" i="15"/>
  <c r="AE1143" i="15"/>
  <c r="AC1140" i="15"/>
  <c r="AC1138" i="15"/>
  <c r="AE1136" i="15"/>
  <c r="AC1131" i="15"/>
  <c r="AE1129" i="15"/>
  <c r="AE1127" i="15"/>
  <c r="AC1124" i="15"/>
  <c r="AF1122" i="15"/>
  <c r="AB1121" i="15"/>
  <c r="AE1119" i="15"/>
  <c r="AB1118" i="15"/>
  <c r="AE1116" i="15"/>
  <c r="AB1115" i="15"/>
  <c r="AE1113" i="15"/>
  <c r="AB1112" i="15"/>
  <c r="AD1110" i="15"/>
  <c r="AD1107" i="15"/>
  <c r="AD1104" i="15"/>
  <c r="AD1101" i="15"/>
  <c r="AF1099" i="15"/>
  <c r="AC1098" i="15"/>
  <c r="AF1096" i="15"/>
  <c r="AC1095" i="15"/>
  <c r="AF1093" i="15"/>
  <c r="AC1092" i="15"/>
  <c r="AF1090" i="15"/>
  <c r="AB1089" i="15"/>
  <c r="AE1087" i="15"/>
  <c r="AB1086" i="15"/>
  <c r="AE1084" i="15"/>
  <c r="AB1083" i="15"/>
  <c r="AE1081" i="15"/>
  <c r="AB1080" i="15"/>
  <c r="AD1078" i="15"/>
  <c r="AE1063" i="15"/>
  <c r="AE1062" i="15"/>
  <c r="AE1061" i="15"/>
  <c r="AE1060" i="15"/>
  <c r="AE1059" i="15"/>
  <c r="AE1058" i="15"/>
  <c r="AE1057" i="15"/>
  <c r="AE1056" i="15"/>
  <c r="AB1051" i="15"/>
  <c r="AC1050" i="15"/>
  <c r="AD1049" i="15"/>
  <c r="AE1048" i="15"/>
  <c r="AB1043" i="15"/>
  <c r="AC1042" i="15"/>
  <c r="AD1041" i="15"/>
  <c r="AE1040" i="15"/>
  <c r="AB1035" i="15"/>
  <c r="AC1034" i="15"/>
  <c r="AD1033" i="15"/>
  <c r="AE1032" i="15"/>
  <c r="AB1027" i="15"/>
  <c r="AC1026" i="15"/>
  <c r="AD1025" i="15"/>
  <c r="AE1024" i="15"/>
  <c r="AB1019" i="15"/>
  <c r="AC1018" i="15"/>
  <c r="AD1017" i="15"/>
  <c r="AE1016" i="15"/>
  <c r="AB1011" i="15"/>
  <c r="AC1010" i="15"/>
  <c r="AD1009" i="15"/>
  <c r="AE1008" i="15"/>
  <c r="AB1003" i="15"/>
  <c r="AC1002" i="15"/>
  <c r="AD1001" i="15"/>
  <c r="AE1000" i="15"/>
  <c r="AB995" i="15"/>
  <c r="AC994" i="15"/>
  <c r="AD993" i="15"/>
  <c r="AE992" i="15"/>
  <c r="AB987" i="15"/>
  <c r="AC986" i="15"/>
  <c r="AD985" i="15"/>
  <c r="AE984" i="15"/>
  <c r="AC1126" i="15"/>
  <c r="AD1118" i="15"/>
  <c r="AD1112" i="15"/>
  <c r="AC1106" i="15"/>
  <c r="AC1100" i="15"/>
  <c r="AB1094" i="15"/>
  <c r="AE1089" i="15"/>
  <c r="AB1085" i="15"/>
  <c r="AB1082" i="15"/>
  <c r="AB1079" i="15"/>
  <c r="AB1076" i="15"/>
  <c r="AB1054" i="15"/>
  <c r="AD1052" i="15"/>
  <c r="AB1044" i="15"/>
  <c r="AC1041" i="15"/>
  <c r="AE1038" i="15"/>
  <c r="AE1035" i="15"/>
  <c r="AB1034" i="15"/>
  <c r="AD1031" i="15"/>
  <c r="AC1030" i="15"/>
  <c r="AC1029" i="15"/>
  <c r="AC1028" i="15"/>
  <c r="AC1027" i="15"/>
  <c r="AB1026" i="15"/>
  <c r="AB1025" i="15"/>
  <c r="AB1024" i="15"/>
  <c r="AB1023" i="15"/>
  <c r="AB1022" i="15"/>
  <c r="AB1021" i="15"/>
  <c r="AB1020" i="15"/>
  <c r="AE983" i="15"/>
  <c r="AE982" i="15"/>
  <c r="AE1124" i="15"/>
  <c r="AB1117" i="15"/>
  <c r="AB1111" i="15"/>
  <c r="AF1092" i="15"/>
  <c r="AF1088" i="15"/>
  <c r="AB1123" i="15"/>
  <c r="AF1104" i="15"/>
  <c r="AF1098" i="15"/>
  <c r="AE1092" i="15"/>
  <c r="AC1088" i="15"/>
  <c r="AD1084" i="15"/>
  <c r="AD1081" i="15"/>
  <c r="AC1078" i="15"/>
  <c r="AE1071" i="15"/>
  <c r="AE1069" i="15"/>
  <c r="AE1067" i="15"/>
  <c r="AE1065" i="15"/>
  <c r="AD1063" i="15"/>
  <c r="AD1061" i="15"/>
  <c r="AD1059" i="15"/>
  <c r="AC1057" i="15"/>
  <c r="AE1055" i="15"/>
  <c r="AB1050" i="15"/>
  <c r="AD1048" i="15"/>
  <c r="AB1045" i="15"/>
  <c r="AD1042" i="15"/>
  <c r="AE1039" i="15"/>
  <c r="AC1035" i="15"/>
  <c r="AD1032" i="15"/>
  <c r="AE999" i="15"/>
  <c r="AE998" i="15"/>
  <c r="AE997" i="15"/>
  <c r="AE996" i="15"/>
  <c r="AE995" i="15"/>
  <c r="AE994" i="15"/>
  <c r="AE993" i="15"/>
  <c r="AD992" i="15"/>
  <c r="AD991" i="15"/>
  <c r="AD990" i="15"/>
  <c r="AD989" i="15"/>
  <c r="AD988" i="15"/>
  <c r="AD987" i="15"/>
  <c r="AD986" i="15"/>
  <c r="AC985" i="15"/>
  <c r="AC984" i="15"/>
  <c r="AC983" i="15"/>
  <c r="AC982" i="15"/>
  <c r="AC981" i="15"/>
  <c r="AC980" i="15"/>
  <c r="AD979" i="15"/>
  <c r="AE978" i="15"/>
  <c r="AB973" i="15"/>
  <c r="AC972" i="15"/>
  <c r="AD971" i="15"/>
  <c r="AE970" i="15"/>
  <c r="AB965" i="15"/>
  <c r="AC964" i="15"/>
  <c r="AD963" i="15"/>
  <c r="AE962" i="15"/>
  <c r="AF1121" i="15"/>
  <c r="AE1115" i="15"/>
  <c r="AE1109" i="15"/>
  <c r="AD1103" i="15"/>
  <c r="AD1097" i="15"/>
  <c r="AF1091" i="15"/>
  <c r="AB1088" i="15"/>
  <c r="AC1084" i="15"/>
  <c r="AB1081" i="15"/>
  <c r="AB1078" i="15"/>
  <c r="AE1075" i="15"/>
  <c r="AE1073" i="15"/>
  <c r="AD1071" i="15"/>
  <c r="AD1069" i="15"/>
  <c r="AD1067" i="15"/>
  <c r="AC1065" i="15"/>
  <c r="AC1063" i="15"/>
  <c r="AC1061" i="15"/>
  <c r="AC1059" i="15"/>
  <c r="AB1057" i="15"/>
  <c r="AD1055" i="15"/>
  <c r="AC1048" i="15"/>
  <c r="AE1046" i="15"/>
  <c r="AE1043" i="15"/>
  <c r="AB1042" i="15"/>
  <c r="AD1039" i="15"/>
  <c r="AD1036" i="15"/>
  <c r="AC1032" i="15"/>
  <c r="AE1007" i="15"/>
  <c r="AE1006" i="15"/>
  <c r="AE1005" i="15"/>
  <c r="AE1004" i="15"/>
  <c r="AE1003" i="15"/>
  <c r="AE1002" i="15"/>
  <c r="AE1001" i="15"/>
  <c r="AD1000" i="15"/>
  <c r="AD999" i="15"/>
  <c r="AD998" i="15"/>
  <c r="AD997" i="15"/>
  <c r="AD996" i="15"/>
  <c r="AD995" i="15"/>
  <c r="AD994" i="15"/>
  <c r="AC993" i="15"/>
  <c r="AC992" i="15"/>
  <c r="AC991" i="15"/>
  <c r="AC990" i="15"/>
  <c r="AC989" i="15"/>
  <c r="AC988" i="15"/>
  <c r="AC987" i="15"/>
  <c r="AB986" i="15"/>
  <c r="AB985" i="15"/>
  <c r="AB984" i="15"/>
  <c r="AB983" i="15"/>
  <c r="AB982" i="15"/>
  <c r="AB981" i="15"/>
  <c r="AB980" i="15"/>
  <c r="AC979" i="15"/>
  <c r="AD978" i="15"/>
  <c r="AE977" i="15"/>
  <c r="AB972" i="15"/>
  <c r="AC971" i="15"/>
  <c r="AD970" i="15"/>
  <c r="AE969" i="15"/>
  <c r="AB964" i="15"/>
  <c r="AC963" i="15"/>
  <c r="AD962" i="15"/>
  <c r="AE961" i="15"/>
  <c r="AE1121" i="15"/>
  <c r="AD1115" i="15"/>
  <c r="AD1109" i="15"/>
  <c r="AC1103" i="15"/>
  <c r="AB1097" i="15"/>
  <c r="AC1091" i="15"/>
  <c r="AC1120" i="15"/>
  <c r="AB1114" i="15"/>
  <c r="AB1120" i="15"/>
  <c r="AF1107" i="15"/>
  <c r="AF1101" i="15"/>
  <c r="AE1095" i="15"/>
  <c r="AC1090" i="15"/>
  <c r="AD1086" i="15"/>
  <c r="AF1079" i="15"/>
  <c r="AF1076" i="15"/>
  <c r="AE1070" i="15"/>
  <c r="AE1068" i="15"/>
  <c r="AE1066" i="15"/>
  <c r="AD1064" i="15"/>
  <c r="AD1062" i="15"/>
  <c r="AD1060" i="15"/>
  <c r="AD1058" i="15"/>
  <c r="AD1056" i="15"/>
  <c r="AC1049" i="15"/>
  <c r="AE1047" i="15"/>
  <c r="AD1044" i="15"/>
  <c r="AC1040" i="15"/>
  <c r="AC1037" i="15"/>
  <c r="AE1034" i="15"/>
  <c r="AB1033" i="15"/>
  <c r="AE1030" i="15"/>
  <c r="AE1029" i="15"/>
  <c r="AE1028" i="15"/>
  <c r="AE1027" i="15"/>
  <c r="AE1026" i="15"/>
  <c r="AE1025" i="15"/>
  <c r="AD1024" i="15"/>
  <c r="AD1023" i="15"/>
  <c r="AD1022" i="15"/>
  <c r="AD1021" i="15"/>
  <c r="AD1020" i="15"/>
  <c r="AD1019" i="15"/>
  <c r="AD1018" i="15"/>
  <c r="AC1017" i="15"/>
  <c r="AC1016" i="15"/>
  <c r="AC1015" i="15"/>
  <c r="AC1014" i="15"/>
  <c r="AC1013" i="15"/>
  <c r="AC1012" i="15"/>
  <c r="AC1011" i="15"/>
  <c r="AB1010" i="15"/>
  <c r="AB1009" i="15"/>
  <c r="AB1008" i="15"/>
  <c r="AB1007" i="15"/>
  <c r="AB1006" i="15"/>
  <c r="AB1005" i="15"/>
  <c r="AB1004" i="15"/>
  <c r="AF1118" i="15"/>
  <c r="AE1112" i="15"/>
  <c r="AD1106" i="15"/>
  <c r="AD1100" i="15"/>
  <c r="AC1094" i="15"/>
  <c r="AF1089" i="15"/>
  <c r="AF1085" i="15"/>
  <c r="AF1082" i="15"/>
  <c r="AE1079" i="15"/>
  <c r="AE1076" i="15"/>
  <c r="AE1074" i="15"/>
  <c r="AD1072" i="15"/>
  <c r="AD1070" i="15"/>
  <c r="AD1068" i="15"/>
  <c r="AD1066" i="15"/>
  <c r="AC1064" i="15"/>
  <c r="AC1062" i="15"/>
  <c r="AC1060" i="15"/>
  <c r="AB1058" i="15"/>
  <c r="AC1056" i="15"/>
  <c r="AE1054" i="15"/>
  <c r="AB1049" i="15"/>
  <c r="AD1047" i="15"/>
  <c r="AC1044" i="15"/>
  <c r="AE1041" i="15"/>
  <c r="AB1037" i="15"/>
  <c r="AD1034" i="15"/>
  <c r="AE1031" i="15"/>
  <c r="AD1030" i="15"/>
  <c r="AD1029" i="15"/>
  <c r="AD1028" i="15"/>
  <c r="AD1027" i="15"/>
  <c r="AD1026" i="15"/>
  <c r="AC1025" i="15"/>
  <c r="AC1024" i="15"/>
  <c r="AC1023" i="15"/>
  <c r="AC1022" i="15"/>
  <c r="AC1021" i="15"/>
  <c r="AC1020" i="15"/>
  <c r="AC1019" i="15"/>
  <c r="AB1018" i="15"/>
  <c r="AB1017" i="15"/>
  <c r="AB1016" i="15"/>
  <c r="AB1015" i="15"/>
  <c r="AB1014" i="15"/>
  <c r="AB1013" i="15"/>
  <c r="AB1012" i="15"/>
  <c r="AB976" i="15"/>
  <c r="AC975" i="15"/>
  <c r="AD974" i="15"/>
  <c r="AE973" i="15"/>
  <c r="AB968" i="15"/>
  <c r="AC967" i="15"/>
  <c r="AD966" i="15"/>
  <c r="AE965" i="15"/>
  <c r="AB1108" i="15"/>
  <c r="AE1080" i="15"/>
  <c r="AC1045" i="15"/>
  <c r="AE1022" i="15"/>
  <c r="AD1014" i="15"/>
  <c r="AE1011" i="15"/>
  <c r="AC1006" i="15"/>
  <c r="AD1003" i="15"/>
  <c r="AC1001" i="15"/>
  <c r="AC999" i="15"/>
  <c r="AC997" i="15"/>
  <c r="AC995" i="15"/>
  <c r="AB993" i="15"/>
  <c r="AB991" i="15"/>
  <c r="AB989" i="15"/>
  <c r="AD981" i="15"/>
  <c r="AC978" i="15"/>
  <c r="AE975" i="15"/>
  <c r="AB974" i="15"/>
  <c r="AB971" i="15"/>
  <c r="AD968" i="15"/>
  <c r="AD960" i="15"/>
  <c r="AD959" i="15"/>
  <c r="AD958" i="15"/>
  <c r="AD957" i="15"/>
  <c r="AE956" i="15"/>
  <c r="AB951" i="15"/>
  <c r="AC950" i="15"/>
  <c r="AD949" i="15"/>
  <c r="AE948" i="15"/>
  <c r="AD1080" i="15"/>
  <c r="AB1041" i="15"/>
  <c r="AE1033" i="15"/>
  <c r="AB1030" i="15"/>
  <c r="AE1019" i="15"/>
  <c r="AD1011" i="15"/>
  <c r="AD1008" i="15"/>
  <c r="AC1003" i="15"/>
  <c r="AB1001" i="15"/>
  <c r="AB999" i="15"/>
  <c r="AB997" i="15"/>
  <c r="AB978" i="15"/>
  <c r="AD975" i="15"/>
  <c r="AE972" i="15"/>
  <c r="AC968" i="15"/>
  <c r="AD965" i="15"/>
  <c r="AD961" i="15"/>
  <c r="AC960" i="15"/>
  <c r="AC959" i="15"/>
  <c r="AC958" i="15"/>
  <c r="AC957" i="15"/>
  <c r="AD956" i="15"/>
  <c r="AE955" i="15"/>
  <c r="AB950" i="15"/>
  <c r="AC949" i="15"/>
  <c r="AD948" i="15"/>
  <c r="AE947" i="15"/>
  <c r="AB942" i="15"/>
  <c r="AC941" i="15"/>
  <c r="AD940" i="15"/>
  <c r="AE939" i="15"/>
  <c r="AB934" i="15"/>
  <c r="AC933" i="15"/>
  <c r="AD932" i="15"/>
  <c r="AE931" i="15"/>
  <c r="AB926" i="15"/>
  <c r="AC925" i="15"/>
  <c r="AD924" i="15"/>
  <c r="AE923" i="15"/>
  <c r="AB918" i="15"/>
  <c r="AC917" i="15"/>
  <c r="AD916" i="15"/>
  <c r="AE915" i="15"/>
  <c r="AB910" i="15"/>
  <c r="AC909" i="15"/>
  <c r="AD908" i="15"/>
  <c r="AE907" i="15"/>
  <c r="AB902" i="15"/>
  <c r="AC901" i="15"/>
  <c r="AD900" i="15"/>
  <c r="AE899" i="15"/>
  <c r="AF1095" i="15"/>
  <c r="AE1077" i="15"/>
  <c r="AC1053" i="15"/>
  <c r="AC1033" i="15"/>
  <c r="AD1016" i="15"/>
  <c r="AE1013" i="15"/>
  <c r="AC1008" i="15"/>
  <c r="AD1005" i="15"/>
  <c r="AE979" i="15"/>
  <c r="AE976" i="15"/>
  <c r="AB975" i="15"/>
  <c r="AD972" i="15"/>
  <c r="AD969" i="15"/>
  <c r="AC965" i="15"/>
  <c r="AC961" i="15"/>
  <c r="AB960" i="15"/>
  <c r="AB959" i="15"/>
  <c r="AB958" i="15"/>
  <c r="AB957" i="15"/>
  <c r="AC956" i="15"/>
  <c r="AD955" i="15"/>
  <c r="AE954" i="15"/>
  <c r="AB949" i="15"/>
  <c r="AC948" i="15"/>
  <c r="AD947" i="15"/>
  <c r="AE946" i="15"/>
  <c r="AB941" i="15"/>
  <c r="AC940" i="15"/>
  <c r="AD939" i="15"/>
  <c r="AE938" i="15"/>
  <c r="AB933" i="15"/>
  <c r="AC932" i="15"/>
  <c r="AD931" i="15"/>
  <c r="AE930" i="15"/>
  <c r="AB925" i="15"/>
  <c r="AC924" i="15"/>
  <c r="AD923" i="15"/>
  <c r="AE922" i="15"/>
  <c r="AB917" i="15"/>
  <c r="AC916" i="15"/>
  <c r="AD915" i="15"/>
  <c r="AE914" i="15"/>
  <c r="AB909" i="15"/>
  <c r="AC908" i="15"/>
  <c r="AD907" i="15"/>
  <c r="AE906" i="15"/>
  <c r="AB901" i="15"/>
  <c r="AC900" i="15"/>
  <c r="AD899" i="15"/>
  <c r="AB1091" i="15"/>
  <c r="AD1077" i="15"/>
  <c r="AB1053" i="15"/>
  <c r="AD1040" i="15"/>
  <c r="AC1036" i="15"/>
  <c r="AE1021" i="15"/>
  <c r="AD1013" i="15"/>
  <c r="AE1010" i="15"/>
  <c r="AC1005" i="15"/>
  <c r="AE990" i="15"/>
  <c r="AE988" i="15"/>
  <c r="AE986" i="15"/>
  <c r="AD984" i="15"/>
  <c r="AD982" i="15"/>
  <c r="AB979" i="15"/>
  <c r="AD976" i="15"/>
  <c r="AC969" i="15"/>
  <c r="AE966" i="15"/>
  <c r="AC962" i="15"/>
  <c r="AB961" i="15"/>
  <c r="AB956" i="15"/>
  <c r="AC955" i="15"/>
  <c r="AD954" i="15"/>
  <c r="AE953" i="15"/>
  <c r="AB948" i="15"/>
  <c r="AC947" i="15"/>
  <c r="AD946" i="15"/>
  <c r="AE945" i="15"/>
  <c r="AB940" i="15"/>
  <c r="AC939" i="15"/>
  <c r="AD938" i="15"/>
  <c r="AE937" i="15"/>
  <c r="AB932" i="15"/>
  <c r="AC931" i="15"/>
  <c r="AD930" i="15"/>
  <c r="AE929" i="15"/>
  <c r="AB924" i="15"/>
  <c r="AC923" i="15"/>
  <c r="AD922" i="15"/>
  <c r="AE921" i="15"/>
  <c r="AB916" i="15"/>
  <c r="AC915" i="15"/>
  <c r="AD914" i="15"/>
  <c r="AE913" i="15"/>
  <c r="AB908" i="15"/>
  <c r="AC907" i="15"/>
  <c r="AD906" i="15"/>
  <c r="AE905" i="15"/>
  <c r="AC1087" i="15"/>
  <c r="AC1052" i="15"/>
  <c r="AD1043" i="15"/>
  <c r="AB1036" i="15"/>
  <c r="AB1029" i="15"/>
  <c r="AE1018" i="15"/>
  <c r="AE1015" i="15"/>
  <c r="AD1010" i="15"/>
  <c r="AD1007" i="15"/>
  <c r="AD1002" i="15"/>
  <c r="AC1000" i="15"/>
  <c r="AC998" i="15"/>
  <c r="AC996" i="15"/>
  <c r="AB994" i="15"/>
  <c r="AB992" i="15"/>
  <c r="AB990" i="15"/>
  <c r="AB988" i="15"/>
  <c r="AE980" i="15"/>
  <c r="AC976" i="15"/>
  <c r="AD973" i="15"/>
  <c r="AB969" i="15"/>
  <c r="AC966" i="15"/>
  <c r="AE963" i="15"/>
  <c r="AB962" i="15"/>
  <c r="AB955" i="15"/>
  <c r="AC954" i="15"/>
  <c r="AD953" i="15"/>
  <c r="AE952" i="15"/>
  <c r="AB947" i="15"/>
  <c r="AC946" i="15"/>
  <c r="AD945" i="15"/>
  <c r="AE944" i="15"/>
  <c r="AB939" i="15"/>
  <c r="AC938" i="15"/>
  <c r="AD937" i="15"/>
  <c r="AE936" i="15"/>
  <c r="AB931" i="15"/>
  <c r="AC930" i="15"/>
  <c r="AD929" i="15"/>
  <c r="AE928" i="15"/>
  <c r="AF1086" i="15"/>
  <c r="AE1051" i="15"/>
  <c r="AC1043" i="15"/>
  <c r="AD1035" i="15"/>
  <c r="AE1023" i="15"/>
  <c r="AD1015" i="15"/>
  <c r="AE1012" i="15"/>
  <c r="AC1007" i="15"/>
  <c r="AD1004" i="15"/>
  <c r="AB1002" i="15"/>
  <c r="AB1000" i="15"/>
  <c r="AB998" i="15"/>
  <c r="AE1083" i="15"/>
  <c r="AD1051" i="15"/>
  <c r="AB1046" i="15"/>
  <c r="AE1042" i="15"/>
  <c r="AB1031" i="15"/>
  <c r="AE1020" i="15"/>
  <c r="AD1012" i="15"/>
  <c r="AE1009" i="15"/>
  <c r="AC1004" i="15"/>
  <c r="AC977" i="15"/>
  <c r="AE974" i="15"/>
  <c r="AB970" i="15"/>
  <c r="AD967" i="15"/>
  <c r="AE964" i="15"/>
  <c r="AB953" i="15"/>
  <c r="AC952" i="15"/>
  <c r="AD951" i="15"/>
  <c r="AE950" i="15"/>
  <c r="AB945" i="15"/>
  <c r="AC944" i="15"/>
  <c r="AD943" i="15"/>
  <c r="AE942" i="15"/>
  <c r="AB937" i="15"/>
  <c r="AC936" i="15"/>
  <c r="AD935" i="15"/>
  <c r="AE934" i="15"/>
  <c r="AB929" i="15"/>
  <c r="AC928" i="15"/>
  <c r="AD927" i="15"/>
  <c r="AE926" i="15"/>
  <c r="AB921" i="15"/>
  <c r="AC920" i="15"/>
  <c r="AD919" i="15"/>
  <c r="AE918" i="15"/>
  <c r="AD1083" i="15"/>
  <c r="AE1050" i="15"/>
  <c r="AB1038" i="15"/>
  <c r="AB1028" i="15"/>
  <c r="AE1017" i="15"/>
  <c r="AE1014" i="15"/>
  <c r="AC1009" i="15"/>
  <c r="AD1006" i="15"/>
  <c r="AE991" i="15"/>
  <c r="AE989" i="15"/>
  <c r="AE987" i="15"/>
  <c r="AE985" i="15"/>
  <c r="AD983" i="15"/>
  <c r="AE981" i="15"/>
  <c r="AB977" i="15"/>
  <c r="AC974" i="15"/>
  <c r="AE971" i="15"/>
  <c r="AE968" i="15"/>
  <c r="AB967" i="15"/>
  <c r="AD964" i="15"/>
  <c r="AE960" i="15"/>
  <c r="AE959" i="15"/>
  <c r="AE958" i="15"/>
  <c r="AE957" i="15"/>
  <c r="AB952" i="15"/>
  <c r="AC951" i="15"/>
  <c r="AD950" i="15"/>
  <c r="AE949" i="15"/>
  <c r="AB944" i="15"/>
  <c r="AC943" i="15"/>
  <c r="AD942" i="15"/>
  <c r="AE941" i="15"/>
  <c r="AB936" i="15"/>
  <c r="AC935" i="15"/>
  <c r="AD934" i="15"/>
  <c r="AE933" i="15"/>
  <c r="AB928" i="15"/>
  <c r="AC927" i="15"/>
  <c r="AD926" i="15"/>
  <c r="AE925" i="15"/>
  <c r="AB920" i="15"/>
  <c r="AC919" i="15"/>
  <c r="AD918" i="15"/>
  <c r="AE917" i="15"/>
  <c r="AB912" i="15"/>
  <c r="AC911" i="15"/>
  <c r="AD910" i="15"/>
  <c r="AE909" i="15"/>
  <c r="AB904" i="15"/>
  <c r="AC903" i="15"/>
  <c r="AD902" i="15"/>
  <c r="AE901" i="15"/>
  <c r="AB896" i="15"/>
  <c r="AC895" i="15"/>
  <c r="AD894" i="15"/>
  <c r="AE893" i="15"/>
  <c r="AB888" i="15"/>
  <c r="AC887" i="15"/>
  <c r="AD886" i="15"/>
  <c r="AE885" i="15"/>
  <c r="AB880" i="15"/>
  <c r="AC879" i="15"/>
  <c r="AD878" i="15"/>
  <c r="AE877" i="15"/>
  <c r="AB872" i="15"/>
  <c r="AC871" i="15"/>
  <c r="AD870" i="15"/>
  <c r="AE869" i="15"/>
  <c r="AB864" i="15"/>
  <c r="AC863" i="15"/>
  <c r="AD862" i="15"/>
  <c r="AE861" i="15"/>
  <c r="AB856" i="15"/>
  <c r="AC855" i="15"/>
  <c r="AD854" i="15"/>
  <c r="AE853" i="15"/>
  <c r="AB996" i="15"/>
  <c r="AD980" i="15"/>
  <c r="AE951" i="15"/>
  <c r="AC942" i="15"/>
  <c r="AB935" i="15"/>
  <c r="AC922" i="15"/>
  <c r="AB915" i="15"/>
  <c r="AC913" i="15"/>
  <c r="AE911" i="15"/>
  <c r="AB906" i="15"/>
  <c r="AD904" i="15"/>
  <c r="AD898" i="15"/>
  <c r="AD897" i="15"/>
  <c r="AD896" i="15"/>
  <c r="AD895" i="15"/>
  <c r="AC894" i="15"/>
  <c r="AC893" i="15"/>
  <c r="AC892" i="15"/>
  <c r="AC891" i="15"/>
  <c r="AC890" i="15"/>
  <c r="AC889" i="15"/>
  <c r="AC888" i="15"/>
  <c r="AB887" i="15"/>
  <c r="AB886" i="15"/>
  <c r="AB885" i="15"/>
  <c r="AB884" i="15"/>
  <c r="AB883" i="15"/>
  <c r="AB882" i="15"/>
  <c r="AB881" i="15"/>
  <c r="AB847" i="15"/>
  <c r="AC846" i="15"/>
  <c r="AD845" i="15"/>
  <c r="AE844" i="15"/>
  <c r="AB839" i="15"/>
  <c r="AC838" i="15"/>
  <c r="AD837" i="15"/>
  <c r="AE836" i="15"/>
  <c r="AB831" i="15"/>
  <c r="AC830" i="15"/>
  <c r="AD829" i="15"/>
  <c r="AE828" i="15"/>
  <c r="AB823" i="15"/>
  <c r="AC822" i="15"/>
  <c r="AD821" i="15"/>
  <c r="AE820" i="15"/>
  <c r="AB815" i="15"/>
  <c r="AC814" i="15"/>
  <c r="AD813" i="15"/>
  <c r="AE812" i="15"/>
  <c r="AB807" i="15"/>
  <c r="AC806" i="15"/>
  <c r="AD805" i="15"/>
  <c r="AE804" i="15"/>
  <c r="AB799" i="15"/>
  <c r="AC798" i="15"/>
  <c r="AD797" i="15"/>
  <c r="AE796" i="15"/>
  <c r="AB791" i="15"/>
  <c r="AC790" i="15"/>
  <c r="AD789" i="15"/>
  <c r="AE967" i="15"/>
  <c r="AC945" i="15"/>
  <c r="AB938" i="15"/>
  <c r="AE927" i="15"/>
  <c r="AE924" i="15"/>
  <c r="AB922" i="15"/>
  <c r="AD917" i="15"/>
  <c r="AB913" i="15"/>
  <c r="AD911" i="15"/>
  <c r="AC904" i="15"/>
  <c r="AE902" i="15"/>
  <c r="AC899" i="15"/>
  <c r="AC898" i="15"/>
  <c r="AC897" i="15"/>
  <c r="AC896" i="15"/>
  <c r="AB895" i="15"/>
  <c r="AB894" i="15"/>
  <c r="AB893" i="15"/>
  <c r="AB892" i="15"/>
  <c r="AB891" i="15"/>
  <c r="AB890" i="15"/>
  <c r="AB889" i="15"/>
  <c r="AE852" i="15"/>
  <c r="AE851" i="15"/>
  <c r="AB846" i="15"/>
  <c r="AC845" i="15"/>
  <c r="AD844" i="15"/>
  <c r="AE843" i="15"/>
  <c r="AB838" i="15"/>
  <c r="AC837" i="15"/>
  <c r="AD977" i="15"/>
  <c r="AB966" i="15"/>
  <c r="AD941" i="15"/>
  <c r="AC934" i="15"/>
  <c r="AB927" i="15"/>
  <c r="AE919" i="15"/>
  <c r="AB911" i="15"/>
  <c r="AD909" i="15"/>
  <c r="AC902" i="15"/>
  <c r="AB899" i="15"/>
  <c r="AB898" i="15"/>
  <c r="AB897" i="15"/>
  <c r="AE860" i="15"/>
  <c r="AE859" i="15"/>
  <c r="AE858" i="15"/>
  <c r="AE857" i="15"/>
  <c r="AE856" i="15"/>
  <c r="AE855" i="15"/>
  <c r="AE854" i="15"/>
  <c r="AD853" i="15"/>
  <c r="AD852" i="15"/>
  <c r="AD851" i="15"/>
  <c r="AE850" i="15"/>
  <c r="AB845" i="15"/>
  <c r="AC844" i="15"/>
  <c r="AD843" i="15"/>
  <c r="AE842" i="15"/>
  <c r="AB837" i="15"/>
  <c r="AC836" i="15"/>
  <c r="AD835" i="15"/>
  <c r="AE834" i="15"/>
  <c r="AB829" i="15"/>
  <c r="AC828" i="15"/>
  <c r="AD827" i="15"/>
  <c r="AE826" i="15"/>
  <c r="AB821" i="15"/>
  <c r="AC820" i="15"/>
  <c r="AD819" i="15"/>
  <c r="AE818" i="15"/>
  <c r="AB813" i="15"/>
  <c r="AC812" i="15"/>
  <c r="AD811" i="15"/>
  <c r="AE810" i="15"/>
  <c r="AB805" i="15"/>
  <c r="AC804" i="15"/>
  <c r="AD803" i="15"/>
  <c r="AE802" i="15"/>
  <c r="AB797" i="15"/>
  <c r="AC796" i="15"/>
  <c r="AD795" i="15"/>
  <c r="AE794" i="15"/>
  <c r="AB789" i="15"/>
  <c r="AC788" i="15"/>
  <c r="AD787" i="15"/>
  <c r="AE786" i="15"/>
  <c r="AB781" i="15"/>
  <c r="AC780" i="15"/>
  <c r="AD779" i="15"/>
  <c r="AE778" i="15"/>
  <c r="AB773" i="15"/>
  <c r="AC772" i="15"/>
  <c r="AD771" i="15"/>
  <c r="AE770" i="15"/>
  <c r="AB765" i="15"/>
  <c r="AC764" i="15"/>
  <c r="AD944" i="15"/>
  <c r="AC937" i="15"/>
  <c r="AB930" i="15"/>
  <c r="AD921" i="15"/>
  <c r="AB919" i="15"/>
  <c r="AC914" i="15"/>
  <c r="AE912" i="15"/>
  <c r="AB907" i="15"/>
  <c r="AD905" i="15"/>
  <c r="AE900" i="15"/>
  <c r="AE868" i="15"/>
  <c r="AE867" i="15"/>
  <c r="AE866" i="15"/>
  <c r="AE865" i="15"/>
  <c r="AE864" i="15"/>
  <c r="AE863" i="15"/>
  <c r="AE862" i="15"/>
  <c r="AD861" i="15"/>
  <c r="AD860" i="15"/>
  <c r="AD859" i="15"/>
  <c r="AD858" i="15"/>
  <c r="AD857" i="15"/>
  <c r="AD856" i="15"/>
  <c r="AD855" i="15"/>
  <c r="AC854" i="15"/>
  <c r="AC853" i="15"/>
  <c r="AC852" i="15"/>
  <c r="AC851" i="15"/>
  <c r="AD850" i="15"/>
  <c r="AE849" i="15"/>
  <c r="AB844" i="15"/>
  <c r="AC843" i="15"/>
  <c r="AD842" i="15"/>
  <c r="AE841" i="15"/>
  <c r="AB836" i="15"/>
  <c r="AC835" i="15"/>
  <c r="AD834" i="15"/>
  <c r="AE833" i="15"/>
  <c r="AB828" i="15"/>
  <c r="AC827" i="15"/>
  <c r="AD826" i="15"/>
  <c r="AE825" i="15"/>
  <c r="AB820" i="15"/>
  <c r="AC819" i="15"/>
  <c r="AD818" i="15"/>
  <c r="AE817" i="15"/>
  <c r="AB812" i="15"/>
  <c r="AC811" i="15"/>
  <c r="AD810" i="15"/>
  <c r="AE809" i="15"/>
  <c r="AB804" i="15"/>
  <c r="AC803" i="15"/>
  <c r="AD802" i="15"/>
  <c r="AE801" i="15"/>
  <c r="AB796" i="15"/>
  <c r="AC795" i="15"/>
  <c r="AD794" i="15"/>
  <c r="AE793" i="15"/>
  <c r="AB788" i="15"/>
  <c r="AC787" i="15"/>
  <c r="AD786" i="15"/>
  <c r="AE785" i="15"/>
  <c r="AB780" i="15"/>
  <c r="AC779" i="15"/>
  <c r="AD778" i="15"/>
  <c r="AE777" i="15"/>
  <c r="AB963" i="15"/>
  <c r="AE940" i="15"/>
  <c r="AD933" i="15"/>
  <c r="AC926" i="15"/>
  <c r="AC921" i="15"/>
  <c r="AE916" i="15"/>
  <c r="AB914" i="15"/>
  <c r="AD912" i="15"/>
  <c r="AC905" i="15"/>
  <c r="AE903" i="15"/>
  <c r="AB900" i="15"/>
  <c r="AE876" i="15"/>
  <c r="AE875" i="15"/>
  <c r="AE874" i="15"/>
  <c r="AE873" i="15"/>
  <c r="AE872" i="15"/>
  <c r="AE871" i="15"/>
  <c r="AE870" i="15"/>
  <c r="AD869" i="15"/>
  <c r="AD868" i="15"/>
  <c r="AD867" i="15"/>
  <c r="AD866" i="15"/>
  <c r="AD865" i="15"/>
  <c r="AD864" i="15"/>
  <c r="AD863" i="15"/>
  <c r="AC862" i="15"/>
  <c r="AC861" i="15"/>
  <c r="AC860" i="15"/>
  <c r="AC859" i="15"/>
  <c r="AC858" i="15"/>
  <c r="AC973" i="15"/>
  <c r="AB954" i="15"/>
  <c r="AE943" i="15"/>
  <c r="AD936" i="15"/>
  <c r="AC929" i="15"/>
  <c r="AB923" i="15"/>
  <c r="AC912" i="15"/>
  <c r="AE910" i="15"/>
  <c r="AB905" i="15"/>
  <c r="AD903" i="15"/>
  <c r="AE884" i="15"/>
  <c r="AE883" i="15"/>
  <c r="AE882" i="15"/>
  <c r="AE881" i="15"/>
  <c r="AE880" i="15"/>
  <c r="AE879" i="15"/>
  <c r="AE878" i="15"/>
  <c r="AD877" i="15"/>
  <c r="AD876" i="15"/>
  <c r="AD875" i="15"/>
  <c r="AD874" i="15"/>
  <c r="AD873" i="15"/>
  <c r="AD872" i="15"/>
  <c r="AD871" i="15"/>
  <c r="AC870" i="15"/>
  <c r="AC869" i="15"/>
  <c r="AC868" i="15"/>
  <c r="AC867" i="15"/>
  <c r="AC866" i="15"/>
  <c r="AC865" i="15"/>
  <c r="AC864" i="15"/>
  <c r="AB863" i="15"/>
  <c r="AB862" i="15"/>
  <c r="AB861" i="15"/>
  <c r="AB860" i="15"/>
  <c r="AB859" i="15"/>
  <c r="AB858" i="15"/>
  <c r="AC953" i="15"/>
  <c r="AB943" i="15"/>
  <c r="AE932" i="15"/>
  <c r="AD925" i="15"/>
  <c r="AE920" i="15"/>
  <c r="AC918" i="15"/>
  <c r="AC910" i="15"/>
  <c r="AE908" i="15"/>
  <c r="AB903" i="15"/>
  <c r="AD901" i="15"/>
  <c r="AE892" i="15"/>
  <c r="AE891" i="15"/>
  <c r="AE890" i="15"/>
  <c r="AE889" i="15"/>
  <c r="AE888" i="15"/>
  <c r="AE887" i="15"/>
  <c r="AE886" i="15"/>
  <c r="AD885" i="15"/>
  <c r="AD884" i="15"/>
  <c r="AD883" i="15"/>
  <c r="AD882" i="15"/>
  <c r="AD881" i="15"/>
  <c r="AD880" i="15"/>
  <c r="AD879" i="15"/>
  <c r="AC878" i="15"/>
  <c r="AC877" i="15"/>
  <c r="AC876" i="15"/>
  <c r="AC875" i="15"/>
  <c r="AC874" i="15"/>
  <c r="AC873" i="15"/>
  <c r="AC872" i="15"/>
  <c r="AB871" i="15"/>
  <c r="AB870" i="15"/>
  <c r="AB869" i="15"/>
  <c r="AB868" i="15"/>
  <c r="AB867" i="15"/>
  <c r="AB866" i="15"/>
  <c r="AB865" i="15"/>
  <c r="AB849" i="15"/>
  <c r="AC848" i="15"/>
  <c r="AD847" i="15"/>
  <c r="AE846" i="15"/>
  <c r="AB841" i="15"/>
  <c r="AC840" i="15"/>
  <c r="AD839" i="15"/>
  <c r="AE838" i="15"/>
  <c r="AB833" i="15"/>
  <c r="AC832" i="15"/>
  <c r="AD831" i="15"/>
  <c r="AE830" i="15"/>
  <c r="AB825" i="15"/>
  <c r="AC824" i="15"/>
  <c r="AD823" i="15"/>
  <c r="AE822" i="15"/>
  <c r="AB817" i="15"/>
  <c r="AC816" i="15"/>
  <c r="AD815" i="15"/>
  <c r="AE814" i="15"/>
  <c r="AB809" i="15"/>
  <c r="AC808" i="15"/>
  <c r="AD807" i="15"/>
  <c r="AE806" i="15"/>
  <c r="AB801" i="15"/>
  <c r="AC800" i="15"/>
  <c r="AD799" i="15"/>
  <c r="AE798" i="15"/>
  <c r="AB793" i="15"/>
  <c r="AC792" i="15"/>
  <c r="AD791" i="15"/>
  <c r="AE790" i="15"/>
  <c r="AB785" i="15"/>
  <c r="AC784" i="15"/>
  <c r="AC970" i="15"/>
  <c r="AD952" i="15"/>
  <c r="AB946" i="15"/>
  <c r="AE935" i="15"/>
  <c r="AD928" i="15"/>
  <c r="AD920" i="15"/>
  <c r="AD913" i="15"/>
  <c r="AC906" i="15"/>
  <c r="AE904" i="15"/>
  <c r="AE898" i="15"/>
  <c r="AE897" i="15"/>
  <c r="AE896" i="15"/>
  <c r="AE895" i="15"/>
  <c r="AE894" i="15"/>
  <c r="AD893" i="15"/>
  <c r="AD892" i="15"/>
  <c r="AD891" i="15"/>
  <c r="AD890" i="15"/>
  <c r="AD889" i="15"/>
  <c r="AD888" i="15"/>
  <c r="AD887" i="15"/>
  <c r="AC886" i="15"/>
  <c r="AC885" i="15"/>
  <c r="AC884" i="15"/>
  <c r="AC883" i="15"/>
  <c r="AC882" i="15"/>
  <c r="AC881" i="15"/>
  <c r="AC880" i="15"/>
  <c r="AB879" i="15"/>
  <c r="AB878" i="15"/>
  <c r="AB877" i="15"/>
  <c r="AB876" i="15"/>
  <c r="AB875" i="15"/>
  <c r="AB874" i="15"/>
  <c r="AB873" i="15"/>
  <c r="AB848" i="15"/>
  <c r="AC847" i="15"/>
  <c r="AD846" i="15"/>
  <c r="AE845" i="15"/>
  <c r="AB840" i="15"/>
  <c r="AC839" i="15"/>
  <c r="AD838" i="15"/>
  <c r="AE837" i="15"/>
  <c r="AB832" i="15"/>
  <c r="AC831" i="15"/>
  <c r="AD830" i="15"/>
  <c r="AE829" i="15"/>
  <c r="AB824" i="15"/>
  <c r="AC823" i="15"/>
  <c r="AD822" i="15"/>
  <c r="AE821" i="15"/>
  <c r="AB816" i="15"/>
  <c r="AC815" i="15"/>
  <c r="AD814" i="15"/>
  <c r="AE813" i="15"/>
  <c r="AB808" i="15"/>
  <c r="AC807" i="15"/>
  <c r="AD806" i="15"/>
  <c r="AE805" i="15"/>
  <c r="AB800" i="15"/>
  <c r="AC799" i="15"/>
  <c r="AD798" i="15"/>
  <c r="AE797" i="15"/>
  <c r="AB792" i="15"/>
  <c r="AC791" i="15"/>
  <c r="AD790" i="15"/>
  <c r="AE789" i="15"/>
  <c r="AB784" i="15"/>
  <c r="AC783" i="15"/>
  <c r="AD782" i="15"/>
  <c r="AE781" i="15"/>
  <c r="AB776" i="15"/>
  <c r="AC775" i="15"/>
  <c r="AD774" i="15"/>
  <c r="AE773" i="15"/>
  <c r="AB768" i="15"/>
  <c r="AC767" i="15"/>
  <c r="AD766" i="15"/>
  <c r="AE765" i="15"/>
  <c r="AC857" i="15"/>
  <c r="AB853" i="15"/>
  <c r="AD849" i="15"/>
  <c r="AC842" i="15"/>
  <c r="AD833" i="15"/>
  <c r="AC826" i="15"/>
  <c r="AB819" i="15"/>
  <c r="AE807" i="15"/>
  <c r="AD800" i="15"/>
  <c r="AE795" i="15"/>
  <c r="AC793" i="15"/>
  <c r="AE788" i="15"/>
  <c r="AD783" i="15"/>
  <c r="AE780" i="15"/>
  <c r="AC776" i="15"/>
  <c r="AE771" i="15"/>
  <c r="AC770" i="15"/>
  <c r="AB769" i="15"/>
  <c r="AD764" i="15"/>
  <c r="AC763" i="15"/>
  <c r="AC762" i="15"/>
  <c r="AC761" i="15"/>
  <c r="AD760" i="15"/>
  <c r="AE759" i="15"/>
  <c r="AB754" i="15"/>
  <c r="AC753" i="15"/>
  <c r="AD752" i="15"/>
  <c r="AE751" i="15"/>
  <c r="AB746" i="15"/>
  <c r="AC745" i="15"/>
  <c r="AD744" i="15"/>
  <c r="AE743" i="15"/>
  <c r="AB738" i="15"/>
  <c r="AC737" i="15"/>
  <c r="AD736" i="15"/>
  <c r="AE735" i="15"/>
  <c r="AB730" i="15"/>
  <c r="AC729" i="15"/>
  <c r="AD728" i="15"/>
  <c r="AE727" i="15"/>
  <c r="AB722" i="15"/>
  <c r="AC721" i="15"/>
  <c r="AD720" i="15"/>
  <c r="AE719" i="15"/>
  <c r="AB714" i="15"/>
  <c r="AB857" i="15"/>
  <c r="AC849" i="15"/>
  <c r="AB842" i="15"/>
  <c r="AE835" i="15"/>
  <c r="AC833" i="15"/>
  <c r="AD828" i="15"/>
  <c r="AB826" i="15"/>
  <c r="AC821" i="15"/>
  <c r="AE816" i="15"/>
  <c r="AB814" i="15"/>
  <c r="AD809" i="15"/>
  <c r="AC802" i="15"/>
  <c r="AB795" i="15"/>
  <c r="AD788" i="15"/>
  <c r="AB783" i="15"/>
  <c r="AD780" i="15"/>
  <c r="AD777" i="15"/>
  <c r="AE772" i="15"/>
  <c r="AC771" i="15"/>
  <c r="AB770" i="15"/>
  <c r="AD765" i="15"/>
  <c r="AB764" i="15"/>
  <c r="AB763" i="15"/>
  <c r="AB762" i="15"/>
  <c r="AB761" i="15"/>
  <c r="AC760" i="15"/>
  <c r="AD759" i="15"/>
  <c r="AE758" i="15"/>
  <c r="AB753" i="15"/>
  <c r="AC752" i="15"/>
  <c r="AD751" i="15"/>
  <c r="AE750" i="15"/>
  <c r="AB745" i="15"/>
  <c r="AC744" i="15"/>
  <c r="AD743" i="15"/>
  <c r="AE742" i="15"/>
  <c r="AB737" i="15"/>
  <c r="AC736" i="15"/>
  <c r="AD735" i="15"/>
  <c r="AE734" i="15"/>
  <c r="AB729" i="15"/>
  <c r="AC728" i="15"/>
  <c r="AD727" i="15"/>
  <c r="AE726" i="15"/>
  <c r="AB721" i="15"/>
  <c r="AC720" i="15"/>
  <c r="AD719" i="15"/>
  <c r="AC856" i="15"/>
  <c r="AB852" i="15"/>
  <c r="AE848" i="15"/>
  <c r="AD841" i="15"/>
  <c r="AB835" i="15"/>
  <c r="AE823" i="15"/>
  <c r="AD816" i="15"/>
  <c r="AE811" i="15"/>
  <c r="AC809" i="15"/>
  <c r="AD804" i="15"/>
  <c r="AB802" i="15"/>
  <c r="AC797" i="15"/>
  <c r="AE792" i="15"/>
  <c r="AB790" i="15"/>
  <c r="AC786" i="15"/>
  <c r="AE784" i="15"/>
  <c r="AC777" i="15"/>
  <c r="AD772" i="15"/>
  <c r="AB771" i="15"/>
  <c r="AE766" i="15"/>
  <c r="AC765" i="15"/>
  <c r="AB760" i="15"/>
  <c r="AC759" i="15"/>
  <c r="AD758" i="15"/>
  <c r="AE757" i="15"/>
  <c r="AB752" i="15"/>
  <c r="AC751" i="15"/>
  <c r="AD750" i="15"/>
  <c r="AE749" i="15"/>
  <c r="AB744" i="15"/>
  <c r="AC743" i="15"/>
  <c r="AD742" i="15"/>
  <c r="AE741" i="15"/>
  <c r="AB736" i="15"/>
  <c r="AC735" i="15"/>
  <c r="AD734" i="15"/>
  <c r="AE733" i="15"/>
  <c r="AB728" i="15"/>
  <c r="AC727" i="15"/>
  <c r="AD726" i="15"/>
  <c r="AE725" i="15"/>
  <c r="AB720" i="15"/>
  <c r="AC719" i="15"/>
  <c r="AD718" i="15"/>
  <c r="AE717" i="15"/>
  <c r="AB712" i="15"/>
  <c r="AC711" i="15"/>
  <c r="AD710" i="15"/>
  <c r="AE709" i="15"/>
  <c r="AB704" i="15"/>
  <c r="AC703" i="15"/>
  <c r="AD702" i="15"/>
  <c r="AE701" i="15"/>
  <c r="AB696" i="15"/>
  <c r="AC695" i="15"/>
  <c r="AD694" i="15"/>
  <c r="AE693" i="15"/>
  <c r="AB688" i="15"/>
  <c r="AC687" i="15"/>
  <c r="AD686" i="15"/>
  <c r="AE685" i="15"/>
  <c r="AB680" i="15"/>
  <c r="AC679" i="15"/>
  <c r="AD678" i="15"/>
  <c r="AE677" i="15"/>
  <c r="AB672" i="15"/>
  <c r="AC671" i="15"/>
  <c r="AD670" i="15"/>
  <c r="AE669" i="15"/>
  <c r="AB664" i="15"/>
  <c r="AC663" i="15"/>
  <c r="AD662" i="15"/>
  <c r="AE661" i="15"/>
  <c r="AB656" i="15"/>
  <c r="AC655" i="15"/>
  <c r="AD654" i="15"/>
  <c r="AE653" i="15"/>
  <c r="AD848" i="15"/>
  <c r="AC841" i="15"/>
  <c r="AE832" i="15"/>
  <c r="AB830" i="15"/>
  <c r="AD825" i="15"/>
  <c r="AC818" i="15"/>
  <c r="AB811" i="15"/>
  <c r="AE799" i="15"/>
  <c r="AD792" i="15"/>
  <c r="AB786" i="15"/>
  <c r="AD784" i="15"/>
  <c r="AD781" i="15"/>
  <c r="AB777" i="15"/>
  <c r="AD773" i="15"/>
  <c r="AB772" i="15"/>
  <c r="AE767" i="15"/>
  <c r="AC766" i="15"/>
  <c r="AB759" i="15"/>
  <c r="AC758" i="15"/>
  <c r="AD757" i="15"/>
  <c r="AE756" i="15"/>
  <c r="AB751" i="15"/>
  <c r="AC750" i="15"/>
  <c r="AD749" i="15"/>
  <c r="AE748" i="15"/>
  <c r="AB743" i="15"/>
  <c r="AC742" i="15"/>
  <c r="AD741" i="15"/>
  <c r="AE740" i="15"/>
  <c r="AB735" i="15"/>
  <c r="AC734" i="15"/>
  <c r="AD733" i="15"/>
  <c r="AE732" i="15"/>
  <c r="AB727" i="15"/>
  <c r="AC726" i="15"/>
  <c r="AD725" i="15"/>
  <c r="AE724" i="15"/>
  <c r="AB719" i="15"/>
  <c r="AC718" i="15"/>
  <c r="AD717" i="15"/>
  <c r="AE716" i="15"/>
  <c r="AB711" i="15"/>
  <c r="AC710" i="15"/>
  <c r="AD709" i="15"/>
  <c r="AE708" i="15"/>
  <c r="AB703" i="15"/>
  <c r="AC702" i="15"/>
  <c r="AD701" i="15"/>
  <c r="AE700" i="15"/>
  <c r="AB695" i="15"/>
  <c r="AC694" i="15"/>
  <c r="AD693" i="15"/>
  <c r="AE692" i="15"/>
  <c r="AB687" i="15"/>
  <c r="AC686" i="15"/>
  <c r="AD685" i="15"/>
  <c r="AE684" i="15"/>
  <c r="AB679" i="15"/>
  <c r="AC678" i="15"/>
  <c r="AD677" i="15"/>
  <c r="AE676" i="15"/>
  <c r="AB671" i="15"/>
  <c r="AC670" i="15"/>
  <c r="AD669" i="15"/>
  <c r="AE668" i="15"/>
  <c r="AB663" i="15"/>
  <c r="AC662" i="15"/>
  <c r="AD661" i="15"/>
  <c r="AE660" i="15"/>
  <c r="AB655" i="15"/>
  <c r="AC654" i="15"/>
  <c r="AD653" i="15"/>
  <c r="AE652" i="15"/>
  <c r="AB855" i="15"/>
  <c r="AB851" i="15"/>
  <c r="AE840" i="15"/>
  <c r="AD832" i="15"/>
  <c r="AE827" i="15"/>
  <c r="AC825" i="15"/>
  <c r="AD820" i="15"/>
  <c r="AB818" i="15"/>
  <c r="AC813" i="15"/>
  <c r="AE808" i="15"/>
  <c r="AB806" i="15"/>
  <c r="AD801" i="15"/>
  <c r="AC794" i="15"/>
  <c r="AC781" i="15"/>
  <c r="AC778" i="15"/>
  <c r="AE774" i="15"/>
  <c r="AC773" i="15"/>
  <c r="AE768" i="15"/>
  <c r="AD767" i="15"/>
  <c r="AB766" i="15"/>
  <c r="AB758" i="15"/>
  <c r="AC757" i="15"/>
  <c r="AD756" i="15"/>
  <c r="AE755" i="15"/>
  <c r="AB750" i="15"/>
  <c r="AC749" i="15"/>
  <c r="AD748" i="15"/>
  <c r="AE747" i="15"/>
  <c r="AB742" i="15"/>
  <c r="AC741" i="15"/>
  <c r="AD740" i="15"/>
  <c r="AE739" i="15"/>
  <c r="AB734" i="15"/>
  <c r="AC733" i="15"/>
  <c r="AD732" i="15"/>
  <c r="AE847" i="15"/>
  <c r="AD840" i="15"/>
  <c r="AC834" i="15"/>
  <c r="AB827" i="15"/>
  <c r="AE815" i="15"/>
  <c r="AD808" i="15"/>
  <c r="AE803" i="15"/>
  <c r="AC801" i="15"/>
  <c r="AD796" i="15"/>
  <c r="AB794" i="15"/>
  <c r="AC789" i="15"/>
  <c r="AE787" i="15"/>
  <c r="AE782" i="15"/>
  <c r="AB778" i="15"/>
  <c r="AE775" i="15"/>
  <c r="AC774" i="15"/>
  <c r="AE769" i="15"/>
  <c r="AD768" i="15"/>
  <c r="AB767" i="15"/>
  <c r="AB757" i="15"/>
  <c r="AC756" i="15"/>
  <c r="AD755" i="15"/>
  <c r="AE754" i="15"/>
  <c r="AB749" i="15"/>
  <c r="AC748" i="15"/>
  <c r="AD747" i="15"/>
  <c r="AE746" i="15"/>
  <c r="AB741" i="15"/>
  <c r="AC740" i="15"/>
  <c r="AD739" i="15"/>
  <c r="AE738" i="15"/>
  <c r="AB854" i="15"/>
  <c r="AC850" i="15"/>
  <c r="AB843" i="15"/>
  <c r="AD836" i="15"/>
  <c r="AB834" i="15"/>
  <c r="AC829" i="15"/>
  <c r="AE824" i="15"/>
  <c r="AB822" i="15"/>
  <c r="AD817" i="15"/>
  <c r="AC810" i="15"/>
  <c r="AB803" i="15"/>
  <c r="AE791" i="15"/>
  <c r="AB787" i="15"/>
  <c r="AD785" i="15"/>
  <c r="AC782" i="15"/>
  <c r="AE779" i="15"/>
  <c r="AE776" i="15"/>
  <c r="AD775" i="15"/>
  <c r="AB774" i="15"/>
  <c r="AD769" i="15"/>
  <c r="AC768" i="15"/>
  <c r="AE763" i="15"/>
  <c r="AE762" i="15"/>
  <c r="AE761" i="15"/>
  <c r="AB756" i="15"/>
  <c r="AC755" i="15"/>
  <c r="AD754" i="15"/>
  <c r="AE753" i="15"/>
  <c r="AB748" i="15"/>
  <c r="AC747" i="15"/>
  <c r="AD746" i="15"/>
  <c r="AE745" i="15"/>
  <c r="AB740" i="15"/>
  <c r="AC739" i="15"/>
  <c r="AD738" i="15"/>
  <c r="AE737" i="15"/>
  <c r="AB732" i="15"/>
  <c r="AC731" i="15"/>
  <c r="AD730" i="15"/>
  <c r="AE729" i="15"/>
  <c r="AB724" i="15"/>
  <c r="AC723" i="15"/>
  <c r="AD722" i="15"/>
  <c r="AE721" i="15"/>
  <c r="AB716" i="15"/>
  <c r="AC715" i="15"/>
  <c r="AD714" i="15"/>
  <c r="AE713" i="15"/>
  <c r="AB708" i="15"/>
  <c r="AC707" i="15"/>
  <c r="AD706" i="15"/>
  <c r="AE705" i="15"/>
  <c r="AB700" i="15"/>
  <c r="AC699" i="15"/>
  <c r="AD698" i="15"/>
  <c r="AE697" i="15"/>
  <c r="AB692" i="15"/>
  <c r="AC691" i="15"/>
  <c r="AD690" i="15"/>
  <c r="AE689" i="15"/>
  <c r="AB684" i="15"/>
  <c r="AC683" i="15"/>
  <c r="AD682" i="15"/>
  <c r="AE681" i="15"/>
  <c r="AB676" i="15"/>
  <c r="AC675" i="15"/>
  <c r="AD674" i="15"/>
  <c r="AE673" i="15"/>
  <c r="AB668" i="15"/>
  <c r="AC667" i="15"/>
  <c r="AD666" i="15"/>
  <c r="AE665" i="15"/>
  <c r="AB850" i="15"/>
  <c r="AE839" i="15"/>
  <c r="AE831" i="15"/>
  <c r="AD824" i="15"/>
  <c r="AE819" i="15"/>
  <c r="AC817" i="15"/>
  <c r="AD812" i="15"/>
  <c r="AB810" i="15"/>
  <c r="AC805" i="15"/>
  <c r="AE800" i="15"/>
  <c r="AB798" i="15"/>
  <c r="AD793" i="15"/>
  <c r="AC785" i="15"/>
  <c r="AE783" i="15"/>
  <c r="AB782" i="15"/>
  <c r="AB779" i="15"/>
  <c r="AD776" i="15"/>
  <c r="AB775" i="15"/>
  <c r="AD770" i="15"/>
  <c r="AC769" i="15"/>
  <c r="AE764" i="15"/>
  <c r="AD763" i="15"/>
  <c r="AD762" i="15"/>
  <c r="AD761" i="15"/>
  <c r="AE760" i="15"/>
  <c r="AB755" i="15"/>
  <c r="AC754" i="15"/>
  <c r="AD753" i="15"/>
  <c r="AE752" i="15"/>
  <c r="AB747" i="15"/>
  <c r="AC746" i="15"/>
  <c r="AD745" i="15"/>
  <c r="AE744" i="15"/>
  <c r="AB739" i="15"/>
  <c r="AC738" i="15"/>
  <c r="AD737" i="15"/>
  <c r="AE736" i="15"/>
  <c r="AB731" i="15"/>
  <c r="AC730" i="15"/>
  <c r="AD729" i="15"/>
  <c r="AE728" i="15"/>
  <c r="AB723" i="15"/>
  <c r="AC722" i="15"/>
  <c r="AD721" i="15"/>
  <c r="AE720" i="15"/>
  <c r="AB715" i="15"/>
  <c r="AC714" i="15"/>
  <c r="AD713" i="15"/>
  <c r="AE712" i="15"/>
  <c r="AB707" i="15"/>
  <c r="AC706" i="15"/>
  <c r="AD705" i="15"/>
  <c r="AE704" i="15"/>
  <c r="AB699" i="15"/>
  <c r="AC698" i="15"/>
  <c r="AD697" i="15"/>
  <c r="AE696" i="15"/>
  <c r="AB691" i="15"/>
  <c r="AC690" i="15"/>
  <c r="AD689" i="15"/>
  <c r="AE688" i="15"/>
  <c r="AB683" i="15"/>
  <c r="AC682" i="15"/>
  <c r="AD681" i="15"/>
  <c r="AE680" i="15"/>
  <c r="AB675" i="15"/>
  <c r="AC674" i="15"/>
  <c r="AD673" i="15"/>
  <c r="AE672" i="15"/>
  <c r="AB667" i="15"/>
  <c r="AC666" i="15"/>
  <c r="AD665" i="15"/>
  <c r="AE664" i="15"/>
  <c r="AB659" i="15"/>
  <c r="AC658" i="15"/>
  <c r="AD657" i="15"/>
  <c r="AE656" i="15"/>
  <c r="AB651" i="15"/>
  <c r="AC650" i="15"/>
  <c r="AD649" i="15"/>
  <c r="AE648" i="15"/>
  <c r="AB643" i="15"/>
  <c r="AC642" i="15"/>
  <c r="AD641" i="15"/>
  <c r="AE640" i="15"/>
  <c r="AB635" i="15"/>
  <c r="AC634" i="15"/>
  <c r="AD633" i="15"/>
  <c r="AE632" i="15"/>
  <c r="AB627" i="15"/>
  <c r="AC626" i="15"/>
  <c r="AD625" i="15"/>
  <c r="AE624" i="15"/>
  <c r="AB619" i="15"/>
  <c r="AC618" i="15"/>
  <c r="AD617" i="15"/>
  <c r="AE616" i="15"/>
  <c r="AB611" i="15"/>
  <c r="AC610" i="15"/>
  <c r="AD609" i="15"/>
  <c r="AE608" i="15"/>
  <c r="AE722" i="15"/>
  <c r="AD716" i="15"/>
  <c r="AC712" i="15"/>
  <c r="AE710" i="15"/>
  <c r="AB705" i="15"/>
  <c r="AD703" i="15"/>
  <c r="AC696" i="15"/>
  <c r="AE694" i="15"/>
  <c r="AB689" i="15"/>
  <c r="AD687" i="15"/>
  <c r="AC680" i="15"/>
  <c r="AE678" i="15"/>
  <c r="AB673" i="15"/>
  <c r="AD671" i="15"/>
  <c r="AD664" i="15"/>
  <c r="AB660" i="15"/>
  <c r="AC657" i="15"/>
  <c r="AE654" i="15"/>
  <c r="AE647" i="15"/>
  <c r="AE646" i="15"/>
  <c r="AE645" i="15"/>
  <c r="AE644" i="15"/>
  <c r="AE643" i="15"/>
  <c r="AE642" i="15"/>
  <c r="AE641" i="15"/>
  <c r="AD640" i="15"/>
  <c r="AB733" i="15"/>
  <c r="AC725" i="15"/>
  <c r="AE718" i="15"/>
  <c r="AC716" i="15"/>
  <c r="AB710" i="15"/>
  <c r="AD708" i="15"/>
  <c r="AC701" i="15"/>
  <c r="AE699" i="15"/>
  <c r="AB694" i="15"/>
  <c r="AD692" i="15"/>
  <c r="AC685" i="15"/>
  <c r="AE683" i="15"/>
  <c r="AB678" i="15"/>
  <c r="AD676" i="15"/>
  <c r="AC669" i="15"/>
  <c r="AE667" i="15"/>
  <c r="AC664" i="15"/>
  <c r="AC661" i="15"/>
  <c r="AE658" i="15"/>
  <c r="AB657" i="15"/>
  <c r="AB654" i="15"/>
  <c r="AE651" i="15"/>
  <c r="AE650" i="15"/>
  <c r="AE649" i="15"/>
  <c r="AD648" i="15"/>
  <c r="AD647" i="15"/>
  <c r="AD646" i="15"/>
  <c r="AD645" i="15"/>
  <c r="AD644" i="15"/>
  <c r="AD643" i="15"/>
  <c r="AD642" i="15"/>
  <c r="AC641" i="15"/>
  <c r="AC732" i="15"/>
  <c r="AB725" i="15"/>
  <c r="AB718" i="15"/>
  <c r="AC708" i="15"/>
  <c r="AE706" i="15"/>
  <c r="AB701" i="15"/>
  <c r="AD699" i="15"/>
  <c r="AC692" i="15"/>
  <c r="AE690" i="15"/>
  <c r="AB685" i="15"/>
  <c r="AD683" i="15"/>
  <c r="AC676" i="15"/>
  <c r="AE674" i="15"/>
  <c r="AB669" i="15"/>
  <c r="AD667" i="15"/>
  <c r="AB661" i="15"/>
  <c r="AD658" i="15"/>
  <c r="AE655" i="15"/>
  <c r="AD651" i="15"/>
  <c r="AD650" i="15"/>
  <c r="AC649" i="15"/>
  <c r="AC648" i="15"/>
  <c r="AC647" i="15"/>
  <c r="AC646" i="15"/>
  <c r="AC645" i="15"/>
  <c r="AC644" i="15"/>
  <c r="AC643" i="15"/>
  <c r="AB642" i="15"/>
  <c r="AB641" i="15"/>
  <c r="AB640" i="15"/>
  <c r="AB639" i="15"/>
  <c r="AB638" i="15"/>
  <c r="AB637" i="15"/>
  <c r="AB636" i="15"/>
  <c r="AE731" i="15"/>
  <c r="AD724" i="15"/>
  <c r="AE715" i="15"/>
  <c r="AC713" i="15"/>
  <c r="AE711" i="15"/>
  <c r="AB706" i="15"/>
  <c r="AD704" i="15"/>
  <c r="AC697" i="15"/>
  <c r="AE695" i="15"/>
  <c r="AB690" i="15"/>
  <c r="AD688" i="15"/>
  <c r="AC681" i="15"/>
  <c r="AE679" i="15"/>
  <c r="AB674" i="15"/>
  <c r="AD672" i="15"/>
  <c r="AC665" i="15"/>
  <c r="AE662" i="15"/>
  <c r="AE659" i="15"/>
  <c r="AB658" i="15"/>
  <c r="AD655" i="15"/>
  <c r="AD652" i="15"/>
  <c r="AC651" i="15"/>
  <c r="AB650" i="15"/>
  <c r="AB649" i="15"/>
  <c r="AB648" i="15"/>
  <c r="AB647" i="15"/>
  <c r="AB646" i="15"/>
  <c r="AB645" i="15"/>
  <c r="AB644" i="15"/>
  <c r="AD731" i="15"/>
  <c r="AC724" i="15"/>
  <c r="AD715" i="15"/>
  <c r="AB713" i="15"/>
  <c r="AD711" i="15"/>
  <c r="AC704" i="15"/>
  <c r="AE702" i="15"/>
  <c r="AB697" i="15"/>
  <c r="AD695" i="15"/>
  <c r="AC688" i="15"/>
  <c r="AE686" i="15"/>
  <c r="AB681" i="15"/>
  <c r="AD679" i="15"/>
  <c r="AC672" i="15"/>
  <c r="AE670" i="15"/>
  <c r="AB665" i="15"/>
  <c r="AB662" i="15"/>
  <c r="AD659" i="15"/>
  <c r="AC652" i="15"/>
  <c r="AE615" i="15"/>
  <c r="AE614" i="15"/>
  <c r="AE613" i="15"/>
  <c r="AE612" i="15"/>
  <c r="AE611" i="15"/>
  <c r="AE610" i="15"/>
  <c r="AE609" i="15"/>
  <c r="AD608" i="15"/>
  <c r="AD607" i="15"/>
  <c r="AE723" i="15"/>
  <c r="AC717" i="15"/>
  <c r="AC709" i="15"/>
  <c r="AE707" i="15"/>
  <c r="AB702" i="15"/>
  <c r="AD700" i="15"/>
  <c r="AC693" i="15"/>
  <c r="AE691" i="15"/>
  <c r="AB686" i="15"/>
  <c r="AD684" i="15"/>
  <c r="AC677" i="15"/>
  <c r="AE675" i="15"/>
  <c r="AB670" i="15"/>
  <c r="AD668" i="15"/>
  <c r="AE663" i="15"/>
  <c r="AC659" i="15"/>
  <c r="AD656" i="15"/>
  <c r="AB652" i="15"/>
  <c r="AE623" i="15"/>
  <c r="AE622" i="15"/>
  <c r="AE621" i="15"/>
  <c r="AE620" i="15"/>
  <c r="AE619" i="15"/>
  <c r="AE618" i="15"/>
  <c r="AE617" i="15"/>
  <c r="AD616" i="15"/>
  <c r="AD615" i="15"/>
  <c r="AD614" i="15"/>
  <c r="AD613" i="15"/>
  <c r="AD612" i="15"/>
  <c r="AD611" i="15"/>
  <c r="AD610" i="15"/>
  <c r="AC609" i="15"/>
  <c r="AE730" i="15"/>
  <c r="AD723" i="15"/>
  <c r="AB717" i="15"/>
  <c r="AB709" i="15"/>
  <c r="AD707" i="15"/>
  <c r="AC700" i="15"/>
  <c r="AE698" i="15"/>
  <c r="AB693" i="15"/>
  <c r="AD691" i="15"/>
  <c r="AC684" i="15"/>
  <c r="AE682" i="15"/>
  <c r="AB677" i="15"/>
  <c r="AD675" i="15"/>
  <c r="AC668" i="15"/>
  <c r="AE666" i="15"/>
  <c r="AD663" i="15"/>
  <c r="AD660" i="15"/>
  <c r="AC656" i="15"/>
  <c r="AC653" i="15"/>
  <c r="AE631" i="15"/>
  <c r="AE630" i="15"/>
  <c r="AE629" i="15"/>
  <c r="AE628" i="15"/>
  <c r="AE627" i="15"/>
  <c r="AE626" i="15"/>
  <c r="AE625" i="15"/>
  <c r="AD624" i="15"/>
  <c r="AD623" i="15"/>
  <c r="AD622" i="15"/>
  <c r="AD621" i="15"/>
  <c r="AD620" i="15"/>
  <c r="AD619" i="15"/>
  <c r="AD618" i="15"/>
  <c r="AC617" i="15"/>
  <c r="AC616" i="15"/>
  <c r="AC615" i="15"/>
  <c r="AC614" i="15"/>
  <c r="AC613" i="15"/>
  <c r="AC612" i="15"/>
  <c r="AC611" i="15"/>
  <c r="AB610" i="15"/>
  <c r="AB609" i="15"/>
  <c r="AB608" i="15"/>
  <c r="AB607" i="15"/>
  <c r="AB606" i="15"/>
  <c r="AB605" i="15"/>
  <c r="AC604" i="15"/>
  <c r="AD603" i="15"/>
  <c r="AE602" i="15"/>
  <c r="AB726" i="15"/>
  <c r="AE714" i="15"/>
  <c r="AD712" i="15"/>
  <c r="AC705" i="15"/>
  <c r="AE703" i="15"/>
  <c r="AB698" i="15"/>
  <c r="AD696" i="15"/>
  <c r="AC689" i="15"/>
  <c r="AE687" i="15"/>
  <c r="AB682" i="15"/>
  <c r="AD680" i="15"/>
  <c r="AC673" i="15"/>
  <c r="AE671" i="15"/>
  <c r="AB666" i="15"/>
  <c r="AC660" i="15"/>
  <c r="AE657" i="15"/>
  <c r="AB653" i="15"/>
  <c r="AE639" i="15"/>
  <c r="AE638" i="15"/>
  <c r="AE637" i="15"/>
  <c r="AE636" i="15"/>
  <c r="AE635" i="15"/>
  <c r="AE634" i="15"/>
  <c r="AE633" i="15"/>
  <c r="AD632" i="15"/>
  <c r="AD631" i="15"/>
  <c r="AD630" i="15"/>
  <c r="AD629" i="15"/>
  <c r="AD628" i="15"/>
  <c r="AD627" i="15"/>
  <c r="AD626" i="15"/>
  <c r="AC625" i="15"/>
  <c r="AC624" i="15"/>
  <c r="AC623" i="15"/>
  <c r="AC622" i="15"/>
  <c r="AC621" i="15"/>
  <c r="AC620" i="15"/>
  <c r="AC619" i="15"/>
  <c r="AB618" i="15"/>
  <c r="AB617" i="15"/>
  <c r="AB616" i="15"/>
  <c r="AB615" i="15"/>
  <c r="AB614" i="15"/>
  <c r="AB613" i="15"/>
  <c r="AB612" i="15"/>
  <c r="AB604" i="15"/>
  <c r="AC603" i="15"/>
  <c r="AD602" i="15"/>
  <c r="AE601" i="15"/>
  <c r="AB596" i="15"/>
  <c r="AC595" i="15"/>
  <c r="AD594" i="15"/>
  <c r="AE593" i="15"/>
  <c r="AB588" i="15"/>
  <c r="AC587" i="15"/>
  <c r="AD586" i="15"/>
  <c r="AE585" i="15"/>
  <c r="AB580" i="15"/>
  <c r="AC579" i="15"/>
  <c r="AD578" i="15"/>
  <c r="AE577" i="15"/>
  <c r="AB572" i="15"/>
  <c r="AC571" i="15"/>
  <c r="AD570" i="15"/>
  <c r="AE569" i="15"/>
  <c r="AB564" i="15"/>
  <c r="AC563" i="15"/>
  <c r="AD562" i="15"/>
  <c r="AE561" i="15"/>
  <c r="AB556" i="15"/>
  <c r="AC555" i="15"/>
  <c r="AD554" i="15"/>
  <c r="AE553" i="15"/>
  <c r="AB548" i="15"/>
  <c r="AC547" i="15"/>
  <c r="AD546" i="15"/>
  <c r="AE545" i="15"/>
  <c r="AB540" i="15"/>
  <c r="AC539" i="15"/>
  <c r="AD538" i="15"/>
  <c r="AE537" i="15"/>
  <c r="AB532" i="15"/>
  <c r="AC531" i="15"/>
  <c r="AC640" i="15"/>
  <c r="AC636" i="15"/>
  <c r="AB632" i="15"/>
  <c r="AB628" i="15"/>
  <c r="AC607" i="15"/>
  <c r="AE603" i="15"/>
  <c r="AB602" i="15"/>
  <c r="AE592" i="15"/>
  <c r="AE591" i="15"/>
  <c r="AE590" i="15"/>
  <c r="AE589" i="15"/>
  <c r="AE588" i="15"/>
  <c r="AE587" i="15"/>
  <c r="AE586" i="15"/>
  <c r="AD585" i="15"/>
  <c r="AD584" i="15"/>
  <c r="AD583" i="15"/>
  <c r="AD582" i="15"/>
  <c r="AD581" i="15"/>
  <c r="AD580" i="15"/>
  <c r="AD579" i="15"/>
  <c r="AC578" i="15"/>
  <c r="AC577" i="15"/>
  <c r="AC576" i="15"/>
  <c r="AC575" i="15"/>
  <c r="AC574" i="15"/>
  <c r="AC573" i="15"/>
  <c r="AC572" i="15"/>
  <c r="AB571" i="15"/>
  <c r="AB570" i="15"/>
  <c r="AB569" i="15"/>
  <c r="AB568" i="15"/>
  <c r="AB567" i="15"/>
  <c r="AB566" i="15"/>
  <c r="AB565" i="15"/>
  <c r="AB526" i="15"/>
  <c r="AC525" i="15"/>
  <c r="AD524" i="15"/>
  <c r="AE523" i="15"/>
  <c r="AB518" i="15"/>
  <c r="AC517" i="15"/>
  <c r="AD516" i="15"/>
  <c r="AE515" i="15"/>
  <c r="AB510" i="15"/>
  <c r="AC509" i="15"/>
  <c r="AD508" i="15"/>
  <c r="AE507" i="15"/>
  <c r="AB502" i="15"/>
  <c r="AC501" i="15"/>
  <c r="AD500" i="15"/>
  <c r="AE499" i="15"/>
  <c r="AB494" i="15"/>
  <c r="AC493" i="15"/>
  <c r="AD492" i="15"/>
  <c r="AE491" i="15"/>
  <c r="AB486" i="15"/>
  <c r="AC485" i="15"/>
  <c r="AD484" i="15"/>
  <c r="AE483" i="15"/>
  <c r="AB478" i="15"/>
  <c r="AC477" i="15"/>
  <c r="AD476" i="15"/>
  <c r="AE475" i="15"/>
  <c r="AB470" i="15"/>
  <c r="AC469" i="15"/>
  <c r="AD468" i="15"/>
  <c r="AE467" i="15"/>
  <c r="AB462" i="15"/>
  <c r="AC461" i="15"/>
  <c r="AD460" i="15"/>
  <c r="AE459" i="15"/>
  <c r="AD639" i="15"/>
  <c r="AD635" i="15"/>
  <c r="AC631" i="15"/>
  <c r="AC627" i="15"/>
  <c r="AB623" i="15"/>
  <c r="AE604" i="15"/>
  <c r="AB603" i="15"/>
  <c r="AE598" i="15"/>
  <c r="AE597" i="15"/>
  <c r="AE596" i="15"/>
  <c r="AE595" i="15"/>
  <c r="AE594" i="15"/>
  <c r="AD593" i="15"/>
  <c r="AD592" i="15"/>
  <c r="AD591" i="15"/>
  <c r="AD590" i="15"/>
  <c r="AD589" i="15"/>
  <c r="AD588" i="15"/>
  <c r="AD587" i="15"/>
  <c r="AC586" i="15"/>
  <c r="AC585" i="15"/>
  <c r="AC584" i="15"/>
  <c r="AC583" i="15"/>
  <c r="AC582" i="15"/>
  <c r="AC581" i="15"/>
  <c r="AC580" i="15"/>
  <c r="AB579" i="15"/>
  <c r="AB578" i="15"/>
  <c r="AB577" i="15"/>
  <c r="AB576" i="15"/>
  <c r="AB575" i="15"/>
  <c r="AB574" i="15"/>
  <c r="AB573" i="15"/>
  <c r="AE536" i="15"/>
  <c r="AE535" i="15"/>
  <c r="AE534" i="15"/>
  <c r="AE533" i="15"/>
  <c r="AE532" i="15"/>
  <c r="AE531" i="15"/>
  <c r="AE530" i="15"/>
  <c r="AB525" i="15"/>
  <c r="AC524" i="15"/>
  <c r="AD523" i="15"/>
  <c r="AE522" i="15"/>
  <c r="AB517" i="15"/>
  <c r="AC516" i="15"/>
  <c r="AD515" i="15"/>
  <c r="AE514" i="15"/>
  <c r="AB509" i="15"/>
  <c r="AC508" i="15"/>
  <c r="AD507" i="15"/>
  <c r="AE506" i="15"/>
  <c r="AB501" i="15"/>
  <c r="AC500" i="15"/>
  <c r="AD499" i="15"/>
  <c r="AE498" i="15"/>
  <c r="AB493" i="15"/>
  <c r="AC492" i="15"/>
  <c r="AD491" i="15"/>
  <c r="AE490" i="15"/>
  <c r="AB485" i="15"/>
  <c r="AC484" i="15"/>
  <c r="AD483" i="15"/>
  <c r="AE482" i="15"/>
  <c r="AB477" i="15"/>
  <c r="AC476" i="15"/>
  <c r="AD475" i="15"/>
  <c r="AE474" i="15"/>
  <c r="AB469" i="15"/>
  <c r="AC468" i="15"/>
  <c r="AD467" i="15"/>
  <c r="AE466" i="15"/>
  <c r="AB461" i="15"/>
  <c r="AC460" i="15"/>
  <c r="AD459" i="15"/>
  <c r="AC639" i="15"/>
  <c r="AC635" i="15"/>
  <c r="AB631" i="15"/>
  <c r="AE605" i="15"/>
  <c r="AD604" i="15"/>
  <c r="AE599" i="15"/>
  <c r="AD598" i="15"/>
  <c r="AD597" i="15"/>
  <c r="AD596" i="15"/>
  <c r="AD595" i="15"/>
  <c r="AC594" i="15"/>
  <c r="AC593" i="15"/>
  <c r="AC592" i="15"/>
  <c r="AC591" i="15"/>
  <c r="AC590" i="15"/>
  <c r="AC589" i="15"/>
  <c r="AC588" i="15"/>
  <c r="AB587" i="15"/>
  <c r="AB586" i="15"/>
  <c r="AB585" i="15"/>
  <c r="AB584" i="15"/>
  <c r="AB583" i="15"/>
  <c r="AB582" i="15"/>
  <c r="AB581" i="15"/>
  <c r="AD638" i="15"/>
  <c r="AD634" i="15"/>
  <c r="AC630" i="15"/>
  <c r="AB626" i="15"/>
  <c r="AB622" i="15"/>
  <c r="AC608" i="15"/>
  <c r="AD605" i="15"/>
  <c r="AE600" i="15"/>
  <c r="AD599" i="15"/>
  <c r="AC598" i="15"/>
  <c r="AC597" i="15"/>
  <c r="AC596" i="15"/>
  <c r="AB595" i="15"/>
  <c r="AB594" i="15"/>
  <c r="AB593" i="15"/>
  <c r="AB592" i="15"/>
  <c r="AB591" i="15"/>
  <c r="AB590" i="15"/>
  <c r="AB589" i="15"/>
  <c r="AE552" i="15"/>
  <c r="AE551" i="15"/>
  <c r="AE550" i="15"/>
  <c r="AE549" i="15"/>
  <c r="AE548" i="15"/>
  <c r="AE547" i="15"/>
  <c r="AE546" i="15"/>
  <c r="AD545" i="15"/>
  <c r="AD544" i="15"/>
  <c r="AD543" i="15"/>
  <c r="AD542" i="15"/>
  <c r="AD541" i="15"/>
  <c r="AD540" i="15"/>
  <c r="AD539" i="15"/>
  <c r="AC538" i="15"/>
  <c r="AC537" i="15"/>
  <c r="AC536" i="15"/>
  <c r="AC535" i="15"/>
  <c r="AC534" i="15"/>
  <c r="AC533" i="15"/>
  <c r="AC532" i="15"/>
  <c r="AB531" i="15"/>
  <c r="AC530" i="15"/>
  <c r="AD529" i="15"/>
  <c r="AE528" i="15"/>
  <c r="AB523" i="15"/>
  <c r="AC522" i="15"/>
  <c r="AD521" i="15"/>
  <c r="AE520" i="15"/>
  <c r="AB515" i="15"/>
  <c r="AC514" i="15"/>
  <c r="AD513" i="15"/>
  <c r="AE512" i="15"/>
  <c r="AB507" i="15"/>
  <c r="AC506" i="15"/>
  <c r="AD505" i="15"/>
  <c r="AE504" i="15"/>
  <c r="AB499" i="15"/>
  <c r="AC498" i="15"/>
  <c r="AD497" i="15"/>
  <c r="AE496" i="15"/>
  <c r="AC638" i="15"/>
  <c r="AB634" i="15"/>
  <c r="AB630" i="15"/>
  <c r="AE606" i="15"/>
  <c r="AC605" i="15"/>
  <c r="AD600" i="15"/>
  <c r="AC599" i="15"/>
  <c r="AB598" i="15"/>
  <c r="AB597" i="15"/>
  <c r="AE560" i="15"/>
  <c r="AE559" i="15"/>
  <c r="AE558" i="15"/>
  <c r="AE557" i="15"/>
  <c r="AE556" i="15"/>
  <c r="AE555" i="15"/>
  <c r="AE554" i="15"/>
  <c r="AD553" i="15"/>
  <c r="AD552" i="15"/>
  <c r="AD551" i="15"/>
  <c r="AD550" i="15"/>
  <c r="AD549" i="15"/>
  <c r="AD548" i="15"/>
  <c r="AD547" i="15"/>
  <c r="AC546" i="15"/>
  <c r="AC545" i="15"/>
  <c r="AC544" i="15"/>
  <c r="AC543" i="15"/>
  <c r="AC542" i="15"/>
  <c r="AC541" i="15"/>
  <c r="AC540" i="15"/>
  <c r="AB539" i="15"/>
  <c r="AB538" i="15"/>
  <c r="AB537" i="15"/>
  <c r="AB536" i="15"/>
  <c r="AB535" i="15"/>
  <c r="AB534" i="15"/>
  <c r="AB533" i="15"/>
  <c r="AB530" i="15"/>
  <c r="AC529" i="15"/>
  <c r="AD528" i="15"/>
  <c r="AE527" i="15"/>
  <c r="AB522" i="15"/>
  <c r="AC521" i="15"/>
  <c r="AD520" i="15"/>
  <c r="AE519" i="15"/>
  <c r="AB514" i="15"/>
  <c r="AC513" i="15"/>
  <c r="AD512" i="15"/>
  <c r="AE511" i="15"/>
  <c r="AB506" i="15"/>
  <c r="AC505" i="15"/>
  <c r="AD504" i="15"/>
  <c r="AE503" i="15"/>
  <c r="AB498" i="15"/>
  <c r="AC497" i="15"/>
  <c r="AD496" i="15"/>
  <c r="AE495" i="15"/>
  <c r="AB490" i="15"/>
  <c r="AC489" i="15"/>
  <c r="AD488" i="15"/>
  <c r="AE487" i="15"/>
  <c r="AD637" i="15"/>
  <c r="AC633" i="15"/>
  <c r="AC629" i="15"/>
  <c r="AB625" i="15"/>
  <c r="AB621" i="15"/>
  <c r="AD606" i="15"/>
  <c r="AD601" i="15"/>
  <c r="AC600" i="15"/>
  <c r="AB599" i="15"/>
  <c r="AE568" i="15"/>
  <c r="AE567" i="15"/>
  <c r="AE566" i="15"/>
  <c r="AE565" i="15"/>
  <c r="AE564" i="15"/>
  <c r="AE563" i="15"/>
  <c r="AE562" i="15"/>
  <c r="AD561" i="15"/>
  <c r="AD560" i="15"/>
  <c r="AD559" i="15"/>
  <c r="AD558" i="15"/>
  <c r="AD557" i="15"/>
  <c r="AD556" i="15"/>
  <c r="AD555" i="15"/>
  <c r="AC554" i="15"/>
  <c r="AC553" i="15"/>
  <c r="AC552" i="15"/>
  <c r="AC551" i="15"/>
  <c r="AC550" i="15"/>
  <c r="AC549" i="15"/>
  <c r="AC548" i="15"/>
  <c r="AB547" i="15"/>
  <c r="AB546" i="15"/>
  <c r="AB545" i="15"/>
  <c r="AB544" i="15"/>
  <c r="AB543" i="15"/>
  <c r="AB542" i="15"/>
  <c r="AB541" i="15"/>
  <c r="AB529" i="15"/>
  <c r="AC528" i="15"/>
  <c r="AD527" i="15"/>
  <c r="AE526" i="15"/>
  <c r="AB521" i="15"/>
  <c r="AC520" i="15"/>
  <c r="AD519" i="15"/>
  <c r="AE518" i="15"/>
  <c r="AB513" i="15"/>
  <c r="AC512" i="15"/>
  <c r="AD511" i="15"/>
  <c r="AE510" i="15"/>
  <c r="AB505" i="15"/>
  <c r="AC504" i="15"/>
  <c r="AD503" i="15"/>
  <c r="AE502" i="15"/>
  <c r="AB497" i="15"/>
  <c r="AC496" i="15"/>
  <c r="AD495" i="15"/>
  <c r="AE494" i="15"/>
  <c r="AB489" i="15"/>
  <c r="AC488" i="15"/>
  <c r="AD487" i="15"/>
  <c r="AE486" i="15"/>
  <c r="AC637" i="15"/>
  <c r="AB633" i="15"/>
  <c r="AB629" i="15"/>
  <c r="AC606" i="15"/>
  <c r="AC601" i="15"/>
  <c r="AB600" i="15"/>
  <c r="AE576" i="15"/>
  <c r="AE575" i="15"/>
  <c r="AE574" i="15"/>
  <c r="AE573" i="15"/>
  <c r="AE572" i="15"/>
  <c r="AE571" i="15"/>
  <c r="AE570" i="15"/>
  <c r="AD569" i="15"/>
  <c r="AD568" i="15"/>
  <c r="AD567" i="15"/>
  <c r="AD566" i="15"/>
  <c r="AD565" i="15"/>
  <c r="AD564" i="15"/>
  <c r="AD563" i="15"/>
  <c r="AC562" i="15"/>
  <c r="AD636" i="15"/>
  <c r="AC632" i="15"/>
  <c r="AC628" i="15"/>
  <c r="AB624" i="15"/>
  <c r="AB620" i="15"/>
  <c r="AE607" i="15"/>
  <c r="AC602" i="15"/>
  <c r="AB601" i="15"/>
  <c r="AE584" i="15"/>
  <c r="AE583" i="15"/>
  <c r="AE582" i="15"/>
  <c r="AE581" i="15"/>
  <c r="AE580" i="15"/>
  <c r="AE579" i="15"/>
  <c r="AE578" i="15"/>
  <c r="AD577" i="15"/>
  <c r="AD576" i="15"/>
  <c r="AD575" i="15"/>
  <c r="AD574" i="15"/>
  <c r="AD573" i="15"/>
  <c r="AD572" i="15"/>
  <c r="AD571" i="15"/>
  <c r="AC570" i="15"/>
  <c r="AC569" i="15"/>
  <c r="AC568" i="15"/>
  <c r="AC567" i="15"/>
  <c r="AC566" i="15"/>
  <c r="AC565" i="15"/>
  <c r="AC564" i="15"/>
  <c r="AB563" i="15"/>
  <c r="AB562" i="15"/>
  <c r="AB561" i="15"/>
  <c r="AB560" i="15"/>
  <c r="AB559" i="15"/>
  <c r="AB558" i="15"/>
  <c r="AB557" i="15"/>
  <c r="AB527" i="15"/>
  <c r="AC526" i="15"/>
  <c r="AD525" i="15"/>
  <c r="AE524" i="15"/>
  <c r="AB519" i="15"/>
  <c r="AC518" i="15"/>
  <c r="AD517" i="15"/>
  <c r="AE516" i="15"/>
  <c r="AB511" i="15"/>
  <c r="AC510" i="15"/>
  <c r="AD509" i="15"/>
  <c r="AE508" i="15"/>
  <c r="AB503" i="15"/>
  <c r="AC502" i="15"/>
  <c r="AD501" i="15"/>
  <c r="AE500" i="15"/>
  <c r="AB495" i="15"/>
  <c r="AC494" i="15"/>
  <c r="AD493" i="15"/>
  <c r="AE492" i="15"/>
  <c r="AB487" i="15"/>
  <c r="AC486" i="15"/>
  <c r="AD485" i="15"/>
  <c r="AE484" i="15"/>
  <c r="AB479" i="15"/>
  <c r="AC478" i="15"/>
  <c r="AD477" i="15"/>
  <c r="AE476" i="15"/>
  <c r="AB471" i="15"/>
  <c r="AC470" i="15"/>
  <c r="AD469" i="15"/>
  <c r="AE468" i="15"/>
  <c r="AB463" i="15"/>
  <c r="AC462" i="15"/>
  <c r="AD461" i="15"/>
  <c r="AE460" i="15"/>
  <c r="AB455" i="15"/>
  <c r="AC454" i="15"/>
  <c r="AD453" i="15"/>
  <c r="AE452" i="15"/>
  <c r="AB447" i="15"/>
  <c r="AC446" i="15"/>
  <c r="AD445" i="15"/>
  <c r="AE444" i="15"/>
  <c r="AB439" i="15"/>
  <c r="AC438" i="15"/>
  <c r="AD437" i="15"/>
  <c r="AE436" i="15"/>
  <c r="AB431" i="15"/>
  <c r="AC430" i="15"/>
  <c r="AD429" i="15"/>
  <c r="AE428" i="15"/>
  <c r="AC561" i="15"/>
  <c r="AB553" i="15"/>
  <c r="AB549" i="15"/>
  <c r="AE525" i="15"/>
  <c r="AD518" i="15"/>
  <c r="AC511" i="15"/>
  <c r="AB504" i="15"/>
  <c r="AD494" i="15"/>
  <c r="AE489" i="15"/>
  <c r="AC487" i="15"/>
  <c r="AB482" i="15"/>
  <c r="AD479" i="15"/>
  <c r="AE473" i="15"/>
  <c r="AC472" i="15"/>
  <c r="AE469" i="15"/>
  <c r="AD466" i="15"/>
  <c r="AB465" i="15"/>
  <c r="AD462" i="15"/>
  <c r="AC459" i="15"/>
  <c r="AB458" i="15"/>
  <c r="AE443" i="15"/>
  <c r="AE442" i="15"/>
  <c r="AE441" i="15"/>
  <c r="AE440" i="15"/>
  <c r="AE439" i="15"/>
  <c r="AE438" i="15"/>
  <c r="AE437" i="15"/>
  <c r="AD436" i="15"/>
  <c r="AD435" i="15"/>
  <c r="AD434" i="15"/>
  <c r="AD433" i="15"/>
  <c r="AD432" i="15"/>
  <c r="AD431" i="15"/>
  <c r="AD430" i="15"/>
  <c r="AC429" i="15"/>
  <c r="AC428" i="15"/>
  <c r="AC427" i="15"/>
  <c r="AD426" i="15"/>
  <c r="AE425" i="15"/>
  <c r="AB420" i="15"/>
  <c r="AC419" i="15"/>
  <c r="AD418" i="15"/>
  <c r="AE417" i="15"/>
  <c r="AB412" i="15"/>
  <c r="AC411" i="15"/>
  <c r="AD410" i="15"/>
  <c r="AE409" i="15"/>
  <c r="AB404" i="15"/>
  <c r="AC403" i="15"/>
  <c r="AD402" i="15"/>
  <c r="AE401" i="15"/>
  <c r="AB396" i="15"/>
  <c r="AC395" i="15"/>
  <c r="AD394" i="15"/>
  <c r="AE393" i="15"/>
  <c r="AB388" i="15"/>
  <c r="AC387" i="15"/>
  <c r="AD386" i="15"/>
  <c r="AE385" i="15"/>
  <c r="AB380" i="15"/>
  <c r="AC379" i="15"/>
  <c r="AD378" i="15"/>
  <c r="AE377" i="15"/>
  <c r="AB372" i="15"/>
  <c r="AC371" i="15"/>
  <c r="AD370" i="15"/>
  <c r="AE369" i="15"/>
  <c r="AB364" i="15"/>
  <c r="AC363" i="15"/>
  <c r="AD362" i="15"/>
  <c r="AE361" i="15"/>
  <c r="AB356" i="15"/>
  <c r="AC355" i="15"/>
  <c r="AD354" i="15"/>
  <c r="AE353" i="15"/>
  <c r="AB348" i="15"/>
  <c r="AC347" i="15"/>
  <c r="AD346" i="15"/>
  <c r="AE345" i="15"/>
  <c r="AB340" i="15"/>
  <c r="AC339" i="15"/>
  <c r="AD338" i="15"/>
  <c r="AE337" i="15"/>
  <c r="AC560" i="15"/>
  <c r="AE544" i="15"/>
  <c r="AE540" i="15"/>
  <c r="AD536" i="15"/>
  <c r="AD532" i="15"/>
  <c r="AE521" i="15"/>
  <c r="AD514" i="15"/>
  <c r="AC507" i="15"/>
  <c r="AB500" i="15"/>
  <c r="AD489" i="15"/>
  <c r="AC483" i="15"/>
  <c r="AE480" i="15"/>
  <c r="AC479" i="15"/>
  <c r="AB476" i="15"/>
  <c r="AD473" i="15"/>
  <c r="AB472" i="15"/>
  <c r="AC466" i="15"/>
  <c r="AE463" i="15"/>
  <c r="AB459" i="15"/>
  <c r="AE451" i="15"/>
  <c r="AE450" i="15"/>
  <c r="AE449" i="15"/>
  <c r="AE448" i="15"/>
  <c r="AE447" i="15"/>
  <c r="AE446" i="15"/>
  <c r="AE445" i="15"/>
  <c r="AD444" i="15"/>
  <c r="AD443" i="15"/>
  <c r="AD442" i="15"/>
  <c r="AD441" i="15"/>
  <c r="AD440" i="15"/>
  <c r="AD439" i="15"/>
  <c r="AD438" i="15"/>
  <c r="AC437" i="15"/>
  <c r="AC436" i="15"/>
  <c r="AC435" i="15"/>
  <c r="AC434" i="15"/>
  <c r="AC433" i="15"/>
  <c r="AC432" i="15"/>
  <c r="AC431" i="15"/>
  <c r="AB430" i="15"/>
  <c r="AB429" i="15"/>
  <c r="AB428" i="15"/>
  <c r="AB427" i="15"/>
  <c r="AC426" i="15"/>
  <c r="AD425" i="15"/>
  <c r="AE424" i="15"/>
  <c r="AB419" i="15"/>
  <c r="AC418" i="15"/>
  <c r="AD417" i="15"/>
  <c r="AE416" i="15"/>
  <c r="AB411" i="15"/>
  <c r="AC410" i="15"/>
  <c r="AD409" i="15"/>
  <c r="AE408" i="15"/>
  <c r="AB403" i="15"/>
  <c r="AC402" i="15"/>
  <c r="AD401" i="15"/>
  <c r="AE400" i="15"/>
  <c r="AB395" i="15"/>
  <c r="AC394" i="15"/>
  <c r="AD393" i="15"/>
  <c r="AE392" i="15"/>
  <c r="AB387" i="15"/>
  <c r="AC386" i="15"/>
  <c r="AD385" i="15"/>
  <c r="AE384" i="15"/>
  <c r="AB379" i="15"/>
  <c r="AC378" i="15"/>
  <c r="AD377" i="15"/>
  <c r="AE376" i="15"/>
  <c r="AB371" i="15"/>
  <c r="AC370" i="15"/>
  <c r="AD369" i="15"/>
  <c r="AE368" i="15"/>
  <c r="AB363" i="15"/>
  <c r="AC362" i="15"/>
  <c r="AD361" i="15"/>
  <c r="AE360" i="15"/>
  <c r="AB355" i="15"/>
  <c r="AC354" i="15"/>
  <c r="AD353" i="15"/>
  <c r="AE352" i="15"/>
  <c r="AB347" i="15"/>
  <c r="AC346" i="15"/>
  <c r="AD345" i="15"/>
  <c r="AE344" i="15"/>
  <c r="AB339" i="15"/>
  <c r="AC559" i="15"/>
  <c r="AB552" i="15"/>
  <c r="AB528" i="15"/>
  <c r="AE517" i="15"/>
  <c r="AD510" i="15"/>
  <c r="AC503" i="15"/>
  <c r="AB496" i="15"/>
  <c r="AC491" i="15"/>
  <c r="AB483" i="15"/>
  <c r="AD480" i="15"/>
  <c r="AC473" i="15"/>
  <c r="AE470" i="15"/>
  <c r="AB466" i="15"/>
  <c r="AD463" i="15"/>
  <c r="AE455" i="15"/>
  <c r="AE454" i="15"/>
  <c r="AE453" i="15"/>
  <c r="AD452" i="15"/>
  <c r="AD451" i="15"/>
  <c r="AD450" i="15"/>
  <c r="AD449" i="15"/>
  <c r="AD448" i="15"/>
  <c r="AD447" i="15"/>
  <c r="AC558" i="15"/>
  <c r="AE543" i="15"/>
  <c r="AE539" i="15"/>
  <c r="AD535" i="15"/>
  <c r="AD531" i="15"/>
  <c r="AB524" i="15"/>
  <c r="AE513" i="15"/>
  <c r="AD506" i="15"/>
  <c r="AC499" i="15"/>
  <c r="AE493" i="15"/>
  <c r="AB491" i="15"/>
  <c r="AD486" i="15"/>
  <c r="AE481" i="15"/>
  <c r="AC480" i="15"/>
  <c r="AE477" i="15"/>
  <c r="AD474" i="15"/>
  <c r="AB473" i="15"/>
  <c r="AD470" i="15"/>
  <c r="AC467" i="15"/>
  <c r="AE464" i="15"/>
  <c r="AC463" i="15"/>
  <c r="AB460" i="15"/>
  <c r="AE456" i="15"/>
  <c r="AD455" i="15"/>
  <c r="AD454" i="15"/>
  <c r="AC453" i="15"/>
  <c r="AC452" i="15"/>
  <c r="AC451" i="15"/>
  <c r="AC450" i="15"/>
  <c r="AC449" i="15"/>
  <c r="AC448" i="15"/>
  <c r="AC447" i="15"/>
  <c r="AB446" i="15"/>
  <c r="AB445" i="15"/>
  <c r="AC557" i="15"/>
  <c r="AB551" i="15"/>
  <c r="AC527" i="15"/>
  <c r="AB520" i="15"/>
  <c r="AE509" i="15"/>
  <c r="AD502" i="15"/>
  <c r="AE488" i="15"/>
  <c r="AB484" i="15"/>
  <c r="AD481" i="15"/>
  <c r="AB480" i="15"/>
  <c r="AC474" i="15"/>
  <c r="AE471" i="15"/>
  <c r="AB467" i="15"/>
  <c r="AD464" i="15"/>
  <c r="AE457" i="15"/>
  <c r="AD456" i="15"/>
  <c r="AC455" i="15"/>
  <c r="AB454" i="15"/>
  <c r="AB453" i="15"/>
  <c r="AB452" i="15"/>
  <c r="AB451" i="15"/>
  <c r="AB450" i="15"/>
  <c r="AB449" i="15"/>
  <c r="AB448" i="15"/>
  <c r="AB424" i="15"/>
  <c r="AC423" i="15"/>
  <c r="AD422" i="15"/>
  <c r="AE421" i="15"/>
  <c r="AB416" i="15"/>
  <c r="AC415" i="15"/>
  <c r="AD414" i="15"/>
  <c r="AE413" i="15"/>
  <c r="AB408" i="15"/>
  <c r="AC407" i="15"/>
  <c r="AD406" i="15"/>
  <c r="AE405" i="15"/>
  <c r="AB400" i="15"/>
  <c r="AC399" i="15"/>
  <c r="AD398" i="15"/>
  <c r="AE397" i="15"/>
  <c r="AB392" i="15"/>
  <c r="AC556" i="15"/>
  <c r="AE542" i="15"/>
  <c r="AE538" i="15"/>
  <c r="AD534" i="15"/>
  <c r="AD530" i="15"/>
  <c r="AC523" i="15"/>
  <c r="AB516" i="15"/>
  <c r="AE505" i="15"/>
  <c r="AD498" i="15"/>
  <c r="AC495" i="15"/>
  <c r="AD490" i="15"/>
  <c r="AB488" i="15"/>
  <c r="AC481" i="15"/>
  <c r="AE478" i="15"/>
  <c r="AB474" i="15"/>
  <c r="AD471" i="15"/>
  <c r="AE465" i="15"/>
  <c r="AC464" i="15"/>
  <c r="AE461" i="15"/>
  <c r="AE458" i="15"/>
  <c r="AD457" i="15"/>
  <c r="AC456" i="15"/>
  <c r="AB423" i="15"/>
  <c r="AC422" i="15"/>
  <c r="AD421" i="15"/>
  <c r="AE420" i="15"/>
  <c r="AB415" i="15"/>
  <c r="AC414" i="15"/>
  <c r="AD413" i="15"/>
  <c r="AE412" i="15"/>
  <c r="AB407" i="15"/>
  <c r="AC406" i="15"/>
  <c r="AD405" i="15"/>
  <c r="AE404" i="15"/>
  <c r="AB399" i="15"/>
  <c r="AC398" i="15"/>
  <c r="AD397" i="15"/>
  <c r="AE396" i="15"/>
  <c r="AB391" i="15"/>
  <c r="AB555" i="15"/>
  <c r="AB550" i="15"/>
  <c r="AD526" i="15"/>
  <c r="AC519" i="15"/>
  <c r="AB512" i="15"/>
  <c r="AE501" i="15"/>
  <c r="AC490" i="15"/>
  <c r="AD482" i="15"/>
  <c r="AB481" i="15"/>
  <c r="AD478" i="15"/>
  <c r="AC475" i="15"/>
  <c r="AE472" i="15"/>
  <c r="AC471" i="15"/>
  <c r="AB468" i="15"/>
  <c r="AD465" i="15"/>
  <c r="AB554" i="15"/>
  <c r="AE541" i="15"/>
  <c r="AD537" i="15"/>
  <c r="AD533" i="15"/>
  <c r="AE529" i="15"/>
  <c r="AD522" i="15"/>
  <c r="AC515" i="15"/>
  <c r="AB508" i="15"/>
  <c r="AE497" i="15"/>
  <c r="AB492" i="15"/>
  <c r="AE485" i="15"/>
  <c r="AC482" i="15"/>
  <c r="AE479" i="15"/>
  <c r="AB475" i="15"/>
  <c r="AD472" i="15"/>
  <c r="AC465" i="15"/>
  <c r="AE462" i="15"/>
  <c r="AC458" i="15"/>
  <c r="AB457" i="15"/>
  <c r="AE435" i="15"/>
  <c r="AE434" i="15"/>
  <c r="AE433" i="15"/>
  <c r="AE432" i="15"/>
  <c r="AE431" i="15"/>
  <c r="AE430" i="15"/>
  <c r="AE429" i="15"/>
  <c r="AD428" i="15"/>
  <c r="AD427" i="15"/>
  <c r="AE426" i="15"/>
  <c r="AB421" i="15"/>
  <c r="AC420" i="15"/>
  <c r="AD419" i="15"/>
  <c r="AE418" i="15"/>
  <c r="AB413" i="15"/>
  <c r="AC412" i="15"/>
  <c r="AD411" i="15"/>
  <c r="AE410" i="15"/>
  <c r="AB405" i="15"/>
  <c r="AC404" i="15"/>
  <c r="AD403" i="15"/>
  <c r="AE402" i="15"/>
  <c r="AB397" i="15"/>
  <c r="AC396" i="15"/>
  <c r="AD395" i="15"/>
  <c r="AE394" i="15"/>
  <c r="AB389" i="15"/>
  <c r="AC388" i="15"/>
  <c r="AD387" i="15"/>
  <c r="AE386" i="15"/>
  <c r="AB381" i="15"/>
  <c r="AC380" i="15"/>
  <c r="AD379" i="15"/>
  <c r="AE378" i="15"/>
  <c r="AB373" i="15"/>
  <c r="AC372" i="15"/>
  <c r="AD371" i="15"/>
  <c r="AE370" i="15"/>
  <c r="AB365" i="15"/>
  <c r="AC364" i="15"/>
  <c r="AD363" i="15"/>
  <c r="AE362" i="15"/>
  <c r="AB357" i="15"/>
  <c r="AC356" i="15"/>
  <c r="AD355" i="15"/>
  <c r="AE354" i="15"/>
  <c r="AB349" i="15"/>
  <c r="AC348" i="15"/>
  <c r="AD347" i="15"/>
  <c r="AE346" i="15"/>
  <c r="AB341" i="15"/>
  <c r="AC340" i="15"/>
  <c r="AD339" i="15"/>
  <c r="AE338" i="15"/>
  <c r="AB333" i="15"/>
  <c r="AC332" i="15"/>
  <c r="AD331" i="15"/>
  <c r="AE330" i="15"/>
  <c r="AB464" i="15"/>
  <c r="AD446" i="15"/>
  <c r="AB443" i="15"/>
  <c r="AC440" i="15"/>
  <c r="AB432" i="15"/>
  <c r="AD424" i="15"/>
  <c r="AB422" i="15"/>
  <c r="AC417" i="15"/>
  <c r="AB410" i="15"/>
  <c r="AE398" i="15"/>
  <c r="AD391" i="15"/>
  <c r="AE388" i="15"/>
  <c r="AB384" i="15"/>
  <c r="AD381" i="15"/>
  <c r="AE375" i="15"/>
  <c r="AC374" i="15"/>
  <c r="AE371" i="15"/>
  <c r="AD368" i="15"/>
  <c r="AB367" i="15"/>
  <c r="AD364" i="15"/>
  <c r="AC361" i="15"/>
  <c r="AE358" i="15"/>
  <c r="AC357" i="15"/>
  <c r="AB354" i="15"/>
  <c r="AD351" i="15"/>
  <c r="AB350" i="15"/>
  <c r="AC344" i="15"/>
  <c r="AE341" i="15"/>
  <c r="AD337" i="15"/>
  <c r="AC336" i="15"/>
  <c r="AB335" i="15"/>
  <c r="AB323" i="15"/>
  <c r="AC322" i="15"/>
  <c r="AD321" i="15"/>
  <c r="AE320" i="15"/>
  <c r="AB315" i="15"/>
  <c r="AC314" i="15"/>
  <c r="AD313" i="15"/>
  <c r="AE312" i="15"/>
  <c r="AB307" i="15"/>
  <c r="AC306" i="15"/>
  <c r="AD305" i="15"/>
  <c r="AE304" i="15"/>
  <c r="AB299" i="15"/>
  <c r="AC298" i="15"/>
  <c r="AD297" i="15"/>
  <c r="AE296" i="15"/>
  <c r="AB291" i="15"/>
  <c r="AC290" i="15"/>
  <c r="AD289" i="15"/>
  <c r="AE288" i="15"/>
  <c r="AB283" i="15"/>
  <c r="AC282" i="15"/>
  <c r="AD281" i="15"/>
  <c r="AE280" i="15"/>
  <c r="AB275" i="15"/>
  <c r="AC274" i="15"/>
  <c r="AD273" i="15"/>
  <c r="AE272" i="15"/>
  <c r="AB267" i="15"/>
  <c r="AC266" i="15"/>
  <c r="AD265" i="15"/>
  <c r="AE264" i="15"/>
  <c r="AB259" i="15"/>
  <c r="AC258" i="15"/>
  <c r="AD257" i="15"/>
  <c r="AE256" i="15"/>
  <c r="AB251" i="15"/>
  <c r="AC250" i="15"/>
  <c r="AD249" i="15"/>
  <c r="AE248" i="15"/>
  <c r="AB243" i="15"/>
  <c r="AC242" i="15"/>
  <c r="AD241" i="15"/>
  <c r="AE240" i="15"/>
  <c r="AB235" i="15"/>
  <c r="AC234" i="15"/>
  <c r="AD233" i="15"/>
  <c r="AE232" i="15"/>
  <c r="AB227" i="15"/>
  <c r="AC226" i="15"/>
  <c r="AD225" i="15"/>
  <c r="AE224" i="15"/>
  <c r="AB219" i="15"/>
  <c r="AC218" i="15"/>
  <c r="AD217" i="15"/>
  <c r="AE216" i="15"/>
  <c r="AB211" i="15"/>
  <c r="AC210" i="15"/>
  <c r="AD209" i="15"/>
  <c r="AE208" i="15"/>
  <c r="AB203" i="15"/>
  <c r="AC202" i="15"/>
  <c r="AD201" i="15"/>
  <c r="AB440" i="15"/>
  <c r="AB437" i="15"/>
  <c r="AC424" i="15"/>
  <c r="AE419" i="15"/>
  <c r="AB417" i="15"/>
  <c r="AD412" i="15"/>
  <c r="AE407" i="15"/>
  <c r="AC405" i="15"/>
  <c r="AD400" i="15"/>
  <c r="AB398" i="15"/>
  <c r="AC393" i="15"/>
  <c r="AC391" i="15"/>
  <c r="AD388" i="15"/>
  <c r="AC385" i="15"/>
  <c r="AE382" i="15"/>
  <c r="AC381" i="15"/>
  <c r="AB378" i="15"/>
  <c r="AD375" i="15"/>
  <c r="AB374" i="15"/>
  <c r="AC368" i="15"/>
  <c r="AE365" i="15"/>
  <c r="AB361" i="15"/>
  <c r="AD358" i="15"/>
  <c r="AC351" i="15"/>
  <c r="AE348" i="15"/>
  <c r="AB344" i="15"/>
  <c r="AD341" i="15"/>
  <c r="AC337" i="15"/>
  <c r="AB336" i="15"/>
  <c r="AB322" i="15"/>
  <c r="AC321" i="15"/>
  <c r="AD320" i="15"/>
  <c r="AE319" i="15"/>
  <c r="AB314" i="15"/>
  <c r="AC313" i="15"/>
  <c r="AD312" i="15"/>
  <c r="AE311" i="15"/>
  <c r="AB306" i="15"/>
  <c r="AC305" i="15"/>
  <c r="AD304" i="15"/>
  <c r="AE303" i="15"/>
  <c r="AB298" i="15"/>
  <c r="AC297" i="15"/>
  <c r="AD296" i="15"/>
  <c r="AE295" i="15"/>
  <c r="AB290" i="15"/>
  <c r="AC289" i="15"/>
  <c r="AD288" i="15"/>
  <c r="AE287" i="15"/>
  <c r="AB282" i="15"/>
  <c r="AC281" i="15"/>
  <c r="AD280" i="15"/>
  <c r="AE279" i="15"/>
  <c r="AB274" i="15"/>
  <c r="AC273" i="15"/>
  <c r="AD272" i="15"/>
  <c r="AE271" i="15"/>
  <c r="AB266" i="15"/>
  <c r="AC265" i="15"/>
  <c r="AD264" i="15"/>
  <c r="AE263" i="15"/>
  <c r="AB258" i="15"/>
  <c r="AC257" i="15"/>
  <c r="AD256" i="15"/>
  <c r="AE255" i="15"/>
  <c r="AB250" i="15"/>
  <c r="AC249" i="15"/>
  <c r="AD248" i="15"/>
  <c r="AE247" i="15"/>
  <c r="AB242" i="15"/>
  <c r="AC241" i="15"/>
  <c r="AD240" i="15"/>
  <c r="AE239" i="15"/>
  <c r="AB234" i="15"/>
  <c r="AC233" i="15"/>
  <c r="AD232" i="15"/>
  <c r="AE231" i="15"/>
  <c r="AB226" i="15"/>
  <c r="AC225" i="15"/>
  <c r="AD224" i="15"/>
  <c r="AE223" i="15"/>
  <c r="AB218" i="15"/>
  <c r="AC217" i="15"/>
  <c r="AD216" i="15"/>
  <c r="AE215" i="15"/>
  <c r="AB210" i="15"/>
  <c r="AC209" i="15"/>
  <c r="AD208" i="15"/>
  <c r="AE207" i="15"/>
  <c r="AB202" i="15"/>
  <c r="AC201" i="15"/>
  <c r="AD200" i="15"/>
  <c r="AC445" i="15"/>
  <c r="AC442" i="15"/>
  <c r="AB434" i="15"/>
  <c r="AB426" i="15"/>
  <c r="AE414" i="15"/>
  <c r="AD407" i="15"/>
  <c r="AC400" i="15"/>
  <c r="AE395" i="15"/>
  <c r="AB393" i="15"/>
  <c r="AE389" i="15"/>
  <c r="AB385" i="15"/>
  <c r="AD382" i="15"/>
  <c r="AC375" i="15"/>
  <c r="AE372" i="15"/>
  <c r="AB368" i="15"/>
  <c r="AD365" i="15"/>
  <c r="AE359" i="15"/>
  <c r="AC358" i="15"/>
  <c r="AE355" i="15"/>
  <c r="AD352" i="15"/>
  <c r="AB351" i="15"/>
  <c r="AD348" i="15"/>
  <c r="AC345" i="15"/>
  <c r="AE342" i="15"/>
  <c r="AC341" i="15"/>
  <c r="AC338" i="15"/>
  <c r="AB337" i="15"/>
  <c r="AB321" i="15"/>
  <c r="AC320" i="15"/>
  <c r="AD319" i="15"/>
  <c r="AE318" i="15"/>
  <c r="AB313" i="15"/>
  <c r="AC312" i="15"/>
  <c r="AD311" i="15"/>
  <c r="AE310" i="15"/>
  <c r="AB442" i="15"/>
  <c r="AC439" i="15"/>
  <c r="AE423" i="15"/>
  <c r="AC421" i="15"/>
  <c r="AD416" i="15"/>
  <c r="AB414" i="15"/>
  <c r="AC409" i="15"/>
  <c r="AB402" i="15"/>
  <c r="AD389" i="15"/>
  <c r="AE383" i="15"/>
  <c r="AC382" i="15"/>
  <c r="AE379" i="15"/>
  <c r="AD376" i="15"/>
  <c r="AB375" i="15"/>
  <c r="AD372" i="15"/>
  <c r="AC369" i="15"/>
  <c r="AE366" i="15"/>
  <c r="AC365" i="15"/>
  <c r="AB362" i="15"/>
  <c r="AD359" i="15"/>
  <c r="AB358" i="15"/>
  <c r="AC352" i="15"/>
  <c r="AE349" i="15"/>
  <c r="AB345" i="15"/>
  <c r="AD342" i="15"/>
  <c r="AB338" i="15"/>
  <c r="AE329" i="15"/>
  <c r="AE328" i="15"/>
  <c r="AE327" i="15"/>
  <c r="AE326" i="15"/>
  <c r="AE325" i="15"/>
  <c r="AB320" i="15"/>
  <c r="AC319" i="15"/>
  <c r="AD318" i="15"/>
  <c r="AE317" i="15"/>
  <c r="AB312" i="15"/>
  <c r="AC311" i="15"/>
  <c r="AD310" i="15"/>
  <c r="AE309" i="15"/>
  <c r="AB304" i="15"/>
  <c r="AC303" i="15"/>
  <c r="AD302" i="15"/>
  <c r="AE301" i="15"/>
  <c r="AB296" i="15"/>
  <c r="AC295" i="15"/>
  <c r="AD294" i="15"/>
  <c r="AE293" i="15"/>
  <c r="AB288" i="15"/>
  <c r="AC287" i="15"/>
  <c r="AD286" i="15"/>
  <c r="AE285" i="15"/>
  <c r="AB280" i="15"/>
  <c r="AC279" i="15"/>
  <c r="AD278" i="15"/>
  <c r="AE277" i="15"/>
  <c r="AB272" i="15"/>
  <c r="AC271" i="15"/>
  <c r="AD270" i="15"/>
  <c r="AE269" i="15"/>
  <c r="AB264" i="15"/>
  <c r="AC263" i="15"/>
  <c r="AD262" i="15"/>
  <c r="AD458" i="15"/>
  <c r="AC444" i="15"/>
  <c r="AB436" i="15"/>
  <c r="AD423" i="15"/>
  <c r="AC416" i="15"/>
  <c r="AE411" i="15"/>
  <c r="AB409" i="15"/>
  <c r="AD404" i="15"/>
  <c r="AE399" i="15"/>
  <c r="AC397" i="15"/>
  <c r="AD392" i="15"/>
  <c r="AE390" i="15"/>
  <c r="AC389" i="15"/>
  <c r="AB386" i="15"/>
  <c r="AD383" i="15"/>
  <c r="AB382" i="15"/>
  <c r="AC376" i="15"/>
  <c r="AE373" i="15"/>
  <c r="AB369" i="15"/>
  <c r="AD366" i="15"/>
  <c r="AC359" i="15"/>
  <c r="AE356" i="15"/>
  <c r="AB352" i="15"/>
  <c r="AD349" i="15"/>
  <c r="AE343" i="15"/>
  <c r="AC342" i="15"/>
  <c r="AE339" i="15"/>
  <c r="AE334" i="15"/>
  <c r="AE333" i="15"/>
  <c r="AE332" i="15"/>
  <c r="AE331" i="15"/>
  <c r="AD330" i="15"/>
  <c r="AD329" i="15"/>
  <c r="AD328" i="15"/>
  <c r="AD327" i="15"/>
  <c r="AD326" i="15"/>
  <c r="AD325" i="15"/>
  <c r="AE324" i="15"/>
  <c r="AB319" i="15"/>
  <c r="AC318" i="15"/>
  <c r="AD317" i="15"/>
  <c r="AE316" i="15"/>
  <c r="AB311" i="15"/>
  <c r="AC310" i="15"/>
  <c r="AD309" i="15"/>
  <c r="AE308" i="15"/>
  <c r="AB303" i="15"/>
  <c r="AC302" i="15"/>
  <c r="AD301" i="15"/>
  <c r="AE300" i="15"/>
  <c r="AB295" i="15"/>
  <c r="AC294" i="15"/>
  <c r="AD293" i="15"/>
  <c r="AE292" i="15"/>
  <c r="AB287" i="15"/>
  <c r="AC286" i="15"/>
  <c r="AD285" i="15"/>
  <c r="AE284" i="15"/>
  <c r="AB279" i="15"/>
  <c r="AC278" i="15"/>
  <c r="AD277" i="15"/>
  <c r="AE276" i="15"/>
  <c r="AB271" i="15"/>
  <c r="AC270" i="15"/>
  <c r="AD269" i="15"/>
  <c r="AE268" i="15"/>
  <c r="AB263" i="15"/>
  <c r="AC262" i="15"/>
  <c r="AD261" i="15"/>
  <c r="AE260" i="15"/>
  <c r="AB255" i="15"/>
  <c r="AC254" i="15"/>
  <c r="AD253" i="15"/>
  <c r="AE252" i="15"/>
  <c r="AB247" i="15"/>
  <c r="AC246" i="15"/>
  <c r="AD245" i="15"/>
  <c r="AE244" i="15"/>
  <c r="AC457" i="15"/>
  <c r="AB444" i="15"/>
  <c r="AC441" i="15"/>
  <c r="AB433" i="15"/>
  <c r="AC425" i="15"/>
  <c r="AB418" i="15"/>
  <c r="AE406" i="15"/>
  <c r="AD399" i="15"/>
  <c r="AC392" i="15"/>
  <c r="AD390" i="15"/>
  <c r="AC383" i="15"/>
  <c r="AE380" i="15"/>
  <c r="AB376" i="15"/>
  <c r="AD373" i="15"/>
  <c r="AE367" i="15"/>
  <c r="AC366" i="15"/>
  <c r="AE363" i="15"/>
  <c r="AD360" i="15"/>
  <c r="AB359" i="15"/>
  <c r="AD356" i="15"/>
  <c r="AC353" i="15"/>
  <c r="AE350" i="15"/>
  <c r="AC349" i="15"/>
  <c r="AB346" i="15"/>
  <c r="AD343" i="15"/>
  <c r="AB342" i="15"/>
  <c r="AE335" i="15"/>
  <c r="AD334" i="15"/>
  <c r="AD333" i="15"/>
  <c r="AD332" i="15"/>
  <c r="AC331" i="15"/>
  <c r="AC330" i="15"/>
  <c r="AC329" i="15"/>
  <c r="AC328" i="15"/>
  <c r="AC327" i="15"/>
  <c r="AC326" i="15"/>
  <c r="AC325" i="15"/>
  <c r="AD324" i="15"/>
  <c r="AE323" i="15"/>
  <c r="AB318" i="15"/>
  <c r="AC317" i="15"/>
  <c r="AD316" i="15"/>
  <c r="AE315" i="15"/>
  <c r="AB310" i="15"/>
  <c r="AC309" i="15"/>
  <c r="AD308" i="15"/>
  <c r="AE307" i="15"/>
  <c r="AB302" i="15"/>
  <c r="AC301" i="15"/>
  <c r="AD300" i="15"/>
  <c r="AE299" i="15"/>
  <c r="AB294" i="15"/>
  <c r="AC293" i="15"/>
  <c r="AD292" i="15"/>
  <c r="AE291" i="15"/>
  <c r="AB286" i="15"/>
  <c r="AC285" i="15"/>
  <c r="AD284" i="15"/>
  <c r="AE283" i="15"/>
  <c r="AB278" i="15"/>
  <c r="AC277" i="15"/>
  <c r="AD276" i="15"/>
  <c r="AE275" i="15"/>
  <c r="AB270" i="15"/>
  <c r="AC269" i="15"/>
  <c r="AD268" i="15"/>
  <c r="AE267" i="15"/>
  <c r="AB262" i="15"/>
  <c r="AC261" i="15"/>
  <c r="AD260" i="15"/>
  <c r="AE259" i="15"/>
  <c r="AB254" i="15"/>
  <c r="AC253" i="15"/>
  <c r="AD252" i="15"/>
  <c r="AE251" i="15"/>
  <c r="AB246" i="15"/>
  <c r="AC245" i="15"/>
  <c r="AD244" i="15"/>
  <c r="AE243" i="15"/>
  <c r="AB456" i="15"/>
  <c r="AB441" i="15"/>
  <c r="AB438" i="15"/>
  <c r="AE427" i="15"/>
  <c r="AB425" i="15"/>
  <c r="AD420" i="15"/>
  <c r="AE415" i="15"/>
  <c r="AC413" i="15"/>
  <c r="AD408" i="15"/>
  <c r="AB406" i="15"/>
  <c r="AC401" i="15"/>
  <c r="AB394" i="15"/>
  <c r="AC390" i="15"/>
  <c r="AE387" i="15"/>
  <c r="AD384" i="15"/>
  <c r="AB383" i="15"/>
  <c r="AD380" i="15"/>
  <c r="AC377" i="15"/>
  <c r="AE374" i="15"/>
  <c r="AC373" i="15"/>
  <c r="AB370" i="15"/>
  <c r="AD367" i="15"/>
  <c r="AB366" i="15"/>
  <c r="AC360" i="15"/>
  <c r="AE357" i="15"/>
  <c r="AB353" i="15"/>
  <c r="AD350" i="15"/>
  <c r="AC343" i="15"/>
  <c r="AE340" i="15"/>
  <c r="AE336" i="15"/>
  <c r="AD335" i="15"/>
  <c r="AC334" i="15"/>
  <c r="AC333" i="15"/>
  <c r="AB332" i="15"/>
  <c r="AB331" i="15"/>
  <c r="AB330" i="15"/>
  <c r="AB329" i="15"/>
  <c r="AB328" i="15"/>
  <c r="AC443" i="15"/>
  <c r="AB435" i="15"/>
  <c r="AE422" i="15"/>
  <c r="AD415" i="15"/>
  <c r="AC408" i="15"/>
  <c r="AE403" i="15"/>
  <c r="AB401" i="15"/>
  <c r="AD396" i="15"/>
  <c r="AE391" i="15"/>
  <c r="AB390" i="15"/>
  <c r="AC384" i="15"/>
  <c r="AE381" i="15"/>
  <c r="AB377" i="15"/>
  <c r="AD374" i="15"/>
  <c r="AC367" i="15"/>
  <c r="AE364" i="15"/>
  <c r="AB360" i="15"/>
  <c r="AD357" i="15"/>
  <c r="AE351" i="15"/>
  <c r="AC350" i="15"/>
  <c r="AE347" i="15"/>
  <c r="AD344" i="15"/>
  <c r="AB343" i="15"/>
  <c r="AD340" i="15"/>
  <c r="AD336" i="15"/>
  <c r="AC335" i="15"/>
  <c r="AB334" i="15"/>
  <c r="AB324" i="15"/>
  <c r="AC323" i="15"/>
  <c r="AD322" i="15"/>
  <c r="AE321" i="15"/>
  <c r="AB316" i="15"/>
  <c r="AC315" i="15"/>
  <c r="AD314" i="15"/>
  <c r="AE313" i="15"/>
  <c r="AB308" i="15"/>
  <c r="AC307" i="15"/>
  <c r="AD306" i="15"/>
  <c r="AE305" i="15"/>
  <c r="AB300" i="15"/>
  <c r="AC299" i="15"/>
  <c r="AD298" i="15"/>
  <c r="AE297" i="15"/>
  <c r="AB292" i="15"/>
  <c r="AC291" i="15"/>
  <c r="AD290" i="15"/>
  <c r="AE289" i="15"/>
  <c r="AB284" i="15"/>
  <c r="AC283" i="15"/>
  <c r="AD282" i="15"/>
  <c r="AE281" i="15"/>
  <c r="AB276" i="15"/>
  <c r="AC275" i="15"/>
  <c r="AD274" i="15"/>
  <c r="AE273" i="15"/>
  <c r="AB268" i="15"/>
  <c r="AC267" i="15"/>
  <c r="AD266" i="15"/>
  <c r="AE265" i="15"/>
  <c r="AB260" i="15"/>
  <c r="AC259" i="15"/>
  <c r="AD258" i="15"/>
  <c r="AE257" i="15"/>
  <c r="AB252" i="15"/>
  <c r="AC251" i="15"/>
  <c r="AD250" i="15"/>
  <c r="AE249" i="15"/>
  <c r="AB244" i="15"/>
  <c r="AC243" i="15"/>
  <c r="AD242" i="15"/>
  <c r="AE241" i="15"/>
  <c r="AB236" i="15"/>
  <c r="AC235" i="15"/>
  <c r="AD234" i="15"/>
  <c r="AE233" i="15"/>
  <c r="AB228" i="15"/>
  <c r="AC227" i="15"/>
  <c r="AD226" i="15"/>
  <c r="AE225" i="15"/>
  <c r="AB220" i="15"/>
  <c r="AC219" i="15"/>
  <c r="AD218" i="15"/>
  <c r="AE217" i="15"/>
  <c r="AB212" i="15"/>
  <c r="AC211" i="15"/>
  <c r="AD210" i="15"/>
  <c r="AE209" i="15"/>
  <c r="AB204" i="15"/>
  <c r="AC203" i="15"/>
  <c r="AD202" i="15"/>
  <c r="AE201" i="15"/>
  <c r="AB327" i="15"/>
  <c r="AE306" i="15"/>
  <c r="AD299" i="15"/>
  <c r="AC292" i="15"/>
  <c r="AB285" i="15"/>
  <c r="AE274" i="15"/>
  <c r="AD267" i="15"/>
  <c r="AE258" i="15"/>
  <c r="AB256" i="15"/>
  <c r="AD251" i="15"/>
  <c r="AE246" i="15"/>
  <c r="AC244" i="15"/>
  <c r="AD239" i="15"/>
  <c r="AB238" i="15"/>
  <c r="AD235" i="15"/>
  <c r="AC232" i="15"/>
  <c r="AE229" i="15"/>
  <c r="AC228" i="15"/>
  <c r="AB225" i="15"/>
  <c r="AD222" i="15"/>
  <c r="AB221" i="15"/>
  <c r="AC215" i="15"/>
  <c r="AE212" i="15"/>
  <c r="AB208" i="15"/>
  <c r="AD205" i="15"/>
  <c r="AE200" i="15"/>
  <c r="AE199" i="15"/>
  <c r="AB196" i="15"/>
  <c r="AE195" i="15"/>
  <c r="AB194" i="15"/>
  <c r="AD192" i="15"/>
  <c r="AC189" i="15"/>
  <c r="AE187" i="15"/>
  <c r="AB186" i="15"/>
  <c r="AD184" i="15"/>
  <c r="AC181" i="15"/>
  <c r="AE179" i="15"/>
  <c r="AB178" i="15"/>
  <c r="AD176" i="15"/>
  <c r="AC173" i="15"/>
  <c r="AE171" i="15"/>
  <c r="AB170" i="15"/>
  <c r="AD168" i="15"/>
  <c r="AC165" i="15"/>
  <c r="AE163" i="15"/>
  <c r="AB162" i="15"/>
  <c r="AD160" i="15"/>
  <c r="AC157" i="15"/>
  <c r="AE155" i="15"/>
  <c r="AB154" i="15"/>
  <c r="AD152" i="15"/>
  <c r="AC149" i="15"/>
  <c r="AE147" i="15"/>
  <c r="AB146" i="15"/>
  <c r="AB326" i="15"/>
  <c r="AE302" i="15"/>
  <c r="AD295" i="15"/>
  <c r="AC288" i="15"/>
  <c r="AB281" i="15"/>
  <c r="AE270" i="15"/>
  <c r="AD263" i="15"/>
  <c r="AE253" i="15"/>
  <c r="AD246" i="15"/>
  <c r="AC239" i="15"/>
  <c r="AE236" i="15"/>
  <c r="AB232" i="15"/>
  <c r="AD229" i="15"/>
  <c r="AC222" i="15"/>
  <c r="AE219" i="15"/>
  <c r="AB215" i="15"/>
  <c r="AD212" i="15"/>
  <c r="AE206" i="15"/>
  <c r="AC205" i="15"/>
  <c r="AE202" i="15"/>
  <c r="AC200" i="15"/>
  <c r="AD199" i="15"/>
  <c r="AE198" i="15"/>
  <c r="AD195" i="15"/>
  <c r="AC192" i="15"/>
  <c r="AE190" i="15"/>
  <c r="AB189" i="15"/>
  <c r="AD187" i="15"/>
  <c r="AC184" i="15"/>
  <c r="AE182" i="15"/>
  <c r="AB181" i="15"/>
  <c r="AD179" i="15"/>
  <c r="AC176" i="15"/>
  <c r="AE174" i="15"/>
  <c r="AB173" i="15"/>
  <c r="AD171" i="15"/>
  <c r="AC168" i="15"/>
  <c r="AE166" i="15"/>
  <c r="AB165" i="15"/>
  <c r="AD163" i="15"/>
  <c r="AC160" i="15"/>
  <c r="AE158" i="15"/>
  <c r="AB157" i="15"/>
  <c r="AD155" i="15"/>
  <c r="AC152" i="15"/>
  <c r="AE150" i="15"/>
  <c r="AB149" i="15"/>
  <c r="AD147" i="15"/>
  <c r="AB325" i="15"/>
  <c r="AE298" i="15"/>
  <c r="AD291" i="15"/>
  <c r="AC284" i="15"/>
  <c r="AB277" i="15"/>
  <c r="AE266" i="15"/>
  <c r="AC260" i="15"/>
  <c r="AD255" i="15"/>
  <c r="AB253" i="15"/>
  <c r="AC248" i="15"/>
  <c r="AB241" i="15"/>
  <c r="AB239" i="15"/>
  <c r="AD236" i="15"/>
  <c r="AE230" i="15"/>
  <c r="AC229" i="15"/>
  <c r="AE226" i="15"/>
  <c r="AD223" i="15"/>
  <c r="AB222" i="15"/>
  <c r="AD219" i="15"/>
  <c r="AC216" i="15"/>
  <c r="AE213" i="15"/>
  <c r="AC212" i="15"/>
  <c r="AB209" i="15"/>
  <c r="AD206" i="15"/>
  <c r="AB205" i="15"/>
  <c r="AB200" i="15"/>
  <c r="AC199" i="15"/>
  <c r="AD198" i="15"/>
  <c r="AE197" i="15"/>
  <c r="AC195" i="15"/>
  <c r="AE193" i="15"/>
  <c r="AB192" i="15"/>
  <c r="AD190" i="15"/>
  <c r="AC187" i="15"/>
  <c r="AE185" i="15"/>
  <c r="AB184" i="15"/>
  <c r="AD182" i="15"/>
  <c r="AC179" i="15"/>
  <c r="AC324" i="15"/>
  <c r="AB317" i="15"/>
  <c r="AB305" i="15"/>
  <c r="AE294" i="15"/>
  <c r="AD287" i="15"/>
  <c r="AC280" i="15"/>
  <c r="AB273" i="15"/>
  <c r="AE262" i="15"/>
  <c r="AC255" i="15"/>
  <c r="AE250" i="15"/>
  <c r="AB248" i="15"/>
  <c r="AD243" i="15"/>
  <c r="AE237" i="15"/>
  <c r="AC236" i="15"/>
  <c r="AB233" i="15"/>
  <c r="AD230" i="15"/>
  <c r="AB229" i="15"/>
  <c r="AC223" i="15"/>
  <c r="AE220" i="15"/>
  <c r="AB216" i="15"/>
  <c r="AD213" i="15"/>
  <c r="AC206" i="15"/>
  <c r="AE203" i="15"/>
  <c r="AB199" i="15"/>
  <c r="AC198" i="15"/>
  <c r="AD197" i="15"/>
  <c r="AB195" i="15"/>
  <c r="AD193" i="15"/>
  <c r="AC190" i="15"/>
  <c r="AE188" i="15"/>
  <c r="AB187" i="15"/>
  <c r="AD185" i="15"/>
  <c r="AC182" i="15"/>
  <c r="AE180" i="15"/>
  <c r="AB179" i="15"/>
  <c r="AD323" i="15"/>
  <c r="AC316" i="15"/>
  <c r="AB309" i="15"/>
  <c r="AB301" i="15"/>
  <c r="AE290" i="15"/>
  <c r="AD283" i="15"/>
  <c r="AC276" i="15"/>
  <c r="AB269" i="15"/>
  <c r="AB257" i="15"/>
  <c r="AE245" i="15"/>
  <c r="AD237" i="15"/>
  <c r="AC230" i="15"/>
  <c r="AE227" i="15"/>
  <c r="AB223" i="15"/>
  <c r="AD220" i="15"/>
  <c r="AE214" i="15"/>
  <c r="AC213" i="15"/>
  <c r="AE210" i="15"/>
  <c r="AD207" i="15"/>
  <c r="AB206" i="15"/>
  <c r="AD203" i="15"/>
  <c r="AB198" i="15"/>
  <c r="AC197" i="15"/>
  <c r="AC193" i="15"/>
  <c r="AE191" i="15"/>
  <c r="AB190" i="15"/>
  <c r="AD188" i="15"/>
  <c r="AC185" i="15"/>
  <c r="AE183" i="15"/>
  <c r="AB182" i="15"/>
  <c r="AD180" i="15"/>
  <c r="AC177" i="15"/>
  <c r="AE175" i="15"/>
  <c r="AB174" i="15"/>
  <c r="AD172" i="15"/>
  <c r="AC169" i="15"/>
  <c r="AE167" i="15"/>
  <c r="AB166" i="15"/>
  <c r="AD164" i="15"/>
  <c r="AC161" i="15"/>
  <c r="AE322" i="15"/>
  <c r="AD315" i="15"/>
  <c r="AC308" i="15"/>
  <c r="AC304" i="15"/>
  <c r="AB297" i="15"/>
  <c r="AE286" i="15"/>
  <c r="AD279" i="15"/>
  <c r="AC272" i="15"/>
  <c r="AB265" i="15"/>
  <c r="AD259" i="15"/>
  <c r="AE254" i="15"/>
  <c r="AC252" i="15"/>
  <c r="AD247" i="15"/>
  <c r="AB245" i="15"/>
  <c r="AC240" i="15"/>
  <c r="AE238" i="15"/>
  <c r="AC237" i="15"/>
  <c r="AE234" i="15"/>
  <c r="AD231" i="15"/>
  <c r="AB230" i="15"/>
  <c r="AD227" i="15"/>
  <c r="AC224" i="15"/>
  <c r="AE221" i="15"/>
  <c r="AC220" i="15"/>
  <c r="AB217" i="15"/>
  <c r="AD214" i="15"/>
  <c r="AB213" i="15"/>
  <c r="AC207" i="15"/>
  <c r="AE204" i="15"/>
  <c r="AB197" i="15"/>
  <c r="AE196" i="15"/>
  <c r="AE194" i="15"/>
  <c r="AB193" i="15"/>
  <c r="AD191" i="15"/>
  <c r="AC188" i="15"/>
  <c r="AE186" i="15"/>
  <c r="AB185" i="15"/>
  <c r="AD183" i="15"/>
  <c r="AC180" i="15"/>
  <c r="AE178" i="15"/>
  <c r="AB177" i="15"/>
  <c r="AD175" i="15"/>
  <c r="AC172" i="15"/>
  <c r="AE170" i="15"/>
  <c r="AB169" i="15"/>
  <c r="AD167" i="15"/>
  <c r="AC164" i="15"/>
  <c r="AE162" i="15"/>
  <c r="AB161" i="15"/>
  <c r="AE314" i="15"/>
  <c r="AD307" i="15"/>
  <c r="AC300" i="15"/>
  <c r="AB293" i="15"/>
  <c r="AE282" i="15"/>
  <c r="AD275" i="15"/>
  <c r="AC268" i="15"/>
  <c r="AE261" i="15"/>
  <c r="AD254" i="15"/>
  <c r="AC247" i="15"/>
  <c r="AE242" i="15"/>
  <c r="AB240" i="15"/>
  <c r="AD238" i="15"/>
  <c r="AB237" i="15"/>
  <c r="AC231" i="15"/>
  <c r="AE228" i="15"/>
  <c r="AB224" i="15"/>
  <c r="AD221" i="15"/>
  <c r="AC214" i="15"/>
  <c r="AE211" i="15"/>
  <c r="AB207" i="15"/>
  <c r="AD204" i="15"/>
  <c r="AD196" i="15"/>
  <c r="AD194" i="15"/>
  <c r="AC191" i="15"/>
  <c r="AE189" i="15"/>
  <c r="AB188" i="15"/>
  <c r="AD186" i="15"/>
  <c r="AC183" i="15"/>
  <c r="AD303" i="15"/>
  <c r="AC296" i="15"/>
  <c r="AB289" i="15"/>
  <c r="AE278" i="15"/>
  <c r="AD271" i="15"/>
  <c r="AC264" i="15"/>
  <c r="AB261" i="15"/>
  <c r="AC256" i="15"/>
  <c r="AB249" i="15"/>
  <c r="AC238" i="15"/>
  <c r="AE235" i="15"/>
  <c r="AB231" i="15"/>
  <c r="AD228" i="15"/>
  <c r="AE222" i="15"/>
  <c r="AC221" i="15"/>
  <c r="AE218" i="15"/>
  <c r="AD215" i="15"/>
  <c r="AB214" i="15"/>
  <c r="AD211" i="15"/>
  <c r="AC208" i="15"/>
  <c r="AE205" i="15"/>
  <c r="AC204" i="15"/>
  <c r="AB201" i="15"/>
  <c r="AC196" i="15"/>
  <c r="AC194" i="15"/>
  <c r="AE192" i="15"/>
  <c r="AB191" i="15"/>
  <c r="AD189" i="15"/>
  <c r="AC186" i="15"/>
  <c r="AE184" i="15"/>
  <c r="AB183" i="15"/>
  <c r="AD181" i="15"/>
  <c r="AC178" i="15"/>
  <c r="AE176" i="15"/>
  <c r="AB175" i="15"/>
  <c r="AD173" i="15"/>
  <c r="AC170" i="15"/>
  <c r="AE168" i="15"/>
  <c r="AB167" i="15"/>
  <c r="AD165" i="15"/>
  <c r="AC162" i="15"/>
  <c r="AE160" i="15"/>
  <c r="AB159" i="15"/>
  <c r="AD157" i="15"/>
  <c r="AC154" i="15"/>
  <c r="AE152" i="15"/>
  <c r="AB151" i="15"/>
  <c r="AD149" i="15"/>
  <c r="AC146" i="15"/>
  <c r="AD178" i="15"/>
  <c r="AE169" i="15"/>
  <c r="AC166" i="15"/>
  <c r="AD162" i="15"/>
  <c r="AE157" i="15"/>
  <c r="AC155" i="15"/>
  <c r="AD153" i="15"/>
  <c r="AE151" i="15"/>
  <c r="AB150" i="15"/>
  <c r="AB148" i="15"/>
  <c r="AD146" i="15"/>
  <c r="AB144" i="15"/>
  <c r="AD142" i="15"/>
  <c r="AC139" i="15"/>
  <c r="AE137" i="15"/>
  <c r="AB136" i="15"/>
  <c r="AD134" i="15"/>
  <c r="AC131" i="15"/>
  <c r="AE129" i="15"/>
  <c r="AB128" i="15"/>
  <c r="AD126" i="15"/>
  <c r="AC123" i="15"/>
  <c r="AE121" i="15"/>
  <c r="AB120" i="15"/>
  <c r="AD118" i="15"/>
  <c r="AC115" i="15"/>
  <c r="AE113" i="15"/>
  <c r="AB112" i="15"/>
  <c r="AD110" i="15"/>
  <c r="AC107" i="15"/>
  <c r="AE105" i="15"/>
  <c r="AB104" i="15"/>
  <c r="AD102" i="15"/>
  <c r="AC99" i="15"/>
  <c r="AE97" i="15"/>
  <c r="AB96" i="15"/>
  <c r="AD94" i="15"/>
  <c r="AC91" i="15"/>
  <c r="AE89" i="15"/>
  <c r="AB88" i="15"/>
  <c r="AD86" i="15"/>
  <c r="AC83" i="15"/>
  <c r="AE81" i="15"/>
  <c r="AB80" i="15"/>
  <c r="AD78" i="15"/>
  <c r="AC75" i="15"/>
  <c r="AE73" i="15"/>
  <c r="AC72" i="15"/>
  <c r="AE69" i="15"/>
  <c r="AC68" i="15"/>
  <c r="AE65" i="15"/>
  <c r="AC64" i="15"/>
  <c r="AC61" i="15"/>
  <c r="AE59" i="15"/>
  <c r="AB58" i="15"/>
  <c r="AD56" i="15"/>
  <c r="AD174" i="15"/>
  <c r="AD169" i="15"/>
  <c r="AB168" i="15"/>
  <c r="AC163" i="15"/>
  <c r="AB155" i="15"/>
  <c r="AC153" i="15"/>
  <c r="AD151" i="15"/>
  <c r="AE145" i="15"/>
  <c r="AC142" i="15"/>
  <c r="AE140" i="15"/>
  <c r="AB139" i="15"/>
  <c r="AD137" i="15"/>
  <c r="AC134" i="15"/>
  <c r="AE132" i="15"/>
  <c r="AB131" i="15"/>
  <c r="AD129" i="15"/>
  <c r="AC126" i="15"/>
  <c r="AE124" i="15"/>
  <c r="AB123" i="15"/>
  <c r="AD121" i="15"/>
  <c r="AC118" i="15"/>
  <c r="AE116" i="15"/>
  <c r="AB115" i="15"/>
  <c r="AD113" i="15"/>
  <c r="AC110" i="15"/>
  <c r="AE108" i="15"/>
  <c r="AB107" i="15"/>
  <c r="AD105" i="15"/>
  <c r="AC102" i="15"/>
  <c r="AE100" i="15"/>
  <c r="AB99" i="15"/>
  <c r="AD97" i="15"/>
  <c r="AC94" i="15"/>
  <c r="AE92" i="15"/>
  <c r="AB91" i="15"/>
  <c r="AD89" i="15"/>
  <c r="AC86" i="15"/>
  <c r="AE84" i="15"/>
  <c r="AB83" i="15"/>
  <c r="AD81" i="15"/>
  <c r="AC78" i="15"/>
  <c r="AE76" i="15"/>
  <c r="AB75" i="15"/>
  <c r="AD73" i="15"/>
  <c r="AB72" i="15"/>
  <c r="AD69" i="15"/>
  <c r="AB68" i="15"/>
  <c r="AD65" i="15"/>
  <c r="AB64" i="15"/>
  <c r="AE62" i="15"/>
  <c r="AB61" i="15"/>
  <c r="AD59" i="15"/>
  <c r="AC56" i="15"/>
  <c r="AB180" i="15"/>
  <c r="AC175" i="15"/>
  <c r="AC174" i="15"/>
  <c r="AB163" i="15"/>
  <c r="AB153" i="15"/>
  <c r="AC151" i="15"/>
  <c r="AE149" i="15"/>
  <c r="AC147" i="15"/>
  <c r="AD145" i="15"/>
  <c r="AE143" i="15"/>
  <c r="AB142" i="15"/>
  <c r="AD140" i="15"/>
  <c r="AC137" i="15"/>
  <c r="AE135" i="15"/>
  <c r="AB134" i="15"/>
  <c r="AD132" i="15"/>
  <c r="AC129" i="15"/>
  <c r="AE127" i="15"/>
  <c r="AB126" i="15"/>
  <c r="AD124" i="15"/>
  <c r="AC121" i="15"/>
  <c r="AE119" i="15"/>
  <c r="AB118" i="15"/>
  <c r="AD116" i="15"/>
  <c r="AC113" i="15"/>
  <c r="AE111" i="15"/>
  <c r="AB110" i="15"/>
  <c r="AD108" i="15"/>
  <c r="AC171" i="15"/>
  <c r="AE164" i="15"/>
  <c r="AD158" i="15"/>
  <c r="AE156" i="15"/>
  <c r="AB147" i="15"/>
  <c r="AC145" i="15"/>
  <c r="AD143" i="15"/>
  <c r="AC140" i="15"/>
  <c r="AE138" i="15"/>
  <c r="AB137" i="15"/>
  <c r="AD135" i="15"/>
  <c r="AC132" i="15"/>
  <c r="AE130" i="15"/>
  <c r="AB129" i="15"/>
  <c r="AD127" i="15"/>
  <c r="AC124" i="15"/>
  <c r="AE122" i="15"/>
  <c r="AB121" i="15"/>
  <c r="AD119" i="15"/>
  <c r="AC116" i="15"/>
  <c r="AE114" i="15"/>
  <c r="AB113" i="15"/>
  <c r="AD111" i="15"/>
  <c r="AC108" i="15"/>
  <c r="AE106" i="15"/>
  <c r="AB105" i="15"/>
  <c r="AE177" i="15"/>
  <c r="AB176" i="15"/>
  <c r="AB171" i="15"/>
  <c r="AD170" i="15"/>
  <c r="AE165" i="15"/>
  <c r="AB164" i="15"/>
  <c r="AE161" i="15"/>
  <c r="AB160" i="15"/>
  <c r="AC158" i="15"/>
  <c r="AD156" i="15"/>
  <c r="AB145" i="15"/>
  <c r="AC143" i="15"/>
  <c r="AE141" i="15"/>
  <c r="AB140" i="15"/>
  <c r="AD138" i="15"/>
  <c r="AC135" i="15"/>
  <c r="AE133" i="15"/>
  <c r="AB132" i="15"/>
  <c r="AD130" i="15"/>
  <c r="AC127" i="15"/>
  <c r="AE125" i="15"/>
  <c r="AB124" i="15"/>
  <c r="AD122" i="15"/>
  <c r="AC119" i="15"/>
  <c r="AE117" i="15"/>
  <c r="AB116" i="15"/>
  <c r="AD114" i="15"/>
  <c r="AC111" i="15"/>
  <c r="AE109" i="15"/>
  <c r="AB108" i="15"/>
  <c r="AD106" i="15"/>
  <c r="AC103" i="15"/>
  <c r="AE101" i="15"/>
  <c r="AB100" i="15"/>
  <c r="AD98" i="15"/>
  <c r="AC95" i="15"/>
  <c r="AE93" i="15"/>
  <c r="AB92" i="15"/>
  <c r="AD90" i="15"/>
  <c r="AC87" i="15"/>
  <c r="AE85" i="15"/>
  <c r="AB84" i="15"/>
  <c r="AD82" i="15"/>
  <c r="AC79" i="15"/>
  <c r="AD177" i="15"/>
  <c r="AE172" i="15"/>
  <c r="AD161" i="15"/>
  <c r="AE159" i="15"/>
  <c r="AB158" i="15"/>
  <c r="AC156" i="15"/>
  <c r="AE154" i="15"/>
  <c r="AE148" i="15"/>
  <c r="AE144" i="15"/>
  <c r="AB143" i="15"/>
  <c r="AD141" i="15"/>
  <c r="AC138" i="15"/>
  <c r="AE136" i="15"/>
  <c r="AB135" i="15"/>
  <c r="AD133" i="15"/>
  <c r="AC130" i="15"/>
  <c r="AE128" i="15"/>
  <c r="AB127" i="15"/>
  <c r="AD125" i="15"/>
  <c r="AC122" i="15"/>
  <c r="AE120" i="15"/>
  <c r="AB119" i="15"/>
  <c r="AD117" i="15"/>
  <c r="AC114" i="15"/>
  <c r="AE112" i="15"/>
  <c r="AB111" i="15"/>
  <c r="AD109" i="15"/>
  <c r="AC106" i="15"/>
  <c r="AE104" i="15"/>
  <c r="AB103" i="15"/>
  <c r="AD101" i="15"/>
  <c r="AC98" i="15"/>
  <c r="AE96" i="15"/>
  <c r="AB95" i="15"/>
  <c r="AD93" i="15"/>
  <c r="AC90" i="15"/>
  <c r="AE88" i="15"/>
  <c r="AB87" i="15"/>
  <c r="AD85" i="15"/>
  <c r="AC82" i="15"/>
  <c r="AE80" i="15"/>
  <c r="AB79" i="15"/>
  <c r="AD77" i="15"/>
  <c r="AE181" i="15"/>
  <c r="AE173" i="15"/>
  <c r="AB172" i="15"/>
  <c r="AD159" i="15"/>
  <c r="AB156" i="15"/>
  <c r="AD154" i="15"/>
  <c r="AB152" i="15"/>
  <c r="AD150" i="15"/>
  <c r="AD148" i="15"/>
  <c r="AD144" i="15"/>
  <c r="AC141" i="15"/>
  <c r="AE139" i="15"/>
  <c r="AB138" i="15"/>
  <c r="AD136" i="15"/>
  <c r="AC133" i="15"/>
  <c r="AE131" i="15"/>
  <c r="AB130" i="15"/>
  <c r="AD128" i="15"/>
  <c r="AC125" i="15"/>
  <c r="AE123" i="15"/>
  <c r="AB122" i="15"/>
  <c r="AD120" i="15"/>
  <c r="AC117" i="15"/>
  <c r="AE115" i="15"/>
  <c r="AB114" i="15"/>
  <c r="AC167" i="15"/>
  <c r="AD166" i="15"/>
  <c r="AC159" i="15"/>
  <c r="AE153" i="15"/>
  <c r="AC150" i="15"/>
  <c r="AC148" i="15"/>
  <c r="AE146" i="15"/>
  <c r="AC144" i="15"/>
  <c r="AE142" i="15"/>
  <c r="AB141" i="15"/>
  <c r="AD139" i="15"/>
  <c r="AC136" i="15"/>
  <c r="AE134" i="15"/>
  <c r="AB133" i="15"/>
  <c r="AD131" i="15"/>
  <c r="AC128" i="15"/>
  <c r="AE126" i="15"/>
  <c r="AB125" i="15"/>
  <c r="AD123" i="15"/>
  <c r="AC120" i="15"/>
  <c r="AE118" i="15"/>
  <c r="AB117" i="15"/>
  <c r="AD115" i="15"/>
  <c r="AC112" i="15"/>
  <c r="AE110" i="15"/>
  <c r="AB109" i="15"/>
  <c r="AD107" i="15"/>
  <c r="AC104" i="15"/>
  <c r="AE102" i="15"/>
  <c r="AB101" i="15"/>
  <c r="AD99" i="15"/>
  <c r="AC96" i="15"/>
  <c r="AE94" i="15"/>
  <c r="AB93" i="15"/>
  <c r="AD91" i="15"/>
  <c r="AC88" i="15"/>
  <c r="AE86" i="15"/>
  <c r="AB85" i="15"/>
  <c r="AD83" i="15"/>
  <c r="AC80" i="15"/>
  <c r="AE78" i="15"/>
  <c r="AB77" i="15"/>
  <c r="AD75" i="15"/>
  <c r="AD72" i="15"/>
  <c r="AB71" i="15"/>
  <c r="AD68" i="15"/>
  <c r="AB67" i="15"/>
  <c r="AD64" i="15"/>
  <c r="AB63" i="15"/>
  <c r="AD61" i="15"/>
  <c r="AC58" i="15"/>
  <c r="AE56" i="15"/>
  <c r="AE53" i="15"/>
  <c r="AC54" i="15"/>
  <c r="AE58" i="15"/>
  <c r="AC65" i="15"/>
  <c r="AE68" i="15"/>
  <c r="AD74" i="15"/>
  <c r="L100" i="15" a="1"/>
  <c r="L100" i="15" s="1"/>
  <c r="L105" i="15" a="1"/>
  <c r="L105" i="15" s="1"/>
  <c r="AB30" i="15"/>
  <c r="AB52" i="15"/>
  <c r="AE54" i="15"/>
  <c r="AC55" i="15"/>
  <c r="AC59" i="15"/>
  <c r="AB60" i="15"/>
  <c r="AD63" i="15"/>
  <c r="AC66" i="15"/>
  <c r="AB69" i="15"/>
  <c r="AE75" i="15"/>
  <c r="AC81" i="15"/>
  <c r="AC84" i="15"/>
  <c r="AC89" i="15"/>
  <c r="AB94" i="15"/>
  <c r="AD96" i="15"/>
  <c r="AB102" i="15"/>
  <c r="AD104" i="15"/>
  <c r="AC52" i="15"/>
  <c r="AD55" i="15"/>
  <c r="AB56" i="15"/>
  <c r="AC60" i="15"/>
  <c r="AE63" i="15"/>
  <c r="AD66" i="15"/>
  <c r="AC69" i="15"/>
  <c r="AE72" i="15"/>
  <c r="AB76" i="15"/>
  <c r="AD84" i="15"/>
  <c r="AD87" i="15"/>
  <c r="AE91" i="15"/>
  <c r="AE99" i="15"/>
  <c r="AE66" i="15"/>
  <c r="AC67" i="15"/>
  <c r="AB70" i="15"/>
  <c r="AC76" i="15"/>
  <c r="AC77" i="15"/>
  <c r="AD79" i="15"/>
  <c r="AB82" i="15"/>
  <c r="AE87" i="15"/>
  <c r="AC93" i="15"/>
  <c r="K96" i="15" a="1"/>
  <c r="K96" i="15" s="1"/>
  <c r="AC101" i="15"/>
  <c r="K104" i="15" a="1"/>
  <c r="K104" i="15" s="1"/>
  <c r="AD112" i="15"/>
  <c r="AB35" i="15"/>
  <c r="AE52" i="15"/>
  <c r="AB53" i="15"/>
  <c r="AC57" i="15"/>
  <c r="AE60" i="15"/>
  <c r="AE64" i="15"/>
  <c r="AD67" i="15"/>
  <c r="AC70" i="15"/>
  <c r="AB73" i="15"/>
  <c r="AD76" i="15"/>
  <c r="AE77" i="15"/>
  <c r="AE79" i="15"/>
  <c r="AE82" i="15"/>
  <c r="K84" i="15" a="1"/>
  <c r="K84" i="15" s="1"/>
  <c r="AC85" i="15"/>
  <c r="K87" i="15" a="1"/>
  <c r="K87" i="15" s="1"/>
  <c r="AC92" i="15"/>
  <c r="AC100" i="15"/>
  <c r="AC105" i="15"/>
  <c r="AB106" i="15"/>
  <c r="K112" i="15" a="1"/>
  <c r="K112" i="15" s="1"/>
  <c r="H182" i="15" a="1"/>
  <c r="H182" i="15" s="1"/>
  <c r="H169" i="15" a="1"/>
  <c r="H169" i="15" s="1"/>
  <c r="H157" i="15" a="1"/>
  <c r="H157" i="15" s="1"/>
  <c r="H95" i="15" a="1"/>
  <c r="H95" i="15" s="1"/>
  <c r="H138" i="15" a="1"/>
  <c r="H138" i="15" s="1"/>
  <c r="H125" i="15" a="1"/>
  <c r="H125" i="15" s="1"/>
  <c r="H175" i="15" a="1"/>
  <c r="H175" i="15" s="1"/>
  <c r="Y23" i="15"/>
  <c r="H26" i="15" a="1"/>
  <c r="H26" i="15" s="1"/>
  <c r="AC53" i="15"/>
  <c r="AD57" i="15"/>
  <c r="AE61" i="15"/>
  <c r="AE67" i="15"/>
  <c r="AD70" i="15"/>
  <c r="AC73" i="15"/>
  <c r="AB74" i="15"/>
  <c r="AD88" i="15"/>
  <c r="AB90" i="15"/>
  <c r="AD92" i="15"/>
  <c r="AB98" i="15"/>
  <c r="AD100" i="15"/>
  <c r="AB20" i="8"/>
  <c r="AL20" i="8" s="1"/>
  <c r="AB19" i="8"/>
  <c r="AL19" i="8" s="1"/>
  <c r="AB26" i="8"/>
  <c r="AL26" i="8" s="1"/>
  <c r="AB28" i="8"/>
  <c r="AL28" i="8" s="1"/>
  <c r="J60" i="15" a="1"/>
  <c r="H57" i="15" a="1"/>
  <c r="L56" i="15" a="1"/>
  <c r="L57" i="15" a="1"/>
  <c r="H58" i="15" a="1"/>
  <c r="L89" i="15" a="1"/>
  <c r="K108" i="15" a="1"/>
  <c r="L90" i="15" a="1"/>
  <c r="J90" i="15" a="1"/>
  <c r="K109" i="15" a="1"/>
  <c r="L91" i="15" a="1"/>
  <c r="H92" i="15" a="1"/>
  <c r="K79" i="15" a="1"/>
  <c r="J68" i="15" a="1"/>
  <c r="J103" i="17" a="1"/>
  <c r="J105" i="17" a="1"/>
  <c r="H101" i="17" a="1"/>
  <c r="J99" i="17" a="1"/>
  <c r="AI67" i="15" l="1"/>
  <c r="AI75" i="15"/>
  <c r="AI83" i="15"/>
  <c r="AI91" i="15"/>
  <c r="AI99" i="15"/>
  <c r="AI107" i="15"/>
  <c r="AI115" i="15"/>
  <c r="AI123" i="15"/>
  <c r="AI131" i="15"/>
  <c r="AI139" i="15"/>
  <c r="AI147" i="15"/>
  <c r="AI155" i="15"/>
  <c r="AI163" i="15"/>
  <c r="AI171" i="15"/>
  <c r="AI179" i="15"/>
  <c r="AI187" i="15"/>
  <c r="AI195" i="15"/>
  <c r="AI203" i="15"/>
  <c r="AI211" i="15"/>
  <c r="AI219" i="15"/>
  <c r="AI227" i="15"/>
  <c r="AI235" i="15"/>
  <c r="AI243" i="15"/>
  <c r="AI251" i="15"/>
  <c r="AI259" i="15"/>
  <c r="AI267" i="15"/>
  <c r="AI275" i="15"/>
  <c r="AI283" i="15"/>
  <c r="AI291" i="15"/>
  <c r="AI299" i="15"/>
  <c r="AI307" i="15"/>
  <c r="AI315" i="15"/>
  <c r="AI323" i="15"/>
  <c r="AI331" i="15"/>
  <c r="AI339" i="15"/>
  <c r="AI347" i="15"/>
  <c r="AI355" i="15"/>
  <c r="AI363" i="15"/>
  <c r="AI371" i="15"/>
  <c r="AI379" i="15"/>
  <c r="AI387" i="15"/>
  <c r="AI395" i="15"/>
  <c r="AI403" i="15"/>
  <c r="AI411" i="15"/>
  <c r="AI419" i="15"/>
  <c r="AI427" i="15"/>
  <c r="AI435" i="15"/>
  <c r="AI443" i="15"/>
  <c r="AI451" i="15"/>
  <c r="AI459" i="15"/>
  <c r="AI467" i="15"/>
  <c r="AI475" i="15"/>
  <c r="AI483" i="15"/>
  <c r="AI491" i="15"/>
  <c r="AI499" i="15"/>
  <c r="AI507" i="15"/>
  <c r="AI515" i="15"/>
  <c r="AI523" i="15"/>
  <c r="AI531" i="15"/>
  <c r="AI539" i="15"/>
  <c r="AI547" i="15"/>
  <c r="AI555" i="15"/>
  <c r="AI563" i="15"/>
  <c r="AI571" i="15"/>
  <c r="AI579" i="15"/>
  <c r="AI587" i="15"/>
  <c r="AI595" i="15"/>
  <c r="AI603" i="15"/>
  <c r="AI611" i="15"/>
  <c r="AI619" i="15"/>
  <c r="AI627" i="15"/>
  <c r="AI635" i="15"/>
  <c r="AI643" i="15"/>
  <c r="AI651" i="15"/>
  <c r="AI659" i="15"/>
  <c r="AI667" i="15"/>
  <c r="AI675" i="15"/>
  <c r="AI683" i="15"/>
  <c r="AI691" i="15"/>
  <c r="AI699" i="15"/>
  <c r="AI707" i="15"/>
  <c r="AI715" i="15"/>
  <c r="AI723" i="15"/>
  <c r="AI731" i="15"/>
  <c r="AI108" i="15"/>
  <c r="AI156" i="15"/>
  <c r="AI172" i="15"/>
  <c r="AI204" i="15"/>
  <c r="AI220" i="15"/>
  <c r="AI228" i="15"/>
  <c r="AI236" i="15"/>
  <c r="AI252" i="15"/>
  <c r="AI268" i="15"/>
  <c r="AI276" i="15"/>
  <c r="AI284" i="15"/>
  <c r="AI292" i="15"/>
  <c r="AI300" i="15"/>
  <c r="AI348" i="15"/>
  <c r="AI364" i="15"/>
  <c r="AI396" i="15"/>
  <c r="AI412" i="15"/>
  <c r="AI420" i="15"/>
  <c r="AI428" i="15"/>
  <c r="AI444" i="15"/>
  <c r="AI460" i="15"/>
  <c r="AI468" i="15"/>
  <c r="AI476" i="15"/>
  <c r="AI484" i="15"/>
  <c r="AI492" i="15"/>
  <c r="AI508" i="15"/>
  <c r="AI516" i="15"/>
  <c r="AI524" i="15"/>
  <c r="AI532" i="15"/>
  <c r="AI540" i="15"/>
  <c r="AI548" i="15"/>
  <c r="AI556" i="15"/>
  <c r="AI93" i="15"/>
  <c r="AI109" i="15"/>
  <c r="AI141" i="15"/>
  <c r="AI157" i="15"/>
  <c r="AI165" i="15"/>
  <c r="AI173" i="15"/>
  <c r="AI189" i="15"/>
  <c r="AI205" i="15"/>
  <c r="AI213" i="15"/>
  <c r="AI221" i="15"/>
  <c r="AI229" i="15"/>
  <c r="AI237" i="15"/>
  <c r="AI78" i="15"/>
  <c r="AI63" i="15"/>
  <c r="AI79" i="15"/>
  <c r="AI87" i="15"/>
  <c r="AI95" i="15"/>
  <c r="AI103" i="15"/>
  <c r="AI111" i="15"/>
  <c r="AI127" i="15"/>
  <c r="AI135" i="15"/>
  <c r="AI143" i="15"/>
  <c r="AI151" i="15"/>
  <c r="AI159" i="15"/>
  <c r="AI167" i="15"/>
  <c r="AI175" i="15"/>
  <c r="AI183" i="15"/>
  <c r="AI191" i="15"/>
  <c r="AI199" i="15"/>
  <c r="AI207" i="15"/>
  <c r="AI215" i="15"/>
  <c r="AI223" i="15"/>
  <c r="AI231" i="15"/>
  <c r="AI96" i="15"/>
  <c r="AI112" i="15"/>
  <c r="AI144" i="15"/>
  <c r="AI160" i="15"/>
  <c r="AI168" i="15"/>
  <c r="AI176" i="15"/>
  <c r="AI192" i="15"/>
  <c r="AI208" i="15"/>
  <c r="AI216" i="15"/>
  <c r="AI81" i="15"/>
  <c r="AI97" i="15"/>
  <c r="AI105" i="15"/>
  <c r="AI113" i="15"/>
  <c r="AI129" i="15"/>
  <c r="AI145" i="15"/>
  <c r="AI153" i="15"/>
  <c r="AI161" i="15"/>
  <c r="AI169" i="15"/>
  <c r="AI177" i="15"/>
  <c r="AI193" i="15"/>
  <c r="AI201" i="15"/>
  <c r="AI209" i="15"/>
  <c r="AI217" i="15"/>
  <c r="AI225" i="15"/>
  <c r="AI233" i="15"/>
  <c r="AI241" i="15"/>
  <c r="AI249" i="15"/>
  <c r="AI257" i="15"/>
  <c r="AI265" i="15"/>
  <c r="AI273" i="15"/>
  <c r="AI281" i="15"/>
  <c r="AI289" i="15"/>
  <c r="AI297" i="15"/>
  <c r="AI305" i="15"/>
  <c r="AI321" i="15"/>
  <c r="AI337" i="15"/>
  <c r="AI345" i="15"/>
  <c r="AI353" i="15"/>
  <c r="AI361" i="15"/>
  <c r="AI369" i="15"/>
  <c r="AI385" i="15"/>
  <c r="AI393" i="15"/>
  <c r="AI401" i="15"/>
  <c r="AI409" i="15"/>
  <c r="AI417" i="15"/>
  <c r="AI425" i="15"/>
  <c r="AI433" i="15"/>
  <c r="AI441" i="15"/>
  <c r="AI449" i="15"/>
  <c r="AI457" i="15"/>
  <c r="AI465" i="15"/>
  <c r="AI473" i="15"/>
  <c r="AI481" i="15"/>
  <c r="AI489" i="15"/>
  <c r="AI497" i="15"/>
  <c r="AI505" i="15"/>
  <c r="AI98" i="15"/>
  <c r="AI178" i="15"/>
  <c r="AI190" i="15"/>
  <c r="AI210" i="15"/>
  <c r="AI232" i="15"/>
  <c r="AI246" i="15"/>
  <c r="AI258" i="15"/>
  <c r="AI270" i="15"/>
  <c r="AI282" i="15"/>
  <c r="AI295" i="15"/>
  <c r="AI327" i="15"/>
  <c r="AI336" i="15"/>
  <c r="AI349" i="15"/>
  <c r="AI359" i="15"/>
  <c r="AI381" i="15"/>
  <c r="AI391" i="15"/>
  <c r="AI415" i="15"/>
  <c r="AI429" i="15"/>
  <c r="AI439" i="15"/>
  <c r="AI463" i="15"/>
  <c r="AI477" i="15"/>
  <c r="AI488" i="15"/>
  <c r="AI501" i="15"/>
  <c r="AI512" i="15"/>
  <c r="AI522" i="15"/>
  <c r="AI534" i="15"/>
  <c r="AI544" i="15"/>
  <c r="AI554" i="15"/>
  <c r="AI574" i="15"/>
  <c r="AI583" i="15"/>
  <c r="AI592" i="15"/>
  <c r="AI601" i="15"/>
  <c r="AI610" i="15"/>
  <c r="AI620" i="15"/>
  <c r="AI638" i="15"/>
  <c r="AI647" i="15"/>
  <c r="AI656" i="15"/>
  <c r="AI665" i="15"/>
  <c r="AI674" i="15"/>
  <c r="AI684" i="15"/>
  <c r="AI693" i="15"/>
  <c r="AI702" i="15"/>
  <c r="AI711" i="15"/>
  <c r="AI720" i="15"/>
  <c r="AI729" i="15"/>
  <c r="AI738" i="15"/>
  <c r="AI746" i="15"/>
  <c r="AI754" i="15"/>
  <c r="AI762" i="15"/>
  <c r="AI770" i="15"/>
  <c r="AI778" i="15"/>
  <c r="AI786" i="15"/>
  <c r="AI794" i="15"/>
  <c r="AI802" i="15"/>
  <c r="AI810" i="15"/>
  <c r="AI818" i="15"/>
  <c r="AI826" i="15"/>
  <c r="AI834" i="15"/>
  <c r="AI842" i="15"/>
  <c r="AI850" i="15"/>
  <c r="AI858" i="15"/>
  <c r="AI866" i="15"/>
  <c r="AI874" i="15"/>
  <c r="AI882" i="15"/>
  <c r="AI890" i="15"/>
  <c r="AI898" i="15"/>
  <c r="AI906" i="15"/>
  <c r="AI914" i="15"/>
  <c r="AI922" i="15"/>
  <c r="AI930" i="15"/>
  <c r="AI938" i="15"/>
  <c r="AI946" i="15"/>
  <c r="AI954" i="15"/>
  <c r="AI962" i="15"/>
  <c r="AI970" i="15"/>
  <c r="AI978" i="15"/>
  <c r="AI986" i="15"/>
  <c r="AI994" i="15"/>
  <c r="AI1002" i="15"/>
  <c r="AI1010" i="15"/>
  <c r="AI1018" i="15"/>
  <c r="AI1026" i="15"/>
  <c r="AI1034" i="15"/>
  <c r="AI1042" i="15"/>
  <c r="AI1050" i="15"/>
  <c r="AI1058" i="15"/>
  <c r="AI1066" i="15"/>
  <c r="AI1074" i="15"/>
  <c r="AI126" i="15"/>
  <c r="AI138" i="15"/>
  <c r="AI154" i="15"/>
  <c r="AI194" i="15"/>
  <c r="AI234" i="15"/>
  <c r="AI247" i="15"/>
  <c r="AI271" i="15"/>
  <c r="AI285" i="15"/>
  <c r="AI296" i="15"/>
  <c r="AI318" i="15"/>
  <c r="AI338" i="15"/>
  <c r="AI350" i="15"/>
  <c r="AI360" i="15"/>
  <c r="AI382" i="15"/>
  <c r="AI405" i="15"/>
  <c r="AI416" i="15"/>
  <c r="AI430" i="15"/>
  <c r="AI453" i="15"/>
  <c r="AI464" i="15"/>
  <c r="AI478" i="15"/>
  <c r="AI490" i="15"/>
  <c r="AI502" i="15"/>
  <c r="AI513" i="15"/>
  <c r="AI525" i="15"/>
  <c r="AI535" i="15"/>
  <c r="AI545" i="15"/>
  <c r="AI557" i="15"/>
  <c r="AI575" i="15"/>
  <c r="AI593" i="15"/>
  <c r="AI602" i="15"/>
  <c r="AI612" i="15"/>
  <c r="AI621" i="15"/>
  <c r="AI630" i="15"/>
  <c r="AI639" i="15"/>
  <c r="AI648" i="15"/>
  <c r="AI657" i="15"/>
  <c r="AI666" i="15"/>
  <c r="AI676" i="15"/>
  <c r="AI685" i="15"/>
  <c r="AI694" i="15"/>
  <c r="AI703" i="15"/>
  <c r="AI712" i="15"/>
  <c r="AI721" i="15"/>
  <c r="AI730" i="15"/>
  <c r="AI739" i="15"/>
  <c r="AI747" i="15"/>
  <c r="AI755" i="15"/>
  <c r="AI763" i="15"/>
  <c r="AI771" i="15"/>
  <c r="AI779" i="15"/>
  <c r="AI787" i="15"/>
  <c r="AI795" i="15"/>
  <c r="AI803" i="15"/>
  <c r="AI811" i="15"/>
  <c r="AI819" i="15"/>
  <c r="AI827" i="15"/>
  <c r="AI835" i="15"/>
  <c r="AI843" i="15"/>
  <c r="AI851" i="15"/>
  <c r="AI859" i="15"/>
  <c r="AI867" i="15"/>
  <c r="AI875" i="15"/>
  <c r="AI883" i="15"/>
  <c r="AI891" i="15"/>
  <c r="AI899" i="15"/>
  <c r="AI907" i="15"/>
  <c r="AI915" i="15"/>
  <c r="AI923" i="15"/>
  <c r="AI931" i="15"/>
  <c r="AI939" i="15"/>
  <c r="AI947" i="15"/>
  <c r="AI955" i="15"/>
  <c r="AI963" i="15"/>
  <c r="AI971" i="15"/>
  <c r="AI979" i="15"/>
  <c r="AI987" i="15"/>
  <c r="AI995" i="15"/>
  <c r="AI1003" i="15"/>
  <c r="AI1011" i="15"/>
  <c r="AI1019" i="15"/>
  <c r="AI1027" i="15"/>
  <c r="AI158" i="15"/>
  <c r="AI214" i="15"/>
  <c r="AI238" i="15"/>
  <c r="AI261" i="15"/>
  <c r="AI272" i="15"/>
  <c r="AI286" i="15"/>
  <c r="AI298" i="15"/>
  <c r="AI319" i="15"/>
  <c r="AI351" i="15"/>
  <c r="AI362" i="15"/>
  <c r="AI383" i="15"/>
  <c r="AI394" i="15"/>
  <c r="AI406" i="15"/>
  <c r="AI418" i="15"/>
  <c r="AI431" i="15"/>
  <c r="AI442" i="15"/>
  <c r="AI454" i="15"/>
  <c r="AI466" i="15"/>
  <c r="AI479" i="15"/>
  <c r="AI493" i="15"/>
  <c r="AI503" i="15"/>
  <c r="AI514" i="15"/>
  <c r="AI526" i="15"/>
  <c r="AI536" i="15"/>
  <c r="AI546" i="15"/>
  <c r="AI558" i="15"/>
  <c r="AI567" i="15"/>
  <c r="AI576" i="15"/>
  <c r="AI585" i="15"/>
  <c r="AI594" i="15"/>
  <c r="AI604" i="15"/>
  <c r="AI613" i="15"/>
  <c r="AI622" i="15"/>
  <c r="AI631" i="15"/>
  <c r="AI640" i="15"/>
  <c r="AI649" i="15"/>
  <c r="AI658" i="15"/>
  <c r="AI102" i="15"/>
  <c r="AI130" i="15"/>
  <c r="AI142" i="15"/>
  <c r="AI162" i="15"/>
  <c r="AI218" i="15"/>
  <c r="AI239" i="15"/>
  <c r="AI250" i="15"/>
  <c r="AI262" i="15"/>
  <c r="AI274" i="15"/>
  <c r="AI287" i="15"/>
  <c r="AI301" i="15"/>
  <c r="AI330" i="15"/>
  <c r="AI352" i="15"/>
  <c r="AI365" i="15"/>
  <c r="AI375" i="15"/>
  <c r="AI384" i="15"/>
  <c r="AI397" i="15"/>
  <c r="AI407" i="15"/>
  <c r="AI421" i="15"/>
  <c r="AI432" i="15"/>
  <c r="AI445" i="15"/>
  <c r="AI455" i="15"/>
  <c r="AI469" i="15"/>
  <c r="AI480" i="15"/>
  <c r="AI494" i="15"/>
  <c r="AI504" i="15"/>
  <c r="AI517" i="15"/>
  <c r="AI527" i="15"/>
  <c r="AI537" i="15"/>
  <c r="AI549" i="15"/>
  <c r="AI559" i="15"/>
  <c r="AI577" i="15"/>
  <c r="AI586" i="15"/>
  <c r="AI605" i="15"/>
  <c r="AI614" i="15"/>
  <c r="AI623" i="15"/>
  <c r="AI66" i="15"/>
  <c r="AI146" i="15"/>
  <c r="AI198" i="15"/>
  <c r="AI222" i="15"/>
  <c r="AI240" i="15"/>
  <c r="AI253" i="15"/>
  <c r="AI263" i="15"/>
  <c r="AI277" i="15"/>
  <c r="AI288" i="15"/>
  <c r="AI302" i="15"/>
  <c r="AI322" i="15"/>
  <c r="AI342" i="15"/>
  <c r="AI354" i="15"/>
  <c r="AI366" i="15"/>
  <c r="AI386" i="15"/>
  <c r="AI398" i="15"/>
  <c r="AI408" i="15"/>
  <c r="AI422" i="15"/>
  <c r="AI434" i="15"/>
  <c r="AI446" i="15"/>
  <c r="AI456" i="15"/>
  <c r="AI470" i="15"/>
  <c r="AI482" i="15"/>
  <c r="AI495" i="15"/>
  <c r="AI506" i="15"/>
  <c r="AI518" i="15"/>
  <c r="AI528" i="15"/>
  <c r="AI538" i="15"/>
  <c r="AI550" i="15"/>
  <c r="AI560" i="15"/>
  <c r="AI578" i="15"/>
  <c r="AI588" i="15"/>
  <c r="AI597" i="15"/>
  <c r="AI606" i="15"/>
  <c r="AI615" i="15"/>
  <c r="AI624" i="15"/>
  <c r="AI633" i="15"/>
  <c r="AI642" i="15"/>
  <c r="AI90" i="15"/>
  <c r="AI106" i="15"/>
  <c r="AI166" i="15"/>
  <c r="AI224" i="15"/>
  <c r="AI242" i="15"/>
  <c r="AI254" i="15"/>
  <c r="AI264" i="15"/>
  <c r="AI278" i="15"/>
  <c r="AI290" i="15"/>
  <c r="AI303" i="15"/>
  <c r="AI333" i="15"/>
  <c r="AI343" i="15"/>
  <c r="AI367" i="15"/>
  <c r="AI399" i="15"/>
  <c r="AI410" i="15"/>
  <c r="AI423" i="15"/>
  <c r="AI447" i="15"/>
  <c r="AI110" i="15"/>
  <c r="AI170" i="15"/>
  <c r="AI186" i="15"/>
  <c r="AI202" i="15"/>
  <c r="AI226" i="15"/>
  <c r="AI255" i="15"/>
  <c r="AI266" i="15"/>
  <c r="AI279" i="15"/>
  <c r="AI293" i="15"/>
  <c r="AI304" i="15"/>
  <c r="AI334" i="15"/>
  <c r="AI357" i="15"/>
  <c r="AI368" i="15"/>
  <c r="AI378" i="15"/>
  <c r="AI400" i="15"/>
  <c r="AI413" i="15"/>
  <c r="AI424" i="15"/>
  <c r="AI448" i="15"/>
  <c r="AI461" i="15"/>
  <c r="AI472" i="15"/>
  <c r="AI486" i="15"/>
  <c r="AI498" i="15"/>
  <c r="AI510" i="15"/>
  <c r="AI520" i="15"/>
  <c r="AI530" i="15"/>
  <c r="AI542" i="15"/>
  <c r="AI552" i="15"/>
  <c r="AI562" i="15"/>
  <c r="AI590" i="15"/>
  <c r="AI599" i="15"/>
  <c r="AI608" i="15"/>
  <c r="AI617" i="15"/>
  <c r="AI626" i="15"/>
  <c r="AI636" i="15"/>
  <c r="AI645" i="15"/>
  <c r="AI654" i="15"/>
  <c r="AI663" i="15"/>
  <c r="AI672" i="15"/>
  <c r="AI681" i="15"/>
  <c r="AI690" i="15"/>
  <c r="AI700" i="15"/>
  <c r="AI709" i="15"/>
  <c r="AI718" i="15"/>
  <c r="AI727" i="15"/>
  <c r="AI736" i="15"/>
  <c r="AI744" i="15"/>
  <c r="AI752" i="15"/>
  <c r="AI760" i="15"/>
  <c r="AI768" i="15"/>
  <c r="AI776" i="15"/>
  <c r="AI784" i="15"/>
  <c r="AI792" i="15"/>
  <c r="AI800" i="15"/>
  <c r="AI808" i="15"/>
  <c r="AI816" i="15"/>
  <c r="AI832" i="15"/>
  <c r="AI840" i="15"/>
  <c r="AI848" i="15"/>
  <c r="AI856" i="15"/>
  <c r="AI864" i="15"/>
  <c r="AI872" i="15"/>
  <c r="AI880" i="15"/>
  <c r="AI888" i="15"/>
  <c r="AI896" i="15"/>
  <c r="AI904" i="15"/>
  <c r="AI912" i="15"/>
  <c r="AI920" i="15"/>
  <c r="AI928" i="15"/>
  <c r="AI936" i="15"/>
  <c r="AI944" i="15"/>
  <c r="AI952" i="15"/>
  <c r="AI960" i="15"/>
  <c r="AI968" i="15"/>
  <c r="AI976" i="15"/>
  <c r="AI984" i="15"/>
  <c r="AI992" i="15"/>
  <c r="AI1000" i="15"/>
  <c r="AI1008" i="15"/>
  <c r="AI1016" i="15"/>
  <c r="AI1024" i="15"/>
  <c r="AI1032" i="15"/>
  <c r="AI1040" i="15"/>
  <c r="AI1048" i="15"/>
  <c r="AI1056" i="15"/>
  <c r="AI1064" i="15"/>
  <c r="AI82" i="15"/>
  <c r="AI94" i="15"/>
  <c r="AI114" i="15"/>
  <c r="AI150" i="15"/>
  <c r="AI174" i="15"/>
  <c r="AI206" i="15"/>
  <c r="AI230" i="15"/>
  <c r="AI256" i="15"/>
  <c r="AI269" i="15"/>
  <c r="AI280" i="15"/>
  <c r="AI294" i="15"/>
  <c r="AI306" i="15"/>
  <c r="AI335" i="15"/>
  <c r="AI346" i="15"/>
  <c r="AI358" i="15"/>
  <c r="AI370" i="15"/>
  <c r="AI390" i="15"/>
  <c r="AI402" i="15"/>
  <c r="AI414" i="15"/>
  <c r="AI426" i="15"/>
  <c r="AI438" i="15"/>
  <c r="AI450" i="15"/>
  <c r="AI462" i="15"/>
  <c r="AI474" i="15"/>
  <c r="AI487" i="15"/>
  <c r="AI511" i="15"/>
  <c r="AI521" i="15"/>
  <c r="AI533" i="15"/>
  <c r="AI543" i="15"/>
  <c r="AI553" i="15"/>
  <c r="AI573" i="15"/>
  <c r="AI582" i="15"/>
  <c r="AI591" i="15"/>
  <c r="AI600" i="15"/>
  <c r="AI609" i="15"/>
  <c r="AI618" i="15"/>
  <c r="AI637" i="15"/>
  <c r="AI646" i="15"/>
  <c r="AI655" i="15"/>
  <c r="AI664" i="15"/>
  <c r="AI673" i="15"/>
  <c r="AI682" i="15"/>
  <c r="AI701" i="15"/>
  <c r="AI710" i="15"/>
  <c r="AI719" i="15"/>
  <c r="AI728" i="15"/>
  <c r="AI737" i="15"/>
  <c r="AI745" i="15"/>
  <c r="AI753" i="15"/>
  <c r="AI761" i="15"/>
  <c r="AI769" i="15"/>
  <c r="AI777" i="15"/>
  <c r="AI785" i="15"/>
  <c r="AI793" i="15"/>
  <c r="AI801" i="15"/>
  <c r="AI809" i="15"/>
  <c r="AI817" i="15"/>
  <c r="AI825" i="15"/>
  <c r="AI833" i="15"/>
  <c r="AI841" i="15"/>
  <c r="AI849" i="15"/>
  <c r="AI857" i="15"/>
  <c r="AI865" i="15"/>
  <c r="AI873" i="15"/>
  <c r="AI881" i="15"/>
  <c r="AI889" i="15"/>
  <c r="AI897" i="15"/>
  <c r="AI905" i="15"/>
  <c r="AI913" i="15"/>
  <c r="AI921" i="15"/>
  <c r="AI929" i="15"/>
  <c r="AI937" i="15"/>
  <c r="AI945" i="15"/>
  <c r="AI953" i="15"/>
  <c r="AI961" i="15"/>
  <c r="AI969" i="15"/>
  <c r="AI977" i="15"/>
  <c r="AI985" i="15"/>
  <c r="AI993" i="15"/>
  <c r="AI1001" i="15"/>
  <c r="AI1009" i="15"/>
  <c r="AI1017" i="15"/>
  <c r="AI1025" i="15"/>
  <c r="AI1033" i="15"/>
  <c r="AI509" i="15"/>
  <c r="AI589" i="15"/>
  <c r="AI661" i="15"/>
  <c r="AI679" i="15"/>
  <c r="AI696" i="15"/>
  <c r="AI714" i="15"/>
  <c r="AI733" i="15"/>
  <c r="AI749" i="15"/>
  <c r="AI765" i="15"/>
  <c r="AI781" i="15"/>
  <c r="AI797" i="15"/>
  <c r="AI813" i="15"/>
  <c r="AI828" i="15"/>
  <c r="AI844" i="15"/>
  <c r="AI860" i="15"/>
  <c r="AI876" i="15"/>
  <c r="AI892" i="15"/>
  <c r="AI908" i="15"/>
  <c r="AI924" i="15"/>
  <c r="AI940" i="15"/>
  <c r="AI956" i="15"/>
  <c r="AI972" i="15"/>
  <c r="AI988" i="15"/>
  <c r="AI1004" i="15"/>
  <c r="AI1020" i="15"/>
  <c r="AI1035" i="15"/>
  <c r="AI1045" i="15"/>
  <c r="AI1055" i="15"/>
  <c r="AI1067" i="15"/>
  <c r="AI519" i="15"/>
  <c r="AI634" i="15"/>
  <c r="AI662" i="15"/>
  <c r="AI680" i="15"/>
  <c r="AI697" i="15"/>
  <c r="AI716" i="15"/>
  <c r="AI734" i="15"/>
  <c r="AI750" i="15"/>
  <c r="AI766" i="15"/>
  <c r="AI782" i="15"/>
  <c r="AI798" i="15"/>
  <c r="AI814" i="15"/>
  <c r="AI829" i="15"/>
  <c r="AI845" i="15"/>
  <c r="AI861" i="15"/>
  <c r="AI877" i="15"/>
  <c r="AI893" i="15"/>
  <c r="AI909" i="15"/>
  <c r="AI925" i="15"/>
  <c r="AI941" i="15"/>
  <c r="AI957" i="15"/>
  <c r="AI973" i="15"/>
  <c r="AI989" i="15"/>
  <c r="AI1005" i="15"/>
  <c r="AI1021" i="15"/>
  <c r="AI1036" i="15"/>
  <c r="AI1046" i="15"/>
  <c r="AI1057" i="15"/>
  <c r="AI1068" i="15"/>
  <c r="AI529" i="15"/>
  <c r="AI598" i="15"/>
  <c r="AI641" i="15"/>
  <c r="AI668" i="15"/>
  <c r="AI686" i="15"/>
  <c r="AI698" i="15"/>
  <c r="AI717" i="15"/>
  <c r="AI735" i="15"/>
  <c r="AI751" i="15"/>
  <c r="AI767" i="15"/>
  <c r="AI783" i="15"/>
  <c r="AI799" i="15"/>
  <c r="AI815" i="15"/>
  <c r="AI830" i="15"/>
  <c r="AI846" i="15"/>
  <c r="AI862" i="15"/>
  <c r="AI878" i="15"/>
  <c r="AI894" i="15"/>
  <c r="AI910" i="15"/>
  <c r="AI926" i="15"/>
  <c r="AI942" i="15"/>
  <c r="AI958" i="15"/>
  <c r="AI974" i="15"/>
  <c r="AI990" i="15"/>
  <c r="AI1006" i="15"/>
  <c r="AI1022" i="15"/>
  <c r="AI1037" i="15"/>
  <c r="AI1047" i="15"/>
  <c r="AI1059" i="15"/>
  <c r="AI1069" i="15"/>
  <c r="AI458" i="15"/>
  <c r="AI541" i="15"/>
  <c r="AI570" i="15"/>
  <c r="AI607" i="15"/>
  <c r="AI669" i="15"/>
  <c r="AI687" i="15"/>
  <c r="AI704" i="15"/>
  <c r="AI722" i="15"/>
  <c r="AI740" i="15"/>
  <c r="AI756" i="15"/>
  <c r="AI772" i="15"/>
  <c r="AI788" i="15"/>
  <c r="AI804" i="15"/>
  <c r="AI831" i="15"/>
  <c r="AI847" i="15"/>
  <c r="AI863" i="15"/>
  <c r="AI879" i="15"/>
  <c r="AI895" i="15"/>
  <c r="AI911" i="15"/>
  <c r="AI927" i="15"/>
  <c r="AI943" i="15"/>
  <c r="AI959" i="15"/>
  <c r="AI975" i="15"/>
  <c r="AI991" i="15"/>
  <c r="AI1007" i="15"/>
  <c r="AI1023" i="15"/>
  <c r="AI1038" i="15"/>
  <c r="AI1049" i="15"/>
  <c r="AI1060" i="15"/>
  <c r="AI1070" i="15"/>
  <c r="AI471" i="15"/>
  <c r="AI551" i="15"/>
  <c r="AI616" i="15"/>
  <c r="AI650" i="15"/>
  <c r="AI670" i="15"/>
  <c r="AI688" i="15"/>
  <c r="AI705" i="15"/>
  <c r="AI724" i="15"/>
  <c r="AI741" i="15"/>
  <c r="AI757" i="15"/>
  <c r="AI773" i="15"/>
  <c r="AI789" i="15"/>
  <c r="AI805" i="15"/>
  <c r="AI852" i="15"/>
  <c r="AI868" i="15"/>
  <c r="AI900" i="15"/>
  <c r="AI916" i="15"/>
  <c r="AI932" i="15"/>
  <c r="AI948" i="15"/>
  <c r="AI964" i="15"/>
  <c r="AI980" i="15"/>
  <c r="AI996" i="15"/>
  <c r="AI1012" i="15"/>
  <c r="AI1028" i="15"/>
  <c r="AI1039" i="15"/>
  <c r="AI1051" i="15"/>
  <c r="AI1061" i="15"/>
  <c r="AI1071" i="15"/>
  <c r="AI485" i="15"/>
  <c r="AI561" i="15"/>
  <c r="AI625" i="15"/>
  <c r="AI652" i="15"/>
  <c r="AI671" i="15"/>
  <c r="AI689" i="15"/>
  <c r="AI706" i="15"/>
  <c r="AI725" i="15"/>
  <c r="AI742" i="15"/>
  <c r="AI758" i="15"/>
  <c r="AI774" i="15"/>
  <c r="AI790" i="15"/>
  <c r="AI806" i="15"/>
  <c r="AI822" i="15"/>
  <c r="AI837" i="15"/>
  <c r="AI853" i="15"/>
  <c r="AI869" i="15"/>
  <c r="AI885" i="15"/>
  <c r="AI901" i="15"/>
  <c r="AI917" i="15"/>
  <c r="AI933" i="15"/>
  <c r="AI949" i="15"/>
  <c r="AI965" i="15"/>
  <c r="AI981" i="15"/>
  <c r="AI997" i="15"/>
  <c r="AI1013" i="15"/>
  <c r="AI1029" i="15"/>
  <c r="AI1041" i="15"/>
  <c r="AI1052" i="15"/>
  <c r="AI1062" i="15"/>
  <c r="AI1072" i="15"/>
  <c r="AI496" i="15"/>
  <c r="AI653" i="15"/>
  <c r="AI677" i="15"/>
  <c r="AI708" i="15"/>
  <c r="AI726" i="15"/>
  <c r="AI743" i="15"/>
  <c r="AI759" i="15"/>
  <c r="AI775" i="15"/>
  <c r="AI791" i="15"/>
  <c r="AI807" i="15"/>
  <c r="AI823" i="15"/>
  <c r="AI838" i="15"/>
  <c r="AI854" i="15"/>
  <c r="AI870" i="15"/>
  <c r="AI886" i="15"/>
  <c r="AI902" i="15"/>
  <c r="AI918" i="15"/>
  <c r="AI934" i="15"/>
  <c r="AI950" i="15"/>
  <c r="AI966" i="15"/>
  <c r="AI982" i="15"/>
  <c r="AI998" i="15"/>
  <c r="AI1014" i="15"/>
  <c r="AI1030" i="15"/>
  <c r="AI1043" i="15"/>
  <c r="AI1053" i="15"/>
  <c r="AI1063" i="15"/>
  <c r="AI1073" i="15"/>
  <c r="AI660" i="15"/>
  <c r="AI678" i="15"/>
  <c r="AI695" i="15"/>
  <c r="AI713" i="15"/>
  <c r="AI732" i="15"/>
  <c r="AI748" i="15"/>
  <c r="AI764" i="15"/>
  <c r="AI780" i="15"/>
  <c r="AI796" i="15"/>
  <c r="AI812" i="15"/>
  <c r="AI839" i="15"/>
  <c r="AI855" i="15"/>
  <c r="AI871" i="15"/>
  <c r="AI887" i="15"/>
  <c r="AI903" i="15"/>
  <c r="AI919" i="15"/>
  <c r="AI935" i="15"/>
  <c r="AI951" i="15"/>
  <c r="AI967" i="15"/>
  <c r="AI983" i="15"/>
  <c r="AI999" i="15"/>
  <c r="AI1015" i="15"/>
  <c r="AI1031" i="15"/>
  <c r="AI1044" i="15"/>
  <c r="AI1054" i="15"/>
  <c r="AI1065" i="15"/>
  <c r="AI1075" i="15"/>
  <c r="AH33" i="17"/>
  <c r="AE31" i="17"/>
  <c r="AI940" i="17"/>
  <c r="AI574" i="17"/>
  <c r="AI400" i="17"/>
  <c r="AI1017" i="17"/>
  <c r="AI893" i="17"/>
  <c r="AI978" i="17"/>
  <c r="AI194" i="17"/>
  <c r="AI956" i="17"/>
  <c r="AI724" i="17"/>
  <c r="AI607" i="17"/>
  <c r="AI462" i="17"/>
  <c r="AI697" i="17"/>
  <c r="AI762" i="17"/>
  <c r="AI598" i="17"/>
  <c r="AI529" i="17"/>
  <c r="AI238" i="17"/>
  <c r="AI208" i="17"/>
  <c r="AI968" i="17"/>
  <c r="AI943" i="17"/>
  <c r="AI791" i="17"/>
  <c r="AI746" i="17"/>
  <c r="AI686" i="17"/>
  <c r="AI710" i="17"/>
  <c r="AI1051" i="17"/>
  <c r="AI997" i="17"/>
  <c r="AI763" i="17"/>
  <c r="AI912" i="17"/>
  <c r="AI667" i="17"/>
  <c r="AI955" i="17"/>
  <c r="AI782" i="17"/>
  <c r="AI265" i="17"/>
  <c r="AI1004" i="17"/>
  <c r="AI96" i="17"/>
  <c r="AI109" i="17"/>
  <c r="AI135" i="17"/>
  <c r="AI447" i="17"/>
  <c r="AI578" i="17"/>
  <c r="AI520" i="17"/>
  <c r="AI546" i="17"/>
  <c r="AI853" i="17"/>
  <c r="AI869" i="17"/>
  <c r="AI907" i="17"/>
  <c r="AI75" i="17"/>
  <c r="AI393" i="17"/>
  <c r="AI369" i="17"/>
  <c r="AI419" i="17"/>
  <c r="AI487" i="17"/>
  <c r="AI958" i="17"/>
  <c r="AI251" i="17"/>
  <c r="AI398" i="17"/>
  <c r="AI467" i="17"/>
  <c r="AI289" i="17"/>
  <c r="AI613" i="17"/>
  <c r="AI665" i="17"/>
  <c r="AI705" i="17"/>
  <c r="AI944" i="17"/>
  <c r="AI1015" i="17"/>
  <c r="AI1029" i="17"/>
  <c r="AI1040" i="17"/>
  <c r="AI1071" i="17"/>
  <c r="AI83" i="17"/>
  <c r="AI519" i="17"/>
  <c r="AI1052" i="17"/>
  <c r="AI930" i="17"/>
  <c r="AI1044" i="17"/>
  <c r="AI221" i="17"/>
  <c r="AI264" i="17"/>
  <c r="AI227" i="17"/>
  <c r="AI232" i="17"/>
  <c r="AI472" i="17"/>
  <c r="AI733" i="17"/>
  <c r="AI873" i="17"/>
  <c r="AI928" i="17"/>
  <c r="AI886" i="17"/>
  <c r="AI902" i="17"/>
  <c r="AI834" i="17"/>
  <c r="AI848" i="17"/>
  <c r="AI690" i="17"/>
  <c r="AI1009" i="17"/>
  <c r="AI938" i="17"/>
  <c r="AI79" i="17"/>
  <c r="AI78" i="17"/>
  <c r="AI660" i="17"/>
  <c r="AI706" i="17"/>
  <c r="AI741" i="17"/>
  <c r="AI845" i="17"/>
  <c r="AI784" i="17"/>
  <c r="AI81" i="17"/>
  <c r="AI97" i="17"/>
  <c r="AI123" i="17"/>
  <c r="AI163" i="17"/>
  <c r="AI220" i="17"/>
  <c r="AI534" i="17"/>
  <c r="AI402" i="17"/>
  <c r="AI604" i="17"/>
  <c r="AI620" i="17"/>
  <c r="AI789" i="17"/>
  <c r="AI931" i="17"/>
  <c r="AI881" i="17"/>
  <c r="AI1006" i="17"/>
  <c r="AI131" i="17"/>
  <c r="AI146" i="17"/>
  <c r="AI115" i="17"/>
  <c r="AI165" i="17"/>
  <c r="AI217" i="17"/>
  <c r="AI282" i="17"/>
  <c r="AI305" i="17"/>
  <c r="AI336" i="17"/>
  <c r="AI266" i="17"/>
  <c r="AI361" i="17"/>
  <c r="AI213" i="17"/>
  <c r="AI364" i="17"/>
  <c r="AI401" i="17"/>
  <c r="AI468" i="17"/>
  <c r="AI469" i="17"/>
  <c r="AI333" i="17"/>
  <c r="AI353" i="17"/>
  <c r="AI397" i="17"/>
  <c r="AI335" i="17"/>
  <c r="AI429" i="17"/>
  <c r="AI302" i="17"/>
  <c r="AI442" i="17"/>
  <c r="AI466" i="17"/>
  <c r="AI503" i="17"/>
  <c r="AI526" i="17"/>
  <c r="AI553" i="17"/>
  <c r="AI505" i="17"/>
  <c r="AI530" i="17"/>
  <c r="AI582" i="17"/>
  <c r="AI451" i="17"/>
  <c r="AI525" i="17"/>
  <c r="AI558" i="17"/>
  <c r="AI518" i="17"/>
  <c r="AI523" i="17"/>
  <c r="AI492" i="17"/>
  <c r="AI490" i="17"/>
  <c r="AI661" i="17"/>
  <c r="AI694" i="17"/>
  <c r="AI720" i="17"/>
  <c r="AI659" i="17"/>
  <c r="AI709" i="17"/>
  <c r="AI621" i="17"/>
  <c r="AI712" i="17"/>
  <c r="AI740" i="17"/>
  <c r="AI778" i="17"/>
  <c r="AI715" i="17"/>
  <c r="AI780" i="17"/>
  <c r="AI833" i="17"/>
  <c r="AI872" i="17"/>
  <c r="AI909" i="17"/>
  <c r="AI904" i="17"/>
  <c r="AI860" i="17"/>
  <c r="AI825" i="17"/>
  <c r="AI798" i="17"/>
  <c r="AI906" i="17"/>
  <c r="AI945" i="17"/>
  <c r="AI855" i="17"/>
  <c r="AI822" i="17"/>
  <c r="AI862" i="17"/>
  <c r="AI929" i="17"/>
  <c r="AI932" i="17"/>
  <c r="AI989" i="17"/>
  <c r="AI1016" i="17"/>
  <c r="AI1074" i="17"/>
  <c r="AI966" i="17"/>
  <c r="AI979" i="17"/>
  <c r="AI1067" i="17"/>
  <c r="AI1034" i="17"/>
  <c r="AI1027" i="17"/>
  <c r="AI1061" i="17"/>
  <c r="AI1043" i="17"/>
  <c r="AI1030" i="17"/>
  <c r="AI127" i="17"/>
  <c r="AI150" i="17"/>
  <c r="AI166" i="17"/>
  <c r="AI168" i="17"/>
  <c r="AI189" i="17"/>
  <c r="AI174" i="17"/>
  <c r="AI261" i="17"/>
  <c r="AI234" i="17"/>
  <c r="AI285" i="17"/>
  <c r="AI322" i="17"/>
  <c r="AI339" i="17"/>
  <c r="AI256" i="17"/>
  <c r="AI270" i="17"/>
  <c r="AI304" i="17"/>
  <c r="AI348" i="17"/>
  <c r="AI413" i="17"/>
  <c r="AI254" i="17"/>
  <c r="AI290" i="17"/>
  <c r="AI403" i="17"/>
  <c r="AI475" i="17"/>
  <c r="AI476" i="17"/>
  <c r="AI456" i="17"/>
  <c r="AI281" i="17"/>
  <c r="AI331" i="17"/>
  <c r="AI430" i="17"/>
  <c r="AI557" i="17"/>
  <c r="AI594" i="17"/>
  <c r="AI463" i="17"/>
  <c r="AI562" i="17"/>
  <c r="AI444" i="17"/>
  <c r="AI499" i="17"/>
  <c r="AI538" i="17"/>
  <c r="AI592" i="17"/>
  <c r="AI552" i="17"/>
  <c r="AI602" i="17"/>
  <c r="AI645" i="17"/>
  <c r="AI631" i="17"/>
  <c r="AI668" i="17"/>
  <c r="AI765" i="17"/>
  <c r="AI761" i="17"/>
  <c r="AI875" i="17"/>
  <c r="AI894" i="17"/>
  <c r="AI811" i="17"/>
  <c r="AI835" i="17"/>
  <c r="AI871" i="17"/>
  <c r="AI800" i="17"/>
  <c r="AI826" i="17"/>
  <c r="AI876" i="17"/>
  <c r="AI856" i="17"/>
  <c r="AI971" i="17"/>
  <c r="AI936" i="17"/>
  <c r="AI921" i="17"/>
  <c r="AI937" i="17"/>
  <c r="AI917" i="17"/>
  <c r="AI933" i="17"/>
  <c r="AI1056" i="17"/>
  <c r="AI1047" i="17"/>
  <c r="AI1045" i="17"/>
  <c r="AI113" i="17"/>
  <c r="AI143" i="17"/>
  <c r="AI110" i="17"/>
  <c r="AI105" i="17"/>
  <c r="AI151" i="17"/>
  <c r="AI203" i="17"/>
  <c r="AI205" i="17"/>
  <c r="AI187" i="17"/>
  <c r="AI239" i="17"/>
  <c r="AI156" i="17"/>
  <c r="AI237" i="17"/>
  <c r="AI396" i="17"/>
  <c r="AI420" i="17"/>
  <c r="AI368" i="17"/>
  <c r="AI291" i="17"/>
  <c r="AI307" i="17"/>
  <c r="AI482" i="17"/>
  <c r="AI343" i="17"/>
  <c r="AI360" i="17"/>
  <c r="AI483" i="17"/>
  <c r="AI319" i="17"/>
  <c r="AI283" i="17"/>
  <c r="AI485" i="17"/>
  <c r="AI399" i="17"/>
  <c r="AI443" i="17"/>
  <c r="AI318" i="17"/>
  <c r="AI409" i="17"/>
  <c r="AI433" i="17"/>
  <c r="AI454" i="17"/>
  <c r="AI510" i="17"/>
  <c r="AI439" i="17"/>
  <c r="AI489" i="17"/>
  <c r="AI527" i="17"/>
  <c r="AI555" i="17"/>
  <c r="AI441" i="17"/>
  <c r="AI498" i="17"/>
  <c r="AI295" i="17"/>
  <c r="AI345" i="17"/>
  <c r="AI556" i="17"/>
  <c r="AI626" i="17"/>
  <c r="AI612" i="17"/>
  <c r="AI669" i="17"/>
  <c r="AI514" i="17"/>
  <c r="AI700" i="17"/>
  <c r="AI593" i="17"/>
  <c r="AI588" i="17"/>
  <c r="AI722" i="17"/>
  <c r="AI748" i="17"/>
  <c r="AI772" i="17"/>
  <c r="AI711" i="17"/>
  <c r="AI753" i="17"/>
  <c r="AI896" i="17"/>
  <c r="AI874" i="17"/>
  <c r="AI801" i="17"/>
  <c r="AI864" i="17"/>
  <c r="AI882" i="17"/>
  <c r="AI793" i="17"/>
  <c r="AI817" i="17"/>
  <c r="AI829" i="17"/>
  <c r="AI927" i="17"/>
  <c r="AI792" i="17"/>
  <c r="AI913" i="17"/>
  <c r="AI808" i="17"/>
  <c r="AI895" i="17"/>
  <c r="AI957" i="17"/>
  <c r="AI851" i="17"/>
  <c r="AI946" i="17"/>
  <c r="AI942" i="17"/>
  <c r="AI888" i="17"/>
  <c r="AI918" i="17"/>
  <c r="AI922" i="17"/>
  <c r="AI995" i="17"/>
  <c r="AI1060" i="17"/>
  <c r="AI1050" i="17"/>
  <c r="AI1048" i="17"/>
  <c r="AI980" i="17"/>
  <c r="AI970" i="17"/>
  <c r="AI126" i="17"/>
  <c r="AI145" i="17"/>
  <c r="AI177" i="17"/>
  <c r="AI243" i="17"/>
  <c r="AI268" i="17"/>
  <c r="AI279" i="17"/>
  <c r="AI240" i="17"/>
  <c r="AI272" i="17"/>
  <c r="AI292" i="17"/>
  <c r="AI351" i="17"/>
  <c r="AI417" i="17"/>
  <c r="AI293" i="17"/>
  <c r="AI384" i="17"/>
  <c r="AI214" i="17"/>
  <c r="AI383" i="17"/>
  <c r="AI450" i="17"/>
  <c r="AI491" i="17"/>
  <c r="AI415" i="17"/>
  <c r="AI479" i="17"/>
  <c r="AI512" i="17"/>
  <c r="AI537" i="17"/>
  <c r="AI570" i="17"/>
  <c r="AI559" i="17"/>
  <c r="AI545" i="17"/>
  <c r="AI359" i="17"/>
  <c r="AI501" i="17"/>
  <c r="AI560" i="17"/>
  <c r="AI633" i="17"/>
  <c r="AI651" i="17"/>
  <c r="AI643" i="17"/>
  <c r="AI649" i="17"/>
  <c r="AI688" i="17"/>
  <c r="AI619" i="17"/>
  <c r="AI635" i="17"/>
  <c r="AI508" i="17"/>
  <c r="AI517" i="17"/>
  <c r="AI608" i="17"/>
  <c r="AI627" i="17"/>
  <c r="AI726" i="17"/>
  <c r="AI729" i="17"/>
  <c r="AI764" i="17"/>
  <c r="AI785" i="17"/>
  <c r="AI812" i="17"/>
  <c r="AI846" i="17"/>
  <c r="AI897" i="17"/>
  <c r="AI919" i="17"/>
  <c r="AI783" i="17"/>
  <c r="AI805" i="17"/>
  <c r="AI837" i="17"/>
  <c r="AI867" i="17"/>
  <c r="AI861" i="17"/>
  <c r="AI903" i="17"/>
  <c r="AI935" i="17"/>
  <c r="AI754" i="17"/>
  <c r="AI768" i="17"/>
  <c r="AI813" i="17"/>
  <c r="AI923" i="17"/>
  <c r="AI832" i="17"/>
  <c r="AI915" i="17"/>
  <c r="AI905" i="17"/>
  <c r="AI974" i="17"/>
  <c r="AI976" i="17"/>
  <c r="AI1065" i="17"/>
  <c r="AI1042" i="17"/>
  <c r="AI1062" i="17"/>
  <c r="AI1064" i="17"/>
  <c r="AI984" i="17"/>
  <c r="AI1020" i="17"/>
  <c r="AI130" i="17"/>
  <c r="AI129" i="17"/>
  <c r="AI170" i="17"/>
  <c r="AI195" i="17"/>
  <c r="AI190" i="17"/>
  <c r="AI167" i="17"/>
  <c r="AI178" i="17"/>
  <c r="AI172" i="17"/>
  <c r="AI277" i="17"/>
  <c r="AI258" i="17"/>
  <c r="AI346" i="17"/>
  <c r="AI424" i="17"/>
  <c r="AI371" i="17"/>
  <c r="AI421" i="17"/>
  <c r="AI330" i="17"/>
  <c r="AI347" i="17"/>
  <c r="AI323" i="17"/>
  <c r="AI477" i="17"/>
  <c r="AI386" i="17"/>
  <c r="AI457" i="17"/>
  <c r="AI446" i="17"/>
  <c r="AI515" i="17"/>
  <c r="AI535" i="17"/>
  <c r="AI597" i="17"/>
  <c r="AI481" i="17"/>
  <c r="AI502" i="17"/>
  <c r="AI551" i="17"/>
  <c r="AI423" i="17"/>
  <c r="AI579" i="17"/>
  <c r="AI653" i="17"/>
  <c r="AI550" i="17"/>
  <c r="AI590" i="17"/>
  <c r="AI609" i="17"/>
  <c r="AI650" i="17"/>
  <c r="AI652" i="17"/>
  <c r="AI691" i="17"/>
  <c r="AI708" i="17"/>
  <c r="AI611" i="17"/>
  <c r="AI725" i="17"/>
  <c r="AI728" i="17"/>
  <c r="AI755" i="17"/>
  <c r="AI735" i="17"/>
  <c r="AI680" i="17"/>
  <c r="AI734" i="17"/>
  <c r="AI914" i="17"/>
  <c r="AI962" i="17"/>
  <c r="AI891" i="17"/>
  <c r="AI993" i="17"/>
  <c r="AI973" i="17"/>
  <c r="AI954" i="17"/>
  <c r="AI990" i="17"/>
  <c r="AI877" i="17"/>
  <c r="AI948" i="17"/>
  <c r="AI924" i="17"/>
  <c r="AI1000" i="17"/>
  <c r="AI952" i="17"/>
  <c r="AI1058" i="17"/>
  <c r="AI1070" i="17"/>
  <c r="AI1014" i="17"/>
  <c r="AI1063" i="17"/>
  <c r="AI106" i="17"/>
  <c r="AI157" i="17"/>
  <c r="AI94" i="17"/>
  <c r="AI183" i="17"/>
  <c r="AI262" i="17"/>
  <c r="AI160" i="17"/>
  <c r="AI242" i="17"/>
  <c r="AI169" i="17"/>
  <c r="AI228" i="17"/>
  <c r="AI161" i="17"/>
  <c r="AI186" i="17"/>
  <c r="AI219" i="17"/>
  <c r="AI315" i="17"/>
  <c r="AI349" i="17"/>
  <c r="AI458" i="17"/>
  <c r="AI355" i="17"/>
  <c r="AI276" i="17"/>
  <c r="AI352" i="17"/>
  <c r="AI357" i="17"/>
  <c r="AI425" i="17"/>
  <c r="AI365" i="17"/>
  <c r="AI426" i="17"/>
  <c r="AI387" i="17"/>
  <c r="AI484" i="17"/>
  <c r="AI306" i="17"/>
  <c r="AI408" i="17"/>
  <c r="AI464" i="17"/>
  <c r="AI449" i="17"/>
  <c r="AI573" i="17"/>
  <c r="AI521" i="17"/>
  <c r="AI473" i="17"/>
  <c r="AI536" i="17"/>
  <c r="AI567" i="17"/>
  <c r="AI288" i="17"/>
  <c r="AI511" i="17"/>
  <c r="AI616" i="17"/>
  <c r="AI637" i="17"/>
  <c r="AI672" i="17"/>
  <c r="AI610" i="17"/>
  <c r="AI664" i="17"/>
  <c r="AI614" i="17"/>
  <c r="AI548" i="17"/>
  <c r="AI622" i="17"/>
  <c r="AI701" i="17"/>
  <c r="AI716" i="17"/>
  <c r="AI736" i="17"/>
  <c r="AI771" i="17"/>
  <c r="AI739" i="17"/>
  <c r="AI713" i="17"/>
  <c r="AI752" i="17"/>
  <c r="AI779" i="17"/>
  <c r="AI749" i="17"/>
  <c r="AI865" i="17"/>
  <c r="AI926" i="17"/>
  <c r="AI787" i="17"/>
  <c r="AI842" i="17"/>
  <c r="AI880" i="17"/>
  <c r="AI898" i="17"/>
  <c r="AI796" i="17"/>
  <c r="AI908" i="17"/>
  <c r="AI850" i="17"/>
  <c r="AI920" i="17"/>
  <c r="AI866" i="17"/>
  <c r="AI797" i="17"/>
  <c r="AI951" i="17"/>
  <c r="AI916" i="17"/>
  <c r="AI1059" i="17"/>
  <c r="AI892" i="17"/>
  <c r="AI975" i="17"/>
  <c r="AI1021" i="17"/>
  <c r="AI961" i="17"/>
  <c r="AI969" i="17"/>
  <c r="AI977" i="17"/>
  <c r="AI985" i="17"/>
  <c r="AI1072" i="17"/>
  <c r="AI1075" i="17"/>
  <c r="AI1057" i="17"/>
  <c r="AI1037" i="17"/>
  <c r="AI95" i="17"/>
  <c r="AI112" i="17"/>
  <c r="AI99" i="17"/>
  <c r="AI138" i="17"/>
  <c r="AI198" i="17"/>
  <c r="AI173" i="17"/>
  <c r="AI405" i="17"/>
  <c r="AI465" i="17"/>
  <c r="AI297" i="17"/>
  <c r="AI379" i="17"/>
  <c r="AI460" i="17"/>
  <c r="AI300" i="17"/>
  <c r="AI432" i="17"/>
  <c r="AI411" i="17"/>
  <c r="AI211" i="17"/>
  <c r="AI271" i="17"/>
  <c r="AI412" i="17"/>
  <c r="AI486" i="17"/>
  <c r="AI542" i="17"/>
  <c r="AI407" i="17"/>
  <c r="AI471" i="17"/>
  <c r="AI549" i="17"/>
  <c r="AI496" i="17"/>
  <c r="AI587" i="17"/>
  <c r="AI334" i="17"/>
  <c r="AI370" i="17"/>
  <c r="AI434" i="17"/>
  <c r="AI448" i="17"/>
  <c r="AI506" i="17"/>
  <c r="AI513" i="17"/>
  <c r="AI603" i="17"/>
  <c r="AI657" i="17"/>
  <c r="AI702" i="17"/>
  <c r="AI636" i="17"/>
  <c r="AI655" i="17"/>
  <c r="AI718" i="17"/>
  <c r="AI719" i="17"/>
  <c r="AI823" i="17"/>
  <c r="AI831" i="17"/>
  <c r="AI839" i="17"/>
  <c r="AI899" i="17"/>
  <c r="AI857" i="17"/>
  <c r="AI890" i="17"/>
  <c r="AI911" i="17"/>
  <c r="AI803" i="17"/>
  <c r="AI947" i="17"/>
  <c r="AI858" i="17"/>
  <c r="AI960" i="17"/>
  <c r="AI982" i="17"/>
  <c r="AI934" i="17"/>
  <c r="AI996" i="17"/>
  <c r="AI981" i="17"/>
  <c r="AI1010" i="17"/>
  <c r="AI950" i="17"/>
  <c r="AI999" i="17"/>
  <c r="AI1028" i="17"/>
  <c r="AI1039" i="17"/>
  <c r="AI1054" i="17"/>
  <c r="AI963" i="17"/>
  <c r="AI1073" i="17"/>
  <c r="J99" i="17"/>
  <c r="J24" i="17" a="1"/>
  <c r="J24" i="17" s="1"/>
  <c r="J62" i="17" a="1"/>
  <c r="J62" i="17" s="1"/>
  <c r="P62" i="17" s="1" a="1"/>
  <c r="P62" i="17" s="1"/>
  <c r="J40" i="17" a="1"/>
  <c r="J40" i="17" s="1"/>
  <c r="J88" i="17" a="1"/>
  <c r="J88" i="17" s="1"/>
  <c r="J43" i="17" a="1"/>
  <c r="J43" i="17" s="1"/>
  <c r="J58" i="17" a="1"/>
  <c r="J58" i="17" s="1"/>
  <c r="P58" i="17" s="1" a="1"/>
  <c r="P58" i="17" s="1"/>
  <c r="J52" i="17" a="1"/>
  <c r="J52" i="17" s="1"/>
  <c r="J49" i="17" a="1"/>
  <c r="J49" i="17" s="1"/>
  <c r="J44" i="17" a="1"/>
  <c r="J44" i="17" s="1"/>
  <c r="C18" i="17"/>
  <c r="J101" i="17" a="1"/>
  <c r="J101" i="17" s="1"/>
  <c r="J94" i="17" a="1"/>
  <c r="J94" i="17" s="1"/>
  <c r="J93" i="17" a="1"/>
  <c r="J93" i="17" s="1"/>
  <c r="J70" i="17" a="1"/>
  <c r="J70" i="17" s="1"/>
  <c r="J86" i="17" a="1"/>
  <c r="J86" i="17" s="1"/>
  <c r="J34" i="17" a="1"/>
  <c r="J34" i="17" s="1"/>
  <c r="J35" i="17" a="1"/>
  <c r="J35" i="17" s="1"/>
  <c r="J32" i="17" a="1"/>
  <c r="J32" i="17" s="1"/>
  <c r="J91" i="17" a="1"/>
  <c r="J91" i="17" s="1"/>
  <c r="J42" i="17" a="1"/>
  <c r="J42" i="17" s="1"/>
  <c r="J65" i="17" a="1"/>
  <c r="J65" i="17" s="1"/>
  <c r="P63" i="17" s="1" a="1"/>
  <c r="P63" i="17" s="1"/>
  <c r="J72" i="17" a="1"/>
  <c r="J72" i="17" s="1"/>
  <c r="J46" i="17" a="1"/>
  <c r="J46" i="17" s="1"/>
  <c r="P45" i="17" s="1" a="1"/>
  <c r="P45" i="17" s="1"/>
  <c r="J76" i="17" a="1"/>
  <c r="J76" i="17" s="1"/>
  <c r="H71" i="17" a="1"/>
  <c r="H71" i="17" s="1"/>
  <c r="K167" i="17" a="1"/>
  <c r="K167" i="17" s="1"/>
  <c r="K30" i="17" a="1"/>
  <c r="K30" i="17" s="1"/>
  <c r="Q29" i="17" s="1" a="1"/>
  <c r="Q29" i="17" s="1"/>
  <c r="H80" i="17" a="1"/>
  <c r="H80" i="17" s="1"/>
  <c r="H68" i="17" a="1"/>
  <c r="H68" i="17" s="1"/>
  <c r="H51" i="17" a="1"/>
  <c r="H51" i="17" s="1"/>
  <c r="H60" i="17" a="1"/>
  <c r="H60" i="17" s="1"/>
  <c r="J103" i="17"/>
  <c r="W20" i="17"/>
  <c r="W25" i="17"/>
  <c r="W23" i="17"/>
  <c r="AF33" i="17" s="1"/>
  <c r="W18" i="17"/>
  <c r="J69" i="17" a="1"/>
  <c r="J69" i="17" s="1"/>
  <c r="J56" i="17" a="1"/>
  <c r="J56" i="17" s="1"/>
  <c r="J75" i="17" a="1"/>
  <c r="J75" i="17" s="1"/>
  <c r="J67" i="17" a="1"/>
  <c r="J67" i="17" s="1"/>
  <c r="J48" i="17" a="1"/>
  <c r="J48" i="17" s="1"/>
  <c r="J51" i="17" a="1"/>
  <c r="J51" i="17" s="1"/>
  <c r="J85" i="17" a="1"/>
  <c r="J85" i="17" s="1"/>
  <c r="J30" i="17" a="1"/>
  <c r="J30" i="17" s="1"/>
  <c r="J73" i="17" a="1"/>
  <c r="J73" i="17" s="1"/>
  <c r="J78" i="17" a="1"/>
  <c r="J78" i="17" s="1"/>
  <c r="J89" i="17" a="1"/>
  <c r="J89" i="17" s="1"/>
  <c r="J71" i="17" a="1"/>
  <c r="J71" i="17" s="1"/>
  <c r="J50" i="17" a="1"/>
  <c r="J50" i="17" s="1"/>
  <c r="J57" i="17" a="1"/>
  <c r="J57" i="17" s="1"/>
  <c r="J84" i="17" a="1"/>
  <c r="J84" i="17" s="1"/>
  <c r="J26" i="17" a="1"/>
  <c r="J26" i="17" s="1"/>
  <c r="J31" i="17" a="1"/>
  <c r="J31" i="17" s="1"/>
  <c r="J27" i="17" a="1"/>
  <c r="J27" i="17" s="1"/>
  <c r="J28" i="17" a="1"/>
  <c r="J28" i="17" s="1"/>
  <c r="J81" i="17" a="1"/>
  <c r="J81" i="17" s="1"/>
  <c r="J83" i="17" a="1"/>
  <c r="J83" i="17" s="1"/>
  <c r="J53" i="17" a="1"/>
  <c r="J53" i="17" s="1"/>
  <c r="J77" i="17" a="1"/>
  <c r="J77" i="17" s="1"/>
  <c r="J54" i="17" a="1"/>
  <c r="J54" i="17" s="1"/>
  <c r="J66" i="17" a="1"/>
  <c r="J66" i="17" s="1"/>
  <c r="J92" i="17" a="1"/>
  <c r="J92" i="17" s="1"/>
  <c r="J20" i="17" a="1"/>
  <c r="J20" i="17" s="1"/>
  <c r="J87" i="17" a="1"/>
  <c r="J87" i="17" s="1"/>
  <c r="J100" i="17" a="1"/>
  <c r="J100" i="17" s="1"/>
  <c r="J29" i="17" a="1"/>
  <c r="J29" i="17" s="1"/>
  <c r="J36" i="17" a="1"/>
  <c r="J36" i="17" s="1"/>
  <c r="J38" i="17" a="1"/>
  <c r="J38" i="17" s="1"/>
  <c r="J90" i="17" a="1"/>
  <c r="J90" i="17" s="1"/>
  <c r="J61" i="17" a="1"/>
  <c r="J61" i="17" s="1"/>
  <c r="J80" i="17" a="1"/>
  <c r="J80" i="17" s="1"/>
  <c r="J39" i="17" a="1"/>
  <c r="J39" i="17" s="1"/>
  <c r="J74" i="17" a="1"/>
  <c r="J74" i="17" s="1"/>
  <c r="J79" i="17" a="1"/>
  <c r="J79" i="17" s="1"/>
  <c r="J95" i="17" a="1"/>
  <c r="J95" i="17" s="1"/>
  <c r="J102" i="17" a="1"/>
  <c r="J102" i="17" s="1"/>
  <c r="J33" i="17" a="1"/>
  <c r="J33" i="17" s="1"/>
  <c r="H75" i="17" a="1"/>
  <c r="H75" i="17" s="1"/>
  <c r="H50" i="17" a="1"/>
  <c r="H50" i="17" s="1"/>
  <c r="H30" i="17" a="1"/>
  <c r="H30" i="17" s="1"/>
  <c r="H27" i="17" a="1"/>
  <c r="H27" i="17" s="1"/>
  <c r="H38" i="17" a="1"/>
  <c r="H38" i="17" s="1"/>
  <c r="H37" i="17" a="1"/>
  <c r="H37" i="17" s="1"/>
  <c r="H69" i="17" a="1"/>
  <c r="H69" i="17" s="1"/>
  <c r="AE33" i="17"/>
  <c r="AE23" i="17"/>
  <c r="AE28" i="17"/>
  <c r="L32" i="17" a="1"/>
  <c r="L32" i="17" s="1"/>
  <c r="L30" i="17" a="1"/>
  <c r="L30" i="17" s="1"/>
  <c r="L127" i="17" a="1"/>
  <c r="L127" i="17" s="1"/>
  <c r="L189" i="17" a="1"/>
  <c r="L189" i="17" s="1"/>
  <c r="L27" i="17" a="1"/>
  <c r="L27" i="17" s="1"/>
  <c r="L81" i="17" a="1"/>
  <c r="L81" i="17" s="1"/>
  <c r="L124" i="17" a="1"/>
  <c r="L124" i="17" s="1"/>
  <c r="L87" i="17" a="1"/>
  <c r="L87" i="17" s="1"/>
  <c r="L129" i="17" a="1"/>
  <c r="L129" i="17" s="1"/>
  <c r="L33" i="17" a="1"/>
  <c r="L33" i="17" s="1"/>
  <c r="L23" i="17" a="1"/>
  <c r="L23" i="17" s="1"/>
  <c r="L22" i="17" a="1"/>
  <c r="L22" i="17" s="1"/>
  <c r="L80" i="17" a="1"/>
  <c r="L80" i="17" s="1"/>
  <c r="L140" i="17" a="1"/>
  <c r="L140" i="17" s="1"/>
  <c r="L18" i="17" a="1"/>
  <c r="L18" i="17" s="1"/>
  <c r="L139" i="17" a="1"/>
  <c r="L139" i="17" s="1"/>
  <c r="L153" i="17" a="1"/>
  <c r="L153" i="17" s="1"/>
  <c r="L25" i="17" a="1"/>
  <c r="L25" i="17" s="1"/>
  <c r="L77" i="17" a="1"/>
  <c r="L77" i="17" s="1"/>
  <c r="L104" i="17" a="1"/>
  <c r="L104" i="17" s="1"/>
  <c r="L150" i="17" a="1"/>
  <c r="L150" i="17" s="1"/>
  <c r="L54" i="17" a="1"/>
  <c r="L54" i="17" s="1"/>
  <c r="L179" i="17" a="1"/>
  <c r="L179" i="17" s="1"/>
  <c r="L34" i="17" a="1"/>
  <c r="L34" i="17" s="1"/>
  <c r="L51" i="17" a="1"/>
  <c r="L51" i="17" s="1"/>
  <c r="L106" i="17" a="1"/>
  <c r="L106" i="17" s="1"/>
  <c r="L184" i="17" a="1"/>
  <c r="L184" i="17" s="1"/>
  <c r="K78" i="17" a="1"/>
  <c r="K78" i="17" s="1"/>
  <c r="K113" i="17" a="1"/>
  <c r="K113" i="17" s="1"/>
  <c r="K75" i="17" a="1"/>
  <c r="K75" i="17" s="1"/>
  <c r="K118" i="17" a="1"/>
  <c r="K118" i="17" s="1"/>
  <c r="AG28" i="17"/>
  <c r="K27" i="17" a="1"/>
  <c r="K27" i="17" s="1"/>
  <c r="K39" i="17" a="1"/>
  <c r="K39" i="17" s="1"/>
  <c r="AG24" i="17"/>
  <c r="K71" i="17" a="1"/>
  <c r="K71" i="17" s="1"/>
  <c r="K123" i="17" a="1"/>
  <c r="K123" i="17" s="1"/>
  <c r="AG33" i="17"/>
  <c r="K54" i="17" a="1"/>
  <c r="K54" i="17" s="1"/>
  <c r="K177" i="17" a="1"/>
  <c r="K177" i="17" s="1"/>
  <c r="K128" i="17" a="1"/>
  <c r="K128" i="17" s="1"/>
  <c r="K182" i="17" a="1"/>
  <c r="K182" i="17" s="1"/>
  <c r="AG22" i="17"/>
  <c r="K25" i="17" a="1"/>
  <c r="K25" i="17" s="1"/>
  <c r="K42" i="17" a="1"/>
  <c r="K42" i="17" s="1"/>
  <c r="K148" i="17" a="1"/>
  <c r="K148" i="17" s="1"/>
  <c r="K187" i="17" a="1"/>
  <c r="K187" i="17" s="1"/>
  <c r="K28" i="17" a="1"/>
  <c r="K28" i="17" s="1"/>
  <c r="K62" i="17" a="1"/>
  <c r="K62" i="17" s="1"/>
  <c r="K192" i="17" a="1"/>
  <c r="K192" i="17" s="1"/>
  <c r="K73" i="17" a="1"/>
  <c r="K73" i="17" s="1"/>
  <c r="K108" i="17" a="1"/>
  <c r="K108" i="17" s="1"/>
  <c r="K162" i="17" a="1"/>
  <c r="K162" i="17" s="1"/>
  <c r="A18" i="17"/>
  <c r="H49" i="17" a="1"/>
  <c r="H49" i="17" s="1"/>
  <c r="H86" i="17" a="1"/>
  <c r="H86" i="17" s="1"/>
  <c r="H44" i="17" a="1"/>
  <c r="H44" i="17" s="1"/>
  <c r="H88" i="17" a="1"/>
  <c r="H88" i="17" s="1"/>
  <c r="H47" i="17" a="1"/>
  <c r="H47" i="17" s="1"/>
  <c r="H79" i="17" a="1"/>
  <c r="H79" i="17" s="1"/>
  <c r="H41" i="17" a="1"/>
  <c r="H41" i="17" s="1"/>
  <c r="H23" i="17" a="1"/>
  <c r="H23" i="17" s="1"/>
  <c r="H93" i="17" a="1"/>
  <c r="H93" i="17" s="1"/>
  <c r="H92" i="17" a="1"/>
  <c r="H92" i="17" s="1"/>
  <c r="H81" i="17" a="1"/>
  <c r="H81" i="17" s="1"/>
  <c r="H66" i="17" a="1"/>
  <c r="H66" i="17" s="1"/>
  <c r="H89" i="17" a="1"/>
  <c r="H89" i="17" s="1"/>
  <c r="H25" i="17" a="1"/>
  <c r="H25" i="17" s="1"/>
  <c r="H84" i="17" a="1"/>
  <c r="H84" i="17" s="1"/>
  <c r="H52" i="17" a="1"/>
  <c r="H52" i="17" s="1"/>
  <c r="H36" i="17" a="1"/>
  <c r="H36" i="17" s="1"/>
  <c r="H40" i="17" a="1"/>
  <c r="H40" i="17" s="1"/>
  <c r="H76" i="17" a="1"/>
  <c r="H76" i="17" s="1"/>
  <c r="H61" i="17" a="1"/>
  <c r="H61" i="17" s="1"/>
  <c r="H95" i="17" a="1"/>
  <c r="H95" i="17" s="1"/>
  <c r="J105" i="17"/>
  <c r="H101" i="17"/>
  <c r="AG66" i="17"/>
  <c r="AI66" i="17" s="1"/>
  <c r="AG88" i="17"/>
  <c r="AI88" i="17" s="1"/>
  <c r="AG58" i="17"/>
  <c r="AI58" i="17" s="1"/>
  <c r="AG117" i="17"/>
  <c r="AI117" i="17" s="1"/>
  <c r="AG102" i="17"/>
  <c r="AI102" i="17" s="1"/>
  <c r="AG158" i="17"/>
  <c r="AI158" i="17" s="1"/>
  <c r="AG98" i="17"/>
  <c r="AI98" i="17" s="1"/>
  <c r="AG159" i="17"/>
  <c r="AI159" i="17" s="1"/>
  <c r="AG223" i="17"/>
  <c r="AI223" i="17" s="1"/>
  <c r="AG199" i="17"/>
  <c r="AI199" i="17" s="1"/>
  <c r="AG252" i="17"/>
  <c r="AI252" i="17" s="1"/>
  <c r="AG224" i="17"/>
  <c r="AI224" i="17" s="1"/>
  <c r="AG382" i="17"/>
  <c r="AI382" i="17" s="1"/>
  <c r="AG438" i="17"/>
  <c r="AI438" i="17" s="1"/>
  <c r="AG480" i="17"/>
  <c r="AI480" i="17" s="1"/>
  <c r="AG640" i="17"/>
  <c r="AI640" i="17" s="1"/>
  <c r="AG910" i="17"/>
  <c r="AI910" i="17" s="1"/>
  <c r="AG67" i="17"/>
  <c r="AI67" i="17" s="1"/>
  <c r="AG235" i="17"/>
  <c r="AI235" i="17" s="1"/>
  <c r="AG742" i="17"/>
  <c r="AI742" i="17" s="1"/>
  <c r="AG80" i="17"/>
  <c r="AI80" i="17" s="1"/>
  <c r="AG57" i="17"/>
  <c r="AI57" i="17" s="1"/>
  <c r="AG144" i="17"/>
  <c r="AI144" i="17" s="1"/>
  <c r="AG152" i="17"/>
  <c r="AI152" i="17" s="1"/>
  <c r="AG207" i="17"/>
  <c r="AI207" i="17" s="1"/>
  <c r="AG209" i="17"/>
  <c r="AI209" i="17" s="1"/>
  <c r="AG148" i="17"/>
  <c r="AI148" i="17" s="1"/>
  <c r="AG341" i="17"/>
  <c r="AI341" i="17" s="1"/>
  <c r="AG253" i="17"/>
  <c r="AI253" i="17" s="1"/>
  <c r="AG201" i="17"/>
  <c r="AI201" i="17" s="1"/>
  <c r="AG244" i="17"/>
  <c r="AI244" i="17" s="1"/>
  <c r="AG377" i="17"/>
  <c r="AI377" i="17" s="1"/>
  <c r="AG229" i="17"/>
  <c r="AI229" i="17" s="1"/>
  <c r="AG539" i="17"/>
  <c r="AI539" i="17" s="1"/>
  <c r="AG435" i="17"/>
  <c r="AI435" i="17" s="1"/>
  <c r="AG540" i="17"/>
  <c r="AI540" i="17" s="1"/>
  <c r="AG671" i="17"/>
  <c r="AI671" i="17" s="1"/>
  <c r="AG605" i="17"/>
  <c r="AI605" i="17" s="1"/>
  <c r="AG566" i="17"/>
  <c r="AI566" i="17" s="1"/>
  <c r="AG71" i="17"/>
  <c r="AI71" i="17" s="1"/>
  <c r="AG91" i="17"/>
  <c r="AI91" i="17" s="1"/>
  <c r="AG191" i="17"/>
  <c r="AI191" i="17" s="1"/>
  <c r="AG206" i="17"/>
  <c r="AI206" i="17" s="1"/>
  <c r="AG255" i="17"/>
  <c r="AI255" i="17" s="1"/>
  <c r="AG284" i="17"/>
  <c r="AI284" i="17" s="1"/>
  <c r="AG391" i="17"/>
  <c r="AI391" i="17" s="1"/>
  <c r="AG337" i="17"/>
  <c r="AI337" i="17" s="1"/>
  <c r="AG497" i="17"/>
  <c r="AI497" i="17" s="1"/>
  <c r="AG474" i="17"/>
  <c r="AI474" i="17" s="1"/>
  <c r="AG576" i="17"/>
  <c r="AI576" i="17" s="1"/>
  <c r="AG260" i="17"/>
  <c r="AI260" i="17" s="1"/>
  <c r="AG388" i="17"/>
  <c r="AI388" i="17" s="1"/>
  <c r="AG698" i="17"/>
  <c r="AI698" i="17" s="1"/>
  <c r="AG601" i="17"/>
  <c r="AI601" i="17" s="1"/>
  <c r="AG828" i="17"/>
  <c r="AI828" i="17" s="1"/>
  <c r="AG222" i="17"/>
  <c r="AI222" i="17" s="1"/>
  <c r="AG77" i="17"/>
  <c r="AI77" i="17" s="1"/>
  <c r="AG86" i="17"/>
  <c r="AI86" i="17" s="1"/>
  <c r="AG111" i="17"/>
  <c r="AI111" i="17" s="1"/>
  <c r="AG119" i="17"/>
  <c r="AI119" i="17" s="1"/>
  <c r="AG100" i="17"/>
  <c r="AI100" i="17" s="1"/>
  <c r="AG108" i="17"/>
  <c r="AI108" i="17" s="1"/>
  <c r="AG181" i="17"/>
  <c r="AI181" i="17" s="1"/>
  <c r="AG141" i="17"/>
  <c r="AI141" i="17" s="1"/>
  <c r="AG193" i="17"/>
  <c r="AI193" i="17" s="1"/>
  <c r="AG233" i="17"/>
  <c r="AI233" i="17" s="1"/>
  <c r="AG389" i="17"/>
  <c r="AI389" i="17" s="1"/>
  <c r="AG321" i="17"/>
  <c r="AI321" i="17" s="1"/>
  <c r="AG216" i="17"/>
  <c r="AI216" i="17" s="1"/>
  <c r="AG247" i="17"/>
  <c r="AI247" i="17" s="1"/>
  <c r="AG303" i="17"/>
  <c r="AI303" i="17" s="1"/>
  <c r="AG320" i="17"/>
  <c r="AI320" i="17" s="1"/>
  <c r="AG204" i="17"/>
  <c r="AI204" i="17" s="1"/>
  <c r="AG246" i="17"/>
  <c r="AI246" i="17" s="1"/>
  <c r="AG374" i="17"/>
  <c r="AI374" i="17" s="1"/>
  <c r="AG299" i="17"/>
  <c r="AI299" i="17" s="1"/>
  <c r="AG427" i="17"/>
  <c r="AI427" i="17" s="1"/>
  <c r="AG531" i="17"/>
  <c r="AI531" i="17" s="1"/>
  <c r="AG586" i="17"/>
  <c r="AI586" i="17" s="1"/>
  <c r="AG794" i="17"/>
  <c r="AI794" i="17" s="1"/>
  <c r="AG176" i="17"/>
  <c r="AI176" i="17" s="1"/>
  <c r="AG310" i="17"/>
  <c r="AI310" i="17" s="1"/>
  <c r="AG63" i="17"/>
  <c r="AI63" i="17" s="1"/>
  <c r="AG114" i="17"/>
  <c r="AI114" i="17" s="1"/>
  <c r="AG121" i="17"/>
  <c r="AI121" i="17" s="1"/>
  <c r="AG87" i="17"/>
  <c r="AI87" i="17" s="1"/>
  <c r="AG103" i="17"/>
  <c r="AI103" i="17" s="1"/>
  <c r="AG139" i="17"/>
  <c r="AI139" i="17" s="1"/>
  <c r="AG184" i="17"/>
  <c r="AI184" i="17" s="1"/>
  <c r="AG202" i="17"/>
  <c r="AI202" i="17" s="1"/>
  <c r="AG175" i="17"/>
  <c r="AI175" i="17" s="1"/>
  <c r="AG257" i="17"/>
  <c r="AI257" i="17" s="1"/>
  <c r="AG287" i="17"/>
  <c r="AI287" i="17" s="1"/>
  <c r="AG327" i="17"/>
  <c r="AI327" i="17" s="1"/>
  <c r="AG273" i="17"/>
  <c r="AI273" i="17" s="1"/>
  <c r="AG230" i="17"/>
  <c r="AI230" i="17" s="1"/>
  <c r="AG455" i="17"/>
  <c r="AI455" i="17" s="1"/>
  <c r="AG416" i="17"/>
  <c r="AI416" i="17" s="1"/>
  <c r="AG563" i="17"/>
  <c r="AI563" i="17" s="1"/>
  <c r="AG500" i="17"/>
  <c r="AI500" i="17" s="1"/>
  <c r="AG693" i="17"/>
  <c r="AI693" i="17" s="1"/>
  <c r="AG849" i="17"/>
  <c r="AI849" i="17" s="1"/>
  <c r="AG994" i="17"/>
  <c r="AI994" i="17" s="1"/>
  <c r="AG155" i="17"/>
  <c r="AI155" i="17" s="1"/>
  <c r="AG363" i="17"/>
  <c r="AI363" i="17" s="1"/>
  <c r="AG1038" i="17"/>
  <c r="AI1038" i="17" s="1"/>
  <c r="AG55" i="17"/>
  <c r="AI55" i="17" s="1"/>
  <c r="AG122" i="17"/>
  <c r="AI122" i="17" s="1"/>
  <c r="AG124" i="17"/>
  <c r="AI124" i="17" s="1"/>
  <c r="AG132" i="17"/>
  <c r="AI132" i="17" s="1"/>
  <c r="AG162" i="17"/>
  <c r="AI162" i="17" s="1"/>
  <c r="AG196" i="17"/>
  <c r="AI196" i="17" s="1"/>
  <c r="AG192" i="17"/>
  <c r="AI192" i="17" s="1"/>
  <c r="AG259" i="17"/>
  <c r="AI259" i="17" s="1"/>
  <c r="AG298" i="17"/>
  <c r="AI298" i="17" s="1"/>
  <c r="AG328" i="17"/>
  <c r="AI328" i="17" s="1"/>
  <c r="AG362" i="17"/>
  <c r="AI362" i="17" s="1"/>
  <c r="AG249" i="17"/>
  <c r="AI249" i="17" s="1"/>
  <c r="AG373" i="17"/>
  <c r="AI373" i="17" s="1"/>
  <c r="AG366" i="17"/>
  <c r="AI366" i="17" s="1"/>
  <c r="AG390" i="17"/>
  <c r="AI390" i="17" s="1"/>
  <c r="AG431" i="17"/>
  <c r="AI431" i="17" s="1"/>
  <c r="AG679" i="17"/>
  <c r="AI679" i="17" s="1"/>
  <c r="AG543" i="17"/>
  <c r="AI543" i="17" s="1"/>
  <c r="AG625" i="17"/>
  <c r="AI625" i="17" s="1"/>
  <c r="AG561" i="17"/>
  <c r="AI561" i="17" s="1"/>
  <c r="AG1002" i="17"/>
  <c r="AI1002" i="17" s="1"/>
  <c r="AG1068" i="17"/>
  <c r="AI1068" i="17" s="1"/>
  <c r="AG82" i="17"/>
  <c r="AI82" i="17" s="1"/>
  <c r="AG60" i="17"/>
  <c r="AI60" i="17" s="1"/>
  <c r="AG52" i="17"/>
  <c r="AI52" i="17" s="1"/>
  <c r="AG93" i="17"/>
  <c r="AI93" i="17" s="1"/>
  <c r="AG90" i="17"/>
  <c r="AI90" i="17" s="1"/>
  <c r="AG147" i="17"/>
  <c r="AI147" i="17" s="1"/>
  <c r="AG171" i="17"/>
  <c r="AI171" i="17" s="1"/>
  <c r="AG179" i="17"/>
  <c r="AI179" i="17" s="1"/>
  <c r="AG231" i="17"/>
  <c r="AI231" i="17" s="1"/>
  <c r="AG153" i="17"/>
  <c r="AI153" i="17" s="1"/>
  <c r="AG215" i="17"/>
  <c r="AI215" i="17" s="1"/>
  <c r="AG245" i="17"/>
  <c r="AI245" i="17" s="1"/>
  <c r="AG250" i="17"/>
  <c r="AI250" i="17" s="1"/>
  <c r="AG241" i="17"/>
  <c r="AI241" i="17" s="1"/>
  <c r="AG275" i="17"/>
  <c r="AI275" i="17" s="1"/>
  <c r="AG509" i="17"/>
  <c r="AI509" i="17" s="1"/>
  <c r="AG571" i="17"/>
  <c r="AI571" i="17" s="1"/>
  <c r="AG600" i="17"/>
  <c r="AI600" i="17" s="1"/>
  <c r="AG324" i="17"/>
  <c r="AI324" i="17" s="1"/>
  <c r="AG395" i="17"/>
  <c r="AI395" i="17" s="1"/>
  <c r="AG452" i="17"/>
  <c r="AI452" i="17" s="1"/>
  <c r="AG583" i="17"/>
  <c r="AI583" i="17" s="1"/>
  <c r="AG684" i="17"/>
  <c r="AI684" i="17" s="1"/>
  <c r="AG648" i="17"/>
  <c r="AI648" i="17" s="1"/>
  <c r="AG624" i="17"/>
  <c r="AI624" i="17" s="1"/>
  <c r="AG647" i="17"/>
  <c r="AI647" i="17" s="1"/>
  <c r="AG84" i="17"/>
  <c r="AI84" i="17" s="1"/>
  <c r="AG142" i="17"/>
  <c r="AI142" i="17" s="1"/>
  <c r="AG218" i="17"/>
  <c r="AI218" i="17" s="1"/>
  <c r="AG225" i="17"/>
  <c r="AI225" i="17" s="1"/>
  <c r="AG267" i="17"/>
  <c r="AI267" i="17" s="1"/>
  <c r="AG338" i="17"/>
  <c r="AI338" i="17" s="1"/>
  <c r="AG378" i="17"/>
  <c r="AI378" i="17" s="1"/>
  <c r="AG274" i="17"/>
  <c r="AI274" i="17" s="1"/>
  <c r="AG296" i="17"/>
  <c r="AI296" i="17" s="1"/>
  <c r="AG410" i="17"/>
  <c r="AI410" i="17" s="1"/>
  <c r="AG459" i="17"/>
  <c r="AI459" i="17" s="1"/>
  <c r="AG488" i="17"/>
  <c r="AI488" i="17" s="1"/>
  <c r="AG445" i="17"/>
  <c r="AI445" i="17" s="1"/>
  <c r="AG278" i="17"/>
  <c r="AI278" i="17" s="1"/>
  <c r="AG342" i="17"/>
  <c r="AI342" i="17" s="1"/>
  <c r="AG406" i="17"/>
  <c r="AI406" i="17" s="1"/>
  <c r="AG470" i="17"/>
  <c r="AI470" i="17" s="1"/>
  <c r="AG547" i="17"/>
  <c r="AI547" i="17" s="1"/>
  <c r="AG367" i="17"/>
  <c r="AI367" i="17" s="1"/>
  <c r="AG580" i="17"/>
  <c r="AI580" i="17" s="1"/>
  <c r="AG575" i="17"/>
  <c r="AI575" i="17" s="1"/>
  <c r="AG596" i="17"/>
  <c r="AI596" i="17" s="1"/>
  <c r="AG676" i="17"/>
  <c r="AI676" i="17" s="1"/>
  <c r="AG673" i="17"/>
  <c r="AI673" i="17" s="1"/>
  <c r="AG721" i="17"/>
  <c r="AI721" i="17" s="1"/>
  <c r="AG696" i="17"/>
  <c r="AI696" i="17" s="1"/>
  <c r="AG516" i="17"/>
  <c r="AI516" i="17" s="1"/>
  <c r="AG585" i="17"/>
  <c r="AI585" i="17" s="1"/>
  <c r="AG775" i="17"/>
  <c r="AI775" i="17" s="1"/>
  <c r="AG737" i="17"/>
  <c r="AI737" i="17" s="1"/>
  <c r="AG730" i="17"/>
  <c r="AI730" i="17" s="1"/>
  <c r="AG756" i="17"/>
  <c r="AI756" i="17" s="1"/>
  <c r="AG717" i="17"/>
  <c r="AI717" i="17" s="1"/>
  <c r="AG781" i="17"/>
  <c r="AI781" i="17" s="1"/>
  <c r="AG816" i="17"/>
  <c r="AI816" i="17" s="1"/>
  <c r="AG868" i="17"/>
  <c r="AI868" i="17" s="1"/>
  <c r="AG795" i="17"/>
  <c r="AI795" i="17" s="1"/>
  <c r="AG827" i="17"/>
  <c r="AI827" i="17" s="1"/>
  <c r="AG1011" i="17"/>
  <c r="AI1011" i="17" s="1"/>
  <c r="AG1013" i="17"/>
  <c r="AI1013" i="17" s="1"/>
  <c r="AG1053" i="17"/>
  <c r="AI1053" i="17" s="1"/>
  <c r="AG210" i="17"/>
  <c r="AI210" i="17" s="1"/>
  <c r="AG226" i="17"/>
  <c r="AI226" i="17" s="1"/>
  <c r="AG269" i="17"/>
  <c r="AI269" i="17" s="1"/>
  <c r="AG381" i="17"/>
  <c r="AI381" i="17" s="1"/>
  <c r="AG418" i="17"/>
  <c r="AI418" i="17" s="1"/>
  <c r="AG541" i="17"/>
  <c r="AI541" i="17" s="1"/>
  <c r="AG453" i="17"/>
  <c r="AI453" i="17" s="1"/>
  <c r="AG286" i="17"/>
  <c r="AI286" i="17" s="1"/>
  <c r="AG350" i="17"/>
  <c r="AI350" i="17" s="1"/>
  <c r="AG414" i="17"/>
  <c r="AI414" i="17" s="1"/>
  <c r="AG478" i="17"/>
  <c r="AI478" i="17" s="1"/>
  <c r="AG494" i="17"/>
  <c r="AI494" i="17" s="1"/>
  <c r="AG375" i="17"/>
  <c r="AI375" i="17" s="1"/>
  <c r="AG639" i="17"/>
  <c r="AI639" i="17" s="1"/>
  <c r="AG591" i="17"/>
  <c r="AI591" i="17" s="1"/>
  <c r="AG654" i="17"/>
  <c r="AI654" i="17" s="1"/>
  <c r="AG662" i="17"/>
  <c r="AI662" i="17" s="1"/>
  <c r="AG687" i="17"/>
  <c r="AI687" i="17" s="1"/>
  <c r="AG744" i="17"/>
  <c r="AI744" i="17" s="1"/>
  <c r="AG776" i="17"/>
  <c r="AI776" i="17" s="1"/>
  <c r="AG760" i="17"/>
  <c r="AI760" i="17" s="1"/>
  <c r="AG900" i="17"/>
  <c r="AI900" i="17" s="1"/>
  <c r="AG30" i="17"/>
  <c r="AH30" i="17"/>
  <c r="AE30" i="17"/>
  <c r="AL30" i="17"/>
  <c r="AG301" i="17"/>
  <c r="AI301" i="17" s="1"/>
  <c r="AG354" i="17"/>
  <c r="AI354" i="17" s="1"/>
  <c r="AG394" i="17"/>
  <c r="AI394" i="17" s="1"/>
  <c r="AG528" i="17"/>
  <c r="AI528" i="17" s="1"/>
  <c r="AG461" i="17"/>
  <c r="AI461" i="17" s="1"/>
  <c r="AG294" i="17"/>
  <c r="AI294" i="17" s="1"/>
  <c r="AG358" i="17"/>
  <c r="AI358" i="17" s="1"/>
  <c r="AG422" i="17"/>
  <c r="AI422" i="17" s="1"/>
  <c r="AG589" i="17"/>
  <c r="AI589" i="17" s="1"/>
  <c r="AG699" i="17"/>
  <c r="AI699" i="17" s="1"/>
  <c r="AG723" i="17"/>
  <c r="AI723" i="17" s="1"/>
  <c r="AG745" i="17"/>
  <c r="AI745" i="17" s="1"/>
  <c r="AG773" i="17"/>
  <c r="AI773" i="17" s="1"/>
  <c r="AG1046" i="17"/>
  <c r="AI1046" i="17" s="1"/>
  <c r="AG925" i="17"/>
  <c r="AI925" i="17" s="1"/>
  <c r="AG953" i="17"/>
  <c r="AI953" i="17" s="1"/>
  <c r="AG1055" i="17"/>
  <c r="AI1055" i="17" s="1"/>
  <c r="AG1066" i="17"/>
  <c r="AI1066" i="17" s="1"/>
  <c r="AG236" i="17"/>
  <c r="AI236" i="17" s="1"/>
  <c r="AG314" i="17"/>
  <c r="AI314" i="17" s="1"/>
  <c r="AG344" i="17"/>
  <c r="AI344" i="17" s="1"/>
  <c r="AG313" i="17"/>
  <c r="AI313" i="17" s="1"/>
  <c r="AG544" i="17"/>
  <c r="AI544" i="17" s="1"/>
  <c r="AG263" i="17"/>
  <c r="AI263" i="17" s="1"/>
  <c r="AG681" i="17"/>
  <c r="AI681" i="17" s="1"/>
  <c r="AG703" i="17"/>
  <c r="AI703" i="17" s="1"/>
  <c r="AG554" i="17"/>
  <c r="AI554" i="17" s="1"/>
  <c r="AG642" i="17"/>
  <c r="AI642" i="17" s="1"/>
  <c r="AG695" i="17"/>
  <c r="AI695" i="17" s="1"/>
  <c r="AG683" i="17"/>
  <c r="AI683" i="17" s="1"/>
  <c r="AG677" i="17"/>
  <c r="AI677" i="17" s="1"/>
  <c r="AG630" i="17"/>
  <c r="AI630" i="17" s="1"/>
  <c r="AG689" i="17"/>
  <c r="AI689" i="17" s="1"/>
  <c r="AG757" i="17"/>
  <c r="AI757" i="17" s="1"/>
  <c r="AG770" i="17"/>
  <c r="AI770" i="17" s="1"/>
  <c r="AG678" i="17"/>
  <c r="AI678" i="17" s="1"/>
  <c r="AG774" i="17"/>
  <c r="AI774" i="17" s="1"/>
  <c r="AG844" i="17"/>
  <c r="AI844" i="17" s="1"/>
  <c r="AG887" i="17"/>
  <c r="AI887" i="17" s="1"/>
  <c r="AG747" i="17"/>
  <c r="AI747" i="17" s="1"/>
  <c r="AG854" i="17"/>
  <c r="AI854" i="17" s="1"/>
  <c r="AG889" i="17"/>
  <c r="AI889" i="17" s="1"/>
  <c r="AG1018" i="17"/>
  <c r="AI1018" i="17" s="1"/>
  <c r="AG939" i="17"/>
  <c r="AI939" i="17" s="1"/>
  <c r="AG1031" i="17"/>
  <c r="AI1031" i="17" s="1"/>
  <c r="AG385" i="17"/>
  <c r="AI385" i="17" s="1"/>
  <c r="AG504" i="17"/>
  <c r="AI504" i="17" s="1"/>
  <c r="AG533" i="17"/>
  <c r="AI533" i="17" s="1"/>
  <c r="AG674" i="17"/>
  <c r="AI674" i="17" s="1"/>
  <c r="AG666" i="17"/>
  <c r="AI666" i="17" s="1"/>
  <c r="AG658" i="17"/>
  <c r="AI658" i="17" s="1"/>
  <c r="AG617" i="17"/>
  <c r="AI617" i="17" s="1"/>
  <c r="AG777" i="17"/>
  <c r="AI777" i="17" s="1"/>
  <c r="AG788" i="17"/>
  <c r="AI788" i="17" s="1"/>
  <c r="AG847" i="17"/>
  <c r="AI847" i="17" s="1"/>
  <c r="AG972" i="17"/>
  <c r="AI972" i="17" s="1"/>
  <c r="AG949" i="17"/>
  <c r="AI949" i="17" s="1"/>
  <c r="AE26" i="17"/>
  <c r="AL26" i="17"/>
  <c r="AG428" i="17"/>
  <c r="AI428" i="17" s="1"/>
  <c r="AG577" i="17"/>
  <c r="AI577" i="17" s="1"/>
  <c r="AG495" i="17"/>
  <c r="AI495" i="17" s="1"/>
  <c r="AG524" i="17"/>
  <c r="AI524" i="17" s="1"/>
  <c r="AG663" i="17"/>
  <c r="AI663" i="17" s="1"/>
  <c r="AG656" i="17"/>
  <c r="AI656" i="17" s="1"/>
  <c r="AG493" i="17"/>
  <c r="AI493" i="17" s="1"/>
  <c r="AG595" i="17"/>
  <c r="AI595" i="17" s="1"/>
  <c r="AG618" i="17"/>
  <c r="AI618" i="17" s="1"/>
  <c r="AG685" i="17"/>
  <c r="AI685" i="17" s="1"/>
  <c r="AG623" i="17"/>
  <c r="AI623" i="17" s="1"/>
  <c r="AG606" i="17"/>
  <c r="AI606" i="17" s="1"/>
  <c r="AG743" i="17"/>
  <c r="AI743" i="17" s="1"/>
  <c r="AG714" i="17"/>
  <c r="AI714" i="17" s="1"/>
  <c r="AG751" i="17"/>
  <c r="AI751" i="17" s="1"/>
  <c r="AG670" i="17"/>
  <c r="AI670" i="17" s="1"/>
  <c r="AG802" i="17"/>
  <c r="AI802" i="17" s="1"/>
  <c r="AG870" i="17"/>
  <c r="AI870" i="17" s="1"/>
  <c r="AG863" i="17"/>
  <c r="AI863" i="17" s="1"/>
  <c r="AG838" i="17"/>
  <c r="AI838" i="17" s="1"/>
  <c r="AG759" i="17"/>
  <c r="AI759" i="17" s="1"/>
  <c r="AG878" i="17"/>
  <c r="AI878" i="17" s="1"/>
  <c r="AG965" i="17"/>
  <c r="AI965" i="17" s="1"/>
  <c r="AG941" i="17"/>
  <c r="AI941" i="17" s="1"/>
  <c r="AG1005" i="17"/>
  <c r="AI1005" i="17" s="1"/>
  <c r="AG1041" i="17"/>
  <c r="AI1041" i="17" s="1"/>
  <c r="AG1049" i="17"/>
  <c r="AI1049" i="17" s="1"/>
  <c r="AG1026" i="17"/>
  <c r="AI1026" i="17" s="1"/>
  <c r="AL19" i="17"/>
  <c r="AG19" i="17"/>
  <c r="AE19" i="17"/>
  <c r="I33" i="17" a="1"/>
  <c r="I33" i="17" s="1"/>
  <c r="I31" i="17" a="1"/>
  <c r="I31" i="17" s="1"/>
  <c r="I29" i="17" a="1"/>
  <c r="I29" i="17" s="1"/>
  <c r="I24" i="17" a="1"/>
  <c r="I24" i="17" s="1"/>
  <c r="I22" i="17" a="1"/>
  <c r="I22" i="17" s="1"/>
  <c r="I20" i="17" a="1"/>
  <c r="I20" i="17" s="1"/>
  <c r="I18" i="17" a="1"/>
  <c r="I18" i="17" s="1"/>
  <c r="I25" i="17" a="1"/>
  <c r="I25" i="17" s="1"/>
  <c r="I176" i="17" a="1"/>
  <c r="I176" i="17" s="1"/>
  <c r="I163" i="17" a="1"/>
  <c r="I163" i="17" s="1"/>
  <c r="I158" i="17" a="1"/>
  <c r="I158" i="17" s="1"/>
  <c r="I188" i="17" a="1"/>
  <c r="I188" i="17" s="1"/>
  <c r="I191" i="17" a="1"/>
  <c r="I191" i="17" s="1"/>
  <c r="I198" i="17" a="1"/>
  <c r="I198" i="17" s="1"/>
  <c r="I138" i="17" a="1"/>
  <c r="I138" i="17" s="1"/>
  <c r="I135" i="17" a="1"/>
  <c r="I135" i="17" s="1"/>
  <c r="I122" i="17" a="1"/>
  <c r="I122" i="17" s="1"/>
  <c r="I117" i="17" a="1"/>
  <c r="I117" i="17" s="1"/>
  <c r="I104" i="17" a="1"/>
  <c r="I104" i="17" s="1"/>
  <c r="I100" i="17" a="1"/>
  <c r="I100" i="17" s="1"/>
  <c r="I161" i="17" a="1"/>
  <c r="I161" i="17" s="1"/>
  <c r="I78" i="17" a="1"/>
  <c r="I78" i="17" s="1"/>
  <c r="I69" i="17" a="1"/>
  <c r="I69" i="17" s="1"/>
  <c r="I55" i="17" a="1"/>
  <c r="I55" i="17" s="1"/>
  <c r="I36" i="17" a="1"/>
  <c r="I36" i="17" s="1"/>
  <c r="I44" i="17" a="1"/>
  <c r="I44" i="17" s="1"/>
  <c r="I37" i="17" a="1"/>
  <c r="I37" i="17" s="1"/>
  <c r="I68" i="17" a="1"/>
  <c r="I68" i="17" s="1"/>
  <c r="I34" i="17" a="1"/>
  <c r="I34" i="17" s="1"/>
  <c r="I28" i="17" a="1"/>
  <c r="I28" i="17" s="1"/>
  <c r="I168" i="17" a="1"/>
  <c r="I168" i="17" s="1"/>
  <c r="I155" i="17" a="1"/>
  <c r="I155" i="17" s="1"/>
  <c r="I150" i="17" a="1"/>
  <c r="I150" i="17" s="1"/>
  <c r="I180" i="17" a="1"/>
  <c r="I180" i="17" s="1"/>
  <c r="I183" i="17" a="1"/>
  <c r="I183" i="17" s="1"/>
  <c r="I194" i="17" a="1"/>
  <c r="I194" i="17" s="1"/>
  <c r="I189" i="17" a="1"/>
  <c r="I189" i="17" s="1"/>
  <c r="I127" i="17" a="1"/>
  <c r="I127" i="17" s="1"/>
  <c r="I114" i="17" a="1"/>
  <c r="I114" i="17" s="1"/>
  <c r="I109" i="17" a="1"/>
  <c r="I109" i="17" s="1"/>
  <c r="I89" i="17" a="1"/>
  <c r="I89" i="17" s="1"/>
  <c r="I132" i="17" a="1"/>
  <c r="I132" i="17" s="1"/>
  <c r="I56" i="17" a="1"/>
  <c r="I56" i="17" s="1"/>
  <c r="I65" i="17" a="1"/>
  <c r="I65" i="17" s="1"/>
  <c r="I79" i="17" a="1"/>
  <c r="I79" i="17" s="1"/>
  <c r="I82" i="17" a="1"/>
  <c r="I82" i="17" s="1"/>
  <c r="I41" i="17" a="1"/>
  <c r="I41" i="17" s="1"/>
  <c r="O40" i="17" s="1" a="1"/>
  <c r="O40" i="17" s="1"/>
  <c r="I87" i="17" a="1"/>
  <c r="I87" i="17" s="1"/>
  <c r="I64" i="17" a="1"/>
  <c r="I64" i="17" s="1"/>
  <c r="I35" i="17" a="1"/>
  <c r="I35" i="17" s="1"/>
  <c r="I160" i="17" a="1"/>
  <c r="I160" i="17" s="1"/>
  <c r="I147" i="17" a="1"/>
  <c r="I147" i="17" s="1"/>
  <c r="I142" i="17" a="1"/>
  <c r="I142" i="17" s="1"/>
  <c r="I172" i="17" a="1"/>
  <c r="I172" i="17" s="1"/>
  <c r="I175" i="17" a="1"/>
  <c r="I175" i="17" s="1"/>
  <c r="I186" i="17" a="1"/>
  <c r="I186" i="17" s="1"/>
  <c r="I181" i="17" a="1"/>
  <c r="I181" i="17" s="1"/>
  <c r="I119" i="17" a="1"/>
  <c r="I119" i="17" s="1"/>
  <c r="I106" i="17" a="1"/>
  <c r="I106" i="17" s="1"/>
  <c r="I101" i="17" a="1"/>
  <c r="I101" i="17" s="1"/>
  <c r="I86" i="17" a="1"/>
  <c r="I86" i="17" s="1"/>
  <c r="I152" i="17" a="1"/>
  <c r="I152" i="17" s="1"/>
  <c r="I136" i="17" a="1"/>
  <c r="I136" i="17" s="1"/>
  <c r="I124" i="17" a="1"/>
  <c r="I124" i="17" s="1"/>
  <c r="I49" i="17" a="1"/>
  <c r="I49" i="17" s="1"/>
  <c r="I59" i="17" a="1"/>
  <c r="I59" i="17" s="1"/>
  <c r="I70" i="17" a="1"/>
  <c r="I70" i="17" s="1"/>
  <c r="I74" i="17" a="1"/>
  <c r="I74" i="17" s="1"/>
  <c r="O72" i="17" s="1" a="1"/>
  <c r="O72" i="17" s="1"/>
  <c r="I39" i="17" a="1"/>
  <c r="I39" i="17" s="1"/>
  <c r="I80" i="17" a="1"/>
  <c r="I80" i="17" s="1"/>
  <c r="I61" i="17" a="1"/>
  <c r="I61" i="17" s="1"/>
  <c r="I21" i="17" a="1"/>
  <c r="I21" i="17" s="1"/>
  <c r="I23" i="17" a="1"/>
  <c r="I23" i="17" s="1"/>
  <c r="I197" i="17" a="1"/>
  <c r="I197" i="17" s="1"/>
  <c r="I139" i="17" a="1"/>
  <c r="I139" i="17" s="1"/>
  <c r="I193" i="17" a="1"/>
  <c r="I193" i="17" s="1"/>
  <c r="I164" i="17" a="1"/>
  <c r="I164" i="17" s="1"/>
  <c r="I167" i="17" a="1"/>
  <c r="I167" i="17" s="1"/>
  <c r="I178" i="17" a="1"/>
  <c r="I178" i="17" s="1"/>
  <c r="I173" i="17" a="1"/>
  <c r="I173" i="17" s="1"/>
  <c r="I111" i="17" a="1"/>
  <c r="I111" i="17" s="1"/>
  <c r="I96" i="17" a="1"/>
  <c r="I96" i="17" s="1"/>
  <c r="I144" i="17" a="1"/>
  <c r="I144" i="17" s="1"/>
  <c r="I134" i="17" a="1"/>
  <c r="I134" i="17" s="1"/>
  <c r="I129" i="17" a="1"/>
  <c r="I129" i="17" s="1"/>
  <c r="I116" i="17" a="1"/>
  <c r="I116" i="17" s="1"/>
  <c r="I47" i="17" a="1"/>
  <c r="I47" i="17" s="1"/>
  <c r="I52" i="17" a="1"/>
  <c r="I52" i="17" s="1"/>
  <c r="I66" i="17" a="1"/>
  <c r="I66" i="17" s="1"/>
  <c r="I60" i="17" a="1"/>
  <c r="I60" i="17" s="1"/>
  <c r="I77" i="17" a="1"/>
  <c r="I77" i="17" s="1"/>
  <c r="I58" i="17" a="1"/>
  <c r="I58" i="17" s="1"/>
  <c r="I32" i="17" a="1"/>
  <c r="I32" i="17" s="1"/>
  <c r="I27" i="17" a="1"/>
  <c r="I27" i="17" s="1"/>
  <c r="I195" i="17" a="1"/>
  <c r="I195" i="17" s="1"/>
  <c r="I190" i="17" a="1"/>
  <c r="I190" i="17" s="1"/>
  <c r="I185" i="17" a="1"/>
  <c r="I185" i="17" s="1"/>
  <c r="I156" i="17" a="1"/>
  <c r="I156" i="17" s="1"/>
  <c r="I159" i="17" a="1"/>
  <c r="I159" i="17" s="1"/>
  <c r="I170" i="17" a="1"/>
  <c r="I170" i="17" s="1"/>
  <c r="I165" i="17" a="1"/>
  <c r="I165" i="17" s="1"/>
  <c r="I103" i="17" a="1"/>
  <c r="I103" i="17" s="1"/>
  <c r="I153" i="17" a="1"/>
  <c r="I153" i="17" s="1"/>
  <c r="I91" i="17" a="1"/>
  <c r="I91" i="17" s="1"/>
  <c r="I131" i="17" a="1"/>
  <c r="I131" i="17" s="1"/>
  <c r="I126" i="17" a="1"/>
  <c r="I126" i="17" s="1"/>
  <c r="I121" i="17" a="1"/>
  <c r="I121" i="17" s="1"/>
  <c r="I108" i="17" a="1"/>
  <c r="I108" i="17" s="1"/>
  <c r="I45" i="17" a="1"/>
  <c r="I45" i="17" s="1"/>
  <c r="I38" i="17" a="1"/>
  <c r="I38" i="17" s="1"/>
  <c r="I57" i="17" a="1"/>
  <c r="I57" i="17" s="1"/>
  <c r="I54" i="17" a="1"/>
  <c r="I54" i="17" s="1"/>
  <c r="I71" i="17" a="1"/>
  <c r="I71" i="17" s="1"/>
  <c r="O71" i="17" s="1" a="1"/>
  <c r="O71" i="17" s="1"/>
  <c r="I53" i="17" a="1"/>
  <c r="I53" i="17" s="1"/>
  <c r="I201" i="17" a="1"/>
  <c r="I201" i="17" s="1"/>
  <c r="I187" i="17" a="1"/>
  <c r="I187" i="17" s="1"/>
  <c r="I182" i="17" a="1"/>
  <c r="I182" i="17" s="1"/>
  <c r="I177" i="17" a="1"/>
  <c r="I177" i="17" s="1"/>
  <c r="I148" i="17" a="1"/>
  <c r="I148" i="17" s="1"/>
  <c r="I151" i="17" a="1"/>
  <c r="I151" i="17" s="1"/>
  <c r="I162" i="17" a="1"/>
  <c r="I162" i="17" s="1"/>
  <c r="I157" i="17" a="1"/>
  <c r="I157" i="17" s="1"/>
  <c r="I145" i="17" a="1"/>
  <c r="I145" i="17" s="1"/>
  <c r="I128" i="17" a="1"/>
  <c r="I128" i="17" s="1"/>
  <c r="I123" i="17" a="1"/>
  <c r="I123" i="17" s="1"/>
  <c r="I118" i="17" a="1"/>
  <c r="I118" i="17" s="1"/>
  <c r="I113" i="17" a="1"/>
  <c r="I113" i="17" s="1"/>
  <c r="I88" i="17" a="1"/>
  <c r="I88" i="17" s="1"/>
  <c r="I85" i="17" a="1"/>
  <c r="I85" i="17" s="1"/>
  <c r="I51" i="17" a="1"/>
  <c r="I51" i="17" s="1"/>
  <c r="I50" i="17" a="1"/>
  <c r="I50" i="17" s="1"/>
  <c r="I67" i="17" a="1"/>
  <c r="I67" i="17" s="1"/>
  <c r="I84" i="17" a="1"/>
  <c r="I84" i="17" s="1"/>
  <c r="I30" i="17" a="1"/>
  <c r="I30" i="17" s="1"/>
  <c r="I26" i="17" a="1"/>
  <c r="I26" i="17" s="1"/>
  <c r="I192" i="17" a="1"/>
  <c r="I192" i="17" s="1"/>
  <c r="I179" i="17" a="1"/>
  <c r="I179" i="17" s="1"/>
  <c r="I174" i="17" a="1"/>
  <c r="I174" i="17" s="1"/>
  <c r="I169" i="17" a="1"/>
  <c r="I169" i="17" s="1"/>
  <c r="I140" i="17" a="1"/>
  <c r="I140" i="17" s="1"/>
  <c r="I143" i="17" a="1"/>
  <c r="I143" i="17" s="1"/>
  <c r="I154" i="17" a="1"/>
  <c r="I154" i="17" s="1"/>
  <c r="I149" i="17" a="1"/>
  <c r="I149" i="17" s="1"/>
  <c r="I137" i="17" a="1"/>
  <c r="I137" i="17" s="1"/>
  <c r="I133" i="17" a="1"/>
  <c r="I133" i="17" s="1"/>
  <c r="I120" i="17" a="1"/>
  <c r="I120" i="17" s="1"/>
  <c r="I115" i="17" a="1"/>
  <c r="I115" i="17" s="1"/>
  <c r="I110" i="17" a="1"/>
  <c r="I110" i="17" s="1"/>
  <c r="I105" i="17" a="1"/>
  <c r="I105" i="17" s="1"/>
  <c r="I90" i="17" a="1"/>
  <c r="I90" i="17" s="1"/>
  <c r="I81" i="17" a="1"/>
  <c r="I81" i="17" s="1"/>
  <c r="I76" i="17" a="1"/>
  <c r="I76" i="17" s="1"/>
  <c r="I43" i="17" a="1"/>
  <c r="I43" i="17" s="1"/>
  <c r="I48" i="17" a="1"/>
  <c r="I48" i="17" s="1"/>
  <c r="I63" i="17" a="1"/>
  <c r="I63" i="17" s="1"/>
  <c r="I75" i="17" a="1"/>
  <c r="I75" i="17" s="1"/>
  <c r="I19" i="17" a="1"/>
  <c r="I19" i="17" s="1"/>
  <c r="AG280" i="17"/>
  <c r="AI280" i="17" s="1"/>
  <c r="AG507" i="17"/>
  <c r="AI507" i="17" s="1"/>
  <c r="AG532" i="17"/>
  <c r="AI532" i="17" s="1"/>
  <c r="AG646" i="17"/>
  <c r="AI646" i="17" s="1"/>
  <c r="AG615" i="17"/>
  <c r="AI615" i="17" s="1"/>
  <c r="AG599" i="17"/>
  <c r="AI599" i="17" s="1"/>
  <c r="AG675" i="17"/>
  <c r="AI675" i="17" s="1"/>
  <c r="AG682" i="17"/>
  <c r="AI682" i="17" s="1"/>
  <c r="AG769" i="17"/>
  <c r="AI769" i="17" s="1"/>
  <c r="AG707" i="17"/>
  <c r="AI707" i="17" s="1"/>
  <c r="AG731" i="17"/>
  <c r="AI731" i="17" s="1"/>
  <c r="AG766" i="17"/>
  <c r="AI766" i="17" s="1"/>
  <c r="AG814" i="17"/>
  <c r="AI814" i="17" s="1"/>
  <c r="AG885" i="17"/>
  <c r="AI885" i="17" s="1"/>
  <c r="AG879" i="17"/>
  <c r="AI879" i="17" s="1"/>
  <c r="AG983" i="17"/>
  <c r="AI983" i="17" s="1"/>
  <c r="AG967" i="17"/>
  <c r="AI967" i="17" s="1"/>
  <c r="AG991" i="17"/>
  <c r="AI991" i="17" s="1"/>
  <c r="AG1012" i="17"/>
  <c r="AI1012" i="17" s="1"/>
  <c r="AG1024" i="17"/>
  <c r="AI1024" i="17" s="1"/>
  <c r="AG738" i="17"/>
  <c r="AI738" i="17" s="1"/>
  <c r="AG732" i="17"/>
  <c r="AI732" i="17" s="1"/>
  <c r="AG901" i="17"/>
  <c r="AI901" i="17" s="1"/>
  <c r="AG815" i="17"/>
  <c r="AI815" i="17" s="1"/>
  <c r="AG790" i="17"/>
  <c r="AI790" i="17" s="1"/>
  <c r="AG767" i="17"/>
  <c r="AI767" i="17" s="1"/>
  <c r="AG804" i="17"/>
  <c r="AI804" i="17" s="1"/>
  <c r="AG806" i="17"/>
  <c r="AI806" i="17" s="1"/>
  <c r="AG859" i="17"/>
  <c r="AI859" i="17" s="1"/>
  <c r="AG986" i="17"/>
  <c r="AI986" i="17" s="1"/>
  <c r="AG992" i="17"/>
  <c r="AI992" i="17" s="1"/>
  <c r="Q31" i="17" a="1"/>
  <c r="Q31" i="17" s="1"/>
  <c r="H39" i="17" a="1"/>
  <c r="H39" i="17" s="1"/>
  <c r="H74" i="17" a="1"/>
  <c r="H74" i="17" s="1"/>
  <c r="H70" i="17" a="1"/>
  <c r="H70" i="17" s="1"/>
  <c r="H35" i="17" a="1"/>
  <c r="H35" i="17" s="1"/>
  <c r="H45" i="17" a="1"/>
  <c r="H45" i="17" s="1"/>
  <c r="H72" i="17" a="1"/>
  <c r="H72" i="17" s="1"/>
  <c r="L21" i="17" a="1"/>
  <c r="L21" i="17" s="1"/>
  <c r="L28" i="17" a="1"/>
  <c r="L28" i="17" s="1"/>
  <c r="L31" i="17" a="1"/>
  <c r="L31" i="17" s="1"/>
  <c r="H22" i="17" a="1"/>
  <c r="H22" i="17" s="1"/>
  <c r="L86" i="17" a="1"/>
  <c r="L86" i="17" s="1"/>
  <c r="L60" i="17" a="1"/>
  <c r="L60" i="17" s="1"/>
  <c r="L57" i="17" a="1"/>
  <c r="L57" i="17" s="1"/>
  <c r="L35" i="17" a="1"/>
  <c r="L35" i="17" s="1"/>
  <c r="L84" i="17" a="1"/>
  <c r="L84" i="17" s="1"/>
  <c r="L61" i="17" a="1"/>
  <c r="L61" i="17" s="1"/>
  <c r="L92" i="17" a="1"/>
  <c r="L92" i="17" s="1"/>
  <c r="L112" i="17" a="1"/>
  <c r="L112" i="17" s="1"/>
  <c r="L114" i="17" a="1"/>
  <c r="L114" i="17" s="1"/>
  <c r="L135" i="17" a="1"/>
  <c r="L135" i="17" s="1"/>
  <c r="L132" i="17" a="1"/>
  <c r="L132" i="17" s="1"/>
  <c r="L143" i="17" a="1"/>
  <c r="L143" i="17" s="1"/>
  <c r="L148" i="17" a="1"/>
  <c r="L148" i="17" s="1"/>
  <c r="L161" i="17" a="1"/>
  <c r="L161" i="17" s="1"/>
  <c r="L158" i="17" a="1"/>
  <c r="L158" i="17" s="1"/>
  <c r="L187" i="17" a="1"/>
  <c r="L187" i="17" s="1"/>
  <c r="L192" i="17" a="1"/>
  <c r="L192" i="17" s="1"/>
  <c r="L162" i="17" a="1"/>
  <c r="L162" i="17" s="1"/>
  <c r="W24" i="17"/>
  <c r="K43" i="17" a="1"/>
  <c r="K43" i="17" s="1"/>
  <c r="K76" i="17" a="1"/>
  <c r="K76" i="17" s="1"/>
  <c r="K81" i="17" a="1"/>
  <c r="K81" i="17" s="1"/>
  <c r="K83" i="17" a="1"/>
  <c r="K83" i="17" s="1"/>
  <c r="K53" i="17" a="1"/>
  <c r="K53" i="17" s="1"/>
  <c r="K77" i="17" a="1"/>
  <c r="K77" i="17" s="1"/>
  <c r="K60" i="17" a="1"/>
  <c r="K60" i="17" s="1"/>
  <c r="K91" i="17" a="1"/>
  <c r="K91" i="17" s="1"/>
  <c r="K103" i="17" a="1"/>
  <c r="K103" i="17" s="1"/>
  <c r="K116" i="17" a="1"/>
  <c r="K116" i="17" s="1"/>
  <c r="K121" i="17" a="1"/>
  <c r="K121" i="17" s="1"/>
  <c r="K126" i="17" a="1"/>
  <c r="K126" i="17" s="1"/>
  <c r="K131" i="17" a="1"/>
  <c r="K131" i="17" s="1"/>
  <c r="K185" i="17" a="1"/>
  <c r="K185" i="17" s="1"/>
  <c r="K190" i="17" a="1"/>
  <c r="K190" i="17" s="1"/>
  <c r="K195" i="17" a="1"/>
  <c r="K195" i="17" s="1"/>
  <c r="K165" i="17" a="1"/>
  <c r="K165" i="17" s="1"/>
  <c r="K170" i="17" a="1"/>
  <c r="K170" i="17" s="1"/>
  <c r="K175" i="17" a="1"/>
  <c r="K175" i="17" s="1"/>
  <c r="J22" i="17" a="1"/>
  <c r="J22" i="17" s="1"/>
  <c r="H19" i="17" a="1"/>
  <c r="H19" i="17" s="1"/>
  <c r="AG807" i="17"/>
  <c r="AI807" i="17" s="1"/>
  <c r="AG987" i="17"/>
  <c r="AI987" i="17" s="1"/>
  <c r="AG1033" i="17"/>
  <c r="AI1033" i="17" s="1"/>
  <c r="X27" i="17"/>
  <c r="V27" i="17"/>
  <c r="H28" i="17" a="1"/>
  <c r="H28" i="17" s="1"/>
  <c r="L29" i="17" a="1"/>
  <c r="L29" i="17" s="1"/>
  <c r="L39" i="17" a="1"/>
  <c r="L39" i="17" s="1"/>
  <c r="L74" i="17" a="1"/>
  <c r="L74" i="17" s="1"/>
  <c r="L66" i="17" a="1"/>
  <c r="L66" i="17" s="1"/>
  <c r="L38" i="17" a="1"/>
  <c r="L38" i="17" s="1"/>
  <c r="L89" i="17" a="1"/>
  <c r="L89" i="17" s="1"/>
  <c r="L64" i="17" a="1"/>
  <c r="L64" i="17" s="1"/>
  <c r="L107" i="17" a="1"/>
  <c r="L107" i="17" s="1"/>
  <c r="L120" i="17" a="1"/>
  <c r="L120" i="17" s="1"/>
  <c r="L109" i="17" a="1"/>
  <c r="L109" i="17" s="1"/>
  <c r="L122" i="17" a="1"/>
  <c r="L122" i="17" s="1"/>
  <c r="L138" i="17" a="1"/>
  <c r="L138" i="17" s="1"/>
  <c r="L136" i="17" a="1"/>
  <c r="L136" i="17" s="1"/>
  <c r="L151" i="17" a="1"/>
  <c r="L151" i="17" s="1"/>
  <c r="L156" i="17" a="1"/>
  <c r="L156" i="17" s="1"/>
  <c r="L169" i="17" a="1"/>
  <c r="L169" i="17" s="1"/>
  <c r="L166" i="17" a="1"/>
  <c r="L166" i="17" s="1"/>
  <c r="L195" i="17" a="1"/>
  <c r="L195" i="17" s="1"/>
  <c r="L141" i="17" a="1"/>
  <c r="L141" i="17" s="1"/>
  <c r="L170" i="17" a="1"/>
  <c r="L170" i="17" s="1"/>
  <c r="W22" i="17"/>
  <c r="AF31" i="17" s="1"/>
  <c r="K51" i="17" a="1"/>
  <c r="K51" i="17" s="1"/>
  <c r="K35" i="17" a="1"/>
  <c r="K35" i="17" s="1"/>
  <c r="K84" i="17" a="1"/>
  <c r="K84" i="17" s="1"/>
  <c r="K87" i="17" a="1"/>
  <c r="K87" i="17" s="1"/>
  <c r="K58" i="17" a="1"/>
  <c r="K58" i="17" s="1"/>
  <c r="K86" i="17" a="1"/>
  <c r="K86" i="17" s="1"/>
  <c r="K74" i="17" a="1"/>
  <c r="K74" i="17" s="1"/>
  <c r="K106" i="17" a="1"/>
  <c r="K106" i="17" s="1"/>
  <c r="K111" i="17" a="1"/>
  <c r="K111" i="17" s="1"/>
  <c r="K124" i="17" a="1"/>
  <c r="K124" i="17" s="1"/>
  <c r="K129" i="17" a="1"/>
  <c r="K129" i="17" s="1"/>
  <c r="K134" i="17" a="1"/>
  <c r="K134" i="17" s="1"/>
  <c r="K141" i="17" a="1"/>
  <c r="K141" i="17" s="1"/>
  <c r="K193" i="17" a="1"/>
  <c r="K193" i="17" s="1"/>
  <c r="K139" i="17" a="1"/>
  <c r="K139" i="17" s="1"/>
  <c r="K144" i="17" a="1"/>
  <c r="K144" i="17" s="1"/>
  <c r="K173" i="17" a="1"/>
  <c r="K173" i="17" s="1"/>
  <c r="K178" i="17" a="1"/>
  <c r="K178" i="17" s="1"/>
  <c r="K183" i="17" a="1"/>
  <c r="K183" i="17" s="1"/>
  <c r="AG988" i="17"/>
  <c r="AI988" i="17" s="1"/>
  <c r="AG1008" i="17"/>
  <c r="AI1008" i="17" s="1"/>
  <c r="AG1023" i="17"/>
  <c r="AI1023" i="17" s="1"/>
  <c r="AH27" i="17"/>
  <c r="AG27" i="17"/>
  <c r="AE27" i="17"/>
  <c r="AL27" i="17"/>
  <c r="H29" i="17" a="1"/>
  <c r="H29" i="17" s="1"/>
  <c r="L37" i="17" a="1"/>
  <c r="L37" i="17" s="1"/>
  <c r="L41" i="17" a="1"/>
  <c r="L41" i="17" s="1"/>
  <c r="L82" i="17" a="1"/>
  <c r="L82" i="17" s="1"/>
  <c r="L70" i="17" a="1"/>
  <c r="L70" i="17" s="1"/>
  <c r="L52" i="17" a="1"/>
  <c r="L52" i="17" s="1"/>
  <c r="L45" i="17" a="1"/>
  <c r="L45" i="17" s="1"/>
  <c r="L68" i="17" a="1"/>
  <c r="L68" i="17" s="1"/>
  <c r="L102" i="17" a="1"/>
  <c r="L102" i="17" s="1"/>
  <c r="L115" i="17" a="1"/>
  <c r="L115" i="17" s="1"/>
  <c r="L128" i="17" a="1"/>
  <c r="L128" i="17" s="1"/>
  <c r="L117" i="17" a="1"/>
  <c r="L117" i="17" s="1"/>
  <c r="L130" i="17" a="1"/>
  <c r="L130" i="17" s="1"/>
  <c r="L147" i="17" a="1"/>
  <c r="L147" i="17" s="1"/>
  <c r="L155" i="17" a="1"/>
  <c r="L155" i="17" s="1"/>
  <c r="L159" i="17" a="1"/>
  <c r="L159" i="17" s="1"/>
  <c r="L164" i="17" a="1"/>
  <c r="L164" i="17" s="1"/>
  <c r="L177" i="17" a="1"/>
  <c r="L177" i="17" s="1"/>
  <c r="L174" i="17" a="1"/>
  <c r="L174" i="17" s="1"/>
  <c r="L144" i="17" a="1"/>
  <c r="L144" i="17" s="1"/>
  <c r="L149" i="17" a="1"/>
  <c r="L149" i="17" s="1"/>
  <c r="L178" i="17" a="1"/>
  <c r="L178" i="17" s="1"/>
  <c r="K57" i="17" a="1"/>
  <c r="K57" i="17" s="1"/>
  <c r="K38" i="17" a="1"/>
  <c r="K38" i="17" s="1"/>
  <c r="K88" i="17" a="1"/>
  <c r="K88" i="17" s="1"/>
  <c r="K34" i="17" a="1"/>
  <c r="K34" i="17" s="1"/>
  <c r="K80" i="17" a="1"/>
  <c r="K80" i="17" s="1"/>
  <c r="K41" i="17" a="1"/>
  <c r="K41" i="17" s="1"/>
  <c r="K82" i="17" a="1"/>
  <c r="K82" i="17" s="1"/>
  <c r="K114" i="17" a="1"/>
  <c r="K114" i="17" s="1"/>
  <c r="K119" i="17" a="1"/>
  <c r="K119" i="17" s="1"/>
  <c r="K132" i="17" a="1"/>
  <c r="K132" i="17" s="1"/>
  <c r="K149" i="17" a="1"/>
  <c r="K149" i="17" s="1"/>
  <c r="K157" i="17" a="1"/>
  <c r="K157" i="17" s="1"/>
  <c r="K137" i="17" a="1"/>
  <c r="K137" i="17" s="1"/>
  <c r="K142" i="17" a="1"/>
  <c r="K142" i="17" s="1"/>
  <c r="K147" i="17" a="1"/>
  <c r="K147" i="17" s="1"/>
  <c r="K152" i="17" a="1"/>
  <c r="K152" i="17" s="1"/>
  <c r="K181" i="17" a="1"/>
  <c r="K181" i="17" s="1"/>
  <c r="K186" i="17" a="1"/>
  <c r="K186" i="17" s="1"/>
  <c r="J19" i="17" a="1"/>
  <c r="J19" i="17" s="1"/>
  <c r="Y27" i="17"/>
  <c r="AG818" i="17"/>
  <c r="AI818" i="17" s="1"/>
  <c r="AG750" i="17"/>
  <c r="AI750" i="17" s="1"/>
  <c r="AG809" i="17"/>
  <c r="AI809" i="17" s="1"/>
  <c r="AG852" i="17"/>
  <c r="AI852" i="17" s="1"/>
  <c r="AG959" i="17"/>
  <c r="AI959" i="17" s="1"/>
  <c r="AG1032" i="17"/>
  <c r="AI1032" i="17" s="1"/>
  <c r="AG1003" i="17"/>
  <c r="AI1003" i="17" s="1"/>
  <c r="AG1022" i="17"/>
  <c r="AI1022" i="17" s="1"/>
  <c r="AG1069" i="17"/>
  <c r="AI1069" i="17" s="1"/>
  <c r="AL21" i="17"/>
  <c r="AH21" i="17"/>
  <c r="AG21" i="17"/>
  <c r="AE21" i="17"/>
  <c r="H63" i="17" a="1"/>
  <c r="H63" i="17" s="1"/>
  <c r="H46" i="17" a="1"/>
  <c r="H46" i="17" s="1"/>
  <c r="H42" i="17" a="1"/>
  <c r="H42" i="17" s="1"/>
  <c r="H55" i="17" a="1"/>
  <c r="H55" i="17" s="1"/>
  <c r="H59" i="17" a="1"/>
  <c r="H59" i="17" s="1"/>
  <c r="H56" i="17" a="1"/>
  <c r="H56" i="17" s="1"/>
  <c r="H53" i="17" a="1"/>
  <c r="H53" i="17" s="1"/>
  <c r="H83" i="17" a="1"/>
  <c r="H83" i="17" s="1"/>
  <c r="H90" i="17" a="1"/>
  <c r="H90" i="17" s="1"/>
  <c r="H32" i="17" a="1"/>
  <c r="H32" i="17" s="1"/>
  <c r="L26" i="17" a="1"/>
  <c r="L26" i="17" s="1"/>
  <c r="K18" i="17" a="1"/>
  <c r="K18" i="17" s="1"/>
  <c r="K23" i="17" a="1"/>
  <c r="K23" i="17" s="1"/>
  <c r="Q22" i="17" s="1" a="1"/>
  <c r="Q22" i="17" s="1"/>
  <c r="K21" i="17" a="1"/>
  <c r="K21" i="17" s="1"/>
  <c r="Q20" i="17" s="1" a="1"/>
  <c r="Q20" i="17" s="1"/>
  <c r="K19" i="17" a="1"/>
  <c r="K19" i="17" s="1"/>
  <c r="L24" i="17" a="1"/>
  <c r="L24" i="17" s="1"/>
  <c r="L40" i="17" a="1"/>
  <c r="L40" i="17" s="1"/>
  <c r="L44" i="17" a="1"/>
  <c r="L44" i="17" s="1"/>
  <c r="L85" i="17" a="1"/>
  <c r="L85" i="17" s="1"/>
  <c r="L79" i="17" a="1"/>
  <c r="L79" i="17" s="1"/>
  <c r="L59" i="17" a="1"/>
  <c r="L59" i="17" s="1"/>
  <c r="L47" i="17" a="1"/>
  <c r="L47" i="17" s="1"/>
  <c r="L72" i="17" a="1"/>
  <c r="L72" i="17" s="1"/>
  <c r="L110" i="17" a="1"/>
  <c r="L110" i="17" s="1"/>
  <c r="L123" i="17" a="1"/>
  <c r="L123" i="17" s="1"/>
  <c r="L146" i="17" a="1"/>
  <c r="L146" i="17" s="1"/>
  <c r="L125" i="17" a="1"/>
  <c r="L125" i="17" s="1"/>
  <c r="L93" i="17" a="1"/>
  <c r="L93" i="17" s="1"/>
  <c r="L90" i="17" a="1"/>
  <c r="L90" i="17" s="1"/>
  <c r="L167" i="17" a="1"/>
  <c r="L167" i="17" s="1"/>
  <c r="L172" i="17" a="1"/>
  <c r="L172" i="17" s="1"/>
  <c r="L185" i="17" a="1"/>
  <c r="L185" i="17" s="1"/>
  <c r="L182" i="17" a="1"/>
  <c r="L182" i="17" s="1"/>
  <c r="L152" i="17" a="1"/>
  <c r="L152" i="17" s="1"/>
  <c r="L157" i="17" a="1"/>
  <c r="L157" i="17" s="1"/>
  <c r="L186" i="17" a="1"/>
  <c r="L186" i="17" s="1"/>
  <c r="H20" i="17" a="1"/>
  <c r="H20" i="17" s="1"/>
  <c r="K66" i="17" a="1"/>
  <c r="K66" i="17" s="1"/>
  <c r="K52" i="17" a="1"/>
  <c r="K52" i="17" s="1"/>
  <c r="K45" i="17" a="1"/>
  <c r="K45" i="17" s="1"/>
  <c r="K61" i="17" a="1"/>
  <c r="K61" i="17" s="1"/>
  <c r="K37" i="17" a="1"/>
  <c r="K37" i="17" s="1"/>
  <c r="K44" i="17" a="1"/>
  <c r="K44" i="17" s="1"/>
  <c r="K94" i="17" a="1"/>
  <c r="K94" i="17" s="1"/>
  <c r="K109" i="17" a="1"/>
  <c r="K109" i="17" s="1"/>
  <c r="K122" i="17" a="1"/>
  <c r="K122" i="17" s="1"/>
  <c r="K127" i="17" a="1"/>
  <c r="K127" i="17" s="1"/>
  <c r="K136" i="17" a="1"/>
  <c r="K136" i="17" s="1"/>
  <c r="K89" i="17" a="1"/>
  <c r="K89" i="17" s="1"/>
  <c r="K145" i="17" a="1"/>
  <c r="K145" i="17" s="1"/>
  <c r="K150" i="17" a="1"/>
  <c r="K150" i="17" s="1"/>
  <c r="K155" i="17" a="1"/>
  <c r="K155" i="17" s="1"/>
  <c r="K160" i="17" a="1"/>
  <c r="K160" i="17" s="1"/>
  <c r="K189" i="17" a="1"/>
  <c r="K189" i="17" s="1"/>
  <c r="K194" i="17" a="1"/>
  <c r="K194" i="17" s="1"/>
  <c r="K164" i="17" a="1"/>
  <c r="K164" i="17" s="1"/>
  <c r="J21" i="17" a="1"/>
  <c r="J21" i="17" s="1"/>
  <c r="L20" i="17" a="1"/>
  <c r="L20" i="17" s="1"/>
  <c r="AG840" i="17"/>
  <c r="AI840" i="17" s="1"/>
  <c r="AG819" i="17"/>
  <c r="AI819" i="17" s="1"/>
  <c r="AG758" i="17"/>
  <c r="AI758" i="17" s="1"/>
  <c r="AG810" i="17"/>
  <c r="AI810" i="17" s="1"/>
  <c r="AG998" i="17"/>
  <c r="AI998" i="17" s="1"/>
  <c r="AG1001" i="17"/>
  <c r="AI1001" i="17" s="1"/>
  <c r="AG1025" i="17"/>
  <c r="AI1025" i="17" s="1"/>
  <c r="H67" i="17" a="1"/>
  <c r="H67" i="17" s="1"/>
  <c r="H48" i="17" a="1"/>
  <c r="H48" i="17" s="1"/>
  <c r="H43" i="17" a="1"/>
  <c r="H43" i="17" s="1"/>
  <c r="H62" i="17" a="1"/>
  <c r="H62" i="17" s="1"/>
  <c r="H65" i="17" a="1"/>
  <c r="H65" i="17" s="1"/>
  <c r="H78" i="17" a="1"/>
  <c r="H78" i="17" s="1"/>
  <c r="H58" i="17" a="1"/>
  <c r="H58" i="17" s="1"/>
  <c r="H91" i="17" a="1"/>
  <c r="H91" i="17" s="1"/>
  <c r="H26" i="17" a="1"/>
  <c r="H26" i="17" s="1"/>
  <c r="H24" i="17" a="1"/>
  <c r="H24" i="17" s="1"/>
  <c r="L63" i="17" a="1"/>
  <c r="L63" i="17" s="1"/>
  <c r="L46" i="17" a="1"/>
  <c r="L46" i="17" s="1"/>
  <c r="L36" i="17" a="1"/>
  <c r="L36" i="17" s="1"/>
  <c r="L55" i="17" a="1"/>
  <c r="L55" i="17" s="1"/>
  <c r="L65" i="17" a="1"/>
  <c r="L65" i="17" s="1"/>
  <c r="L49" i="17" a="1"/>
  <c r="L49" i="17" s="1"/>
  <c r="L75" i="17" a="1"/>
  <c r="L75" i="17" s="1"/>
  <c r="L118" i="17" a="1"/>
  <c r="L118" i="17" s="1"/>
  <c r="L131" i="17" a="1"/>
  <c r="L131" i="17" s="1"/>
  <c r="L154" i="17" a="1"/>
  <c r="L154" i="17" s="1"/>
  <c r="L133" i="17" a="1"/>
  <c r="L133" i="17" s="1"/>
  <c r="L103" i="17" a="1"/>
  <c r="L103" i="17" s="1"/>
  <c r="L105" i="17" a="1"/>
  <c r="L105" i="17" s="1"/>
  <c r="L175" i="17" a="1"/>
  <c r="L175" i="17" s="1"/>
  <c r="L180" i="17" a="1"/>
  <c r="L180" i="17" s="1"/>
  <c r="L193" i="17" a="1"/>
  <c r="L193" i="17" s="1"/>
  <c r="L190" i="17" a="1"/>
  <c r="L190" i="17" s="1"/>
  <c r="L160" i="17" a="1"/>
  <c r="L160" i="17" s="1"/>
  <c r="L165" i="17" a="1"/>
  <c r="L165" i="17" s="1"/>
  <c r="L194" i="17" a="1"/>
  <c r="L194" i="17" s="1"/>
  <c r="K26" i="17" a="1"/>
  <c r="K26" i="17" s="1"/>
  <c r="AH18" i="17"/>
  <c r="AG18" i="17"/>
  <c r="AE18" i="17"/>
  <c r="AL18" i="17"/>
  <c r="K70" i="17" a="1"/>
  <c r="K70" i="17" s="1"/>
  <c r="K59" i="17" a="1"/>
  <c r="K59" i="17" s="1"/>
  <c r="K47" i="17" a="1"/>
  <c r="K47" i="17" s="1"/>
  <c r="K64" i="17" a="1"/>
  <c r="K64" i="17" s="1"/>
  <c r="K40" i="17" a="1"/>
  <c r="K40" i="17" s="1"/>
  <c r="K46" i="17" a="1"/>
  <c r="K46" i="17" s="1"/>
  <c r="K104" i="17" a="1"/>
  <c r="K104" i="17" s="1"/>
  <c r="K117" i="17" a="1"/>
  <c r="K117" i="17" s="1"/>
  <c r="K130" i="17" a="1"/>
  <c r="K130" i="17" s="1"/>
  <c r="K135" i="17" a="1"/>
  <c r="K135" i="17" s="1"/>
  <c r="K140" i="17" a="1"/>
  <c r="K140" i="17" s="1"/>
  <c r="K97" i="17" a="1"/>
  <c r="K97" i="17" s="1"/>
  <c r="K153" i="17" a="1"/>
  <c r="K153" i="17" s="1"/>
  <c r="K158" i="17" a="1"/>
  <c r="K158" i="17" s="1"/>
  <c r="K163" i="17" a="1"/>
  <c r="K163" i="17" s="1"/>
  <c r="K168" i="17" a="1"/>
  <c r="K168" i="17" s="1"/>
  <c r="K138" i="17" a="1"/>
  <c r="K138" i="17" s="1"/>
  <c r="K143" i="17" a="1"/>
  <c r="K143" i="17" s="1"/>
  <c r="K172" i="17" a="1"/>
  <c r="K172" i="17" s="1"/>
  <c r="J23" i="17" a="1"/>
  <c r="J23" i="17" s="1"/>
  <c r="AG704" i="17"/>
  <c r="AI704" i="17" s="1"/>
  <c r="AG841" i="17"/>
  <c r="AI841" i="17" s="1"/>
  <c r="AG883" i="17"/>
  <c r="AI883" i="17" s="1"/>
  <c r="AG1035" i="17"/>
  <c r="AI1035" i="17" s="1"/>
  <c r="AF20" i="17"/>
  <c r="AE20" i="17"/>
  <c r="AL20" i="17"/>
  <c r="H33" i="17" a="1"/>
  <c r="H33" i="17" s="1"/>
  <c r="AF35" i="17"/>
  <c r="AE35" i="17"/>
  <c r="AL35" i="17"/>
  <c r="L67" i="17" a="1"/>
  <c r="L67" i="17" s="1"/>
  <c r="L48" i="17" a="1"/>
  <c r="L48" i="17" s="1"/>
  <c r="L42" i="17" a="1"/>
  <c r="L42" i="17" s="1"/>
  <c r="L62" i="17" a="1"/>
  <c r="L62" i="17" s="1"/>
  <c r="L69" i="17" a="1"/>
  <c r="L69" i="17" s="1"/>
  <c r="L56" i="17" a="1"/>
  <c r="L56" i="17" s="1"/>
  <c r="L53" i="17" a="1"/>
  <c r="L53" i="17" s="1"/>
  <c r="L126" i="17" a="1"/>
  <c r="L126" i="17" s="1"/>
  <c r="L137" i="17" a="1"/>
  <c r="L137" i="17" s="1"/>
  <c r="L83" i="17" a="1"/>
  <c r="L83" i="17" s="1"/>
  <c r="L88" i="17" a="1"/>
  <c r="L88" i="17" s="1"/>
  <c r="L111" i="17" a="1"/>
  <c r="L111" i="17" s="1"/>
  <c r="L108" i="17" a="1"/>
  <c r="L108" i="17" s="1"/>
  <c r="L113" i="17" a="1"/>
  <c r="L113" i="17" s="1"/>
  <c r="L183" i="17" a="1"/>
  <c r="L183" i="17" s="1"/>
  <c r="L188" i="17" a="1"/>
  <c r="L188" i="17" s="1"/>
  <c r="L197" i="17" a="1"/>
  <c r="L197" i="17" s="1"/>
  <c r="L163" i="17" a="1"/>
  <c r="L163" i="17" s="1"/>
  <c r="L168" i="17" a="1"/>
  <c r="L168" i="17" s="1"/>
  <c r="L173" i="17" a="1"/>
  <c r="L173" i="17" s="1"/>
  <c r="L196" i="17" a="1"/>
  <c r="L196" i="17" s="1"/>
  <c r="AG25" i="17"/>
  <c r="AE25" i="17"/>
  <c r="AL25" i="17"/>
  <c r="W21" i="17"/>
  <c r="AF28" i="17" s="1"/>
  <c r="W19" i="17"/>
  <c r="AF21" i="17" s="1"/>
  <c r="W26" i="17"/>
  <c r="K79" i="17" a="1"/>
  <c r="K79" i="17" s="1"/>
  <c r="K65" i="17" a="1"/>
  <c r="K65" i="17" s="1"/>
  <c r="K49" i="17" a="1"/>
  <c r="K49" i="17" s="1"/>
  <c r="K68" i="17" a="1"/>
  <c r="K68" i="17" s="1"/>
  <c r="K63" i="17" a="1"/>
  <c r="K63" i="17" s="1"/>
  <c r="K48" i="17" a="1"/>
  <c r="K48" i="17" s="1"/>
  <c r="K112" i="17" a="1"/>
  <c r="K112" i="17" s="1"/>
  <c r="K125" i="17" a="1"/>
  <c r="K125" i="17" s="1"/>
  <c r="K156" i="17" a="1"/>
  <c r="K156" i="17" s="1"/>
  <c r="K90" i="17" a="1"/>
  <c r="K90" i="17" s="1"/>
  <c r="K102" i="17" a="1"/>
  <c r="K102" i="17" s="1"/>
  <c r="K107" i="17" a="1"/>
  <c r="K107" i="17" s="1"/>
  <c r="K161" i="17" a="1"/>
  <c r="K161" i="17" s="1"/>
  <c r="K166" i="17" a="1"/>
  <c r="K166" i="17" s="1"/>
  <c r="K171" i="17" a="1"/>
  <c r="K171" i="17" s="1"/>
  <c r="K176" i="17" a="1"/>
  <c r="K176" i="17" s="1"/>
  <c r="K146" i="17" a="1"/>
  <c r="K146" i="17" s="1"/>
  <c r="K151" i="17" a="1"/>
  <c r="K151" i="17" s="1"/>
  <c r="K180" i="17" a="1"/>
  <c r="K180" i="17" s="1"/>
  <c r="J18" i="17" a="1"/>
  <c r="J18" i="17" s="1"/>
  <c r="H21" i="17" a="1"/>
  <c r="H21" i="17" s="1"/>
  <c r="AE29" i="17"/>
  <c r="AL29" i="17"/>
  <c r="H77" i="17" a="1"/>
  <c r="H77" i="17" s="1"/>
  <c r="H54" i="17" a="1"/>
  <c r="H54" i="17" s="1"/>
  <c r="H57" i="17" a="1"/>
  <c r="H57" i="17" s="1"/>
  <c r="H85" i="17" a="1"/>
  <c r="H85" i="17" s="1"/>
  <c r="H73" i="17" a="1"/>
  <c r="H73" i="17" s="1"/>
  <c r="H64" i="17" a="1"/>
  <c r="H64" i="17" s="1"/>
  <c r="H87" i="17" a="1"/>
  <c r="H87" i="17" s="1"/>
  <c r="H94" i="17" a="1"/>
  <c r="H94" i="17" s="1"/>
  <c r="H96" i="17" a="1"/>
  <c r="H96" i="17" s="1"/>
  <c r="H31" i="17" a="1"/>
  <c r="H31" i="17" s="1"/>
  <c r="AE32" i="17"/>
  <c r="AL32" i="17"/>
  <c r="AE34" i="17"/>
  <c r="AL34" i="17"/>
  <c r="AG34" i="17"/>
  <c r="AF34" i="17"/>
  <c r="L71" i="17" a="1"/>
  <c r="L71" i="17" s="1"/>
  <c r="L50" i="17" a="1"/>
  <c r="L50" i="17" s="1"/>
  <c r="L43" i="17" a="1"/>
  <c r="L43" i="17" s="1"/>
  <c r="L76" i="17" a="1"/>
  <c r="L76" i="17" s="1"/>
  <c r="L73" i="17" a="1"/>
  <c r="L73" i="17" s="1"/>
  <c r="L78" i="17" a="1"/>
  <c r="L78" i="17" s="1"/>
  <c r="L58" i="17" a="1"/>
  <c r="L58" i="17" s="1"/>
  <c r="L134" i="17" a="1"/>
  <c r="L134" i="17" s="1"/>
  <c r="L91" i="17" a="1"/>
  <c r="L91" i="17" s="1"/>
  <c r="L119" i="17" a="1"/>
  <c r="L119" i="17" s="1"/>
  <c r="L116" i="17" a="1"/>
  <c r="L116" i="17" s="1"/>
  <c r="L121" i="17" a="1"/>
  <c r="L121" i="17" s="1"/>
  <c r="L191" i="17" a="1"/>
  <c r="L191" i="17" s="1"/>
  <c r="L145" i="17" a="1"/>
  <c r="L145" i="17" s="1"/>
  <c r="L142" i="17" a="1"/>
  <c r="L142" i="17" s="1"/>
  <c r="L171" i="17" a="1"/>
  <c r="L171" i="17" s="1"/>
  <c r="L176" i="17" a="1"/>
  <c r="L176" i="17" s="1"/>
  <c r="L181" i="17" a="1"/>
  <c r="L181" i="17" s="1"/>
  <c r="H34" i="17" a="1"/>
  <c r="H34" i="17" s="1"/>
  <c r="K36" i="17" a="1"/>
  <c r="K36" i="17" s="1"/>
  <c r="K55" i="17" a="1"/>
  <c r="K55" i="17" s="1"/>
  <c r="K69" i="17" a="1"/>
  <c r="K69" i="17" s="1"/>
  <c r="K56" i="17" a="1"/>
  <c r="K56" i="17" s="1"/>
  <c r="K72" i="17" a="1"/>
  <c r="K72" i="17" s="1"/>
  <c r="K67" i="17" a="1"/>
  <c r="K67" i="17" s="1"/>
  <c r="K50" i="17" a="1"/>
  <c r="K50" i="17" s="1"/>
  <c r="K120" i="17" a="1"/>
  <c r="K120" i="17" s="1"/>
  <c r="K133" i="17" a="1"/>
  <c r="K133" i="17" s="1"/>
  <c r="K85" i="17" a="1"/>
  <c r="K85" i="17" s="1"/>
  <c r="K105" i="17" a="1"/>
  <c r="K105" i="17" s="1"/>
  <c r="K110" i="17" a="1"/>
  <c r="K110" i="17" s="1"/>
  <c r="K115" i="17" a="1"/>
  <c r="K115" i="17" s="1"/>
  <c r="K169" i="17" a="1"/>
  <c r="K169" i="17" s="1"/>
  <c r="K174" i="17" a="1"/>
  <c r="K174" i="17" s="1"/>
  <c r="K179" i="17" a="1"/>
  <c r="K179" i="17" s="1"/>
  <c r="K184" i="17" a="1"/>
  <c r="K184" i="17" s="1"/>
  <c r="K154" i="17" a="1"/>
  <c r="K154" i="17" s="1"/>
  <c r="K159" i="17" a="1"/>
  <c r="K159" i="17" s="1"/>
  <c r="K188" i="17" a="1"/>
  <c r="K188" i="17" s="1"/>
  <c r="J25" i="17" a="1"/>
  <c r="J25" i="17" s="1"/>
  <c r="I91" i="15" a="1"/>
  <c r="I91" i="15" s="1"/>
  <c r="I84" i="15" a="1"/>
  <c r="I84" i="15" s="1"/>
  <c r="I100" i="15" a="1"/>
  <c r="I100" i="15" s="1"/>
  <c r="I96" i="15" a="1"/>
  <c r="I96" i="15" s="1"/>
  <c r="I99" i="15" a="1"/>
  <c r="I99" i="15" s="1"/>
  <c r="I92" i="15" a="1"/>
  <c r="I92" i="15" s="1"/>
  <c r="I69" i="15" a="1"/>
  <c r="I69" i="15" s="1"/>
  <c r="K46" i="15" a="1"/>
  <c r="K46" i="15" s="1"/>
  <c r="K34" i="15" a="1"/>
  <c r="K34" i="15" s="1"/>
  <c r="K69" i="15" a="1"/>
  <c r="K69" i="15" s="1"/>
  <c r="K64" i="15" a="1"/>
  <c r="K64" i="15" s="1"/>
  <c r="K53" i="15" a="1"/>
  <c r="K53" i="15" s="1"/>
  <c r="K22" i="15" a="1"/>
  <c r="K22" i="15" s="1"/>
  <c r="K74" i="15" a="1"/>
  <c r="K74" i="15" s="1"/>
  <c r="K39" i="15" a="1"/>
  <c r="K39" i="15" s="1"/>
  <c r="K51" i="15" a="1"/>
  <c r="K51" i="15" s="1"/>
  <c r="K26" i="15" a="1"/>
  <c r="K26" i="15" s="1"/>
  <c r="K31" i="15" a="1"/>
  <c r="K31" i="15" s="1"/>
  <c r="K60" i="15" a="1"/>
  <c r="K60" i="15" s="1"/>
  <c r="K52" i="15" a="1"/>
  <c r="K52" i="15" s="1"/>
  <c r="K58" i="15" a="1"/>
  <c r="K58" i="15" s="1"/>
  <c r="K49" i="15" a="1"/>
  <c r="K49" i="15" s="1"/>
  <c r="K67" i="15" a="1"/>
  <c r="K67" i="15" s="1"/>
  <c r="K36" i="15" a="1"/>
  <c r="K36" i="15" s="1"/>
  <c r="K27" i="15" a="1"/>
  <c r="K27" i="15" s="1"/>
  <c r="K68" i="15" a="1"/>
  <c r="K68" i="15" s="1"/>
  <c r="K35" i="15" a="1"/>
  <c r="K35" i="15" s="1"/>
  <c r="K19" i="15" a="1"/>
  <c r="K19" i="15" s="1"/>
  <c r="K48" i="15" a="1"/>
  <c r="K48" i="15" s="1"/>
  <c r="K63" i="15" a="1"/>
  <c r="K63" i="15" s="1"/>
  <c r="K54" i="15" a="1"/>
  <c r="K54" i="15" s="1"/>
  <c r="K71" i="15" a="1"/>
  <c r="K71" i="15" s="1"/>
  <c r="K29" i="15" a="1"/>
  <c r="K29" i="15" s="1"/>
  <c r="K76" i="15" a="1"/>
  <c r="K76" i="15" s="1"/>
  <c r="K32" i="15" a="1"/>
  <c r="K32" i="15" s="1"/>
  <c r="K72" i="15" a="1"/>
  <c r="K72" i="15" s="1"/>
  <c r="K56" i="15" a="1"/>
  <c r="K56" i="15" s="1"/>
  <c r="K42" i="15" a="1"/>
  <c r="K42" i="15" s="1"/>
  <c r="K28" i="15" a="1"/>
  <c r="K28" i="15" s="1"/>
  <c r="K40" i="15" a="1"/>
  <c r="K40" i="15" s="1"/>
  <c r="K24" i="15" a="1"/>
  <c r="K24" i="15" s="1"/>
  <c r="K75" i="15" a="1"/>
  <c r="K75" i="15" s="1"/>
  <c r="K59" i="15" a="1"/>
  <c r="K59" i="15" s="1"/>
  <c r="K62" i="15" a="1"/>
  <c r="K62" i="15" s="1"/>
  <c r="K25" i="15" a="1"/>
  <c r="K25" i="15" s="1"/>
  <c r="K37" i="15" a="1"/>
  <c r="K37" i="15" s="1"/>
  <c r="K23" i="15" a="1"/>
  <c r="K23" i="15" s="1"/>
  <c r="K38" i="15" a="1"/>
  <c r="K38" i="15" s="1"/>
  <c r="K20" i="15" a="1"/>
  <c r="K20" i="15" s="1"/>
  <c r="K73" i="15" a="1"/>
  <c r="K73" i="15" s="1"/>
  <c r="K21" i="15" a="1"/>
  <c r="K21" i="15" s="1"/>
  <c r="K41" i="15" a="1"/>
  <c r="K41" i="15" s="1"/>
  <c r="K33" i="15" a="1"/>
  <c r="K33" i="15" s="1"/>
  <c r="K57" i="15" a="1"/>
  <c r="K57" i="15" s="1"/>
  <c r="K55" i="15" a="1"/>
  <c r="K55" i="15" s="1"/>
  <c r="K61" i="15" a="1"/>
  <c r="K61" i="15" s="1"/>
  <c r="K47" i="15" a="1"/>
  <c r="K47" i="15" s="1"/>
  <c r="I64" i="15" a="1"/>
  <c r="I64" i="15" s="1"/>
  <c r="K79" i="15"/>
  <c r="K44" i="15" a="1"/>
  <c r="K44" i="15" s="1"/>
  <c r="K30" i="15" a="1"/>
  <c r="K30" i="15" s="1"/>
  <c r="J68" i="15"/>
  <c r="I196" i="15" a="1"/>
  <c r="I196" i="15" s="1"/>
  <c r="L110" i="15" a="1"/>
  <c r="L110" i="15" s="1"/>
  <c r="L134" i="15" a="1"/>
  <c r="L134" i="15" s="1"/>
  <c r="L147" i="15" a="1"/>
  <c r="L147" i="15" s="1"/>
  <c r="L36" i="15" a="1"/>
  <c r="L36" i="15" s="1"/>
  <c r="L30" i="15" a="1"/>
  <c r="L30" i="15" s="1"/>
  <c r="L131" i="15" a="1"/>
  <c r="L131" i="15" s="1"/>
  <c r="L192" i="15" a="1"/>
  <c r="L192" i="15" s="1"/>
  <c r="L96" i="15" a="1"/>
  <c r="L96" i="15" s="1"/>
  <c r="L186" i="15" a="1"/>
  <c r="L186" i="15" s="1"/>
  <c r="L77" i="15" a="1"/>
  <c r="L77" i="15" s="1"/>
  <c r="L176" i="15" a="1"/>
  <c r="L176" i="15" s="1"/>
  <c r="L153" i="15" a="1"/>
  <c r="L153" i="15" s="1"/>
  <c r="L23" i="15" a="1"/>
  <c r="L23" i="15" s="1"/>
  <c r="L106" i="15" a="1"/>
  <c r="L106" i="15" s="1"/>
  <c r="L158" i="15" a="1"/>
  <c r="L158" i="15" s="1"/>
  <c r="L21" i="15" a="1"/>
  <c r="L21" i="15" s="1"/>
  <c r="L70" i="15" a="1"/>
  <c r="L70" i="15" s="1"/>
  <c r="L48" i="15" a="1"/>
  <c r="L48" i="15" s="1"/>
  <c r="L93" i="15" a="1"/>
  <c r="L93" i="15" s="1"/>
  <c r="L135" i="15" a="1"/>
  <c r="L135" i="15" s="1"/>
  <c r="L22" i="15" a="1"/>
  <c r="L22" i="15" s="1"/>
  <c r="J60" i="15"/>
  <c r="I110" i="15" a="1"/>
  <c r="I110" i="15" s="1"/>
  <c r="H42" i="15" a="1"/>
  <c r="H42" i="15" s="1"/>
  <c r="H83" i="15" a="1"/>
  <c r="H83" i="15" s="1"/>
  <c r="H195" i="15" a="1"/>
  <c r="H195" i="15" s="1"/>
  <c r="H148" i="15" a="1"/>
  <c r="H148" i="15" s="1"/>
  <c r="H162" i="15" a="1"/>
  <c r="H162" i="15" s="1"/>
  <c r="H74" i="15" a="1"/>
  <c r="H74" i="15" s="1"/>
  <c r="H68" i="15" a="1"/>
  <c r="H68" i="15" s="1"/>
  <c r="H120" i="15" a="1"/>
  <c r="H120" i="15" s="1"/>
  <c r="H199" i="15" a="1"/>
  <c r="H199" i="15" s="1"/>
  <c r="H50" i="15" a="1"/>
  <c r="H50" i="15" s="1"/>
  <c r="H97" i="15" a="1"/>
  <c r="H97" i="15" s="1"/>
  <c r="H76" i="15" a="1"/>
  <c r="H76" i="15" s="1"/>
  <c r="I78" i="15" a="1"/>
  <c r="I78" i="15" s="1"/>
  <c r="I136" i="15" a="1"/>
  <c r="I136" i="15" s="1"/>
  <c r="I199" i="15" a="1"/>
  <c r="I199" i="15" s="1"/>
  <c r="L46" i="15" a="1"/>
  <c r="L46" i="15" s="1"/>
  <c r="L26" i="15" a="1"/>
  <c r="L26" i="15" s="1"/>
  <c r="L113" i="15" a="1"/>
  <c r="L113" i="15" s="1"/>
  <c r="L142" i="15" a="1"/>
  <c r="L142" i="15" s="1"/>
  <c r="L139" i="15" a="1"/>
  <c r="L139" i="15" s="1"/>
  <c r="L104" i="15" a="1"/>
  <c r="L104" i="15" s="1"/>
  <c r="L109" i="15" a="1"/>
  <c r="L109" i="15" s="1"/>
  <c r="L114" i="15" a="1"/>
  <c r="L114" i="15" s="1"/>
  <c r="L79" i="15" a="1"/>
  <c r="L79" i="15" s="1"/>
  <c r="L143" i="15" a="1"/>
  <c r="L143" i="15" s="1"/>
  <c r="L108" i="15" a="1"/>
  <c r="L108" i="15" s="1"/>
  <c r="L155" i="15" a="1"/>
  <c r="L155" i="15" s="1"/>
  <c r="L165" i="15" a="1"/>
  <c r="L165" i="15" s="1"/>
  <c r="L194" i="15" a="1"/>
  <c r="L194" i="15" s="1"/>
  <c r="L161" i="15" a="1"/>
  <c r="L161" i="15" s="1"/>
  <c r="L166" i="15" a="1"/>
  <c r="L166" i="15" s="1"/>
  <c r="L51" i="15" a="1"/>
  <c r="L51" i="15" s="1"/>
  <c r="L20" i="15" a="1"/>
  <c r="L20" i="15" s="1"/>
  <c r="L74" i="15" a="1"/>
  <c r="L74" i="15" s="1"/>
  <c r="L85" i="15" a="1"/>
  <c r="L85" i="15" s="1"/>
  <c r="L19" i="15" a="1"/>
  <c r="L19" i="15" s="1"/>
  <c r="L38" i="15" a="1"/>
  <c r="L38" i="15" s="1"/>
  <c r="L63" i="15" a="1"/>
  <c r="L63" i="15" s="1"/>
  <c r="L49" i="15" a="1"/>
  <c r="L49" i="15" s="1"/>
  <c r="L59" i="15" a="1"/>
  <c r="L59" i="15" s="1"/>
  <c r="L121" i="15" a="1"/>
  <c r="L121" i="15" s="1"/>
  <c r="L156" i="15" a="1"/>
  <c r="L156" i="15" s="1"/>
  <c r="L149" i="15" a="1"/>
  <c r="L149" i="15" s="1"/>
  <c r="L112" i="15" a="1"/>
  <c r="L112" i="15" s="1"/>
  <c r="L117" i="15" a="1"/>
  <c r="L117" i="15" s="1"/>
  <c r="L122" i="15" a="1"/>
  <c r="L122" i="15" s="1"/>
  <c r="L87" i="15" a="1"/>
  <c r="L87" i="15" s="1"/>
  <c r="L146" i="15" a="1"/>
  <c r="L146" i="15" s="1"/>
  <c r="L116" i="15" a="1"/>
  <c r="L116" i="15" s="1"/>
  <c r="L163" i="15" a="1"/>
  <c r="L163" i="15" s="1"/>
  <c r="L173" i="15" a="1"/>
  <c r="L173" i="15" s="1"/>
  <c r="L196" i="15" a="1"/>
  <c r="L196" i="15" s="1"/>
  <c r="L169" i="15" a="1"/>
  <c r="L169" i="15" s="1"/>
  <c r="L174" i="15" a="1"/>
  <c r="L174" i="15" s="1"/>
  <c r="L42" i="15" a="1"/>
  <c r="L42" i="15" s="1"/>
  <c r="L40" i="15" a="1"/>
  <c r="L40" i="15" s="1"/>
  <c r="L78" i="15" a="1"/>
  <c r="L78" i="15" s="1"/>
  <c r="L86" i="15" a="1"/>
  <c r="L86" i="15" s="1"/>
  <c r="L33" i="15" a="1"/>
  <c r="L33" i="15" s="1"/>
  <c r="L102" i="15" a="1"/>
  <c r="L102" i="15" s="1"/>
  <c r="L47" i="15" a="1"/>
  <c r="L47" i="15" s="1"/>
  <c r="L65" i="15" a="1"/>
  <c r="L65" i="15" s="1"/>
  <c r="L129" i="15" a="1"/>
  <c r="L129" i="15" s="1"/>
  <c r="L83" i="15" a="1"/>
  <c r="L83" i="15" s="1"/>
  <c r="L151" i="15" a="1"/>
  <c r="L151" i="15" s="1"/>
  <c r="L120" i="15" a="1"/>
  <c r="L120" i="15" s="1"/>
  <c r="L125" i="15" a="1"/>
  <c r="L125" i="15" s="1"/>
  <c r="L130" i="15" a="1"/>
  <c r="L130" i="15" s="1"/>
  <c r="L95" i="15" a="1"/>
  <c r="L95" i="15" s="1"/>
  <c r="L168" i="15" a="1"/>
  <c r="L168" i="15" s="1"/>
  <c r="L124" i="15" a="1"/>
  <c r="L124" i="15" s="1"/>
  <c r="L171" i="15" a="1"/>
  <c r="L171" i="15" s="1"/>
  <c r="L181" i="15" a="1"/>
  <c r="L181" i="15" s="1"/>
  <c r="L183" i="15" a="1"/>
  <c r="L183" i="15" s="1"/>
  <c r="L177" i="15" a="1"/>
  <c r="L177" i="15" s="1"/>
  <c r="L182" i="15" a="1"/>
  <c r="L182" i="15" s="1"/>
  <c r="L54" i="15" a="1"/>
  <c r="L54" i="15" s="1"/>
  <c r="L64" i="15" a="1"/>
  <c r="L64" i="15" s="1"/>
  <c r="L45" i="15" a="1"/>
  <c r="L45" i="15" s="1"/>
  <c r="L137" i="15" a="1"/>
  <c r="L137" i="15" s="1"/>
  <c r="L99" i="15" a="1"/>
  <c r="L99" i="15" s="1"/>
  <c r="L160" i="15" a="1"/>
  <c r="L160" i="15" s="1"/>
  <c r="L128" i="15" a="1"/>
  <c r="L128" i="15" s="1"/>
  <c r="L133" i="15" a="1"/>
  <c r="L133" i="15" s="1"/>
  <c r="L138" i="15" a="1"/>
  <c r="L138" i="15" s="1"/>
  <c r="L103" i="15" a="1"/>
  <c r="L103" i="15" s="1"/>
  <c r="L62" i="15" a="1"/>
  <c r="L62" i="15" s="1"/>
  <c r="L132" i="15" a="1"/>
  <c r="L132" i="15" s="1"/>
  <c r="L179" i="15" a="1"/>
  <c r="L179" i="15" s="1"/>
  <c r="L189" i="15" a="1"/>
  <c r="L189" i="15" s="1"/>
  <c r="L191" i="15" a="1"/>
  <c r="L191" i="15" s="1"/>
  <c r="L185" i="15" a="1"/>
  <c r="L185" i="15" s="1"/>
  <c r="L190" i="15" a="1"/>
  <c r="L190" i="15" s="1"/>
  <c r="L58" i="15" a="1"/>
  <c r="L58" i="15" s="1"/>
  <c r="L29" i="15" a="1"/>
  <c r="L29" i="15" s="1"/>
  <c r="L52" i="15" a="1"/>
  <c r="L52" i="15" s="1"/>
  <c r="L25" i="15" a="1"/>
  <c r="L25" i="15" s="1"/>
  <c r="L28" i="15" a="1"/>
  <c r="L28" i="15" s="1"/>
  <c r="L44" i="15" a="1"/>
  <c r="L44" i="15" s="1"/>
  <c r="L31" i="15" a="1"/>
  <c r="L31" i="15" s="1"/>
  <c r="L72" i="15" a="1"/>
  <c r="L72" i="15" s="1"/>
  <c r="L73" i="15" a="1"/>
  <c r="L73" i="15" s="1"/>
  <c r="L107" i="15" a="1"/>
  <c r="L107" i="15" s="1"/>
  <c r="L136" i="15" a="1"/>
  <c r="L136" i="15" s="1"/>
  <c r="L159" i="15" a="1"/>
  <c r="L159" i="15" s="1"/>
  <c r="L76" i="15" a="1"/>
  <c r="L76" i="15" s="1"/>
  <c r="L187" i="15" a="1"/>
  <c r="L187" i="15" s="1"/>
  <c r="L180" i="15" a="1"/>
  <c r="L180" i="15" s="1"/>
  <c r="L50" i="15" a="1"/>
  <c r="L50" i="15" s="1"/>
  <c r="L37" i="15" a="1"/>
  <c r="L37" i="15" s="1"/>
  <c r="L24" i="15" a="1"/>
  <c r="L24" i="15" s="1"/>
  <c r="L41" i="15" a="1"/>
  <c r="L41" i="15" s="1"/>
  <c r="L81" i="15" a="1"/>
  <c r="L81" i="15" s="1"/>
  <c r="L118" i="15" a="1"/>
  <c r="L118" i="15" s="1"/>
  <c r="L115" i="15" a="1"/>
  <c r="L115" i="15" s="1"/>
  <c r="L80" i="15" a="1"/>
  <c r="L80" i="15" s="1"/>
  <c r="L144" i="15" a="1"/>
  <c r="L144" i="15" s="1"/>
  <c r="L157" i="15" a="1"/>
  <c r="L157" i="15" s="1"/>
  <c r="L167" i="15" a="1"/>
  <c r="L167" i="15" s="1"/>
  <c r="L119" i="15" a="1"/>
  <c r="L119" i="15" s="1"/>
  <c r="L84" i="15" a="1"/>
  <c r="L84" i="15" s="1"/>
  <c r="L148" i="15" a="1"/>
  <c r="L148" i="15" s="1"/>
  <c r="L195" i="15" a="1"/>
  <c r="L195" i="15" s="1"/>
  <c r="L170" i="15" a="1"/>
  <c r="L170" i="15" s="1"/>
  <c r="L188" i="15" a="1"/>
  <c r="L188" i="15" s="1"/>
  <c r="L197" i="15" a="1"/>
  <c r="L197" i="15" s="1"/>
  <c r="L101" i="15" a="1"/>
  <c r="L101" i="15" s="1"/>
  <c r="L27" i="15" a="1"/>
  <c r="L27" i="15" s="1"/>
  <c r="L43" i="15" a="1"/>
  <c r="L43" i="15" s="1"/>
  <c r="L154" i="15" a="1"/>
  <c r="L154" i="15" s="1"/>
  <c r="L172" i="15" a="1"/>
  <c r="L172" i="15" s="1"/>
  <c r="L141" i="15" a="1"/>
  <c r="L141" i="15" s="1"/>
  <c r="L111" i="15" a="1"/>
  <c r="L111" i="15" s="1"/>
  <c r="L140" i="15" a="1"/>
  <c r="L140" i="15" s="1"/>
  <c r="L162" i="15" a="1"/>
  <c r="L162" i="15" s="1"/>
  <c r="L193" i="15" a="1"/>
  <c r="L193" i="15" s="1"/>
  <c r="L94" i="15" a="1"/>
  <c r="L94" i="15" s="1"/>
  <c r="L34" i="15" a="1"/>
  <c r="L34" i="15" s="1"/>
  <c r="L97" i="15" a="1"/>
  <c r="L97" i="15" s="1"/>
  <c r="L126" i="15" a="1"/>
  <c r="L126" i="15" s="1"/>
  <c r="L123" i="15" a="1"/>
  <c r="L123" i="15" s="1"/>
  <c r="L88" i="15" a="1"/>
  <c r="L88" i="15" s="1"/>
  <c r="L175" i="15" a="1"/>
  <c r="L175" i="15" s="1"/>
  <c r="L164" i="15" a="1"/>
  <c r="L164" i="15" s="1"/>
  <c r="L66" i="15" a="1"/>
  <c r="L66" i="15" s="1"/>
  <c r="L127" i="15" a="1"/>
  <c r="L127" i="15" s="1"/>
  <c r="L92" i="15" a="1"/>
  <c r="L92" i="15" s="1"/>
  <c r="L152" i="15" a="1"/>
  <c r="L152" i="15" s="1"/>
  <c r="L184" i="15" a="1"/>
  <c r="L184" i="15" s="1"/>
  <c r="L178" i="15" a="1"/>
  <c r="L178" i="15" s="1"/>
  <c r="L145" i="15" a="1"/>
  <c r="L145" i="15" s="1"/>
  <c r="L150" i="15" a="1"/>
  <c r="L150" i="15" s="1"/>
  <c r="L35" i="15" a="1"/>
  <c r="L35" i="15" s="1"/>
  <c r="L98" i="15" a="1"/>
  <c r="L98" i="15" s="1"/>
  <c r="J50" i="15" a="1"/>
  <c r="J50" i="15" s="1"/>
  <c r="I53" i="15" a="1"/>
  <c r="I53" i="15" s="1"/>
  <c r="I121" i="15" a="1"/>
  <c r="I121" i="15" s="1"/>
  <c r="I190" i="15" a="1"/>
  <c r="I190" i="15" s="1"/>
  <c r="I102" i="15" a="1"/>
  <c r="I102" i="15" s="1"/>
  <c r="I194" i="15" a="1"/>
  <c r="I194" i="15" s="1"/>
  <c r="I144" i="15" a="1"/>
  <c r="I144" i="15" s="1"/>
  <c r="I200" i="15" a="1"/>
  <c r="I200" i="15" s="1"/>
  <c r="I135" i="15" a="1"/>
  <c r="I135" i="15" s="1"/>
  <c r="I82" i="15" a="1"/>
  <c r="I82" i="15" s="1"/>
  <c r="I143" i="15" a="1"/>
  <c r="I143" i="15" s="1"/>
  <c r="I106" i="15" a="1"/>
  <c r="I106" i="15" s="1"/>
  <c r="I113" i="15" a="1"/>
  <c r="I113" i="15" s="1"/>
  <c r="I160" i="15" a="1"/>
  <c r="I160" i="15" s="1"/>
  <c r="K50" i="15" a="1"/>
  <c r="K50" i="15" s="1"/>
  <c r="K45" i="15" a="1"/>
  <c r="K45" i="15" s="1"/>
  <c r="K43" i="15" a="1"/>
  <c r="K43" i="15" s="1"/>
  <c r="L39" i="15" a="1"/>
  <c r="L39" i="15" s="1"/>
  <c r="I73" i="15" a="1"/>
  <c r="I73" i="15" s="1"/>
  <c r="I139" i="15" a="1"/>
  <c r="I139" i="15" s="1"/>
  <c r="I197" i="15" a="1"/>
  <c r="I197" i="15" s="1"/>
  <c r="L55" i="15" a="1"/>
  <c r="L55" i="15" s="1"/>
  <c r="L18" i="15" a="1"/>
  <c r="L18" i="15" s="1"/>
  <c r="I128" i="15" a="1"/>
  <c r="I128" i="15" s="1"/>
  <c r="I168" i="15" a="1"/>
  <c r="I168" i="15" s="1"/>
  <c r="U21" i="15"/>
  <c r="L71" i="15" a="1"/>
  <c r="L71" i="15" s="1"/>
  <c r="I51" i="15" a="1"/>
  <c r="I51" i="15" s="1"/>
  <c r="L82" i="15" a="1"/>
  <c r="L82" i="15" s="1"/>
  <c r="Y26" i="15"/>
  <c r="Y27" i="15"/>
  <c r="I129" i="15" a="1"/>
  <c r="I129" i="15" s="1"/>
  <c r="I178" i="15" a="1"/>
  <c r="I178" i="15" s="1"/>
  <c r="I176" i="15" a="1"/>
  <c r="I176" i="15" s="1"/>
  <c r="I131" i="15" a="1"/>
  <c r="I131" i="15" s="1"/>
  <c r="I155" i="15" a="1"/>
  <c r="I155" i="15" s="1"/>
  <c r="I148" i="15" a="1"/>
  <c r="I148" i="15" s="1"/>
  <c r="H105" i="15" a="1"/>
  <c r="H105" i="15" s="1"/>
  <c r="H176" i="15" a="1"/>
  <c r="H176" i="15" s="1"/>
  <c r="H91" i="15" a="1"/>
  <c r="H91" i="15" s="1"/>
  <c r="H152" i="15" a="1"/>
  <c r="H152" i="15" s="1"/>
  <c r="H128" i="15" a="1"/>
  <c r="H128" i="15" s="1"/>
  <c r="H133" i="15" a="1"/>
  <c r="H133" i="15" s="1"/>
  <c r="H149" i="15" a="1"/>
  <c r="H149" i="15" s="1"/>
  <c r="H103" i="15" a="1"/>
  <c r="H103" i="15" s="1"/>
  <c r="H84" i="15" a="1"/>
  <c r="H84" i="15" s="1"/>
  <c r="H172" i="15" a="1"/>
  <c r="H172" i="15" s="1"/>
  <c r="H197" i="15" a="1"/>
  <c r="H197" i="15" s="1"/>
  <c r="H170" i="15" a="1"/>
  <c r="H170" i="15" s="1"/>
  <c r="H201" i="15" a="1"/>
  <c r="H201" i="15" s="1"/>
  <c r="H177" i="15" a="1"/>
  <c r="H177" i="15" s="1"/>
  <c r="H190" i="15" a="1"/>
  <c r="H190" i="15" s="1"/>
  <c r="H85" i="15" a="1"/>
  <c r="H85" i="15" s="1"/>
  <c r="H72" i="15" a="1"/>
  <c r="H72" i="15" s="1"/>
  <c r="H45" i="15" a="1"/>
  <c r="H45" i="15" s="1"/>
  <c r="H31" i="15" a="1"/>
  <c r="H31" i="15" s="1"/>
  <c r="H71" i="15" a="1"/>
  <c r="H71" i="15" s="1"/>
  <c r="H35" i="15" a="1"/>
  <c r="H35" i="15" s="1"/>
  <c r="H113" i="15" a="1"/>
  <c r="H113" i="15" s="1"/>
  <c r="H136" i="15" a="1"/>
  <c r="H136" i="15" s="1"/>
  <c r="H37" i="15" a="1"/>
  <c r="H37" i="15" s="1"/>
  <c r="H121" i="15" a="1"/>
  <c r="H121" i="15" s="1"/>
  <c r="H126" i="15" a="1"/>
  <c r="H126" i="15" s="1"/>
  <c r="H107" i="15" a="1"/>
  <c r="H107" i="15" s="1"/>
  <c r="H80" i="15" a="1"/>
  <c r="H80" i="15" s="1"/>
  <c r="H144" i="15" a="1"/>
  <c r="H144" i="15" s="1"/>
  <c r="H156" i="15" a="1"/>
  <c r="H156" i="15" s="1"/>
  <c r="H160" i="15" a="1"/>
  <c r="H160" i="15" s="1"/>
  <c r="H119" i="15" a="1"/>
  <c r="H119" i="15" s="1"/>
  <c r="H108" i="15" a="1"/>
  <c r="H108" i="15" s="1"/>
  <c r="H155" i="15" a="1"/>
  <c r="H155" i="15" s="1"/>
  <c r="H192" i="15" a="1"/>
  <c r="H192" i="15" s="1"/>
  <c r="H186" i="15" a="1"/>
  <c r="H186" i="15" s="1"/>
  <c r="H188" i="15" a="1"/>
  <c r="H188" i="15" s="1"/>
  <c r="H193" i="15" a="1"/>
  <c r="H193" i="15" s="1"/>
  <c r="H43" i="15" a="1"/>
  <c r="H43" i="15" s="1"/>
  <c r="U18" i="15"/>
  <c r="H99" i="15" a="1"/>
  <c r="H99" i="15" s="1"/>
  <c r="H141" i="15" a="1"/>
  <c r="H141" i="15" s="1"/>
  <c r="H111" i="15" a="1"/>
  <c r="H111" i="15" s="1"/>
  <c r="H147" i="15" a="1"/>
  <c r="H147" i="15" s="1"/>
  <c r="H184" i="15" a="1"/>
  <c r="H184" i="15" s="1"/>
  <c r="H180" i="15" a="1"/>
  <c r="H180" i="15" s="1"/>
  <c r="H54" i="15" a="1"/>
  <c r="H54" i="15" s="1"/>
  <c r="H46" i="15" a="1"/>
  <c r="H46" i="15" s="1"/>
  <c r="H69" i="15" a="1"/>
  <c r="H69" i="15" s="1"/>
  <c r="H129" i="15" a="1"/>
  <c r="H129" i="15" s="1"/>
  <c r="H134" i="15" a="1"/>
  <c r="H134" i="15" s="1"/>
  <c r="H115" i="15" a="1"/>
  <c r="H115" i="15" s="1"/>
  <c r="H88" i="15" a="1"/>
  <c r="H88" i="15" s="1"/>
  <c r="H154" i="15" a="1"/>
  <c r="H154" i="15" s="1"/>
  <c r="H106" i="15" a="1"/>
  <c r="H106" i="15" s="1"/>
  <c r="H127" i="15" a="1"/>
  <c r="H127" i="15" s="1"/>
  <c r="H116" i="15" a="1"/>
  <c r="H116" i="15" s="1"/>
  <c r="H163" i="15" a="1"/>
  <c r="H163" i="15" s="1"/>
  <c r="H165" i="15" a="1"/>
  <c r="H165" i="15" s="1"/>
  <c r="H194" i="15" a="1"/>
  <c r="H194" i="15" s="1"/>
  <c r="H196" i="15" a="1"/>
  <c r="H196" i="15" s="1"/>
  <c r="H150" i="15" a="1"/>
  <c r="H150" i="15" s="1"/>
  <c r="H82" i="15" a="1"/>
  <c r="H82" i="15" s="1"/>
  <c r="H98" i="15" a="1"/>
  <c r="H98" i="15" s="1"/>
  <c r="H28" i="15" a="1"/>
  <c r="H28" i="15" s="1"/>
  <c r="H118" i="15" a="1"/>
  <c r="H118" i="15" s="1"/>
  <c r="H167" i="15" a="1"/>
  <c r="H167" i="15" s="1"/>
  <c r="H151" i="15" a="1"/>
  <c r="H151" i="15" s="1"/>
  <c r="H100" i="15" a="1"/>
  <c r="H100" i="15" s="1"/>
  <c r="H178" i="15" a="1"/>
  <c r="H178" i="15" s="1"/>
  <c r="H73" i="15" a="1"/>
  <c r="H73" i="15" s="1"/>
  <c r="H137" i="15" a="1"/>
  <c r="H137" i="15" s="1"/>
  <c r="H142" i="15" a="1"/>
  <c r="H142" i="15" s="1"/>
  <c r="H123" i="15" a="1"/>
  <c r="H123" i="15" s="1"/>
  <c r="H96" i="15" a="1"/>
  <c r="H96" i="15" s="1"/>
  <c r="H168" i="15" a="1"/>
  <c r="H168" i="15" s="1"/>
  <c r="H114" i="15" a="1"/>
  <c r="H114" i="15" s="1"/>
  <c r="H70" i="15" a="1"/>
  <c r="H70" i="15" s="1"/>
  <c r="H135" i="15" a="1"/>
  <c r="H135" i="15" s="1"/>
  <c r="H124" i="15" a="1"/>
  <c r="H124" i="15" s="1"/>
  <c r="H171" i="15" a="1"/>
  <c r="H171" i="15" s="1"/>
  <c r="H173" i="15" a="1"/>
  <c r="H173" i="15" s="1"/>
  <c r="H198" i="15" a="1"/>
  <c r="H198" i="15" s="1"/>
  <c r="H200" i="15" a="1"/>
  <c r="H200" i="15" s="1"/>
  <c r="H158" i="15" a="1"/>
  <c r="H158" i="15" s="1"/>
  <c r="H49" i="15" a="1"/>
  <c r="H49" i="15" s="1"/>
  <c r="H41" i="15" a="1"/>
  <c r="H41" i="15" s="1"/>
  <c r="H44" i="15" a="1"/>
  <c r="H44" i="15" s="1"/>
  <c r="H30" i="15" a="1"/>
  <c r="H30" i="15" s="1"/>
  <c r="H81" i="15" a="1"/>
  <c r="H81" i="15" s="1"/>
  <c r="H145" i="15" a="1"/>
  <c r="H145" i="15" s="1"/>
  <c r="H146" i="15" a="1"/>
  <c r="H146" i="15" s="1"/>
  <c r="H131" i="15" a="1"/>
  <c r="H131" i="15" s="1"/>
  <c r="H104" i="15" a="1"/>
  <c r="H104" i="15" s="1"/>
  <c r="H109" i="15" a="1"/>
  <c r="H109" i="15" s="1"/>
  <c r="H122" i="15" a="1"/>
  <c r="H122" i="15" s="1"/>
  <c r="H79" i="15" a="1"/>
  <c r="H79" i="15" s="1"/>
  <c r="H143" i="15" a="1"/>
  <c r="H143" i="15" s="1"/>
  <c r="H132" i="15" a="1"/>
  <c r="H132" i="15" s="1"/>
  <c r="H179" i="15" a="1"/>
  <c r="H179" i="15" s="1"/>
  <c r="H181" i="15" a="1"/>
  <c r="H181" i="15" s="1"/>
  <c r="H183" i="15" a="1"/>
  <c r="H183" i="15" s="1"/>
  <c r="H153" i="15" a="1"/>
  <c r="H153" i="15" s="1"/>
  <c r="H166" i="15" a="1"/>
  <c r="H166" i="15" s="1"/>
  <c r="H63" i="15" a="1"/>
  <c r="H63" i="15" s="1"/>
  <c r="H23" i="15" a="1"/>
  <c r="H23" i="15" s="1"/>
  <c r="H75" i="15" a="1"/>
  <c r="H75" i="15" s="1"/>
  <c r="H94" i="15" a="1"/>
  <c r="H94" i="15" s="1"/>
  <c r="H48" i="15" a="1"/>
  <c r="H48" i="15" s="1"/>
  <c r="H185" i="15" a="1"/>
  <c r="H185" i="15" s="1"/>
  <c r="H89" i="15" a="1"/>
  <c r="H89" i="15" s="1"/>
  <c r="H159" i="15" a="1"/>
  <c r="H159" i="15" s="1"/>
  <c r="H164" i="15" a="1"/>
  <c r="H164" i="15" s="1"/>
  <c r="H139" i="15" a="1"/>
  <c r="H139" i="15" s="1"/>
  <c r="H112" i="15" a="1"/>
  <c r="H112" i="15" s="1"/>
  <c r="H117" i="15" a="1"/>
  <c r="H117" i="15" s="1"/>
  <c r="H130" i="15" a="1"/>
  <c r="H130" i="15" s="1"/>
  <c r="H87" i="15" a="1"/>
  <c r="H87" i="15" s="1"/>
  <c r="H62" i="15" a="1"/>
  <c r="H62" i="15" s="1"/>
  <c r="H140" i="15" a="1"/>
  <c r="H140" i="15" s="1"/>
  <c r="H187" i="15" a="1"/>
  <c r="H187" i="15" s="1"/>
  <c r="H189" i="15" a="1"/>
  <c r="H189" i="15" s="1"/>
  <c r="H191" i="15" a="1"/>
  <c r="H191" i="15" s="1"/>
  <c r="H161" i="15" a="1"/>
  <c r="H161" i="15" s="1"/>
  <c r="H174" i="15" a="1"/>
  <c r="H174" i="15" s="1"/>
  <c r="H40" i="15" a="1"/>
  <c r="H40" i="15" s="1"/>
  <c r="H56" i="15" a="1"/>
  <c r="H56" i="15" s="1"/>
  <c r="H47" i="15" a="1"/>
  <c r="H47" i="15" s="1"/>
  <c r="H51" i="15" a="1"/>
  <c r="H51" i="15" s="1"/>
  <c r="H58" i="15"/>
  <c r="L57" i="15"/>
  <c r="L56" i="15"/>
  <c r="H57" i="15"/>
  <c r="I29" i="15" a="1"/>
  <c r="I29" i="15" s="1"/>
  <c r="I33" i="15" a="1"/>
  <c r="I33" i="15" s="1"/>
  <c r="I32" i="15" a="1"/>
  <c r="I32" i="15" s="1"/>
  <c r="I19" i="15" a="1"/>
  <c r="I19" i="15" s="1"/>
  <c r="I61" i="15" a="1"/>
  <c r="I61" i="15" s="1"/>
  <c r="I62" i="15" a="1"/>
  <c r="I62" i="15" s="1"/>
  <c r="I24" i="15" a="1"/>
  <c r="I24" i="15" s="1"/>
  <c r="I38" i="15" a="1"/>
  <c r="I38" i="15" s="1"/>
  <c r="I59" i="15" a="1"/>
  <c r="I59" i="15" s="1"/>
  <c r="I55" i="15" a="1"/>
  <c r="I55" i="15" s="1"/>
  <c r="I27" i="15" a="1"/>
  <c r="I27" i="15" s="1"/>
  <c r="I36" i="15" a="1"/>
  <c r="I36" i="15" s="1"/>
  <c r="I40" i="15" a="1"/>
  <c r="I40" i="15" s="1"/>
  <c r="I39" i="15" a="1"/>
  <c r="I39" i="15" s="1"/>
  <c r="I52" i="15" a="1"/>
  <c r="I52" i="15" s="1"/>
  <c r="I20" i="15" a="1"/>
  <c r="I20" i="15" s="1"/>
  <c r="Q103" i="15" a="1"/>
  <c r="Q103" i="15" s="1"/>
  <c r="Q104" i="15" a="1"/>
  <c r="Q104" i="15" s="1"/>
  <c r="Q105" i="15" a="1"/>
  <c r="Q105" i="15" s="1"/>
  <c r="Q86" i="15" a="1"/>
  <c r="Q86" i="15" s="1"/>
  <c r="Q78" i="15" a="1"/>
  <c r="Q78" i="15" s="1"/>
  <c r="Q94" i="15" a="1"/>
  <c r="Q94" i="15" s="1"/>
  <c r="Q93" i="15" a="1"/>
  <c r="Q93" i="15" s="1"/>
  <c r="Q83" i="15" a="1"/>
  <c r="Q83" i="15" s="1"/>
  <c r="Q106" i="15" a="1"/>
  <c r="Q106" i="15" s="1"/>
  <c r="Q102" i="15" a="1"/>
  <c r="Q102" i="15" s="1"/>
  <c r="Q101" i="15" a="1"/>
  <c r="Q101" i="15" s="1"/>
  <c r="Q91" i="15" a="1"/>
  <c r="Q91" i="15" s="1"/>
  <c r="Q82" i="15" a="1"/>
  <c r="Q82" i="15" s="1"/>
  <c r="Q99" i="15" a="1"/>
  <c r="Q99" i="15" s="1"/>
  <c r="Q84" i="15" a="1"/>
  <c r="Q84" i="15" s="1"/>
  <c r="J29" i="15" a="1"/>
  <c r="J29" i="15" s="1"/>
  <c r="I116" i="15" a="1"/>
  <c r="I116" i="15" s="1"/>
  <c r="I118" i="15" a="1"/>
  <c r="I118" i="15" s="1"/>
  <c r="I93" i="15" a="1"/>
  <c r="I93" i="15" s="1"/>
  <c r="I165" i="15" a="1"/>
  <c r="I165" i="15" s="1"/>
  <c r="I198" i="15" a="1"/>
  <c r="I198" i="15" s="1"/>
  <c r="Q85" i="15" a="1"/>
  <c r="Q85" i="15" s="1"/>
  <c r="Q107" i="15" a="1"/>
  <c r="Q107" i="15" s="1"/>
  <c r="Q92" i="15" a="1"/>
  <c r="Q92" i="15" s="1"/>
  <c r="J27" i="15" a="1"/>
  <c r="J27" i="15" s="1"/>
  <c r="J35" i="15" a="1"/>
  <c r="J35" i="15" s="1"/>
  <c r="I124" i="15" a="1"/>
  <c r="I124" i="15" s="1"/>
  <c r="I126" i="15" a="1"/>
  <c r="I126" i="15" s="1"/>
  <c r="I109" i="15" a="1"/>
  <c r="I109" i="15" s="1"/>
  <c r="I193" i="15" a="1"/>
  <c r="I193" i="15" s="1"/>
  <c r="I201" i="15" a="1"/>
  <c r="I201" i="15" s="1"/>
  <c r="Q81" i="15" a="1"/>
  <c r="Q81" i="15" s="1"/>
  <c r="Q80" i="15" a="1"/>
  <c r="Q80" i="15" s="1"/>
  <c r="Q79" i="15" a="1"/>
  <c r="Q79" i="15" s="1"/>
  <c r="Q100" i="15" a="1"/>
  <c r="Q100" i="15" s="1"/>
  <c r="I89" i="15" a="1"/>
  <c r="I89" i="15" s="1"/>
  <c r="I123" i="15" a="1"/>
  <c r="I123" i="15" s="1"/>
  <c r="I117" i="15" a="1"/>
  <c r="I117" i="15" s="1"/>
  <c r="I182" i="15" a="1"/>
  <c r="I182" i="15" s="1"/>
  <c r="I191" i="15" a="1"/>
  <c r="I191" i="15" s="1"/>
  <c r="D18" i="15"/>
  <c r="X20" i="15" s="1"/>
  <c r="Q77" i="15" a="1"/>
  <c r="Q77" i="15" s="1"/>
  <c r="Q90" i="15" a="1"/>
  <c r="Q90" i="15" s="1"/>
  <c r="Q89" i="15" a="1"/>
  <c r="Q89" i="15" s="1"/>
  <c r="Q88" i="15" a="1"/>
  <c r="Q88" i="15" s="1"/>
  <c r="Q87" i="15" a="1"/>
  <c r="Q87" i="15" s="1"/>
  <c r="J19" i="15" a="1"/>
  <c r="J19" i="15" s="1"/>
  <c r="J45" i="15" a="1"/>
  <c r="J45" i="15" s="1"/>
  <c r="Q98" i="15" a="1"/>
  <c r="Q98" i="15" s="1"/>
  <c r="Q97" i="15" a="1"/>
  <c r="Q97" i="15" s="1"/>
  <c r="Q96" i="15" a="1"/>
  <c r="Q96" i="15" s="1"/>
  <c r="Q95" i="15" a="1"/>
  <c r="Q95" i="15" s="1"/>
  <c r="L75" i="15" a="1"/>
  <c r="L75" i="15" s="1"/>
  <c r="I74" i="15" a="1"/>
  <c r="I74" i="15" s="1"/>
  <c r="I70" i="15" a="1"/>
  <c r="I70" i="15" s="1"/>
  <c r="I119" i="15" a="1"/>
  <c r="I119" i="15" s="1"/>
  <c r="I157" i="15" a="1"/>
  <c r="I157" i="15" s="1"/>
  <c r="I150" i="15" a="1"/>
  <c r="I150" i="15" s="1"/>
  <c r="I146" i="15" a="1"/>
  <c r="I146" i="15" s="1"/>
  <c r="I112" i="15" a="1"/>
  <c r="I112" i="15" s="1"/>
  <c r="I162" i="15" a="1"/>
  <c r="I162" i="15" s="1"/>
  <c r="I138" i="15" a="1"/>
  <c r="I138" i="15" s="1"/>
  <c r="I177" i="15" a="1"/>
  <c r="I177" i="15" s="1"/>
  <c r="I187" i="15" a="1"/>
  <c r="I187" i="15" s="1"/>
  <c r="I189" i="15" a="1"/>
  <c r="I189" i="15" s="1"/>
  <c r="I175" i="15" a="1"/>
  <c r="I175" i="15" s="1"/>
  <c r="I180" i="15" a="1"/>
  <c r="I180" i="15" s="1"/>
  <c r="I127" i="15" a="1"/>
  <c r="I127" i="15" s="1"/>
  <c r="I81" i="15" a="1"/>
  <c r="I81" i="15" s="1"/>
  <c r="I170" i="15" a="1"/>
  <c r="I170" i="15" s="1"/>
  <c r="I115" i="15" a="1"/>
  <c r="I115" i="15" s="1"/>
  <c r="I120" i="15" a="1"/>
  <c r="I120" i="15" s="1"/>
  <c r="I85" i="15" a="1"/>
  <c r="I85" i="15" s="1"/>
  <c r="I166" i="15" a="1"/>
  <c r="I166" i="15" s="1"/>
  <c r="I149" i="15" a="1"/>
  <c r="I149" i="15" s="1"/>
  <c r="I185" i="15" a="1"/>
  <c r="I185" i="15" s="1"/>
  <c r="I195" i="15" a="1"/>
  <c r="I195" i="15" s="1"/>
  <c r="I186" i="15" a="1"/>
  <c r="I186" i="15" s="1"/>
  <c r="I183" i="15" a="1"/>
  <c r="I183" i="15" s="1"/>
  <c r="I188" i="15" a="1"/>
  <c r="I188" i="15" s="1"/>
  <c r="I152" i="15" a="1"/>
  <c r="I152" i="15" s="1"/>
  <c r="I147" i="15" a="1"/>
  <c r="I147" i="15" s="1"/>
  <c r="I125" i="15" a="1"/>
  <c r="I125" i="15" s="1"/>
  <c r="I114" i="15" a="1"/>
  <c r="I114" i="15" s="1"/>
  <c r="I153" i="15" a="1"/>
  <c r="I153" i="15" s="1"/>
  <c r="I163" i="15" a="1"/>
  <c r="I163" i="15" s="1"/>
  <c r="I184" i="15" a="1"/>
  <c r="I184" i="15" s="1"/>
  <c r="I151" i="15" a="1"/>
  <c r="I151" i="15" s="1"/>
  <c r="I156" i="15" a="1"/>
  <c r="I156" i="15" s="1"/>
  <c r="I23" i="15" a="1"/>
  <c r="I23" i="15" s="1"/>
  <c r="I103" i="15" a="1"/>
  <c r="I103" i="15" s="1"/>
  <c r="I132" i="15" a="1"/>
  <c r="I132" i="15" s="1"/>
  <c r="I137" i="15" a="1"/>
  <c r="I137" i="15" s="1"/>
  <c r="I134" i="15" a="1"/>
  <c r="I134" i="15" s="1"/>
  <c r="I158" i="15" a="1"/>
  <c r="I158" i="15" s="1"/>
  <c r="I154" i="15" a="1"/>
  <c r="I154" i="15" s="1"/>
  <c r="I133" i="15" a="1"/>
  <c r="I133" i="15" s="1"/>
  <c r="I122" i="15" a="1"/>
  <c r="I122" i="15" s="1"/>
  <c r="I161" i="15" a="1"/>
  <c r="I161" i="15" s="1"/>
  <c r="I171" i="15" a="1"/>
  <c r="I171" i="15" s="1"/>
  <c r="I192" i="15" a="1"/>
  <c r="I192" i="15" s="1"/>
  <c r="I159" i="15" a="1"/>
  <c r="I159" i="15" s="1"/>
  <c r="I164" i="15" a="1"/>
  <c r="I164" i="15" s="1"/>
  <c r="I31" i="15" a="1"/>
  <c r="I31" i="15" s="1"/>
  <c r="I111" i="15" a="1"/>
  <c r="I111" i="15" s="1"/>
  <c r="I140" i="15" a="1"/>
  <c r="I140" i="15" s="1"/>
  <c r="I145" i="15" a="1"/>
  <c r="I145" i="15" s="1"/>
  <c r="I142" i="15" a="1"/>
  <c r="I142" i="15" s="1"/>
  <c r="I174" i="15" a="1"/>
  <c r="I174" i="15" s="1"/>
  <c r="I173" i="15" a="1"/>
  <c r="I173" i="15" s="1"/>
  <c r="I141" i="15" a="1"/>
  <c r="I141" i="15" s="1"/>
  <c r="I130" i="15" a="1"/>
  <c r="I130" i="15" s="1"/>
  <c r="I169" i="15" a="1"/>
  <c r="I169" i="15" s="1"/>
  <c r="I179" i="15" a="1"/>
  <c r="I179" i="15" s="1"/>
  <c r="I181" i="15" a="1"/>
  <c r="I181" i="15" s="1"/>
  <c r="I167" i="15" a="1"/>
  <c r="I167" i="15" s="1"/>
  <c r="L89" i="15"/>
  <c r="L53" i="15" a="1"/>
  <c r="L53" i="15" s="1"/>
  <c r="H92" i="15"/>
  <c r="L91" i="15"/>
  <c r="K109" i="15"/>
  <c r="J90" i="15"/>
  <c r="L90" i="15"/>
  <c r="K108" i="15"/>
  <c r="AL35" i="15"/>
  <c r="AL30" i="15"/>
  <c r="H19" i="15" a="1"/>
  <c r="H19" i="15" s="1"/>
  <c r="H38" i="15" a="1"/>
  <c r="H38" i="15" s="1"/>
  <c r="H33" i="15" a="1"/>
  <c r="H33" i="15" s="1"/>
  <c r="H27" i="15" a="1"/>
  <c r="H27" i="15" s="1"/>
  <c r="H24" i="15" a="1"/>
  <c r="H24" i="15" s="1"/>
  <c r="H34" i="15" a="1"/>
  <c r="H34" i="15" s="1"/>
  <c r="H86" i="15" a="1"/>
  <c r="H86" i="15" s="1"/>
  <c r="H55" i="15" a="1"/>
  <c r="H55" i="15" s="1"/>
  <c r="H39" i="15" a="1"/>
  <c r="H39" i="15" s="1"/>
  <c r="H36" i="15" a="1"/>
  <c r="H36" i="15" s="1"/>
  <c r="H25" i="15" a="1"/>
  <c r="H25" i="15" s="1"/>
  <c r="H21" i="15" a="1"/>
  <c r="H21" i="15" s="1"/>
  <c r="H101" i="15" a="1"/>
  <c r="H101" i="15" s="1"/>
  <c r="H78" i="15" a="1"/>
  <c r="H78" i="15" s="1"/>
  <c r="H18" i="15" a="1"/>
  <c r="H18" i="15" s="1"/>
  <c r="H53" i="15" a="1"/>
  <c r="H53" i="15" s="1"/>
  <c r="H20" i="15" a="1"/>
  <c r="H20" i="15" s="1"/>
  <c r="H32" i="15" a="1"/>
  <c r="H32" i="15" s="1"/>
  <c r="H29" i="15" a="1"/>
  <c r="H29" i="15" s="1"/>
  <c r="H64" i="15" a="1"/>
  <c r="H64" i="15" s="1"/>
  <c r="H110" i="15" a="1"/>
  <c r="H110" i="15" s="1"/>
  <c r="H52" i="15" a="1"/>
  <c r="H52" i="15" s="1"/>
  <c r="H77" i="15" a="1"/>
  <c r="H77" i="15" s="1"/>
  <c r="H102" i="15" a="1"/>
  <c r="H102" i="15" s="1"/>
  <c r="H22" i="15" a="1"/>
  <c r="H22" i="15" s="1"/>
  <c r="AL23" i="15"/>
  <c r="AF50" i="15"/>
  <c r="AE55" i="15"/>
  <c r="J33" i="15" a="1"/>
  <c r="J33" i="15" s="1"/>
  <c r="J23" i="15" a="1"/>
  <c r="J23" i="15" s="1"/>
  <c r="J26" i="15" a="1"/>
  <c r="J26" i="15" s="1"/>
  <c r="J54" i="15" a="1"/>
  <c r="J54" i="15" s="1"/>
  <c r="J51" i="15" a="1"/>
  <c r="J51" i="15" s="1"/>
  <c r="J52" i="15" a="1"/>
  <c r="J52" i="15" s="1"/>
  <c r="J47" i="15" a="1"/>
  <c r="J47" i="15" s="1"/>
  <c r="J71" i="15" a="1"/>
  <c r="J71" i="15" s="1"/>
  <c r="J72" i="15" a="1"/>
  <c r="J72" i="15" s="1"/>
  <c r="Y25" i="15"/>
  <c r="AH21" i="15" s="1"/>
  <c r="Y21" i="15"/>
  <c r="Y22" i="15"/>
  <c r="Y20" i="15"/>
  <c r="Y24" i="15"/>
  <c r="Y18" i="15"/>
  <c r="Y28" i="15" s="1"/>
  <c r="I79" i="15" a="1"/>
  <c r="I79" i="15" s="1"/>
  <c r="I97" i="15" a="1"/>
  <c r="I97" i="15" s="1"/>
  <c r="I101" i="15" a="1"/>
  <c r="I101" i="15" s="1"/>
  <c r="AL19" i="15"/>
  <c r="J38" i="15" a="1"/>
  <c r="J38" i="15" s="1"/>
  <c r="J31" i="15" a="1"/>
  <c r="J31" i="15" s="1"/>
  <c r="J30" i="15" a="1"/>
  <c r="J30" i="15" s="1"/>
  <c r="J73" i="15" a="1"/>
  <c r="J73" i="15" s="1"/>
  <c r="J62" i="15" a="1"/>
  <c r="J62" i="15" s="1"/>
  <c r="J49" i="15" a="1"/>
  <c r="J49" i="15" s="1"/>
  <c r="J77" i="15" a="1"/>
  <c r="J77" i="15" s="1"/>
  <c r="J75" i="15" a="1"/>
  <c r="J75" i="15" s="1"/>
  <c r="J55" i="15" a="1"/>
  <c r="J55" i="15" s="1"/>
  <c r="AL22" i="15"/>
  <c r="AL33" i="15"/>
  <c r="I87" i="15" a="1"/>
  <c r="I87" i="15" s="1"/>
  <c r="I86" i="15" a="1"/>
  <c r="I86" i="15" s="1"/>
  <c r="I60" i="15" a="1"/>
  <c r="I60" i="15" s="1"/>
  <c r="AL18" i="15"/>
  <c r="J40" i="15" a="1"/>
  <c r="J40" i="15" s="1"/>
  <c r="J37" i="15" a="1"/>
  <c r="J37" i="15" s="1"/>
  <c r="J70" i="15" a="1"/>
  <c r="J70" i="15" s="1"/>
  <c r="J78" i="15" a="1"/>
  <c r="J78" i="15" s="1"/>
  <c r="J65" i="15" a="1"/>
  <c r="J65" i="15" s="1"/>
  <c r="J85" i="15" a="1"/>
  <c r="J85" i="15" s="1"/>
  <c r="J79" i="15" a="1"/>
  <c r="J79" i="15" s="1"/>
  <c r="J83" i="15" a="1"/>
  <c r="J83" i="15" s="1"/>
  <c r="AL31" i="15"/>
  <c r="I88" i="15" a="1"/>
  <c r="I88" i="15" s="1"/>
  <c r="I95" i="15" a="1"/>
  <c r="I95" i="15" s="1"/>
  <c r="I94" i="15" a="1"/>
  <c r="I94" i="15" s="1"/>
  <c r="I63" i="15" a="1"/>
  <c r="I63" i="15" s="1"/>
  <c r="J76" i="15" a="1"/>
  <c r="J76" i="15" s="1"/>
  <c r="J42" i="15" a="1"/>
  <c r="J42" i="15" s="1"/>
  <c r="J86" i="15" a="1"/>
  <c r="J86" i="15" s="1"/>
  <c r="J81" i="15" a="1"/>
  <c r="J81" i="15" s="1"/>
  <c r="J82" i="15" a="1"/>
  <c r="J82" i="15" s="1"/>
  <c r="J87" i="15" a="1"/>
  <c r="J87" i="15" s="1"/>
  <c r="J36" i="15" a="1"/>
  <c r="J36" i="15" s="1"/>
  <c r="O104" i="15" a="1"/>
  <c r="O104" i="15" s="1"/>
  <c r="O96" i="15" a="1"/>
  <c r="O96" i="15" s="1"/>
  <c r="O88" i="15" a="1"/>
  <c r="O88" i="15" s="1"/>
  <c r="O80" i="15" a="1"/>
  <c r="O80" i="15" s="1"/>
  <c r="O99" i="15" a="1"/>
  <c r="O99" i="15" s="1"/>
  <c r="O91" i="15" a="1"/>
  <c r="O91" i="15" s="1"/>
  <c r="O83" i="15" a="1"/>
  <c r="O83" i="15" s="1"/>
  <c r="O75" i="15" a="1"/>
  <c r="O75" i="15" s="1"/>
  <c r="O105" i="15" a="1"/>
  <c r="O105" i="15" s="1"/>
  <c r="O100" i="15" a="1"/>
  <c r="O100" i="15" s="1"/>
  <c r="O92" i="15" a="1"/>
  <c r="O92" i="15" s="1"/>
  <c r="O84" i="15" a="1"/>
  <c r="O84" i="15" s="1"/>
  <c r="O103" i="15" a="1"/>
  <c r="O103" i="15" s="1"/>
  <c r="O95" i="15" a="1"/>
  <c r="O95" i="15" s="1"/>
  <c r="O87" i="15" a="1"/>
  <c r="O87" i="15" s="1"/>
  <c r="O79" i="15" a="1"/>
  <c r="O79" i="15" s="1"/>
  <c r="O101" i="15" a="1"/>
  <c r="O101" i="15" s="1"/>
  <c r="O93" i="15" a="1"/>
  <c r="O93" i="15" s="1"/>
  <c r="O85" i="15" a="1"/>
  <c r="O85" i="15" s="1"/>
  <c r="O77" i="15" a="1"/>
  <c r="O77" i="15" s="1"/>
  <c r="O81" i="15" a="1"/>
  <c r="O81" i="15" s="1"/>
  <c r="O78" i="15" a="1"/>
  <c r="O78" i="15" s="1"/>
  <c r="O76" i="15" a="1"/>
  <c r="O76" i="15" s="1"/>
  <c r="O102" i="15" a="1"/>
  <c r="O102" i="15" s="1"/>
  <c r="O94" i="15" a="1"/>
  <c r="O94" i="15" s="1"/>
  <c r="O89" i="15" a="1"/>
  <c r="O89" i="15" s="1"/>
  <c r="O86" i="15" a="1"/>
  <c r="O86" i="15" s="1"/>
  <c r="O97" i="15" a="1"/>
  <c r="O97" i="15" s="1"/>
  <c r="O106" i="15" a="1"/>
  <c r="O106" i="15" s="1"/>
  <c r="O98" i="15" a="1"/>
  <c r="O98" i="15" s="1"/>
  <c r="O90" i="15" a="1"/>
  <c r="O90" i="15" s="1"/>
  <c r="O82" i="15" a="1"/>
  <c r="O82" i="15" s="1"/>
  <c r="B18" i="15"/>
  <c r="AL20" i="15"/>
  <c r="U26" i="15"/>
  <c r="U23" i="15"/>
  <c r="U19" i="15"/>
  <c r="U24" i="15"/>
  <c r="U20" i="15"/>
  <c r="U22" i="15"/>
  <c r="J44" i="15" a="1"/>
  <c r="J44" i="15" s="1"/>
  <c r="J74" i="15" a="1"/>
  <c r="J74" i="15" s="1"/>
  <c r="J34" i="15" a="1"/>
  <c r="J34" i="15" s="1"/>
  <c r="P86" i="15" a="1"/>
  <c r="P86" i="15" s="1"/>
  <c r="P78" i="15" a="1"/>
  <c r="P78" i="15" s="1"/>
  <c r="P81" i="15" a="1"/>
  <c r="P81" i="15" s="1"/>
  <c r="P73" i="15" a="1"/>
  <c r="P73" i="15" s="1"/>
  <c r="P69" i="15" a="1"/>
  <c r="P69" i="15" s="1"/>
  <c r="P82" i="15" a="1"/>
  <c r="P82" i="15" s="1"/>
  <c r="P85" i="15" a="1"/>
  <c r="P85" i="15" s="1"/>
  <c r="P77" i="15" a="1"/>
  <c r="P77" i="15" s="1"/>
  <c r="P83" i="15" a="1"/>
  <c r="P83" i="15" s="1"/>
  <c r="P75" i="15" a="1"/>
  <c r="P75" i="15" s="1"/>
  <c r="P72" i="15" a="1"/>
  <c r="P72" i="15" s="1"/>
  <c r="P68" i="15" a="1"/>
  <c r="P68" i="15" s="1"/>
  <c r="P66" i="15" a="1"/>
  <c r="P66" i="15" s="1"/>
  <c r="P80" i="15" a="1"/>
  <c r="P80" i="15" s="1"/>
  <c r="P88" i="15" a="1"/>
  <c r="P88" i="15" s="1"/>
  <c r="P74" i="15" a="1"/>
  <c r="P74" i="15" s="1"/>
  <c r="P71" i="15" a="1"/>
  <c r="P71" i="15" s="1"/>
  <c r="C18" i="15"/>
  <c r="P87" i="15" a="1"/>
  <c r="P87" i="15" s="1"/>
  <c r="P84" i="15" a="1"/>
  <c r="P84" i="15" s="1"/>
  <c r="P67" i="15" a="1"/>
  <c r="P67" i="15" s="1"/>
  <c r="P79" i="15" a="1"/>
  <c r="P79" i="15" s="1"/>
  <c r="P70" i="15" a="1"/>
  <c r="P70" i="15" s="1"/>
  <c r="P76" i="15" a="1"/>
  <c r="P76" i="15" s="1"/>
  <c r="I72" i="15" a="1"/>
  <c r="I72" i="15" s="1"/>
  <c r="I71" i="15" a="1"/>
  <c r="I71" i="15" s="1"/>
  <c r="I90" i="15" a="1"/>
  <c r="I90" i="15" s="1"/>
  <c r="I35" i="15" a="1"/>
  <c r="I35" i="15" s="1"/>
  <c r="I25" i="15" a="1"/>
  <c r="I25" i="15" s="1"/>
  <c r="I21" i="15" a="1"/>
  <c r="I21" i="15" s="1"/>
  <c r="I44" i="15" a="1"/>
  <c r="I44" i="15" s="1"/>
  <c r="I30" i="15" a="1"/>
  <c r="I30" i="15" s="1"/>
  <c r="I26" i="15" a="1"/>
  <c r="I26" i="15" s="1"/>
  <c r="I28" i="15" a="1"/>
  <c r="I28" i="15" s="1"/>
  <c r="I22" i="15" a="1"/>
  <c r="I22" i="15" s="1"/>
  <c r="I18" i="15" a="1"/>
  <c r="I18" i="15" s="1"/>
  <c r="I83" i="15" a="1"/>
  <c r="I83" i="15" s="1"/>
  <c r="I80" i="15" a="1"/>
  <c r="I80" i="15" s="1"/>
  <c r="I54" i="15" a="1"/>
  <c r="I54" i="15" s="1"/>
  <c r="I50" i="15" a="1"/>
  <c r="I50" i="15" s="1"/>
  <c r="I48" i="15" a="1"/>
  <c r="I48" i="15" s="1"/>
  <c r="I46" i="15" a="1"/>
  <c r="I46" i="15" s="1"/>
  <c r="I42" i="15" a="1"/>
  <c r="I42" i="15" s="1"/>
  <c r="I37" i="15" a="1"/>
  <c r="I37" i="15" s="1"/>
  <c r="I58" i="15" a="1"/>
  <c r="I58" i="15" s="1"/>
  <c r="I49" i="15" a="1"/>
  <c r="I49" i="15" s="1"/>
  <c r="I45" i="15" a="1"/>
  <c r="I45" i="15" s="1"/>
  <c r="I56" i="15" a="1"/>
  <c r="I56" i="15" s="1"/>
  <c r="I47" i="15" a="1"/>
  <c r="I47" i="15" s="1"/>
  <c r="I34" i="15" a="1"/>
  <c r="I34" i="15" s="1"/>
  <c r="I43" i="15" a="1"/>
  <c r="I43" i="15" s="1"/>
  <c r="I41" i="15" a="1"/>
  <c r="I41" i="15" s="1"/>
  <c r="J20" i="15" a="1"/>
  <c r="J20" i="15" s="1"/>
  <c r="J53" i="15" a="1"/>
  <c r="J53" i="15" s="1"/>
  <c r="J46" i="15" a="1"/>
  <c r="J46" i="15" s="1"/>
  <c r="J22" i="15" a="1"/>
  <c r="J22" i="15" s="1"/>
  <c r="J21" i="15" a="1"/>
  <c r="J21" i="15" s="1"/>
  <c r="J41" i="15" a="1"/>
  <c r="J41" i="15" s="1"/>
  <c r="J84" i="15" a="1"/>
  <c r="J84" i="15" s="1"/>
  <c r="J61" i="15" a="1"/>
  <c r="J61" i="15" s="1"/>
  <c r="J58" i="15" a="1"/>
  <c r="J58" i="15" s="1"/>
  <c r="I57" i="15" a="1"/>
  <c r="I57" i="15" s="1"/>
  <c r="I98" i="15" a="1"/>
  <c r="I98" i="15" s="1"/>
  <c r="J24" i="15" a="1"/>
  <c r="J24" i="15" s="1"/>
  <c r="J69" i="15" a="1"/>
  <c r="J69" i="15" s="1"/>
  <c r="J32" i="15" a="1"/>
  <c r="J32" i="15" s="1"/>
  <c r="J48" i="15" a="1"/>
  <c r="J48" i="15" s="1"/>
  <c r="J28" i="15" a="1"/>
  <c r="J28" i="15" s="1"/>
  <c r="J25" i="15" a="1"/>
  <c r="J25" i="15" s="1"/>
  <c r="J43" i="15" a="1"/>
  <c r="J43" i="15" s="1"/>
  <c r="J63" i="15" a="1"/>
  <c r="J63" i="15" s="1"/>
  <c r="J64" i="15" a="1"/>
  <c r="J64" i="15" s="1"/>
  <c r="J80" i="15" a="1"/>
  <c r="J80" i="15" s="1"/>
  <c r="U25" i="15"/>
  <c r="L60" i="15" a="1"/>
  <c r="L61" i="15" a="1"/>
  <c r="K70" i="15" a="1"/>
  <c r="J59" i="15" a="1"/>
  <c r="I68" i="15" a="1"/>
  <c r="H61" i="15" a="1"/>
  <c r="H60" i="15" a="1"/>
  <c r="K65" i="15" a="1"/>
  <c r="I67" i="15" a="1"/>
  <c r="I66" i="15" a="1"/>
  <c r="H59" i="15" a="1"/>
  <c r="K66" i="15" a="1"/>
  <c r="J57" i="15" a="1"/>
  <c r="I65" i="15" a="1"/>
  <c r="J56" i="15" a="1"/>
  <c r="I104" i="15" a="1"/>
  <c r="I105" i="15" a="1"/>
  <c r="I107" i="15" a="1"/>
  <c r="J89" i="15" a="1"/>
  <c r="H93" i="15" a="1"/>
  <c r="I108" i="15" a="1"/>
  <c r="H67" i="15" a="1"/>
  <c r="I77" i="15" a="1"/>
  <c r="L69" i="15" a="1"/>
  <c r="J96" i="17" a="1"/>
  <c r="J97" i="17" a="1"/>
  <c r="J104" i="17" a="1"/>
  <c r="H99" i="17" a="1"/>
  <c r="L96" i="17" a="1"/>
  <c r="I97" i="17" a="1"/>
  <c r="L94" i="17" a="1"/>
  <c r="L95" i="17" a="1"/>
  <c r="K96" i="17" a="1"/>
  <c r="K95" i="17" a="1"/>
  <c r="K99" i="17" a="1"/>
  <c r="K98" i="17" a="1"/>
  <c r="K100" i="17" a="1"/>
  <c r="K101" i="17" a="1"/>
  <c r="I98" i="17" a="1"/>
  <c r="I99" i="17" a="1"/>
  <c r="L97" i="17" a="1"/>
  <c r="L98" i="17" a="1"/>
  <c r="I92" i="17" a="1"/>
  <c r="H100" i="17" a="1"/>
  <c r="L101" i="17" a="1"/>
  <c r="I94" i="17" a="1"/>
  <c r="K92" i="17" a="1"/>
  <c r="H97" i="17" a="1"/>
  <c r="L67" i="15" a="1"/>
  <c r="L99" i="17" a="1"/>
  <c r="J66" i="15" a="1"/>
  <c r="K78" i="15" a="1"/>
  <c r="L68" i="15" a="1"/>
  <c r="H98" i="17" a="1"/>
  <c r="I75" i="15" a="1"/>
  <c r="J67" i="15" a="1"/>
  <c r="J98" i="17" a="1"/>
  <c r="L100" i="17" a="1"/>
  <c r="K77" i="15" a="1"/>
  <c r="H66" i="15" a="1"/>
  <c r="I76" i="15" a="1"/>
  <c r="I93" i="17" a="1"/>
  <c r="H65" i="15" a="1"/>
  <c r="K93" i="17" a="1"/>
  <c r="U28" i="15" l="1"/>
  <c r="L101" i="17"/>
  <c r="I92" i="17"/>
  <c r="AI634" i="17"/>
  <c r="AI1019" i="17"/>
  <c r="AI1036" i="17"/>
  <c r="AI727" i="17"/>
  <c r="AI964" i="17"/>
  <c r="AI830" i="17"/>
  <c r="AI641" i="17"/>
  <c r="AI107" i="17"/>
  <c r="AI638" i="17"/>
  <c r="AI154" i="17"/>
  <c r="AI1007" i="17"/>
  <c r="AI799" i="17"/>
  <c r="AI786" i="17"/>
  <c r="AI522" i="17"/>
  <c r="AI843" i="17"/>
  <c r="P37" i="15" a="1"/>
  <c r="P37" i="15" s="1"/>
  <c r="P42" i="17" a="1"/>
  <c r="P42" i="17" s="1"/>
  <c r="P41" i="17" a="1"/>
  <c r="P41" i="17" s="1"/>
  <c r="P57" i="17" a="1"/>
  <c r="P57" i="17" s="1"/>
  <c r="Q30" i="17" a="1"/>
  <c r="Q30" i="17" s="1"/>
  <c r="P61" i="17" a="1"/>
  <c r="P61" i="17" s="1"/>
  <c r="P43" i="17" a="1"/>
  <c r="P43" i="17" s="1"/>
  <c r="L100" i="17"/>
  <c r="P39" i="17" a="1"/>
  <c r="P39" i="17" s="1"/>
  <c r="P99" i="17" a="1"/>
  <c r="P99" i="17" s="1"/>
  <c r="AF19" i="17"/>
  <c r="P40" i="17" a="1"/>
  <c r="P40" i="17" s="1"/>
  <c r="AF24" i="17"/>
  <c r="P82" i="17" a="1"/>
  <c r="P82" i="17" s="1"/>
  <c r="P54" i="17" a="1"/>
  <c r="P54" i="17" s="1"/>
  <c r="L99" i="17"/>
  <c r="P44" i="17" a="1"/>
  <c r="P44" i="17" s="1"/>
  <c r="P90" i="17" a="1"/>
  <c r="P90" i="17" s="1"/>
  <c r="P68" i="17" a="1"/>
  <c r="P68" i="17" s="1"/>
  <c r="J98" i="17"/>
  <c r="P98" i="17" s="1" a="1"/>
  <c r="P98" i="17" s="1"/>
  <c r="P86" i="17" a="1"/>
  <c r="P86" i="17" s="1"/>
  <c r="P30" i="17" a="1"/>
  <c r="P30" i="17" s="1"/>
  <c r="J97" i="17"/>
  <c r="J96" i="17"/>
  <c r="P94" i="17" s="1" a="1"/>
  <c r="P94" i="17" s="1"/>
  <c r="P92" i="17" a="1"/>
  <c r="P92" i="17" s="1"/>
  <c r="AF18" i="17"/>
  <c r="P93" i="17" a="1"/>
  <c r="P93" i="17" s="1"/>
  <c r="P64" i="17" a="1"/>
  <c r="P64" i="17" s="1"/>
  <c r="AF29" i="17"/>
  <c r="J104" i="17"/>
  <c r="AF25" i="17"/>
  <c r="P33" i="17" a="1"/>
  <c r="P33" i="17" s="1"/>
  <c r="P70" i="17" a="1"/>
  <c r="P70" i="17" s="1"/>
  <c r="P35" i="17" a="1"/>
  <c r="P35" i="17" s="1"/>
  <c r="AF26" i="17"/>
  <c r="AF32" i="17"/>
  <c r="H100" i="17"/>
  <c r="P60" i="17" a="1"/>
  <c r="P60" i="17" s="1"/>
  <c r="H18" i="17" a="1"/>
  <c r="H18" i="17" s="1"/>
  <c r="N18" i="17" s="1" a="1"/>
  <c r="N18" i="17" s="1"/>
  <c r="P32" i="17" a="1"/>
  <c r="P32" i="17" s="1"/>
  <c r="P59" i="17" a="1"/>
  <c r="P59" i="17" s="1"/>
  <c r="P71" i="17" a="1"/>
  <c r="P71" i="17" s="1"/>
  <c r="P81" i="17" a="1"/>
  <c r="P81" i="17" s="1"/>
  <c r="P50" i="17" a="1"/>
  <c r="P50" i="17" s="1"/>
  <c r="P48" i="17" a="1"/>
  <c r="P48" i="17" s="1"/>
  <c r="P69" i="17" a="1"/>
  <c r="P69" i="17" s="1"/>
  <c r="N59" i="17" a="1"/>
  <c r="N59" i="17" s="1"/>
  <c r="P67" i="17" a="1"/>
  <c r="P67" i="17" s="1"/>
  <c r="P72" i="17" a="1"/>
  <c r="P72" i="17" s="1"/>
  <c r="P34" i="17" a="1"/>
  <c r="P34" i="17" s="1"/>
  <c r="P101" i="17" a="1"/>
  <c r="P101" i="17" s="1"/>
  <c r="P80" i="17" a="1"/>
  <c r="P80" i="17" s="1"/>
  <c r="K92" i="17"/>
  <c r="Q90" i="17" s="1" a="1"/>
  <c r="Q90" i="17" s="1"/>
  <c r="K93" i="17"/>
  <c r="P47" i="17" a="1"/>
  <c r="P47" i="17" s="1"/>
  <c r="P79" i="17" a="1"/>
  <c r="P79" i="17" s="1"/>
  <c r="P46" i="17" a="1"/>
  <c r="P46" i="17" s="1"/>
  <c r="P52" i="17" a="1"/>
  <c r="P52" i="17" s="1"/>
  <c r="P84" i="17" a="1"/>
  <c r="P84" i="17" s="1"/>
  <c r="P49" i="17" a="1"/>
  <c r="P49" i="17" s="1"/>
  <c r="P29" i="17" a="1"/>
  <c r="P29" i="17" s="1"/>
  <c r="H99" i="17"/>
  <c r="P85" i="17" a="1"/>
  <c r="P85" i="17" s="1"/>
  <c r="P51" i="17" a="1"/>
  <c r="P51" i="17" s="1"/>
  <c r="R33" i="17" a="1"/>
  <c r="R33" i="17" s="1"/>
  <c r="U25" i="17"/>
  <c r="P37" i="17" a="1"/>
  <c r="P37" i="17" s="1"/>
  <c r="P78" i="17" a="1"/>
  <c r="P78" i="17" s="1"/>
  <c r="P56" i="17" a="1"/>
  <c r="P56" i="17" s="1"/>
  <c r="R31" i="17" a="1"/>
  <c r="R31" i="17" s="1"/>
  <c r="N49" i="17" a="1"/>
  <c r="N49" i="17" s="1"/>
  <c r="P26" i="17" a="1"/>
  <c r="P26" i="17" s="1"/>
  <c r="P88" i="17" a="1"/>
  <c r="P88" i="17" s="1"/>
  <c r="P73" i="17" a="1"/>
  <c r="P73" i="17" s="1"/>
  <c r="P83" i="17" a="1"/>
  <c r="P83" i="17" s="1"/>
  <c r="P28" i="17" a="1"/>
  <c r="P28" i="17" s="1"/>
  <c r="L96" i="17"/>
  <c r="P66" i="17" a="1"/>
  <c r="P66" i="17" s="1"/>
  <c r="P76" i="17" a="1"/>
  <c r="P76" i="17" s="1"/>
  <c r="P31" i="17" a="1"/>
  <c r="P31" i="17" s="1"/>
  <c r="P77" i="17" a="1"/>
  <c r="P77" i="17" s="1"/>
  <c r="P55" i="17" a="1"/>
  <c r="P55" i="17" s="1"/>
  <c r="R21" i="17" a="1"/>
  <c r="R21" i="17" s="1"/>
  <c r="P53" i="17" a="1"/>
  <c r="P53" i="17" s="1"/>
  <c r="P36" i="17" a="1"/>
  <c r="P36" i="17" s="1"/>
  <c r="P38" i="17" a="1"/>
  <c r="P38" i="17" s="1"/>
  <c r="P65" i="17" a="1"/>
  <c r="P65" i="17" s="1"/>
  <c r="P100" i="17" a="1"/>
  <c r="P100" i="17" s="1"/>
  <c r="P87" i="17" a="1"/>
  <c r="P87" i="17" s="1"/>
  <c r="P25" i="17" a="1"/>
  <c r="P25" i="17" s="1"/>
  <c r="P27" i="17" a="1"/>
  <c r="P27" i="17" s="1"/>
  <c r="P102" i="17" a="1"/>
  <c r="P102" i="17" s="1"/>
  <c r="P74" i="17" a="1"/>
  <c r="P74" i="17" s="1"/>
  <c r="P89" i="17" a="1"/>
  <c r="P89" i="17" s="1"/>
  <c r="N69" i="17" a="1"/>
  <c r="N69" i="17" s="1"/>
  <c r="P75" i="17" a="1"/>
  <c r="P75" i="17" s="1"/>
  <c r="AF30" i="17"/>
  <c r="P91" i="17" a="1"/>
  <c r="P91" i="17" s="1"/>
  <c r="N50" i="17" a="1"/>
  <c r="N50" i="17" s="1"/>
  <c r="I94" i="17"/>
  <c r="I93" i="17"/>
  <c r="O91" i="17" s="1" a="1"/>
  <c r="O91" i="17" s="1"/>
  <c r="N43" i="17" a="1"/>
  <c r="N43" i="17" s="1"/>
  <c r="H97" i="17"/>
  <c r="N95" i="17" s="1" a="1"/>
  <c r="N95" i="17" s="1"/>
  <c r="U19" i="17"/>
  <c r="N39" i="17" a="1"/>
  <c r="N39" i="17" s="1"/>
  <c r="U21" i="17"/>
  <c r="N67" i="17" a="1"/>
  <c r="N67" i="17" s="1"/>
  <c r="N40" i="17" a="1"/>
  <c r="N40" i="17" s="1"/>
  <c r="U23" i="17"/>
  <c r="U18" i="17"/>
  <c r="N36" i="17" a="1"/>
  <c r="N36" i="17" s="1"/>
  <c r="N82" i="17" a="1"/>
  <c r="N82" i="17" s="1"/>
  <c r="I97" i="17"/>
  <c r="N25" i="17" a="1"/>
  <c r="N25" i="17" s="1"/>
  <c r="R79" i="17" a="1"/>
  <c r="R79" i="17" s="1"/>
  <c r="Q27" i="17" a="1"/>
  <c r="Q27" i="17" s="1"/>
  <c r="R25" i="17" a="1"/>
  <c r="R25" i="17" s="1"/>
  <c r="N78" i="17" a="1"/>
  <c r="N78" i="17" s="1"/>
  <c r="R78" i="17" a="1"/>
  <c r="R78" i="17" s="1"/>
  <c r="R50" i="17" a="1"/>
  <c r="R50" i="17" s="1"/>
  <c r="R91" i="17" a="1"/>
  <c r="R91" i="17" s="1"/>
  <c r="R32" i="17" a="1"/>
  <c r="R32" i="17" s="1"/>
  <c r="L95" i="17"/>
  <c r="L94" i="17"/>
  <c r="R92" i="17" s="1" a="1"/>
  <c r="R92" i="17" s="1"/>
  <c r="Q23" i="17" a="1"/>
  <c r="Q23" i="17" s="1"/>
  <c r="N57" i="17" a="1"/>
  <c r="N57" i="17" s="1"/>
  <c r="N91" i="17" a="1"/>
  <c r="N91" i="17" s="1"/>
  <c r="Q56" i="17" a="1"/>
  <c r="Q56" i="17" s="1"/>
  <c r="R53" i="17" a="1"/>
  <c r="R53" i="17" s="1"/>
  <c r="O63" i="17" a="1"/>
  <c r="O63" i="17" s="1"/>
  <c r="N92" i="17" a="1"/>
  <c r="N92" i="17" s="1"/>
  <c r="Q74" i="17" a="1"/>
  <c r="Q74" i="17" s="1"/>
  <c r="Q36" i="17" a="1"/>
  <c r="Q36" i="17" s="1"/>
  <c r="N35" i="17" a="1"/>
  <c r="N35" i="17" s="1"/>
  <c r="Q28" i="17" a="1"/>
  <c r="Q28" i="17" s="1"/>
  <c r="R37" i="17" a="1"/>
  <c r="R37" i="17" s="1"/>
  <c r="N64" i="17" a="1"/>
  <c r="N64" i="17" s="1"/>
  <c r="K95" i="17"/>
  <c r="K96" i="17"/>
  <c r="Q72" i="17" a="1"/>
  <c r="Q72" i="17" s="1"/>
  <c r="R88" i="17" a="1"/>
  <c r="R88" i="17" s="1"/>
  <c r="R83" i="17" a="1"/>
  <c r="R83" i="17" s="1"/>
  <c r="Q26" i="17" a="1"/>
  <c r="Q26" i="17" s="1"/>
  <c r="R20" i="17" a="1"/>
  <c r="R20" i="17" s="1"/>
  <c r="R36" i="17" a="1"/>
  <c r="R36" i="17" s="1"/>
  <c r="N46" i="17" a="1"/>
  <c r="N46" i="17" s="1"/>
  <c r="O38" i="17" a="1"/>
  <c r="O38" i="17" s="1"/>
  <c r="P18" i="17" a="1"/>
  <c r="P18" i="17" s="1"/>
  <c r="O60" i="17" a="1"/>
  <c r="O60" i="17" s="1"/>
  <c r="O35" i="17" a="1"/>
  <c r="O35" i="17" s="1"/>
  <c r="K98" i="17"/>
  <c r="K99" i="17"/>
  <c r="N21" i="17" a="1"/>
  <c r="N21" i="17" s="1"/>
  <c r="N23" i="17" a="1"/>
  <c r="N23" i="17" s="1"/>
  <c r="N51" i="17" a="1"/>
  <c r="N51" i="17" s="1"/>
  <c r="N48" i="17" a="1"/>
  <c r="N48" i="17" s="1"/>
  <c r="N79" i="17" a="1"/>
  <c r="N79" i="17" s="1"/>
  <c r="N73" i="17" a="1"/>
  <c r="N73" i="17" s="1"/>
  <c r="N58" i="17" a="1"/>
  <c r="N58" i="17" s="1"/>
  <c r="N80" i="17" a="1"/>
  <c r="N80" i="17" s="1"/>
  <c r="N74" i="17" a="1"/>
  <c r="N74" i="17" s="1"/>
  <c r="Q39" i="17" a="1"/>
  <c r="Q39" i="17" s="1"/>
  <c r="N37" i="17" a="1"/>
  <c r="N37" i="17" s="1"/>
  <c r="O45" i="17" a="1"/>
  <c r="O45" i="17" s="1"/>
  <c r="O32" i="17" a="1"/>
  <c r="O32" i="17" s="1"/>
  <c r="O39" i="17" a="1"/>
  <c r="O39" i="17" s="1"/>
  <c r="P103" i="17" a="1"/>
  <c r="P103" i="17" s="1"/>
  <c r="N88" i="17" a="1"/>
  <c r="N88" i="17" s="1"/>
  <c r="Q69" i="17" a="1"/>
  <c r="Q69" i="17" s="1"/>
  <c r="R26" i="17" a="1"/>
  <c r="R26" i="17" s="1"/>
  <c r="H98" i="17"/>
  <c r="R62" i="17" a="1"/>
  <c r="R62" i="17" s="1"/>
  <c r="N77" i="17" a="1"/>
  <c r="N77" i="17" s="1"/>
  <c r="R75" i="17" a="1"/>
  <c r="R75" i="17" s="1"/>
  <c r="R24" i="17" a="1"/>
  <c r="R24" i="17" s="1"/>
  <c r="Q25" i="17" a="1"/>
  <c r="Q25" i="17" s="1"/>
  <c r="O85" i="17" a="1"/>
  <c r="O85" i="17" s="1"/>
  <c r="O22" i="17" a="1"/>
  <c r="O22" i="17" s="1"/>
  <c r="Q47" i="17" a="1"/>
  <c r="Q47" i="17" s="1"/>
  <c r="Q19" i="17" a="1"/>
  <c r="Q19" i="17" s="1"/>
  <c r="O76" i="17" a="1"/>
  <c r="O76" i="17" s="1"/>
  <c r="N87" i="17" a="1"/>
  <c r="N87" i="17" s="1"/>
  <c r="R54" i="17" a="1"/>
  <c r="R54" i="17" s="1"/>
  <c r="O90" i="17" a="1"/>
  <c r="O90" i="17" s="1"/>
  <c r="O46" i="17" a="1"/>
  <c r="O46" i="17" s="1"/>
  <c r="Q65" i="17" a="1"/>
  <c r="Q65" i="17" s="1"/>
  <c r="Q76" i="17" a="1"/>
  <c r="Q76" i="17" s="1"/>
  <c r="R28" i="17" a="1"/>
  <c r="R28" i="17" s="1"/>
  <c r="O19" i="17" a="1"/>
  <c r="O19" i="17" s="1"/>
  <c r="O80" i="17" a="1"/>
  <c r="O80" i="17" s="1"/>
  <c r="O55" i="17" a="1"/>
  <c r="O55" i="17" s="1"/>
  <c r="U26" i="17"/>
  <c r="U24" i="17"/>
  <c r="U20" i="17"/>
  <c r="U22" i="17"/>
  <c r="N85" i="17" a="1"/>
  <c r="N85" i="17" s="1"/>
  <c r="P20" i="17" a="1"/>
  <c r="P20" i="17" s="1"/>
  <c r="R85" i="17" a="1"/>
  <c r="R85" i="17" s="1"/>
  <c r="N41" i="17" a="1"/>
  <c r="N41" i="17" s="1"/>
  <c r="R51" i="17" a="1"/>
  <c r="R51" i="17" s="1"/>
  <c r="O88" i="17" a="1"/>
  <c r="O88" i="17" s="1"/>
  <c r="O66" i="17" a="1"/>
  <c r="O66" i="17" s="1"/>
  <c r="O23" i="17" a="1"/>
  <c r="O23" i="17" s="1"/>
  <c r="Q63" i="17" a="1"/>
  <c r="Q63" i="17" s="1"/>
  <c r="N71" i="17" a="1"/>
  <c r="N71" i="17" s="1"/>
  <c r="R44" i="17" a="1"/>
  <c r="R44" i="17" s="1"/>
  <c r="N32" i="17" a="1"/>
  <c r="N32" i="17" s="1"/>
  <c r="Q82" i="17" a="1"/>
  <c r="Q82" i="17" s="1"/>
  <c r="R38" i="17" a="1"/>
  <c r="R38" i="17" s="1"/>
  <c r="Q81" i="17" a="1"/>
  <c r="Q81" i="17" s="1"/>
  <c r="O26" i="17" a="1"/>
  <c r="O26" i="17" s="1"/>
  <c r="N93" i="17" a="1"/>
  <c r="N93" i="17" s="1"/>
  <c r="Q24" i="17" a="1"/>
  <c r="Q24" i="17" s="1"/>
  <c r="Q41" i="17" a="1"/>
  <c r="Q41" i="17" s="1"/>
  <c r="O82" i="17" a="1"/>
  <c r="O82" i="17" s="1"/>
  <c r="O33" i="17" a="1"/>
  <c r="O33" i="17" s="1"/>
  <c r="R34" i="17" a="1"/>
  <c r="R34" i="17" s="1"/>
  <c r="Q79" i="17" a="1"/>
  <c r="Q79" i="17" s="1"/>
  <c r="R65" i="17" a="1"/>
  <c r="R65" i="17" s="1"/>
  <c r="N20" i="17" a="1"/>
  <c r="N20" i="17" s="1"/>
  <c r="Q21" i="17" a="1"/>
  <c r="Q21" i="17" s="1"/>
  <c r="P19" i="17" a="1"/>
  <c r="P19" i="17" s="1"/>
  <c r="O50" i="17" a="1"/>
  <c r="O50" i="17" s="1"/>
  <c r="O28" i="17" a="1"/>
  <c r="O28" i="17" s="1"/>
  <c r="Q85" i="17" a="1"/>
  <c r="Q85" i="17" s="1"/>
  <c r="Q55" i="17" a="1"/>
  <c r="Q55" i="17" s="1"/>
  <c r="N54" i="17" a="1"/>
  <c r="N54" i="17" s="1"/>
  <c r="Q38" i="17" a="1"/>
  <c r="Q38" i="17" s="1"/>
  <c r="N86" i="17" a="1"/>
  <c r="N86" i="17" s="1"/>
  <c r="Q51" i="17" a="1"/>
  <c r="Q51" i="17" s="1"/>
  <c r="N28" i="17" a="1"/>
  <c r="N28" i="17" s="1"/>
  <c r="R60" i="17" a="1"/>
  <c r="R60" i="17" s="1"/>
  <c r="O77" i="17" a="1"/>
  <c r="O77" i="17" s="1"/>
  <c r="O56" i="17" a="1"/>
  <c r="O56" i="17" s="1"/>
  <c r="O20" i="17" a="1"/>
  <c r="O20" i="17" s="1"/>
  <c r="P22" i="17" a="1"/>
  <c r="P22" i="17" s="1"/>
  <c r="Q53" i="17" a="1"/>
  <c r="Q53" i="17" s="1"/>
  <c r="L98" i="17"/>
  <c r="L97" i="17"/>
  <c r="I99" i="17"/>
  <c r="I98" i="17"/>
  <c r="O96" i="17" s="1" a="1"/>
  <c r="O96" i="17" s="1"/>
  <c r="K101" i="17"/>
  <c r="K100" i="17"/>
  <c r="R48" i="17" a="1"/>
  <c r="R48" i="17" s="1"/>
  <c r="N62" i="17" a="1"/>
  <c r="N62" i="17" s="1"/>
  <c r="Q61" i="17" a="1"/>
  <c r="Q61" i="17" s="1"/>
  <c r="R82" i="17" a="1"/>
  <c r="R82" i="17" s="1"/>
  <c r="R71" i="17" a="1"/>
  <c r="R71" i="17" s="1"/>
  <c r="Q68" i="17" a="1"/>
  <c r="Q68" i="17" s="1"/>
  <c r="R67" i="17" a="1"/>
  <c r="R67" i="17" s="1"/>
  <c r="N76" i="17" a="1"/>
  <c r="N76" i="17" s="1"/>
  <c r="Q59" i="17" a="1"/>
  <c r="Q59" i="17" s="1"/>
  <c r="R49" i="17" a="1"/>
  <c r="R49" i="17" s="1"/>
  <c r="N26" i="17" a="1"/>
  <c r="N26" i="17" s="1"/>
  <c r="Q45" i="17" a="1"/>
  <c r="Q45" i="17" s="1"/>
  <c r="R40" i="17" a="1"/>
  <c r="R40" i="17" s="1"/>
  <c r="N90" i="17" a="1"/>
  <c r="N90" i="17" s="1"/>
  <c r="N63" i="17" a="1"/>
  <c r="N63" i="17" s="1"/>
  <c r="AH31" i="17"/>
  <c r="AH32" i="17"/>
  <c r="AH20" i="17"/>
  <c r="AH25" i="17"/>
  <c r="AH28" i="17"/>
  <c r="AH23" i="17"/>
  <c r="AH34" i="17"/>
  <c r="AH19" i="17"/>
  <c r="AH29" i="17"/>
  <c r="AH26" i="17"/>
  <c r="AH35" i="17"/>
  <c r="AH22" i="17"/>
  <c r="Q80" i="17" a="1"/>
  <c r="Q80" i="17" s="1"/>
  <c r="R41" i="17" a="1"/>
  <c r="R41" i="17" s="1"/>
  <c r="N44" i="17" a="1"/>
  <c r="N44" i="17" s="1"/>
  <c r="R64" i="17" a="1"/>
  <c r="R64" i="17" s="1"/>
  <c r="Q83" i="17" a="1"/>
  <c r="Q83" i="17" s="1"/>
  <c r="R86" i="17" a="1"/>
  <c r="R86" i="17" s="1"/>
  <c r="N70" i="17" a="1"/>
  <c r="N70" i="17" s="1"/>
  <c r="O48" i="17" a="1"/>
  <c r="O48" i="17" s="1"/>
  <c r="O51" i="17" a="1"/>
  <c r="O51" i="17" s="1"/>
  <c r="O58" i="17" a="1"/>
  <c r="O58" i="17" s="1"/>
  <c r="O86" i="17" a="1"/>
  <c r="O86" i="17" s="1"/>
  <c r="O79" i="17" a="1"/>
  <c r="O79" i="17" s="1"/>
  <c r="O69" i="17" a="1"/>
  <c r="O69" i="17" s="1"/>
  <c r="O25" i="17" a="1"/>
  <c r="O25" i="17" s="1"/>
  <c r="Q75" i="17" a="1"/>
  <c r="Q75" i="17" s="1"/>
  <c r="Q78" i="17" a="1"/>
  <c r="Q78" i="17" s="1"/>
  <c r="Q73" i="17" a="1"/>
  <c r="Q73" i="17" s="1"/>
  <c r="Q49" i="17" a="1"/>
  <c r="Q49" i="17" s="1"/>
  <c r="Q70" i="17" a="1"/>
  <c r="Q70" i="17" s="1"/>
  <c r="Q52" i="17" a="1"/>
  <c r="Q52" i="17" s="1"/>
  <c r="N83" i="17" a="1"/>
  <c r="N83" i="17" s="1"/>
  <c r="Q34" i="17" a="1"/>
  <c r="Q34" i="17" s="1"/>
  <c r="R89" i="17" a="1"/>
  <c r="R89" i="17" s="1"/>
  <c r="N22" i="17" a="1"/>
  <c r="N22" i="17" s="1"/>
  <c r="N81" i="17" a="1"/>
  <c r="N81" i="17" s="1"/>
  <c r="O43" i="17" a="1"/>
  <c r="O43" i="17" s="1"/>
  <c r="O74" i="17" a="1"/>
  <c r="O74" i="17" s="1"/>
  <c r="O65" i="17" a="1"/>
  <c r="O65" i="17" s="1"/>
  <c r="O78" i="17" a="1"/>
  <c r="O78" i="17" s="1"/>
  <c r="O18" i="17" a="1"/>
  <c r="O18" i="17" s="1"/>
  <c r="R77" i="17" a="1"/>
  <c r="R77" i="17" s="1"/>
  <c r="O62" i="17" a="1"/>
  <c r="O62" i="17" s="1"/>
  <c r="R80" i="17" a="1"/>
  <c r="R80" i="17" s="1"/>
  <c r="Q62" i="17" a="1"/>
  <c r="Q62" i="17" s="1"/>
  <c r="Q54" i="17" a="1"/>
  <c r="Q54" i="17" s="1"/>
  <c r="R58" i="17" a="1"/>
  <c r="R58" i="17" s="1"/>
  <c r="N31" i="17" a="1"/>
  <c r="N31" i="17" s="1"/>
  <c r="R55" i="17" a="1"/>
  <c r="R55" i="17" s="1"/>
  <c r="Q66" i="17" a="1"/>
  <c r="Q66" i="17" s="1"/>
  <c r="R72" i="17" a="1"/>
  <c r="R72" i="17" s="1"/>
  <c r="N53" i="17" a="1"/>
  <c r="N53" i="17" s="1"/>
  <c r="Q88" i="17" a="1"/>
  <c r="Q88" i="17" s="1"/>
  <c r="N29" i="17" a="1"/>
  <c r="N29" i="17" s="1"/>
  <c r="P24" i="17" a="1"/>
  <c r="P24" i="17" s="1"/>
  <c r="Q86" i="17" a="1"/>
  <c r="Q86" i="17" s="1"/>
  <c r="AG35" i="17"/>
  <c r="AG20" i="17"/>
  <c r="AG32" i="17"/>
  <c r="AG23" i="17"/>
  <c r="AG29" i="17"/>
  <c r="AG26" i="17"/>
  <c r="N66" i="17" a="1"/>
  <c r="N66" i="17" s="1"/>
  <c r="O53" i="17" a="1"/>
  <c r="O53" i="17" s="1"/>
  <c r="O70" i="17" a="1"/>
  <c r="O70" i="17" s="1"/>
  <c r="O34" i="17" a="1"/>
  <c r="O34" i="17" s="1"/>
  <c r="O73" i="17" a="1"/>
  <c r="O73" i="17" s="1"/>
  <c r="Q32" i="17" a="1"/>
  <c r="Q32" i="17" s="1"/>
  <c r="R22" i="17" a="1"/>
  <c r="R22" i="17" s="1"/>
  <c r="R87" i="17" a="1"/>
  <c r="R87" i="17" s="1"/>
  <c r="R81" i="17" a="1"/>
  <c r="R81" i="17" s="1"/>
  <c r="R56" i="17" a="1"/>
  <c r="R56" i="17" s="1"/>
  <c r="R23" i="17" a="1"/>
  <c r="R23" i="17" s="1"/>
  <c r="R47" i="17" a="1"/>
  <c r="R47" i="17" s="1"/>
  <c r="N56" i="17" a="1"/>
  <c r="N56" i="17" s="1"/>
  <c r="R68" i="17" a="1"/>
  <c r="R68" i="17" s="1"/>
  <c r="Q33" i="17" a="1"/>
  <c r="Q33" i="17" s="1"/>
  <c r="Q58" i="17" a="1"/>
  <c r="Q58" i="17" s="1"/>
  <c r="R66" i="17" a="1"/>
  <c r="R66" i="17" s="1"/>
  <c r="N75" i="17" a="1"/>
  <c r="N75" i="17" s="1"/>
  <c r="N27" i="17" a="1"/>
  <c r="N27" i="17" s="1"/>
  <c r="Q43" i="17" a="1"/>
  <c r="Q43" i="17" s="1"/>
  <c r="R61" i="17" a="1"/>
  <c r="R61" i="17" s="1"/>
  <c r="W27" i="17"/>
  <c r="N89" i="17" a="1"/>
  <c r="N89" i="17" s="1"/>
  <c r="O81" i="17" a="1"/>
  <c r="O81" i="17" s="1"/>
  <c r="O59" i="17" a="1"/>
  <c r="O59" i="17" s="1"/>
  <c r="O68" i="17" a="1"/>
  <c r="O68" i="17" s="1"/>
  <c r="O42" i="17" a="1"/>
  <c r="O42" i="17" s="1"/>
  <c r="N68" i="17" a="1"/>
  <c r="N68" i="17" s="1"/>
  <c r="Q42" i="17" a="1"/>
  <c r="Q42" i="17" s="1"/>
  <c r="N34" i="17" a="1"/>
  <c r="N34" i="17" s="1"/>
  <c r="R73" i="17" a="1"/>
  <c r="R73" i="17" s="1"/>
  <c r="R69" i="17" a="1"/>
  <c r="R69" i="17" s="1"/>
  <c r="Q46" i="17" a="1"/>
  <c r="Q46" i="17" s="1"/>
  <c r="R46" i="17" a="1"/>
  <c r="R46" i="17" s="1"/>
  <c r="R90" i="17" a="1"/>
  <c r="R90" i="17" s="1"/>
  <c r="R59" i="17" a="1"/>
  <c r="R59" i="17" s="1"/>
  <c r="Q57" i="17" a="1"/>
  <c r="Q57" i="17" s="1"/>
  <c r="R45" i="17" a="1"/>
  <c r="R45" i="17" s="1"/>
  <c r="R19" i="17" a="1"/>
  <c r="R19" i="17" s="1"/>
  <c r="R18" i="17" a="1"/>
  <c r="R18" i="17" s="1"/>
  <c r="AF27" i="17"/>
  <c r="Q87" i="17" a="1"/>
  <c r="Q87" i="17" s="1"/>
  <c r="R74" i="17" a="1"/>
  <c r="R74" i="17" s="1"/>
  <c r="N47" i="17" a="1"/>
  <c r="N47" i="17" s="1"/>
  <c r="R84" i="17" a="1"/>
  <c r="R84" i="17" s="1"/>
  <c r="R27" i="17" a="1"/>
  <c r="R27" i="17" s="1"/>
  <c r="O83" i="17" a="1"/>
  <c r="O83" i="17" s="1"/>
  <c r="O30" i="17" a="1"/>
  <c r="O30" i="17" s="1"/>
  <c r="O54" i="17" a="1"/>
  <c r="O54" i="17" s="1"/>
  <c r="O52" i="17" a="1"/>
  <c r="O52" i="17" s="1"/>
  <c r="O49" i="17" a="1"/>
  <c r="O49" i="17" s="1"/>
  <c r="O64" i="17" a="1"/>
  <c r="O64" i="17" s="1"/>
  <c r="O37" i="17" a="1"/>
  <c r="O37" i="17" s="1"/>
  <c r="O24" i="17" a="1"/>
  <c r="O24" i="17" s="1"/>
  <c r="N30" i="17" a="1"/>
  <c r="N30" i="17" s="1"/>
  <c r="Q50" i="17" a="1"/>
  <c r="Q50" i="17" s="1"/>
  <c r="R76" i="17" a="1"/>
  <c r="R76" i="17" s="1"/>
  <c r="N94" i="17" a="1"/>
  <c r="N94" i="17" s="1"/>
  <c r="AF23" i="17"/>
  <c r="AF22" i="17"/>
  <c r="N33" i="17" a="1"/>
  <c r="N33" i="17" s="1"/>
  <c r="P23" i="17" a="1"/>
  <c r="P23" i="17" s="1"/>
  <c r="Q97" i="17" a="1"/>
  <c r="Q97" i="17" s="1"/>
  <c r="Q40" i="17" a="1"/>
  <c r="Q40" i="17" s="1"/>
  <c r="R63" i="17" a="1"/>
  <c r="R63" i="17" s="1"/>
  <c r="Q44" i="17" a="1"/>
  <c r="Q44" i="17" s="1"/>
  <c r="Q18" i="17" a="1"/>
  <c r="Q18" i="17" s="1"/>
  <c r="N55" i="17" a="1"/>
  <c r="N55" i="17" s="1"/>
  <c r="R52" i="17" a="1"/>
  <c r="R52" i="17" s="1"/>
  <c r="N84" i="17" a="1"/>
  <c r="N84" i="17" s="1"/>
  <c r="Q84" i="17" a="1"/>
  <c r="Q84" i="17" s="1"/>
  <c r="R39" i="17" a="1"/>
  <c r="R39" i="17" s="1"/>
  <c r="N38" i="17" a="1"/>
  <c r="N38" i="17" s="1"/>
  <c r="Q60" i="17" a="1"/>
  <c r="Q60" i="17" s="1"/>
  <c r="R35" i="17" a="1"/>
  <c r="R35" i="17" s="1"/>
  <c r="N72" i="17" a="1"/>
  <c r="N72" i="17" s="1"/>
  <c r="O84" i="17" a="1"/>
  <c r="O84" i="17" s="1"/>
  <c r="O57" i="17" a="1"/>
  <c r="O57" i="17" s="1"/>
  <c r="O47" i="17" a="1"/>
  <c r="O47" i="17" s="1"/>
  <c r="O21" i="17" a="1"/>
  <c r="O21" i="17" s="1"/>
  <c r="O87" i="17" a="1"/>
  <c r="O87" i="17" s="1"/>
  <c r="O89" i="17" a="1"/>
  <c r="O89" i="17" s="1"/>
  <c r="O44" i="17" a="1"/>
  <c r="O44" i="17" s="1"/>
  <c r="O29" i="17" a="1"/>
  <c r="O29" i="17" s="1"/>
  <c r="N60" i="17" a="1"/>
  <c r="N60" i="17" s="1"/>
  <c r="O95" i="17" a="1"/>
  <c r="O95" i="17" s="1"/>
  <c r="Q67" i="17" a="1"/>
  <c r="Q67" i="17" s="1"/>
  <c r="R43" i="17" a="1"/>
  <c r="R43" i="17" s="1"/>
  <c r="Q48" i="17" a="1"/>
  <c r="Q48" i="17" s="1"/>
  <c r="R42" i="17" a="1"/>
  <c r="R42" i="17" s="1"/>
  <c r="N61" i="17" a="1"/>
  <c r="N61" i="17" s="1"/>
  <c r="Q64" i="17" a="1"/>
  <c r="Q64" i="17" s="1"/>
  <c r="N24" i="17" a="1"/>
  <c r="N24" i="17" s="1"/>
  <c r="N65" i="17" a="1"/>
  <c r="N65" i="17" s="1"/>
  <c r="P21" i="17" a="1"/>
  <c r="P21" i="17" s="1"/>
  <c r="Q89" i="17" a="1"/>
  <c r="Q89" i="17" s="1"/>
  <c r="Q37" i="17" a="1"/>
  <c r="Q37" i="17" s="1"/>
  <c r="N42" i="17" a="1"/>
  <c r="N42" i="17" s="1"/>
  <c r="R70" i="17" a="1"/>
  <c r="R70" i="17" s="1"/>
  <c r="N52" i="17" a="1"/>
  <c r="N52" i="17" s="1"/>
  <c r="Q35" i="17" a="1"/>
  <c r="Q35" i="17" s="1"/>
  <c r="R29" i="17" a="1"/>
  <c r="R29" i="17" s="1"/>
  <c r="N19" i="17" a="1"/>
  <c r="N19" i="17" s="1"/>
  <c r="Q77" i="17" a="1"/>
  <c r="Q77" i="17" s="1"/>
  <c r="R57" i="17" a="1"/>
  <c r="R57" i="17" s="1"/>
  <c r="N45" i="17" a="1"/>
  <c r="N45" i="17" s="1"/>
  <c r="Q71" i="17" a="1"/>
  <c r="Q71" i="17" s="1"/>
  <c r="O75" i="17" a="1"/>
  <c r="O75" i="17" s="1"/>
  <c r="O67" i="17" a="1"/>
  <c r="O67" i="17" s="1"/>
  <c r="O27" i="17" a="1"/>
  <c r="O27" i="17" s="1"/>
  <c r="O61" i="17" a="1"/>
  <c r="O61" i="17" s="1"/>
  <c r="O41" i="17" a="1"/>
  <c r="O41" i="17" s="1"/>
  <c r="O36" i="17" a="1"/>
  <c r="O36" i="17" s="1"/>
  <c r="O31" i="17" a="1"/>
  <c r="O31" i="17" s="1"/>
  <c r="R30" i="17" a="1"/>
  <c r="R30" i="17" s="1"/>
  <c r="Q72" i="15" a="1"/>
  <c r="Q72" i="15" s="1"/>
  <c r="Q30" i="15" a="1"/>
  <c r="Q30" i="15" s="1"/>
  <c r="Q67" i="15" a="1"/>
  <c r="Q67" i="15" s="1"/>
  <c r="R18" i="15" a="1"/>
  <c r="R18" i="15" s="1"/>
  <c r="Q33" i="15" a="1"/>
  <c r="Q33" i="15" s="1"/>
  <c r="O57" i="15" a="1"/>
  <c r="O57" i="15" s="1"/>
  <c r="Q25" i="15" a="1"/>
  <c r="Q25" i="15" s="1"/>
  <c r="P28" i="15" a="1"/>
  <c r="P28" i="15" s="1"/>
  <c r="R56" i="15" a="1"/>
  <c r="R56" i="15" s="1"/>
  <c r="R43" i="15" a="1"/>
  <c r="R43" i="15" s="1"/>
  <c r="R29" i="15" a="1"/>
  <c r="R29" i="15" s="1"/>
  <c r="R62" i="15" a="1"/>
  <c r="R62" i="15" s="1"/>
  <c r="R45" i="15" a="1"/>
  <c r="R45" i="15" s="1"/>
  <c r="R49" i="15" a="1"/>
  <c r="R49" i="15" s="1"/>
  <c r="R50" i="15" a="1"/>
  <c r="R50" i="15" s="1"/>
  <c r="R38" i="15" a="1"/>
  <c r="R38" i="15" s="1"/>
  <c r="R39" i="15" a="1"/>
  <c r="R39" i="15" s="1"/>
  <c r="R53" i="15" a="1"/>
  <c r="R53" i="15" s="1"/>
  <c r="R57" i="15" a="1"/>
  <c r="R57" i="15" s="1"/>
  <c r="R35" i="15" a="1"/>
  <c r="R35" i="15" s="1"/>
  <c r="R20" i="15" a="1"/>
  <c r="R20" i="15" s="1"/>
  <c r="R26" i="15" a="1"/>
  <c r="R26" i="15" s="1"/>
  <c r="R24" i="15" a="1"/>
  <c r="R24" i="15" s="1"/>
  <c r="R42" i="15" a="1"/>
  <c r="R42" i="15" s="1"/>
  <c r="N41" i="15" a="1"/>
  <c r="N41" i="15" s="1"/>
  <c r="R37" i="15" a="1"/>
  <c r="R37" i="15" s="1"/>
  <c r="R64" i="15" a="1"/>
  <c r="R64" i="15" s="1"/>
  <c r="R63" i="15" a="1"/>
  <c r="R63" i="15" s="1"/>
  <c r="R22" i="15" a="1"/>
  <c r="R22" i="15" s="1"/>
  <c r="R23" i="15" a="1"/>
  <c r="R23" i="15" s="1"/>
  <c r="R30" i="15" a="1"/>
  <c r="R30" i="15" s="1"/>
  <c r="R54" i="15" a="1"/>
  <c r="R54" i="15" s="1"/>
  <c r="R47" i="15" a="1"/>
  <c r="R47" i="15" s="1"/>
  <c r="R36" i="15" a="1"/>
  <c r="R36" i="15" s="1"/>
  <c r="R25" i="15" a="1"/>
  <c r="R25" i="15" s="1"/>
  <c r="R31" i="15" a="1"/>
  <c r="R31" i="15" s="1"/>
  <c r="R19" i="15" a="1"/>
  <c r="R19" i="15" s="1"/>
  <c r="Q62" i="15" a="1"/>
  <c r="Q62" i="15" s="1"/>
  <c r="R44" i="15" a="1"/>
  <c r="R44" i="15" s="1"/>
  <c r="R33" i="15" a="1"/>
  <c r="R33" i="15" s="1"/>
  <c r="R48" i="15" a="1"/>
  <c r="R48" i="15" s="1"/>
  <c r="R34" i="15" a="1"/>
  <c r="R34" i="15" s="1"/>
  <c r="R28" i="15" a="1"/>
  <c r="R28" i="15" s="1"/>
  <c r="Q73" i="15" a="1"/>
  <c r="Q73" i="15" s="1"/>
  <c r="R21" i="15" a="1"/>
  <c r="R21" i="15" s="1"/>
  <c r="R55" i="15" a="1"/>
  <c r="R55" i="15" s="1"/>
  <c r="R27" i="15" a="1"/>
  <c r="R27" i="15" s="1"/>
  <c r="R41" i="15" a="1"/>
  <c r="R41" i="15" s="1"/>
  <c r="R52" i="15" a="1"/>
  <c r="R52" i="15" s="1"/>
  <c r="R40" i="15" a="1"/>
  <c r="R40" i="15" s="1"/>
  <c r="R51" i="15" a="1"/>
  <c r="R51" i="15" s="1"/>
  <c r="R46" i="15" a="1"/>
  <c r="R46" i="15" s="1"/>
  <c r="R32" i="15" a="1"/>
  <c r="R32" i="15" s="1"/>
  <c r="P43" i="15" a="1"/>
  <c r="P43" i="15" s="1"/>
  <c r="Q57" i="15" a="1"/>
  <c r="Q57" i="15" s="1"/>
  <c r="P31" i="15" a="1"/>
  <c r="P31" i="15" s="1"/>
  <c r="Q52" i="15" a="1"/>
  <c r="Q52" i="15" s="1"/>
  <c r="P61" i="15" a="1"/>
  <c r="P61" i="15" s="1"/>
  <c r="Q61" i="15" a="1"/>
  <c r="Q61" i="15" s="1"/>
  <c r="Q38" i="15" a="1"/>
  <c r="Q38" i="15" s="1"/>
  <c r="Q40" i="15" a="1"/>
  <c r="Q40" i="15" s="1"/>
  <c r="Q71" i="15" a="1"/>
  <c r="Q71" i="15" s="1"/>
  <c r="Q51" i="15" a="1"/>
  <c r="Q51" i="15" s="1"/>
  <c r="Q46" i="15" a="1"/>
  <c r="Q46" i="15" s="1"/>
  <c r="P36" i="15" a="1"/>
  <c r="P36" i="15" s="1"/>
  <c r="Q74" i="15" a="1"/>
  <c r="Q74" i="15" s="1"/>
  <c r="P52" i="15" a="1"/>
  <c r="P52" i="15" s="1"/>
  <c r="Q22" i="15" a="1"/>
  <c r="Q22" i="15" s="1"/>
  <c r="O46" i="15" a="1"/>
  <c r="O46" i="15" s="1"/>
  <c r="O71" i="15" a="1"/>
  <c r="O71" i="15" s="1"/>
  <c r="Q43" i="15" a="1"/>
  <c r="Q43" i="15" s="1"/>
  <c r="Q21" i="15" a="1"/>
  <c r="Q21" i="15" s="1"/>
  <c r="O50" i="15" a="1"/>
  <c r="O50" i="15" s="1"/>
  <c r="Q36" i="15" a="1"/>
  <c r="Q36" i="15" s="1"/>
  <c r="P48" i="15" a="1"/>
  <c r="P48" i="15" s="1"/>
  <c r="O22" i="15" a="1"/>
  <c r="O22" i="15" s="1"/>
  <c r="N39" i="15" a="1"/>
  <c r="N39" i="15" s="1"/>
  <c r="P32" i="15" a="1"/>
  <c r="P32" i="15" s="1"/>
  <c r="P33" i="15" a="1"/>
  <c r="P33" i="15" s="1"/>
  <c r="P53" i="15" a="1"/>
  <c r="P53" i="15" s="1"/>
  <c r="P25" i="15" a="1"/>
  <c r="P25" i="15" s="1"/>
  <c r="O58" i="15" a="1"/>
  <c r="O58" i="15" s="1"/>
  <c r="N25" i="15" a="1"/>
  <c r="N25" i="15" s="1"/>
  <c r="P38" i="15" a="1"/>
  <c r="P38" i="15" s="1"/>
  <c r="N22" i="15" a="1"/>
  <c r="N22" i="15" s="1"/>
  <c r="Q55" i="15" a="1"/>
  <c r="Q55" i="15" s="1"/>
  <c r="Q23" i="15" a="1"/>
  <c r="Q23" i="15" s="1"/>
  <c r="Q28" i="15" a="1"/>
  <c r="Q28" i="15" s="1"/>
  <c r="Q54" i="15" a="1"/>
  <c r="Q54" i="15" s="1"/>
  <c r="Q39" i="15" a="1"/>
  <c r="Q39" i="15" s="1"/>
  <c r="Q44" i="15" a="1"/>
  <c r="Q44" i="15" s="1"/>
  <c r="Q37" i="15" a="1"/>
  <c r="Q37" i="15" s="1"/>
  <c r="Q42" i="15" a="1"/>
  <c r="Q42" i="15" s="1"/>
  <c r="Q49" i="15" a="1"/>
  <c r="Q49" i="15" s="1"/>
  <c r="Q56" i="15" a="1"/>
  <c r="Q56" i="15" s="1"/>
  <c r="Q48" i="15" a="1"/>
  <c r="Q48" i="15" s="1"/>
  <c r="Q58" i="15" a="1"/>
  <c r="Q58" i="15" s="1"/>
  <c r="Q41" i="15" a="1"/>
  <c r="Q41" i="15" s="1"/>
  <c r="Q19" i="15" a="1"/>
  <c r="Q19" i="15" s="1"/>
  <c r="Q53" i="15" a="1"/>
  <c r="Q53" i="15" s="1"/>
  <c r="Q59" i="15" a="1"/>
  <c r="Q59" i="15" s="1"/>
  <c r="Q32" i="15" a="1"/>
  <c r="Q32" i="15" s="1"/>
  <c r="Q35" i="15" a="1"/>
  <c r="Q35" i="15" s="1"/>
  <c r="Q60" i="15" a="1"/>
  <c r="Q60" i="15" s="1"/>
  <c r="O49" i="15" a="1"/>
  <c r="O49" i="15" s="1"/>
  <c r="O21" i="15" a="1"/>
  <c r="O21" i="15" s="1"/>
  <c r="P44" i="15" a="1"/>
  <c r="P44" i="15" s="1"/>
  <c r="Q45" i="15" a="1"/>
  <c r="Q45" i="15" s="1"/>
  <c r="Q31" i="15" a="1"/>
  <c r="Q31" i="15" s="1"/>
  <c r="P20" i="15" a="1"/>
  <c r="P20" i="15" s="1"/>
  <c r="O25" i="15" a="1"/>
  <c r="O25" i="15" s="1"/>
  <c r="N33" i="15" a="1"/>
  <c r="N33" i="15" s="1"/>
  <c r="Q50" i="15" a="1"/>
  <c r="Q50" i="15" s="1"/>
  <c r="Q47" i="15" a="1"/>
  <c r="Q47" i="15" s="1"/>
  <c r="Q20" i="15" a="1"/>
  <c r="Q20" i="15" s="1"/>
  <c r="Q24" i="15" a="1"/>
  <c r="Q24" i="15" s="1"/>
  <c r="Q29" i="15" a="1"/>
  <c r="Q29" i="15" s="1"/>
  <c r="Q27" i="15" a="1"/>
  <c r="Q27" i="15" s="1"/>
  <c r="Q26" i="15" a="1"/>
  <c r="Q26" i="15" s="1"/>
  <c r="Q34" i="15" a="1"/>
  <c r="Q34" i="15" s="1"/>
  <c r="P50" i="15" a="1"/>
  <c r="P50" i="15" s="1"/>
  <c r="N36" i="15" a="1"/>
  <c r="N36" i="15" s="1"/>
  <c r="P40" i="15" a="1"/>
  <c r="P40" i="15" s="1"/>
  <c r="P45" i="15" a="1"/>
  <c r="P45" i="15" s="1"/>
  <c r="P41" i="15" a="1"/>
  <c r="P41" i="15" s="1"/>
  <c r="P21" i="15" a="1"/>
  <c r="P21" i="15" s="1"/>
  <c r="P26" i="15" a="1"/>
  <c r="P26" i="15" s="1"/>
  <c r="P19" i="15" a="1"/>
  <c r="P19" i="15" s="1"/>
  <c r="P35" i="15" a="1"/>
  <c r="P35" i="15" s="1"/>
  <c r="P51" i="15" a="1"/>
  <c r="P51" i="15" s="1"/>
  <c r="P24" i="15" a="1"/>
  <c r="P24" i="15" s="1"/>
  <c r="P22" i="15" a="1"/>
  <c r="P22" i="15" s="1"/>
  <c r="P34" i="15" a="1"/>
  <c r="P34" i="15" s="1"/>
  <c r="P42" i="15" a="1"/>
  <c r="P42" i="15" s="1"/>
  <c r="P49" i="15" a="1"/>
  <c r="P49" i="15" s="1"/>
  <c r="P23" i="15" a="1"/>
  <c r="P23" i="15" s="1"/>
  <c r="P27" i="15" a="1"/>
  <c r="P27" i="15" s="1"/>
  <c r="P63" i="15" a="1"/>
  <c r="P63" i="15" s="1"/>
  <c r="P46" i="15" a="1"/>
  <c r="P46" i="15" s="1"/>
  <c r="P62" i="15" a="1"/>
  <c r="P62" i="15" s="1"/>
  <c r="P60" i="15" a="1"/>
  <c r="P60" i="15" s="1"/>
  <c r="P29" i="15" a="1"/>
  <c r="P29" i="15" s="1"/>
  <c r="P30" i="15" a="1"/>
  <c r="P30" i="15" s="1"/>
  <c r="P47" i="15" a="1"/>
  <c r="P47" i="15" s="1"/>
  <c r="O39" i="15" a="1"/>
  <c r="O39" i="15" s="1"/>
  <c r="O62" i="15" a="1"/>
  <c r="O62" i="15" s="1"/>
  <c r="P39" i="15" a="1"/>
  <c r="P39" i="15" s="1"/>
  <c r="O41" i="15" a="1"/>
  <c r="O41" i="15" s="1"/>
  <c r="O18" i="15" a="1"/>
  <c r="O18" i="15" s="1"/>
  <c r="N53" i="15" a="1"/>
  <c r="N53" i="15" s="1"/>
  <c r="O43" i="15" a="1"/>
  <c r="O43" i="15" s="1"/>
  <c r="O28" i="15" a="1"/>
  <c r="O28" i="15" s="1"/>
  <c r="O42" i="15" a="1"/>
  <c r="O42" i="15" s="1"/>
  <c r="N55" i="15" a="1"/>
  <c r="N55" i="15" s="1"/>
  <c r="O30" i="15" a="1"/>
  <c r="O30" i="15" s="1"/>
  <c r="N48" i="15" a="1"/>
  <c r="N48" i="15" s="1"/>
  <c r="N38" i="15" a="1"/>
  <c r="N38" i="15" s="1"/>
  <c r="O31" i="15" a="1"/>
  <c r="O31" i="15" s="1"/>
  <c r="O40" i="15" a="1"/>
  <c r="O40" i="15" s="1"/>
  <c r="O61" i="15" a="1"/>
  <c r="O61" i="15" s="1"/>
  <c r="O53" i="15" a="1"/>
  <c r="O53" i="15" s="1"/>
  <c r="O69" i="15" a="1"/>
  <c r="O69" i="15" s="1"/>
  <c r="O70" i="15" a="1"/>
  <c r="O70" i="15" s="1"/>
  <c r="O36" i="15" a="1"/>
  <c r="O36" i="15" s="1"/>
  <c r="O19" i="15" a="1"/>
  <c r="O19" i="15" s="1"/>
  <c r="O27" i="15" a="1"/>
  <c r="O27" i="15" s="1"/>
  <c r="O32" i="15" a="1"/>
  <c r="O32" i="15" s="1"/>
  <c r="O55" i="15" a="1"/>
  <c r="O55" i="15" s="1"/>
  <c r="O33" i="15" a="1"/>
  <c r="O33" i="15" s="1"/>
  <c r="O37" i="15" a="1"/>
  <c r="O37" i="15" s="1"/>
  <c r="O47" i="15" a="1"/>
  <c r="O47" i="15" s="1"/>
  <c r="O48" i="15" a="1"/>
  <c r="O48" i="15" s="1"/>
  <c r="O26" i="15" a="1"/>
  <c r="O26" i="15" s="1"/>
  <c r="O72" i="15" a="1"/>
  <c r="O72" i="15" s="1"/>
  <c r="O60" i="15" a="1"/>
  <c r="O60" i="15" s="1"/>
  <c r="O59" i="15" a="1"/>
  <c r="O59" i="15" s="1"/>
  <c r="O29" i="15" a="1"/>
  <c r="O29" i="15" s="1"/>
  <c r="O51" i="15" a="1"/>
  <c r="O51" i="15" s="1"/>
  <c r="O56" i="15" a="1"/>
  <c r="O56" i="15" s="1"/>
  <c r="O20" i="15" a="1"/>
  <c r="O20" i="15" s="1"/>
  <c r="O38" i="15" a="1"/>
  <c r="O38" i="15" s="1"/>
  <c r="O35" i="15" a="1"/>
  <c r="O35" i="15" s="1"/>
  <c r="O34" i="15" a="1"/>
  <c r="O34" i="15" s="1"/>
  <c r="O45" i="15" a="1"/>
  <c r="O45" i="15" s="1"/>
  <c r="O54" i="15" a="1"/>
  <c r="O54" i="15" s="1"/>
  <c r="O44" i="15" a="1"/>
  <c r="O44" i="15" s="1"/>
  <c r="O23" i="15" a="1"/>
  <c r="O23" i="15" s="1"/>
  <c r="O52" i="15" a="1"/>
  <c r="O52" i="15" s="1"/>
  <c r="O24" i="15" a="1"/>
  <c r="O24" i="15" s="1"/>
  <c r="N47" i="15" a="1"/>
  <c r="N47" i="15" s="1"/>
  <c r="N44" i="15" a="1"/>
  <c r="N44" i="15" s="1"/>
  <c r="N32" i="15" a="1"/>
  <c r="N32" i="15" s="1"/>
  <c r="N40" i="15" a="1"/>
  <c r="N40" i="15" s="1"/>
  <c r="N20" i="15" a="1"/>
  <c r="N20" i="15" s="1"/>
  <c r="N19" i="15" a="1"/>
  <c r="N19" i="15" s="1"/>
  <c r="N23" i="15" a="1"/>
  <c r="N23" i="15" s="1"/>
  <c r="N45" i="15" a="1"/>
  <c r="N45" i="15" s="1"/>
  <c r="N51" i="15" a="1"/>
  <c r="N51" i="15" s="1"/>
  <c r="N30" i="15" a="1"/>
  <c r="N30" i="15" s="1"/>
  <c r="N28" i="15" a="1"/>
  <c r="N28" i="15" s="1"/>
  <c r="N50" i="15" a="1"/>
  <c r="N50" i="15" s="1"/>
  <c r="N18" i="15" a="1"/>
  <c r="N18" i="15" s="1"/>
  <c r="N46" i="15" a="1"/>
  <c r="N46" i="15" s="1"/>
  <c r="N37" i="15" a="1"/>
  <c r="N37" i="15" s="1"/>
  <c r="N42" i="15" a="1"/>
  <c r="N42" i="15" s="1"/>
  <c r="N52" i="15" a="1"/>
  <c r="N52" i="15" s="1"/>
  <c r="N34" i="15" a="1"/>
  <c r="N34" i="15" s="1"/>
  <c r="N56" i="15" a="1"/>
  <c r="N56" i="15" s="1"/>
  <c r="N62" i="15" a="1"/>
  <c r="N62" i="15" s="1"/>
  <c r="N54" i="15" a="1"/>
  <c r="N54" i="15" s="1"/>
  <c r="N43" i="15" a="1"/>
  <c r="N43" i="15" s="1"/>
  <c r="N24" i="15" a="1"/>
  <c r="N24" i="15" s="1"/>
  <c r="N49" i="15" a="1"/>
  <c r="N49" i="15" s="1"/>
  <c r="N21" i="15" a="1"/>
  <c r="N21" i="15" s="1"/>
  <c r="N27" i="15" a="1"/>
  <c r="N27" i="15" s="1"/>
  <c r="N35" i="15" a="1"/>
  <c r="N35" i="15" s="1"/>
  <c r="N31" i="15" a="1"/>
  <c r="N31" i="15" s="1"/>
  <c r="N29" i="15" a="1"/>
  <c r="N29" i="15" s="1"/>
  <c r="N26" i="15" a="1"/>
  <c r="N26" i="15" s="1"/>
  <c r="L67" i="15"/>
  <c r="H65" i="15"/>
  <c r="J66" i="15"/>
  <c r="P64" i="15" s="1" a="1"/>
  <c r="P64" i="15" s="1"/>
  <c r="K77" i="15"/>
  <c r="Q75" i="15" s="1" a="1"/>
  <c r="Q75" i="15" s="1"/>
  <c r="I75" i="15"/>
  <c r="O73" i="15" s="1" a="1"/>
  <c r="O73" i="15" s="1"/>
  <c r="X21" i="15"/>
  <c r="L69" i="15"/>
  <c r="L68" i="15"/>
  <c r="K78" i="15"/>
  <c r="X25" i="15"/>
  <c r="AG24" i="15" s="1"/>
  <c r="J67" i="15"/>
  <c r="I76" i="15"/>
  <c r="I77" i="15"/>
  <c r="H67" i="15"/>
  <c r="H66" i="15"/>
  <c r="L61" i="15"/>
  <c r="R61" i="15" s="1" a="1"/>
  <c r="R61" i="15" s="1"/>
  <c r="L60" i="15"/>
  <c r="K70" i="15"/>
  <c r="Q70" i="15" s="1" a="1"/>
  <c r="Q70" i="15" s="1"/>
  <c r="X24" i="15"/>
  <c r="J59" i="15"/>
  <c r="P59" i="15" s="1" a="1"/>
  <c r="P59" i="15" s="1"/>
  <c r="I68" i="15"/>
  <c r="O68" i="15" s="1" a="1"/>
  <c r="O68" i="15" s="1"/>
  <c r="H60" i="15"/>
  <c r="H61" i="15"/>
  <c r="N61" i="15" s="1" a="1"/>
  <c r="N61" i="15" s="1"/>
  <c r="AD20" i="15"/>
  <c r="K65" i="15"/>
  <c r="X26" i="15"/>
  <c r="X27" i="15"/>
  <c r="AH35" i="15"/>
  <c r="W27" i="15"/>
  <c r="W26" i="15"/>
  <c r="I66" i="15"/>
  <c r="I67" i="15"/>
  <c r="V27" i="15"/>
  <c r="V26" i="15"/>
  <c r="H59" i="15"/>
  <c r="AD30" i="15"/>
  <c r="AH33" i="15"/>
  <c r="AD22" i="15"/>
  <c r="J56" i="15"/>
  <c r="P54" i="15" s="1" a="1"/>
  <c r="P54" i="15" s="1"/>
  <c r="I65" i="15"/>
  <c r="J57" i="15"/>
  <c r="K66" i="15"/>
  <c r="Q66" i="15" s="1" a="1"/>
  <c r="Q66" i="15" s="1"/>
  <c r="AD31" i="15"/>
  <c r="X23" i="15"/>
  <c r="K18" i="15" a="1"/>
  <c r="K18" i="15" s="1"/>
  <c r="Q18" i="15" s="1" a="1"/>
  <c r="Q18" i="15" s="1"/>
  <c r="X22" i="15"/>
  <c r="X19" i="15"/>
  <c r="AG21" i="15" s="1"/>
  <c r="X18" i="15"/>
  <c r="I105" i="15"/>
  <c r="I104" i="15"/>
  <c r="AH30" i="15"/>
  <c r="I108" i="15"/>
  <c r="H93" i="15"/>
  <c r="J89" i="15"/>
  <c r="I107" i="15"/>
  <c r="AD18" i="15"/>
  <c r="AD21" i="15"/>
  <c r="AD19" i="15"/>
  <c r="AH24" i="15"/>
  <c r="AF56" i="15"/>
  <c r="AG56" i="15" s="1"/>
  <c r="AF1071" i="15"/>
  <c r="AG1071" i="15" s="1"/>
  <c r="AF1051" i="15"/>
  <c r="AG1051" i="15" s="1"/>
  <c r="AF1062" i="15"/>
  <c r="AG1062" i="15" s="1"/>
  <c r="AF1070" i="15"/>
  <c r="AG1070" i="15" s="1"/>
  <c r="AF1047" i="15"/>
  <c r="AG1047" i="15" s="1"/>
  <c r="AF983" i="15"/>
  <c r="AG983" i="15" s="1"/>
  <c r="AF1042" i="15"/>
  <c r="AG1042" i="15" s="1"/>
  <c r="AF990" i="15"/>
  <c r="AG990" i="15" s="1"/>
  <c r="AF1046" i="15"/>
  <c r="AG1046" i="15" s="1"/>
  <c r="AF1001" i="15"/>
  <c r="AG1001" i="15" s="1"/>
  <c r="AF977" i="15"/>
  <c r="AG977" i="15" s="1"/>
  <c r="AF1014" i="15"/>
  <c r="AG1014" i="15" s="1"/>
  <c r="AF960" i="15"/>
  <c r="AG960" i="15" s="1"/>
  <c r="AF1054" i="15"/>
  <c r="AG1054" i="15" s="1"/>
  <c r="AF1041" i="15"/>
  <c r="AG1041" i="15" s="1"/>
  <c r="AF980" i="15"/>
  <c r="AG980" i="15" s="1"/>
  <c r="AF947" i="15"/>
  <c r="AG947" i="15" s="1"/>
  <c r="AF1016" i="15"/>
  <c r="AG1016" i="15" s="1"/>
  <c r="AF930" i="15"/>
  <c r="AG930" i="15" s="1"/>
  <c r="AF1024" i="15"/>
  <c r="AG1024" i="15" s="1"/>
  <c r="AF962" i="15"/>
  <c r="AG962" i="15" s="1"/>
  <c r="AF1032" i="15"/>
  <c r="AG1032" i="15" s="1"/>
  <c r="AF992" i="15"/>
  <c r="AG992" i="15" s="1"/>
  <c r="AF928" i="15"/>
  <c r="AG928" i="15" s="1"/>
  <c r="AF935" i="15"/>
  <c r="AG935" i="15" s="1"/>
  <c r="AF971" i="15"/>
  <c r="AG971" i="15" s="1"/>
  <c r="AF917" i="15"/>
  <c r="AG917" i="15" s="1"/>
  <c r="AF1022" i="15"/>
  <c r="AG1022" i="15" s="1"/>
  <c r="AF932" i="15"/>
  <c r="AG932" i="15" s="1"/>
  <c r="AF868" i="15"/>
  <c r="AG868" i="15" s="1"/>
  <c r="AF811" i="15"/>
  <c r="AG811" i="15" s="1"/>
  <c r="AF809" i="15"/>
  <c r="AG809" i="15" s="1"/>
  <c r="AF870" i="15"/>
  <c r="AG870" i="15" s="1"/>
  <c r="AF832" i="15"/>
  <c r="AG832" i="15" s="1"/>
  <c r="AF882" i="15"/>
  <c r="AG882" i="15" s="1"/>
  <c r="AF891" i="15"/>
  <c r="AG891" i="15" s="1"/>
  <c r="AF1063" i="15"/>
  <c r="AG1063" i="15" s="1"/>
  <c r="AF1043" i="15"/>
  <c r="AG1043" i="15" s="1"/>
  <c r="AF1061" i="15"/>
  <c r="AG1061" i="15" s="1"/>
  <c r="AF1069" i="15"/>
  <c r="AG1069" i="15" s="1"/>
  <c r="AF1039" i="15"/>
  <c r="AG1039" i="15" s="1"/>
  <c r="AF989" i="15"/>
  <c r="AG989" i="15" s="1"/>
  <c r="AF1075" i="15"/>
  <c r="AG1075" i="15" s="1"/>
  <c r="AF1000" i="15"/>
  <c r="AG1000" i="15" s="1"/>
  <c r="AF969" i="15"/>
  <c r="AG969" i="15" s="1"/>
  <c r="AF1053" i="15"/>
  <c r="AG1053" i="15" s="1"/>
  <c r="AF1013" i="15"/>
  <c r="AG1013" i="15" s="1"/>
  <c r="AF1038" i="15"/>
  <c r="AG1038" i="15" s="1"/>
  <c r="AF972" i="15"/>
  <c r="AG972" i="15" s="1"/>
  <c r="AF1037" i="15"/>
  <c r="AG1037" i="15" s="1"/>
  <c r="AF979" i="15"/>
  <c r="AG979" i="15" s="1"/>
  <c r="AF922" i="15"/>
  <c r="AG922" i="15" s="1"/>
  <c r="AF1021" i="15"/>
  <c r="AG1021" i="15" s="1"/>
  <c r="AF953" i="15"/>
  <c r="AG953" i="15" s="1"/>
  <c r="AF1029" i="15"/>
  <c r="AG1029" i="15" s="1"/>
  <c r="AF920" i="15"/>
  <c r="AG920" i="15" s="1"/>
  <c r="AF927" i="15"/>
  <c r="AG927" i="15" s="1"/>
  <c r="AF1020" i="15"/>
  <c r="AG1020" i="15" s="1"/>
  <c r="AF1017" i="15"/>
  <c r="AG1017" i="15" s="1"/>
  <c r="AF959" i="15"/>
  <c r="AG959" i="15" s="1"/>
  <c r="AF924" i="15"/>
  <c r="AG924" i="15" s="1"/>
  <c r="AF860" i="15"/>
  <c r="AG860" i="15" s="1"/>
  <c r="AF803" i="15"/>
  <c r="AG803" i="15" s="1"/>
  <c r="AF859" i="15"/>
  <c r="AG859" i="15" s="1"/>
  <c r="AF867" i="15"/>
  <c r="AG867" i="15" s="1"/>
  <c r="AF801" i="15"/>
  <c r="AG801" i="15" s="1"/>
  <c r="AF903" i="15"/>
  <c r="AG903" i="15" s="1"/>
  <c r="AF869" i="15"/>
  <c r="AG869" i="15" s="1"/>
  <c r="AF824" i="15"/>
  <c r="AG824" i="15" s="1"/>
  <c r="AF974" i="15"/>
  <c r="AG974" i="15" s="1"/>
  <c r="AF910" i="15"/>
  <c r="AG910" i="15" s="1"/>
  <c r="AF881" i="15"/>
  <c r="AG881" i="15" s="1"/>
  <c r="AF890" i="15"/>
  <c r="AG890" i="15" s="1"/>
  <c r="AF86" i="15"/>
  <c r="AG86" i="15" s="1"/>
  <c r="AF1059" i="15"/>
  <c r="AG1059" i="15" s="1"/>
  <c r="AF1067" i="15"/>
  <c r="AG1067" i="15" s="1"/>
  <c r="AF1023" i="15"/>
  <c r="AG1023" i="15" s="1"/>
  <c r="AF1050" i="15"/>
  <c r="AG1050" i="15" s="1"/>
  <c r="AF987" i="15"/>
  <c r="AG987" i="15" s="1"/>
  <c r="AF1006" i="15"/>
  <c r="AG1006" i="15" s="1"/>
  <c r="AF1011" i="15"/>
  <c r="AG1011" i="15" s="1"/>
  <c r="AF906" i="15"/>
  <c r="AG906" i="15" s="1"/>
  <c r="AF1040" i="15"/>
  <c r="AG1040" i="15" s="1"/>
  <c r="AF67" i="15"/>
  <c r="AG67" i="15" s="1"/>
  <c r="AF58" i="15"/>
  <c r="AG58" i="15" s="1"/>
  <c r="AF1058" i="15"/>
  <c r="AG1058" i="15" s="1"/>
  <c r="AF1066" i="15"/>
  <c r="AG1066" i="15" s="1"/>
  <c r="AF1015" i="15"/>
  <c r="AG1015" i="15" s="1"/>
  <c r="AF986" i="15"/>
  <c r="AG986" i="15" s="1"/>
  <c r="AF1005" i="15"/>
  <c r="AG1005" i="15" s="1"/>
  <c r="AF1010" i="15"/>
  <c r="AG1010" i="15" s="1"/>
  <c r="AF1027" i="15"/>
  <c r="AG1027" i="15" s="1"/>
  <c r="AF929" i="15"/>
  <c r="AG929" i="15" s="1"/>
  <c r="AF949" i="15"/>
  <c r="AG949" i="15" s="1"/>
  <c r="AF1034" i="15"/>
  <c r="AG1034" i="15" s="1"/>
  <c r="AF993" i="15"/>
  <c r="AG993" i="15" s="1"/>
  <c r="AF978" i="15"/>
  <c r="AG978" i="15" s="1"/>
  <c r="AF900" i="15"/>
  <c r="AG900" i="15" s="1"/>
  <c r="AF899" i="15"/>
  <c r="AG899" i="15" s="1"/>
  <c r="AF843" i="15"/>
  <c r="AG843" i="15" s="1"/>
  <c r="AF909" i="15"/>
  <c r="AG909" i="15" s="1"/>
  <c r="AF856" i="15"/>
  <c r="AG856" i="15" s="1"/>
  <c r="AF864" i="15"/>
  <c r="AG864" i="15" s="1"/>
  <c r="AF841" i="15"/>
  <c r="AG841" i="15" s="1"/>
  <c r="AF777" i="15"/>
  <c r="AG777" i="15" s="1"/>
  <c r="AF874" i="15"/>
  <c r="AG874" i="15" s="1"/>
  <c r="AF800" i="15"/>
  <c r="AG800" i="15" s="1"/>
  <c r="AF878" i="15"/>
  <c r="AG878" i="15" s="1"/>
  <c r="AF1052" i="15"/>
  <c r="AG1052" i="15" s="1"/>
  <c r="AF1057" i="15"/>
  <c r="AG1057" i="15" s="1"/>
  <c r="AF1065" i="15"/>
  <c r="AG1065" i="15" s="1"/>
  <c r="AF1007" i="15"/>
  <c r="AG1007" i="15" s="1"/>
  <c r="AF985" i="15"/>
  <c r="AG985" i="15" s="1"/>
  <c r="AF1004" i="15"/>
  <c r="AG1004" i="15" s="1"/>
  <c r="AF1009" i="15"/>
  <c r="AG1009" i="15" s="1"/>
  <c r="AF954" i="15"/>
  <c r="AG954" i="15" s="1"/>
  <c r="AF966" i="15"/>
  <c r="AG966" i="15" s="1"/>
  <c r="AF921" i="15"/>
  <c r="AG921" i="15" s="1"/>
  <c r="AF1018" i="15"/>
  <c r="AG1018" i="15" s="1"/>
  <c r="AF998" i="15"/>
  <c r="AG998" i="15" s="1"/>
  <c r="AF952" i="15"/>
  <c r="AG952" i="15" s="1"/>
  <c r="AF970" i="15"/>
  <c r="AG970" i="15" s="1"/>
  <c r="AF1028" i="15"/>
  <c r="AG1028" i="15" s="1"/>
  <c r="AF941" i="15"/>
  <c r="AG941" i="15" s="1"/>
  <c r="AF956" i="15"/>
  <c r="AG956" i="15" s="1"/>
  <c r="AF892" i="15"/>
  <c r="AG892" i="15" s="1"/>
  <c r="AF931" i="15"/>
  <c r="AG931" i="15" s="1"/>
  <c r="AF835" i="15"/>
  <c r="AG835" i="15" s="1"/>
  <c r="AF855" i="15"/>
  <c r="AG855" i="15" s="1"/>
  <c r="AF907" i="15"/>
  <c r="AG907" i="15" s="1"/>
  <c r="AF863" i="15"/>
  <c r="AG863" i="15" s="1"/>
  <c r="AF833" i="15"/>
  <c r="AG833" i="15" s="1"/>
  <c r="AF769" i="15"/>
  <c r="AG769" i="15" s="1"/>
  <c r="AF873" i="15"/>
  <c r="AG873" i="15" s="1"/>
  <c r="AF61" i="15"/>
  <c r="AG61" i="15" s="1"/>
  <c r="AF53" i="15"/>
  <c r="AG53" i="15" s="1"/>
  <c r="AF68" i="15"/>
  <c r="AG68" i="15" s="1"/>
  <c r="AF1044" i="15"/>
  <c r="AG1044" i="15" s="1"/>
  <c r="AF1056" i="15"/>
  <c r="AG1056" i="15" s="1"/>
  <c r="AF1064" i="15"/>
  <c r="AG1064" i="15" s="1"/>
  <c r="AF999" i="15"/>
  <c r="AG999" i="15" s="1"/>
  <c r="AF1045" i="15"/>
  <c r="AG1045" i="15" s="1"/>
  <c r="AF984" i="15"/>
  <c r="AG984" i="15" s="1"/>
  <c r="AF1003" i="15"/>
  <c r="AG1003" i="15" s="1"/>
  <c r="AF1033" i="15"/>
  <c r="AG1033" i="15" s="1"/>
  <c r="AF1008" i="15"/>
  <c r="AG1008" i="15" s="1"/>
  <c r="AF976" i="15"/>
  <c r="AG976" i="15" s="1"/>
  <c r="AF1074" i="15"/>
  <c r="AG1074" i="15" s="1"/>
  <c r="AF982" i="15"/>
  <c r="AG982" i="15" s="1"/>
  <c r="AF1030" i="15"/>
  <c r="AG1030" i="15" s="1"/>
  <c r="AF965" i="15"/>
  <c r="AG965" i="15" s="1"/>
  <c r="AF1049" i="15"/>
  <c r="AG1049" i="15" s="1"/>
  <c r="AF946" i="15"/>
  <c r="AG946" i="15" s="1"/>
  <c r="AF913" i="15"/>
  <c r="AG913" i="15" s="1"/>
  <c r="AF996" i="15"/>
  <c r="AG996" i="15" s="1"/>
  <c r="AF944" i="15"/>
  <c r="AG944" i="15" s="1"/>
  <c r="AF951" i="15"/>
  <c r="AG951" i="15" s="1"/>
  <c r="AF933" i="15"/>
  <c r="AG933" i="15" s="1"/>
  <c r="AF975" i="15"/>
  <c r="AG975" i="15" s="1"/>
  <c r="AF948" i="15"/>
  <c r="AG948" i="15" s="1"/>
  <c r="AF884" i="15"/>
  <c r="AG884" i="15" s="1"/>
  <c r="AF827" i="15"/>
  <c r="AG827" i="15" s="1"/>
  <c r="AF950" i="15"/>
  <c r="AG950" i="15" s="1"/>
  <c r="AF854" i="15"/>
  <c r="AG854" i="15" s="1"/>
  <c r="AF862" i="15"/>
  <c r="AG862" i="15" s="1"/>
  <c r="AF825" i="15"/>
  <c r="AG825" i="15" s="1"/>
  <c r="AF926" i="15"/>
  <c r="AG926" i="15" s="1"/>
  <c r="AF872" i="15"/>
  <c r="AG872" i="15" s="1"/>
  <c r="AF848" i="15"/>
  <c r="AG848" i="15" s="1"/>
  <c r="AF784" i="15"/>
  <c r="AG784" i="15" s="1"/>
  <c r="AF918" i="15"/>
  <c r="AG918" i="15" s="1"/>
  <c r="AF937" i="15"/>
  <c r="AG937" i="15" s="1"/>
  <c r="AF967" i="15"/>
  <c r="AG967" i="15" s="1"/>
  <c r="AF925" i="15"/>
  <c r="AG925" i="15" s="1"/>
  <c r="AF916" i="15"/>
  <c r="AG916" i="15" s="1"/>
  <c r="AF851" i="15"/>
  <c r="AG851" i="15" s="1"/>
  <c r="AF919" i="15"/>
  <c r="AG919" i="15" s="1"/>
  <c r="AF850" i="15"/>
  <c r="AG850" i="15" s="1"/>
  <c r="AF871" i="15"/>
  <c r="AG871" i="15" s="1"/>
  <c r="AF888" i="15"/>
  <c r="AG888" i="15" s="1"/>
  <c r="AF897" i="15"/>
  <c r="AG897" i="15" s="1"/>
  <c r="AF813" i="15"/>
  <c r="AG813" i="15" s="1"/>
  <c r="AF915" i="15"/>
  <c r="AG915" i="15" s="1"/>
  <c r="AF844" i="15"/>
  <c r="AG844" i="15" s="1"/>
  <c r="AF780" i="15"/>
  <c r="AG780" i="15" s="1"/>
  <c r="AF758" i="15"/>
  <c r="AG758" i="15" s="1"/>
  <c r="AF838" i="15"/>
  <c r="AG838" i="15" s="1"/>
  <c r="AF741" i="15"/>
  <c r="AG741" i="15" s="1"/>
  <c r="AF781" i="15"/>
  <c r="AG781" i="15" s="1"/>
  <c r="AF740" i="15"/>
  <c r="AG740" i="15" s="1"/>
  <c r="AF676" i="15"/>
  <c r="AG676" i="15" s="1"/>
  <c r="AF774" i="15"/>
  <c r="AG774" i="15" s="1"/>
  <c r="AF707" i="15"/>
  <c r="AG707" i="15" s="1"/>
  <c r="AF737" i="15"/>
  <c r="AG737" i="15" s="1"/>
  <c r="AF839" i="15"/>
  <c r="AG839" i="15" s="1"/>
  <c r="AF783" i="15"/>
  <c r="AG783" i="15" s="1"/>
  <c r="AF720" i="15"/>
  <c r="AG720" i="15" s="1"/>
  <c r="AF826" i="15"/>
  <c r="AG826" i="15" s="1"/>
  <c r="AF807" i="15"/>
  <c r="AG807" i="15" s="1"/>
  <c r="AF751" i="15"/>
  <c r="AG751" i="15" s="1"/>
  <c r="AF687" i="15"/>
  <c r="AG687" i="15" s="1"/>
  <c r="AF623" i="15"/>
  <c r="AG623" i="15" s="1"/>
  <c r="AF651" i="15"/>
  <c r="AG651" i="15" s="1"/>
  <c r="AF674" i="15"/>
  <c r="AG674" i="15" s="1"/>
  <c r="AF713" i="15"/>
  <c r="AG713" i="15" s="1"/>
  <c r="AF682" i="15"/>
  <c r="AG682" i="15" s="1"/>
  <c r="AF630" i="15"/>
  <c r="AG630" i="15" s="1"/>
  <c r="AF705" i="15"/>
  <c r="AG705" i="15" s="1"/>
  <c r="AF635" i="15"/>
  <c r="AG635" i="15" s="1"/>
  <c r="AF722" i="15"/>
  <c r="AG722" i="15" s="1"/>
  <c r="AF643" i="15"/>
  <c r="AG643" i="15" s="1"/>
  <c r="AF560" i="15"/>
  <c r="AG560" i="15" s="1"/>
  <c r="AF594" i="15"/>
  <c r="AG594" i="15" s="1"/>
  <c r="AF522" i="15"/>
  <c r="AG522" i="15" s="1"/>
  <c r="AF458" i="15"/>
  <c r="AG458" i="15" s="1"/>
  <c r="AF605" i="15"/>
  <c r="AG605" i="15" s="1"/>
  <c r="AF539" i="15"/>
  <c r="AG539" i="15" s="1"/>
  <c r="AF481" i="15"/>
  <c r="AG481" i="15" s="1"/>
  <c r="AF564" i="15"/>
  <c r="AG564" i="15" s="1"/>
  <c r="AF510" i="15"/>
  <c r="AG510" i="15" s="1"/>
  <c r="AF573" i="15"/>
  <c r="AG573" i="15" s="1"/>
  <c r="AF525" i="15"/>
  <c r="AG525" i="15" s="1"/>
  <c r="AF580" i="15"/>
  <c r="AG580" i="15" s="1"/>
  <c r="AF603" i="15"/>
  <c r="AG603" i="15" s="1"/>
  <c r="AF586" i="15"/>
  <c r="AG586" i="15" s="1"/>
  <c r="AF515" i="15"/>
  <c r="AG515" i="15" s="1"/>
  <c r="AF451" i="15"/>
  <c r="AG451" i="15" s="1"/>
  <c r="AF463" i="15"/>
  <c r="AG463" i="15" s="1"/>
  <c r="AF445" i="15"/>
  <c r="AG445" i="15" s="1"/>
  <c r="AF400" i="15"/>
  <c r="AG400" i="15" s="1"/>
  <c r="AF336" i="15"/>
  <c r="AG336" i="15" s="1"/>
  <c r="AF452" i="15"/>
  <c r="AG452" i="15" s="1"/>
  <c r="AF399" i="15"/>
  <c r="AG399" i="15" s="1"/>
  <c r="AF464" i="15"/>
  <c r="AG464" i="15" s="1"/>
  <c r="AF457" i="15"/>
  <c r="AG457" i="15" s="1"/>
  <c r="AF472" i="15"/>
  <c r="AG472" i="15" s="1"/>
  <c r="AF487" i="15"/>
  <c r="AG487" i="15" s="1"/>
  <c r="AF437" i="15"/>
  <c r="AG437" i="15" s="1"/>
  <c r="AF393" i="15"/>
  <c r="AG393" i="15" s="1"/>
  <c r="AF991" i="15"/>
  <c r="AG991" i="15" s="1"/>
  <c r="AF994" i="15"/>
  <c r="AG994" i="15" s="1"/>
  <c r="AF936" i="15"/>
  <c r="AG936" i="15" s="1"/>
  <c r="AF1026" i="15"/>
  <c r="AG1026" i="15" s="1"/>
  <c r="AF958" i="15"/>
  <c r="AG958" i="15" s="1"/>
  <c r="AF902" i="15"/>
  <c r="AG902" i="15" s="1"/>
  <c r="AF795" i="15"/>
  <c r="AG795" i="15" s="1"/>
  <c r="AF817" i="15"/>
  <c r="AG817" i="15" s="1"/>
  <c r="AF883" i="15"/>
  <c r="AG883" i="15" s="1"/>
  <c r="AF901" i="15"/>
  <c r="AG901" i="15" s="1"/>
  <c r="AF887" i="15"/>
  <c r="AG887" i="15" s="1"/>
  <c r="AF896" i="15"/>
  <c r="AG896" i="15" s="1"/>
  <c r="AF805" i="15"/>
  <c r="AG805" i="15" s="1"/>
  <c r="AF836" i="15"/>
  <c r="AG836" i="15" s="1"/>
  <c r="AF772" i="15"/>
  <c r="AG772" i="15" s="1"/>
  <c r="AF765" i="15"/>
  <c r="AG765" i="15" s="1"/>
  <c r="AF750" i="15"/>
  <c r="AG750" i="15" s="1"/>
  <c r="AF733" i="15"/>
  <c r="AG733" i="15" s="1"/>
  <c r="AF732" i="15"/>
  <c r="AG732" i="15" s="1"/>
  <c r="AF668" i="15"/>
  <c r="AG668" i="15" s="1"/>
  <c r="AF699" i="15"/>
  <c r="AG699" i="15" s="1"/>
  <c r="AF847" i="15"/>
  <c r="AG847" i="15" s="1"/>
  <c r="AF787" i="15"/>
  <c r="AG787" i="15" s="1"/>
  <c r="AF775" i="15"/>
  <c r="AG775" i="15" s="1"/>
  <c r="AF798" i="15"/>
  <c r="AG798" i="15" s="1"/>
  <c r="AF712" i="15"/>
  <c r="AG712" i="15" s="1"/>
  <c r="AF846" i="15"/>
  <c r="AG846" i="15" s="1"/>
  <c r="AF743" i="15"/>
  <c r="AG743" i="15" s="1"/>
  <c r="AF679" i="15"/>
  <c r="AG679" i="15" s="1"/>
  <c r="AF615" i="15"/>
  <c r="AG615" i="15" s="1"/>
  <c r="AF661" i="15"/>
  <c r="AG661" i="15" s="1"/>
  <c r="AF650" i="15"/>
  <c r="AG650" i="15" s="1"/>
  <c r="AF697" i="15"/>
  <c r="AG697" i="15" s="1"/>
  <c r="AF656" i="15"/>
  <c r="AG656" i="15" s="1"/>
  <c r="AF622" i="15"/>
  <c r="AG622" i="15" s="1"/>
  <c r="AF730" i="15"/>
  <c r="AG730" i="15" s="1"/>
  <c r="AF666" i="15"/>
  <c r="AG666" i="15" s="1"/>
  <c r="AF629" i="15"/>
  <c r="AG629" i="15" s="1"/>
  <c r="AF689" i="15"/>
  <c r="AG689" i="15" s="1"/>
  <c r="AF634" i="15"/>
  <c r="AG634" i="15" s="1"/>
  <c r="AF642" i="15"/>
  <c r="AG642" i="15" s="1"/>
  <c r="AF552" i="15"/>
  <c r="AG552" i="15" s="1"/>
  <c r="AF593" i="15"/>
  <c r="AG593" i="15" s="1"/>
  <c r="AF514" i="15"/>
  <c r="AG514" i="15" s="1"/>
  <c r="AF538" i="15"/>
  <c r="AG538" i="15" s="1"/>
  <c r="AF473" i="15"/>
  <c r="AG473" i="15" s="1"/>
  <c r="AF614" i="15"/>
  <c r="AG614" i="15" s="1"/>
  <c r="AF559" i="15"/>
  <c r="AG559" i="15" s="1"/>
  <c r="AF527" i="15"/>
  <c r="AG527" i="15" s="1"/>
  <c r="AF563" i="15"/>
  <c r="AG563" i="15" s="1"/>
  <c r="AF502" i="15"/>
  <c r="AG502" i="15" s="1"/>
  <c r="AF572" i="15"/>
  <c r="AG572" i="15" s="1"/>
  <c r="AF517" i="15"/>
  <c r="AG517" i="15" s="1"/>
  <c r="AF579" i="15"/>
  <c r="AG579" i="15" s="1"/>
  <c r="AF585" i="15"/>
  <c r="AG585" i="15" s="1"/>
  <c r="AF988" i="15"/>
  <c r="AG988" i="15" s="1"/>
  <c r="AF945" i="15"/>
  <c r="AG945" i="15" s="1"/>
  <c r="AF973" i="15"/>
  <c r="AG973" i="15" s="1"/>
  <c r="AF904" i="15"/>
  <c r="AG904" i="15" s="1"/>
  <c r="AF957" i="15"/>
  <c r="AG957" i="15" s="1"/>
  <c r="AF785" i="15"/>
  <c r="AG785" i="15" s="1"/>
  <c r="AF880" i="15"/>
  <c r="AG880" i="15" s="1"/>
  <c r="AF886" i="15"/>
  <c r="AG886" i="15" s="1"/>
  <c r="AF895" i="15"/>
  <c r="AG895" i="15" s="1"/>
  <c r="AF797" i="15"/>
  <c r="AG797" i="15" s="1"/>
  <c r="AF911" i="15"/>
  <c r="AG911" i="15" s="1"/>
  <c r="AF828" i="15"/>
  <c r="AG828" i="15" s="1"/>
  <c r="AF764" i="15"/>
  <c r="AG764" i="15" s="1"/>
  <c r="AF802" i="15"/>
  <c r="AG802" i="15" s="1"/>
  <c r="AF742" i="15"/>
  <c r="AG742" i="15" s="1"/>
  <c r="AF725" i="15"/>
  <c r="AG725" i="15" s="1"/>
  <c r="AF830" i="15"/>
  <c r="AG830" i="15" s="1"/>
  <c r="AF724" i="15"/>
  <c r="AG724" i="15" s="1"/>
  <c r="AF660" i="15"/>
  <c r="AG660" i="15" s="1"/>
  <c r="AF755" i="15"/>
  <c r="AG755" i="15" s="1"/>
  <c r="AF691" i="15"/>
  <c r="AG691" i="15" s="1"/>
  <c r="AF822" i="15"/>
  <c r="AG822" i="15" s="1"/>
  <c r="AF770" i="15"/>
  <c r="AG770" i="15" s="1"/>
  <c r="AF704" i="15"/>
  <c r="AG704" i="15" s="1"/>
  <c r="AF735" i="15"/>
  <c r="AG735" i="15" s="1"/>
  <c r="AF671" i="15"/>
  <c r="AG671" i="15" s="1"/>
  <c r="AF607" i="15"/>
  <c r="AG607" i="15" s="1"/>
  <c r="AF701" i="15"/>
  <c r="AG701" i="15" s="1"/>
  <c r="AF649" i="15"/>
  <c r="AG649" i="15" s="1"/>
  <c r="AF681" i="15"/>
  <c r="AG681" i="15" s="1"/>
  <c r="AF702" i="15"/>
  <c r="AG702" i="15" s="1"/>
  <c r="AF709" i="15"/>
  <c r="AG709" i="15" s="1"/>
  <c r="AF621" i="15"/>
  <c r="AG621" i="15" s="1"/>
  <c r="AF653" i="15"/>
  <c r="AG653" i="15" s="1"/>
  <c r="AF628" i="15"/>
  <c r="AG628" i="15" s="1"/>
  <c r="AF673" i="15"/>
  <c r="AG673" i="15" s="1"/>
  <c r="AF633" i="15"/>
  <c r="AG633" i="15" s="1"/>
  <c r="AF601" i="15"/>
  <c r="AG601" i="15" s="1"/>
  <c r="AF641" i="15"/>
  <c r="AG641" i="15" s="1"/>
  <c r="AF544" i="15"/>
  <c r="AG544" i="15" s="1"/>
  <c r="AF535" i="15"/>
  <c r="AG535" i="15" s="1"/>
  <c r="AF506" i="15"/>
  <c r="AG506" i="15" s="1"/>
  <c r="AF537" i="15"/>
  <c r="AG537" i="15" s="1"/>
  <c r="AF529" i="15"/>
  <c r="AG529" i="15" s="1"/>
  <c r="AF465" i="15"/>
  <c r="AG465" i="15" s="1"/>
  <c r="AF612" i="15"/>
  <c r="AG612" i="15" s="1"/>
  <c r="AF558" i="15"/>
  <c r="AG558" i="15" s="1"/>
  <c r="AF519" i="15"/>
  <c r="AG519" i="15" s="1"/>
  <c r="AF562" i="15"/>
  <c r="AG562" i="15" s="1"/>
  <c r="AF494" i="15"/>
  <c r="AG494" i="15" s="1"/>
  <c r="AF571" i="15"/>
  <c r="AG571" i="15" s="1"/>
  <c r="AF509" i="15"/>
  <c r="AG509" i="15" s="1"/>
  <c r="AF578" i="15"/>
  <c r="AG578" i="15" s="1"/>
  <c r="AF1048" i="15"/>
  <c r="AG1048" i="15" s="1"/>
  <c r="AF1073" i="15"/>
  <c r="AG1073" i="15" s="1"/>
  <c r="AF981" i="15"/>
  <c r="AG981" i="15" s="1"/>
  <c r="AF934" i="15"/>
  <c r="AG934" i="15" s="1"/>
  <c r="AF858" i="15"/>
  <c r="AG858" i="15" s="1"/>
  <c r="AF849" i="15"/>
  <c r="AG849" i="15" s="1"/>
  <c r="AF840" i="15"/>
  <c r="AG840" i="15" s="1"/>
  <c r="AF792" i="15"/>
  <c r="AG792" i="15" s="1"/>
  <c r="AF879" i="15"/>
  <c r="AG879" i="15" s="1"/>
  <c r="AF885" i="15"/>
  <c r="AG885" i="15" s="1"/>
  <c r="AF894" i="15"/>
  <c r="AG894" i="15" s="1"/>
  <c r="AF789" i="15"/>
  <c r="AG789" i="15" s="1"/>
  <c r="AF820" i="15"/>
  <c r="AG820" i="15" s="1"/>
  <c r="AF734" i="15"/>
  <c r="AG734" i="15" s="1"/>
  <c r="AF767" i="15"/>
  <c r="AG767" i="15" s="1"/>
  <c r="AF716" i="15"/>
  <c r="AG716" i="15" s="1"/>
  <c r="AF652" i="15"/>
  <c r="AG652" i="15" s="1"/>
  <c r="AF747" i="15"/>
  <c r="AG747" i="15" s="1"/>
  <c r="AF683" i="15"/>
  <c r="AG683" i="15" s="1"/>
  <c r="AF763" i="15"/>
  <c r="AG763" i="15" s="1"/>
  <c r="AF831" i="15"/>
  <c r="AG831" i="15" s="1"/>
  <c r="AF760" i="15"/>
  <c r="AG760" i="15" s="1"/>
  <c r="AF696" i="15"/>
  <c r="AG696" i="15" s="1"/>
  <c r="AF727" i="15"/>
  <c r="AG727" i="15" s="1"/>
  <c r="AF663" i="15"/>
  <c r="AG663" i="15" s="1"/>
  <c r="AF685" i="15"/>
  <c r="AG685" i="15" s="1"/>
  <c r="AF658" i="15"/>
  <c r="AG658" i="15" s="1"/>
  <c r="AF648" i="15"/>
  <c r="AG648" i="15" s="1"/>
  <c r="AF665" i="15"/>
  <c r="AG665" i="15" s="1"/>
  <c r="AF686" i="15"/>
  <c r="AG686" i="15" s="1"/>
  <c r="AF693" i="15"/>
  <c r="AG693" i="15" s="1"/>
  <c r="AF620" i="15"/>
  <c r="AG620" i="15" s="1"/>
  <c r="AF627" i="15"/>
  <c r="AG627" i="15" s="1"/>
  <c r="AF714" i="15"/>
  <c r="AG714" i="15" s="1"/>
  <c r="AF632" i="15"/>
  <c r="AG632" i="15" s="1"/>
  <c r="AF640" i="15"/>
  <c r="AG640" i="15" s="1"/>
  <c r="AF600" i="15"/>
  <c r="AG600" i="15" s="1"/>
  <c r="AF536" i="15"/>
  <c r="AG536" i="15" s="1"/>
  <c r="AF534" i="15"/>
  <c r="AG534" i="15" s="1"/>
  <c r="AF498" i="15"/>
  <c r="AG498" i="15" s="1"/>
  <c r="AF521" i="15"/>
  <c r="AG521" i="15" s="1"/>
  <c r="AF610" i="15"/>
  <c r="AG610" i="15" s="1"/>
  <c r="AF557" i="15"/>
  <c r="AG557" i="15" s="1"/>
  <c r="AF511" i="15"/>
  <c r="AG511" i="15" s="1"/>
  <c r="AF561" i="15"/>
  <c r="AG561" i="15" s="1"/>
  <c r="AF486" i="15"/>
  <c r="AG486" i="15" s="1"/>
  <c r="AF570" i="15"/>
  <c r="AG570" i="15" s="1"/>
  <c r="AF501" i="15"/>
  <c r="AG501" i="15" s="1"/>
  <c r="AF602" i="15"/>
  <c r="AG602" i="15" s="1"/>
  <c r="AF577" i="15"/>
  <c r="AG577" i="15" s="1"/>
  <c r="AF591" i="15"/>
  <c r="AG591" i="15" s="1"/>
  <c r="AF491" i="15"/>
  <c r="AG491" i="15" s="1"/>
  <c r="AF427" i="15"/>
  <c r="AG427" i="15" s="1"/>
  <c r="AF500" i="15"/>
  <c r="AG500" i="15" s="1"/>
  <c r="AF450" i="15"/>
  <c r="AG450" i="15" s="1"/>
  <c r="AF376" i="15"/>
  <c r="AG376" i="15" s="1"/>
  <c r="AF496" i="15"/>
  <c r="AG496" i="15" s="1"/>
  <c r="AF375" i="15"/>
  <c r="AG375" i="15" s="1"/>
  <c r="AF1035" i="15"/>
  <c r="AG1035" i="15" s="1"/>
  <c r="AF1060" i="15"/>
  <c r="AG1060" i="15" s="1"/>
  <c r="AF1002" i="15"/>
  <c r="AG1002" i="15" s="1"/>
  <c r="AF938" i="15"/>
  <c r="AG938" i="15" s="1"/>
  <c r="AF914" i="15"/>
  <c r="AG914" i="15" s="1"/>
  <c r="AF912" i="15"/>
  <c r="AG912" i="15" s="1"/>
  <c r="AF876" i="15"/>
  <c r="AG876" i="15" s="1"/>
  <c r="AF857" i="15"/>
  <c r="AG857" i="15" s="1"/>
  <c r="AF793" i="15"/>
  <c r="AG793" i="15" s="1"/>
  <c r="AF877" i="15"/>
  <c r="AG877" i="15" s="1"/>
  <c r="AF893" i="15"/>
  <c r="AG893" i="15" s="1"/>
  <c r="AF845" i="15"/>
  <c r="AG845" i="15" s="1"/>
  <c r="AF812" i="15"/>
  <c r="AG812" i="15" s="1"/>
  <c r="AF726" i="15"/>
  <c r="AG726" i="15" s="1"/>
  <c r="AF790" i="15"/>
  <c r="AG790" i="15" s="1"/>
  <c r="AF708" i="15"/>
  <c r="AG708" i="15" s="1"/>
  <c r="AF794" i="15"/>
  <c r="AG794" i="15" s="1"/>
  <c r="AF739" i="15"/>
  <c r="AG739" i="15" s="1"/>
  <c r="AF675" i="15"/>
  <c r="AG675" i="15" s="1"/>
  <c r="AF782" i="15"/>
  <c r="AG782" i="15" s="1"/>
  <c r="AF762" i="15"/>
  <c r="AG762" i="15" s="1"/>
  <c r="AF752" i="15"/>
  <c r="AG752" i="15" s="1"/>
  <c r="AF688" i="15"/>
  <c r="AG688" i="15" s="1"/>
  <c r="AF771" i="15"/>
  <c r="AG771" i="15" s="1"/>
  <c r="AF719" i="15"/>
  <c r="AG719" i="15" s="1"/>
  <c r="AF655" i="15"/>
  <c r="AG655" i="15" s="1"/>
  <c r="AF669" i="15"/>
  <c r="AG669" i="15" s="1"/>
  <c r="AF670" i="15"/>
  <c r="AG670" i="15" s="1"/>
  <c r="AF677" i="15"/>
  <c r="AG677" i="15" s="1"/>
  <c r="AF619" i="15"/>
  <c r="AG619" i="15" s="1"/>
  <c r="AF626" i="15"/>
  <c r="AG626" i="15" s="1"/>
  <c r="AF657" i="15"/>
  <c r="AG657" i="15" s="1"/>
  <c r="AF592" i="15"/>
  <c r="AG592" i="15" s="1"/>
  <c r="AF598" i="15"/>
  <c r="AG598" i="15" s="1"/>
  <c r="AF533" i="15"/>
  <c r="AG533" i="15" s="1"/>
  <c r="AF490" i="15"/>
  <c r="AG490" i="15" s="1"/>
  <c r="AF543" i="15"/>
  <c r="AG543" i="15" s="1"/>
  <c r="AF513" i="15"/>
  <c r="AG513" i="15" s="1"/>
  <c r="AF608" i="15"/>
  <c r="AG608" i="15" s="1"/>
  <c r="AF606" i="15"/>
  <c r="AG606" i="15" s="1"/>
  <c r="AF556" i="15"/>
  <c r="AG556" i="15" s="1"/>
  <c r="AF503" i="15"/>
  <c r="AG503" i="15" s="1"/>
  <c r="AF569" i="15"/>
  <c r="AG569" i="15" s="1"/>
  <c r="AF493" i="15"/>
  <c r="AG493" i="15" s="1"/>
  <c r="AF613" i="15"/>
  <c r="AG613" i="15" s="1"/>
  <c r="AF590" i="15"/>
  <c r="AG590" i="15" s="1"/>
  <c r="AF483" i="15"/>
  <c r="AG483" i="15" s="1"/>
  <c r="AF480" i="15"/>
  <c r="AG480" i="15" s="1"/>
  <c r="AF449" i="15"/>
  <c r="AG449" i="15" s="1"/>
  <c r="AF368" i="15"/>
  <c r="AG368" i="15" s="1"/>
  <c r="AF367" i="15"/>
  <c r="AG367" i="15" s="1"/>
  <c r="AF1068" i="15"/>
  <c r="AG1068" i="15" s="1"/>
  <c r="AF1072" i="15"/>
  <c r="AG1072" i="15" s="1"/>
  <c r="AF964" i="15"/>
  <c r="AG964" i="15" s="1"/>
  <c r="AF955" i="15"/>
  <c r="AG955" i="15" s="1"/>
  <c r="AF905" i="15"/>
  <c r="AG905" i="15" s="1"/>
  <c r="AF963" i="15"/>
  <c r="AG963" i="15" s="1"/>
  <c r="AF995" i="15"/>
  <c r="AG995" i="15" s="1"/>
  <c r="AF908" i="15"/>
  <c r="AG908" i="15" s="1"/>
  <c r="AF819" i="15"/>
  <c r="AG819" i="15" s="1"/>
  <c r="AF842" i="15"/>
  <c r="AG842" i="15" s="1"/>
  <c r="AF865" i="15"/>
  <c r="AG865" i="15" s="1"/>
  <c r="AF808" i="15"/>
  <c r="AG808" i="15" s="1"/>
  <c r="AF829" i="15"/>
  <c r="AG829" i="15" s="1"/>
  <c r="AF796" i="15"/>
  <c r="AG796" i="15" s="1"/>
  <c r="AF823" i="15"/>
  <c r="AG823" i="15" s="1"/>
  <c r="AF786" i="15"/>
  <c r="AG786" i="15" s="1"/>
  <c r="AF757" i="15"/>
  <c r="AG757" i="15" s="1"/>
  <c r="AF773" i="15"/>
  <c r="AG773" i="15" s="1"/>
  <c r="AF756" i="15"/>
  <c r="AG756" i="15" s="1"/>
  <c r="AF692" i="15"/>
  <c r="AG692" i="15" s="1"/>
  <c r="AF723" i="15"/>
  <c r="AG723" i="15" s="1"/>
  <c r="AF659" i="15"/>
  <c r="AG659" i="15" s="1"/>
  <c r="AF746" i="15"/>
  <c r="AG746" i="15" s="1"/>
  <c r="AF779" i="15"/>
  <c r="AG779" i="15" s="1"/>
  <c r="AF753" i="15"/>
  <c r="AG753" i="15" s="1"/>
  <c r="AF736" i="15"/>
  <c r="AG736" i="15" s="1"/>
  <c r="AF672" i="15"/>
  <c r="AG672" i="15" s="1"/>
  <c r="AF703" i="15"/>
  <c r="AG703" i="15" s="1"/>
  <c r="AF639" i="15"/>
  <c r="AG639" i="15" s="1"/>
  <c r="AF729" i="15"/>
  <c r="AG729" i="15" s="1"/>
  <c r="AF706" i="15"/>
  <c r="AG706" i="15" s="1"/>
  <c r="AF717" i="15"/>
  <c r="AG717" i="15" s="1"/>
  <c r="AF617" i="15"/>
  <c r="AG617" i="15" s="1"/>
  <c r="AF624" i="15"/>
  <c r="AG624" i="15" s="1"/>
  <c r="AF637" i="15"/>
  <c r="AG637" i="15" s="1"/>
  <c r="AF694" i="15"/>
  <c r="AG694" i="15" s="1"/>
  <c r="AF654" i="15"/>
  <c r="AG654" i="15" s="1"/>
  <c r="AF645" i="15"/>
  <c r="AG645" i="15" s="1"/>
  <c r="AF576" i="15"/>
  <c r="AG576" i="15" s="1"/>
  <c r="AF596" i="15"/>
  <c r="AG596" i="15" s="1"/>
  <c r="AF531" i="15"/>
  <c r="AG531" i="15" s="1"/>
  <c r="AF474" i="15"/>
  <c r="AG474" i="15" s="1"/>
  <c r="AF541" i="15"/>
  <c r="AG541" i="15" s="1"/>
  <c r="AF497" i="15"/>
  <c r="AG497" i="15" s="1"/>
  <c r="AF554" i="15"/>
  <c r="AG554" i="15" s="1"/>
  <c r="AF566" i="15"/>
  <c r="AG566" i="15" s="1"/>
  <c r="AF526" i="15"/>
  <c r="AG526" i="15" s="1"/>
  <c r="AF575" i="15"/>
  <c r="AG575" i="15" s="1"/>
  <c r="AF609" i="15"/>
  <c r="AG609" i="15" s="1"/>
  <c r="AF582" i="15"/>
  <c r="AG582" i="15" s="1"/>
  <c r="AF588" i="15"/>
  <c r="AG588" i="15" s="1"/>
  <c r="AF467" i="15"/>
  <c r="AG467" i="15" s="1"/>
  <c r="AF447" i="15"/>
  <c r="AG447" i="15" s="1"/>
  <c r="AF416" i="15"/>
  <c r="AG416" i="15" s="1"/>
  <c r="AF352" i="15"/>
  <c r="AG352" i="15" s="1"/>
  <c r="AF454" i="15"/>
  <c r="AG454" i="15" s="1"/>
  <c r="AF415" i="15"/>
  <c r="AG415" i="15" s="1"/>
  <c r="AF351" i="15"/>
  <c r="AG351" i="15" s="1"/>
  <c r="AF456" i="15"/>
  <c r="AG456" i="15" s="1"/>
  <c r="AF471" i="15"/>
  <c r="AG471" i="15" s="1"/>
  <c r="AF478" i="15"/>
  <c r="AG478" i="15" s="1"/>
  <c r="AF512" i="15"/>
  <c r="AG512" i="15" s="1"/>
  <c r="AF508" i="15"/>
  <c r="AG508" i="15" s="1"/>
  <c r="AF485" i="15"/>
  <c r="AG485" i="15" s="1"/>
  <c r="AF549" i="15"/>
  <c r="AG549" i="15" s="1"/>
  <c r="AF439" i="15"/>
  <c r="AG439" i="15" s="1"/>
  <c r="AF409" i="15"/>
  <c r="AG409" i="15" s="1"/>
  <c r="AF1055" i="15"/>
  <c r="AG1055" i="15" s="1"/>
  <c r="AF1031" i="15"/>
  <c r="AG1031" i="15" s="1"/>
  <c r="AF1012" i="15"/>
  <c r="AG1012" i="15" s="1"/>
  <c r="AF943" i="15"/>
  <c r="AG943" i="15" s="1"/>
  <c r="AF1025" i="15"/>
  <c r="AG1025" i="15" s="1"/>
  <c r="AF852" i="15"/>
  <c r="AG852" i="15" s="1"/>
  <c r="AF861" i="15"/>
  <c r="AG861" i="15" s="1"/>
  <c r="AF875" i="15"/>
  <c r="AG875" i="15" s="1"/>
  <c r="AF816" i="15"/>
  <c r="AG816" i="15" s="1"/>
  <c r="AF776" i="15"/>
  <c r="AG776" i="15" s="1"/>
  <c r="AF923" i="15"/>
  <c r="AG923" i="15" s="1"/>
  <c r="AF889" i="15"/>
  <c r="AG889" i="15" s="1"/>
  <c r="AF898" i="15"/>
  <c r="AG898" i="15" s="1"/>
  <c r="AF821" i="15"/>
  <c r="AG821" i="15" s="1"/>
  <c r="AF942" i="15"/>
  <c r="AG942" i="15" s="1"/>
  <c r="AF788" i="15"/>
  <c r="AG788" i="15" s="1"/>
  <c r="AF749" i="15"/>
  <c r="AG749" i="15" s="1"/>
  <c r="AF818" i="15"/>
  <c r="AG818" i="15" s="1"/>
  <c r="AF799" i="15"/>
  <c r="AG799" i="15" s="1"/>
  <c r="AF748" i="15"/>
  <c r="AG748" i="15" s="1"/>
  <c r="AF684" i="15"/>
  <c r="AG684" i="15" s="1"/>
  <c r="AF806" i="15"/>
  <c r="AG806" i="15" s="1"/>
  <c r="AF715" i="15"/>
  <c r="AG715" i="15" s="1"/>
  <c r="AF738" i="15"/>
  <c r="AG738" i="15" s="1"/>
  <c r="AF810" i="15"/>
  <c r="AG810" i="15" s="1"/>
  <c r="AF791" i="15"/>
  <c r="AG791" i="15" s="1"/>
  <c r="AF745" i="15"/>
  <c r="AG745" i="15" s="1"/>
  <c r="AF728" i="15"/>
  <c r="AG728" i="15" s="1"/>
  <c r="AF759" i="15"/>
  <c r="AG759" i="15" s="1"/>
  <c r="AF695" i="15"/>
  <c r="AG695" i="15" s="1"/>
  <c r="AF631" i="15"/>
  <c r="AG631" i="15" s="1"/>
  <c r="AF690" i="15"/>
  <c r="AG690" i="15" s="1"/>
  <c r="AF616" i="15"/>
  <c r="AG616" i="15" s="1"/>
  <c r="AF698" i="15"/>
  <c r="AG698" i="15" s="1"/>
  <c r="AF636" i="15"/>
  <c r="AG636" i="15" s="1"/>
  <c r="AF678" i="15"/>
  <c r="AG678" i="15" s="1"/>
  <c r="AF664" i="15"/>
  <c r="AG664" i="15" s="1"/>
  <c r="AF644" i="15"/>
  <c r="AG644" i="15" s="1"/>
  <c r="AF568" i="15"/>
  <c r="AG568" i="15" s="1"/>
  <c r="AF604" i="15"/>
  <c r="AG604" i="15" s="1"/>
  <c r="AF595" i="15"/>
  <c r="AG595" i="15" s="1"/>
  <c r="AF530" i="15"/>
  <c r="AG530" i="15" s="1"/>
  <c r="AF466" i="15"/>
  <c r="AG466" i="15" s="1"/>
  <c r="AF540" i="15"/>
  <c r="AG540" i="15" s="1"/>
  <c r="AF489" i="15"/>
  <c r="AG489" i="15" s="1"/>
  <c r="AF553" i="15"/>
  <c r="AG553" i="15" s="1"/>
  <c r="AF565" i="15"/>
  <c r="AG565" i="15" s="1"/>
  <c r="AF518" i="15"/>
  <c r="AG518" i="15" s="1"/>
  <c r="AF574" i="15"/>
  <c r="AG574" i="15" s="1"/>
  <c r="AF581" i="15"/>
  <c r="AG581" i="15" s="1"/>
  <c r="AF587" i="15"/>
  <c r="AG587" i="15" s="1"/>
  <c r="AF523" i="15"/>
  <c r="AG523" i="15" s="1"/>
  <c r="AF459" i="15"/>
  <c r="AG459" i="15" s="1"/>
  <c r="AF476" i="15"/>
  <c r="AG476" i="15" s="1"/>
  <c r="AF446" i="15"/>
  <c r="AG446" i="15" s="1"/>
  <c r="AF408" i="15"/>
  <c r="AG408" i="15" s="1"/>
  <c r="AF344" i="15"/>
  <c r="AG344" i="15" s="1"/>
  <c r="AF453" i="15"/>
  <c r="AG453" i="15" s="1"/>
  <c r="AF1036" i="15"/>
  <c r="AG1036" i="15" s="1"/>
  <c r="AF804" i="15"/>
  <c r="AG804" i="15" s="1"/>
  <c r="AF718" i="15"/>
  <c r="AG718" i="15" s="1"/>
  <c r="AF766" i="15"/>
  <c r="AG766" i="15" s="1"/>
  <c r="AF761" i="15"/>
  <c r="AG761" i="15" s="1"/>
  <c r="AF680" i="15"/>
  <c r="AG680" i="15" s="1"/>
  <c r="AF721" i="15"/>
  <c r="AG721" i="15" s="1"/>
  <c r="AF597" i="15"/>
  <c r="AG597" i="15" s="1"/>
  <c r="AF532" i="15"/>
  <c r="AG532" i="15" s="1"/>
  <c r="AF542" i="15"/>
  <c r="AG542" i="15" s="1"/>
  <c r="AF567" i="15"/>
  <c r="AG567" i="15" s="1"/>
  <c r="AF444" i="15"/>
  <c r="AG444" i="15" s="1"/>
  <c r="AF548" i="15"/>
  <c r="AG548" i="15" s="1"/>
  <c r="AF423" i="15"/>
  <c r="AG423" i="15" s="1"/>
  <c r="AF547" i="15"/>
  <c r="AG547" i="15" s="1"/>
  <c r="AF420" i="15"/>
  <c r="AG420" i="15" s="1"/>
  <c r="AF412" i="15"/>
  <c r="AG412" i="15" s="1"/>
  <c r="AF404" i="15"/>
  <c r="AG404" i="15" s="1"/>
  <c r="AF492" i="15"/>
  <c r="AG492" i="15" s="1"/>
  <c r="AF377" i="15"/>
  <c r="AG377" i="15" s="1"/>
  <c r="AF369" i="15"/>
  <c r="AG369" i="15" s="1"/>
  <c r="AF382" i="15"/>
  <c r="AG382" i="15" s="1"/>
  <c r="AF348" i="15"/>
  <c r="AG348" i="15" s="1"/>
  <c r="AF271" i="15"/>
  <c r="AG271" i="15" s="1"/>
  <c r="AF207" i="15"/>
  <c r="AG207" i="15" s="1"/>
  <c r="AF462" i="15"/>
  <c r="AG462" i="15" s="1"/>
  <c r="AF262" i="15"/>
  <c r="AG262" i="15" s="1"/>
  <c r="AF366" i="15"/>
  <c r="AG366" i="15" s="1"/>
  <c r="AF325" i="15"/>
  <c r="AG325" i="15" s="1"/>
  <c r="AF386" i="15"/>
  <c r="AG386" i="15" s="1"/>
  <c r="AF331" i="15"/>
  <c r="AG331" i="15" s="1"/>
  <c r="AF316" i="15"/>
  <c r="AG316" i="15" s="1"/>
  <c r="AF267" i="15"/>
  <c r="AG267" i="15" s="1"/>
  <c r="AF290" i="15"/>
  <c r="AG290" i="15" s="1"/>
  <c r="AF381" i="15"/>
  <c r="AG381" i="15" s="1"/>
  <c r="AF347" i="15"/>
  <c r="AG347" i="15" s="1"/>
  <c r="AF410" i="15"/>
  <c r="AG410" i="15" s="1"/>
  <c r="AF312" i="15"/>
  <c r="AG312" i="15" s="1"/>
  <c r="AF248" i="15"/>
  <c r="AG248" i="15" s="1"/>
  <c r="AF182" i="15"/>
  <c r="AG182" i="15" s="1"/>
  <c r="AF177" i="15"/>
  <c r="AG177" i="15" s="1"/>
  <c r="AF305" i="15"/>
  <c r="AG305" i="15" s="1"/>
  <c r="AF183" i="15"/>
  <c r="AG183" i="15" s="1"/>
  <c r="AF228" i="15"/>
  <c r="AG228" i="15" s="1"/>
  <c r="AF184" i="15"/>
  <c r="AG184" i="15" s="1"/>
  <c r="AF199" i="15"/>
  <c r="AG199" i="15" s="1"/>
  <c r="AF163" i="15"/>
  <c r="AG163" i="15" s="1"/>
  <c r="AF116" i="15"/>
  <c r="AG116" i="15" s="1"/>
  <c r="AF135" i="15"/>
  <c r="AG135" i="15" s="1"/>
  <c r="AF156" i="15"/>
  <c r="AG156" i="15" s="1"/>
  <c r="AF130" i="15"/>
  <c r="AG130" i="15" s="1"/>
  <c r="AF88" i="15"/>
  <c r="AG88" i="15" s="1"/>
  <c r="AF152" i="15"/>
  <c r="AG152" i="15" s="1"/>
  <c r="AF91" i="15"/>
  <c r="AG91" i="15" s="1"/>
  <c r="AF142" i="15"/>
  <c r="AG142" i="15" s="1"/>
  <c r="AF105" i="15"/>
  <c r="AG105" i="15" s="1"/>
  <c r="AF98" i="15"/>
  <c r="AG98" i="15" s="1"/>
  <c r="AF71" i="15"/>
  <c r="AG71" i="15" s="1"/>
  <c r="AF54" i="15"/>
  <c r="AG54" i="15" s="1"/>
  <c r="AF77" i="15"/>
  <c r="AG77" i="15" s="1"/>
  <c r="AF64" i="15"/>
  <c r="AG64" i="15" s="1"/>
  <c r="AF940" i="15"/>
  <c r="AG940" i="15" s="1"/>
  <c r="AF700" i="15"/>
  <c r="AG700" i="15" s="1"/>
  <c r="AF778" i="15"/>
  <c r="AG778" i="15" s="1"/>
  <c r="AF667" i="15"/>
  <c r="AG667" i="15" s="1"/>
  <c r="AF611" i="15"/>
  <c r="AG611" i="15" s="1"/>
  <c r="AF477" i="15"/>
  <c r="AG477" i="15" s="1"/>
  <c r="AF484" i="15"/>
  <c r="AG484" i="15" s="1"/>
  <c r="AF545" i="15"/>
  <c r="AG545" i="15" s="1"/>
  <c r="AF417" i="15"/>
  <c r="AG417" i="15" s="1"/>
  <c r="AF361" i="15"/>
  <c r="AG361" i="15" s="1"/>
  <c r="AF263" i="15"/>
  <c r="AG263" i="15" s="1"/>
  <c r="AF426" i="15"/>
  <c r="AG426" i="15" s="1"/>
  <c r="AF389" i="15"/>
  <c r="AG389" i="15" s="1"/>
  <c r="AF355" i="15"/>
  <c r="AG355" i="15" s="1"/>
  <c r="AF318" i="15"/>
  <c r="AG318" i="15" s="1"/>
  <c r="AF254" i="15"/>
  <c r="AG254" i="15" s="1"/>
  <c r="AF317" i="15"/>
  <c r="AG317" i="15" s="1"/>
  <c r="AF373" i="15"/>
  <c r="AG373" i="15" s="1"/>
  <c r="AF339" i="15"/>
  <c r="AG339" i="15" s="1"/>
  <c r="AF330" i="15"/>
  <c r="AG330" i="15" s="1"/>
  <c r="AF308" i="15"/>
  <c r="AG308" i="15" s="1"/>
  <c r="AF363" i="15"/>
  <c r="AG363" i="15" s="1"/>
  <c r="AF323" i="15"/>
  <c r="AG323" i="15" s="1"/>
  <c r="AF259" i="15"/>
  <c r="AG259" i="15" s="1"/>
  <c r="AF282" i="15"/>
  <c r="AG282" i="15" s="1"/>
  <c r="AF304" i="15"/>
  <c r="AG304" i="15" s="1"/>
  <c r="AF240" i="15"/>
  <c r="AG240" i="15" s="1"/>
  <c r="AF281" i="15"/>
  <c r="AG281" i="15" s="1"/>
  <c r="AF174" i="15"/>
  <c r="AG174" i="15" s="1"/>
  <c r="AF209" i="15"/>
  <c r="AG209" i="15" s="1"/>
  <c r="AF169" i="15"/>
  <c r="AG169" i="15" s="1"/>
  <c r="AF273" i="15"/>
  <c r="AG273" i="15" s="1"/>
  <c r="AF252" i="15"/>
  <c r="AG252" i="15" s="1"/>
  <c r="AF194" i="15"/>
  <c r="AG194" i="15" s="1"/>
  <c r="AF189" i="15"/>
  <c r="AG189" i="15" s="1"/>
  <c r="AF244" i="15"/>
  <c r="AG244" i="15" s="1"/>
  <c r="AF155" i="15"/>
  <c r="AG155" i="15" s="1"/>
  <c r="AF168" i="15"/>
  <c r="AG168" i="15" s="1"/>
  <c r="AF108" i="15"/>
  <c r="AG108" i="15" s="1"/>
  <c r="AF127" i="15"/>
  <c r="AG127" i="15" s="1"/>
  <c r="AF122" i="15"/>
  <c r="AG122" i="15" s="1"/>
  <c r="AF141" i="15"/>
  <c r="AG141" i="15" s="1"/>
  <c r="AF144" i="15"/>
  <c r="AG144" i="15" s="1"/>
  <c r="AF80" i="15"/>
  <c r="AG80" i="15" s="1"/>
  <c r="AF83" i="15"/>
  <c r="AG83" i="15" s="1"/>
  <c r="AF134" i="15"/>
  <c r="AG134" i="15" s="1"/>
  <c r="AF97" i="15"/>
  <c r="AG97" i="15" s="1"/>
  <c r="AF69" i="15"/>
  <c r="AG69" i="15" s="1"/>
  <c r="AF94" i="15"/>
  <c r="AG94" i="15" s="1"/>
  <c r="AF101" i="15"/>
  <c r="AG101" i="15" s="1"/>
  <c r="AF711" i="15"/>
  <c r="AG711" i="15" s="1"/>
  <c r="AF599" i="15"/>
  <c r="AG599" i="15" s="1"/>
  <c r="AF435" i="15"/>
  <c r="AG435" i="15" s="1"/>
  <c r="AF383" i="15"/>
  <c r="AG383" i="15" s="1"/>
  <c r="AF343" i="15"/>
  <c r="AG343" i="15" s="1"/>
  <c r="AF460" i="15"/>
  <c r="AG460" i="15" s="1"/>
  <c r="AF504" i="15"/>
  <c r="AG504" i="15" s="1"/>
  <c r="AF469" i="15"/>
  <c r="AG469" i="15" s="1"/>
  <c r="AF425" i="15"/>
  <c r="AG425" i="15" s="1"/>
  <c r="AF353" i="15"/>
  <c r="AG353" i="15" s="1"/>
  <c r="AF429" i="15"/>
  <c r="AG429" i="15" s="1"/>
  <c r="AF319" i="15"/>
  <c r="AG319" i="15" s="1"/>
  <c r="AF255" i="15"/>
  <c r="AG255" i="15" s="1"/>
  <c r="AF342" i="15"/>
  <c r="AG342" i="15" s="1"/>
  <c r="AF310" i="15"/>
  <c r="AG310" i="15" s="1"/>
  <c r="AF246" i="15"/>
  <c r="AG246" i="15" s="1"/>
  <c r="AF421" i="15"/>
  <c r="AG421" i="15" s="1"/>
  <c r="AF402" i="15"/>
  <c r="AG402" i="15" s="1"/>
  <c r="AF309" i="15"/>
  <c r="AG309" i="15" s="1"/>
  <c r="AF397" i="15"/>
  <c r="AG397" i="15" s="1"/>
  <c r="AF300" i="15"/>
  <c r="AG300" i="15" s="1"/>
  <c r="AF418" i="15"/>
  <c r="AG418" i="15" s="1"/>
  <c r="AF350" i="15"/>
  <c r="AG350" i="15" s="1"/>
  <c r="AF315" i="15"/>
  <c r="AG315" i="15" s="1"/>
  <c r="AF251" i="15"/>
  <c r="AG251" i="15" s="1"/>
  <c r="AF387" i="15"/>
  <c r="AG387" i="15" s="1"/>
  <c r="AF274" i="15"/>
  <c r="AG274" i="15" s="1"/>
  <c r="AF388" i="15"/>
  <c r="AG388" i="15" s="1"/>
  <c r="AF354" i="15"/>
  <c r="AG354" i="15" s="1"/>
  <c r="AF296" i="15"/>
  <c r="AG296" i="15" s="1"/>
  <c r="AF232" i="15"/>
  <c r="AG232" i="15" s="1"/>
  <c r="AF253" i="15"/>
  <c r="AG253" i="15" s="1"/>
  <c r="AF236" i="15"/>
  <c r="AG236" i="15" s="1"/>
  <c r="AF202" i="15"/>
  <c r="AG202" i="15" s="1"/>
  <c r="AF166" i="15"/>
  <c r="AG166" i="15" s="1"/>
  <c r="AF197" i="15"/>
  <c r="AG197" i="15" s="1"/>
  <c r="AF161" i="15"/>
  <c r="AG161" i="15" s="1"/>
  <c r="AF233" i="15"/>
  <c r="AG233" i="15" s="1"/>
  <c r="AF257" i="15"/>
  <c r="AG257" i="15" s="1"/>
  <c r="AF227" i="15"/>
  <c r="AG227" i="15" s="1"/>
  <c r="AF234" i="15"/>
  <c r="AG234" i="15" s="1"/>
  <c r="AF186" i="15"/>
  <c r="AG186" i="15" s="1"/>
  <c r="AF181" i="15"/>
  <c r="AG181" i="15" s="1"/>
  <c r="AF289" i="15"/>
  <c r="AG289" i="15" s="1"/>
  <c r="AF218" i="15"/>
  <c r="AG218" i="15" s="1"/>
  <c r="AF229" i="15"/>
  <c r="AG229" i="15" s="1"/>
  <c r="AF147" i="15"/>
  <c r="AG147" i="15" s="1"/>
  <c r="AF100" i="15"/>
  <c r="AG100" i="15" s="1"/>
  <c r="AF119" i="15"/>
  <c r="AG119" i="15" s="1"/>
  <c r="AF70" i="15"/>
  <c r="AG70" i="15" s="1"/>
  <c r="AF57" i="15"/>
  <c r="AG57" i="15" s="1"/>
  <c r="AF114" i="15"/>
  <c r="AG114" i="15" s="1"/>
  <c r="AF133" i="15"/>
  <c r="AG133" i="15" s="1"/>
  <c r="AF136" i="15"/>
  <c r="AG136" i="15" s="1"/>
  <c r="AF139" i="15"/>
  <c r="AG139" i="15" s="1"/>
  <c r="AF126" i="15"/>
  <c r="AG126" i="15" s="1"/>
  <c r="AF157" i="15"/>
  <c r="AG157" i="15" s="1"/>
  <c r="AF89" i="15"/>
  <c r="AG89" i="15" s="1"/>
  <c r="AF815" i="15"/>
  <c r="AG815" i="15" s="1"/>
  <c r="AF744" i="15"/>
  <c r="AG744" i="15" s="1"/>
  <c r="AF618" i="15"/>
  <c r="AG618" i="15" s="1"/>
  <c r="AF638" i="15"/>
  <c r="AG638" i="15" s="1"/>
  <c r="AF584" i="15"/>
  <c r="AG584" i="15" s="1"/>
  <c r="AF499" i="15"/>
  <c r="AG499" i="15" s="1"/>
  <c r="AF475" i="15"/>
  <c r="AG475" i="15" s="1"/>
  <c r="AF443" i="15"/>
  <c r="AG443" i="15" s="1"/>
  <c r="AF384" i="15"/>
  <c r="AG384" i="15" s="1"/>
  <c r="AF360" i="15"/>
  <c r="AG360" i="15" s="1"/>
  <c r="AF455" i="15"/>
  <c r="AG455" i="15" s="1"/>
  <c r="AF391" i="15"/>
  <c r="AG391" i="15" s="1"/>
  <c r="AF495" i="15"/>
  <c r="AG495" i="15" s="1"/>
  <c r="AF442" i="15"/>
  <c r="AG442" i="15" s="1"/>
  <c r="AF345" i="15"/>
  <c r="AG345" i="15" s="1"/>
  <c r="AF378" i="15"/>
  <c r="AG378" i="15" s="1"/>
  <c r="AF311" i="15"/>
  <c r="AG311" i="15" s="1"/>
  <c r="AF247" i="15"/>
  <c r="AG247" i="15" s="1"/>
  <c r="AF302" i="15"/>
  <c r="AG302" i="15" s="1"/>
  <c r="AF238" i="15"/>
  <c r="AG238" i="15" s="1"/>
  <c r="AF362" i="15"/>
  <c r="AG362" i="15" s="1"/>
  <c r="AF292" i="15"/>
  <c r="AG292" i="15" s="1"/>
  <c r="AF307" i="15"/>
  <c r="AG307" i="15" s="1"/>
  <c r="AF243" i="15"/>
  <c r="AG243" i="15" s="1"/>
  <c r="AF374" i="15"/>
  <c r="AG374" i="15" s="1"/>
  <c r="AF340" i="15"/>
  <c r="AG340" i="15" s="1"/>
  <c r="AF266" i="15"/>
  <c r="AG266" i="15" s="1"/>
  <c r="AF341" i="15"/>
  <c r="AG341" i="15" s="1"/>
  <c r="AF288" i="15"/>
  <c r="AG288" i="15" s="1"/>
  <c r="AF224" i="15"/>
  <c r="AG224" i="15" s="1"/>
  <c r="AF158" i="15"/>
  <c r="AG158" i="15" s="1"/>
  <c r="AF260" i="15"/>
  <c r="AG260" i="15" s="1"/>
  <c r="AF241" i="15"/>
  <c r="AG241" i="15" s="1"/>
  <c r="AF153" i="15"/>
  <c r="AG153" i="15" s="1"/>
  <c r="AF220" i="15"/>
  <c r="AG220" i="15" s="1"/>
  <c r="AF297" i="15"/>
  <c r="AG297" i="15" s="1"/>
  <c r="AF221" i="15"/>
  <c r="AG221" i="15" s="1"/>
  <c r="AF178" i="15"/>
  <c r="AG178" i="15" s="1"/>
  <c r="AF173" i="15"/>
  <c r="AG173" i="15" s="1"/>
  <c r="AF321" i="15"/>
  <c r="AG321" i="15" s="1"/>
  <c r="AF205" i="15"/>
  <c r="AG205" i="15" s="1"/>
  <c r="AF285" i="15"/>
  <c r="AG285" i="15" s="1"/>
  <c r="AF92" i="15"/>
  <c r="AG92" i="15" s="1"/>
  <c r="AF62" i="15"/>
  <c r="AG62" i="15" s="1"/>
  <c r="AF149" i="15"/>
  <c r="AG149" i="15" s="1"/>
  <c r="AF111" i="15"/>
  <c r="AG111" i="15" s="1"/>
  <c r="AF106" i="15"/>
  <c r="AG106" i="15" s="1"/>
  <c r="AF125" i="15"/>
  <c r="AG125" i="15" s="1"/>
  <c r="AF154" i="15"/>
  <c r="AG154" i="15" s="1"/>
  <c r="AF128" i="15"/>
  <c r="AG128" i="15" s="1"/>
  <c r="AF131" i="15"/>
  <c r="AG131" i="15" s="1"/>
  <c r="AF118" i="15"/>
  <c r="AG118" i="15" s="1"/>
  <c r="AF81" i="15"/>
  <c r="AG81" i="15" s="1"/>
  <c r="AF74" i="15"/>
  <c r="AG74" i="15" s="1"/>
  <c r="AF63" i="15"/>
  <c r="AG63" i="15" s="1"/>
  <c r="AF82" i="15"/>
  <c r="AG82" i="15" s="1"/>
  <c r="AF731" i="15"/>
  <c r="AG731" i="15" s="1"/>
  <c r="AF507" i="15"/>
  <c r="AG507" i="15" s="1"/>
  <c r="AF424" i="15"/>
  <c r="AG424" i="15" s="1"/>
  <c r="AF392" i="15"/>
  <c r="AG392" i="15" s="1"/>
  <c r="AF359" i="15"/>
  <c r="AG359" i="15" s="1"/>
  <c r="AF524" i="15"/>
  <c r="AG524" i="15" s="1"/>
  <c r="AF550" i="15"/>
  <c r="AG550" i="15" s="1"/>
  <c r="AF441" i="15"/>
  <c r="AG441" i="15" s="1"/>
  <c r="AF337" i="15"/>
  <c r="AG337" i="15" s="1"/>
  <c r="AF405" i="15"/>
  <c r="AG405" i="15" s="1"/>
  <c r="AF365" i="15"/>
  <c r="AG365" i="15" s="1"/>
  <c r="AF303" i="15"/>
  <c r="AG303" i="15" s="1"/>
  <c r="AF239" i="15"/>
  <c r="AG239" i="15" s="1"/>
  <c r="AF294" i="15"/>
  <c r="AG294" i="15" s="1"/>
  <c r="AF230" i="15"/>
  <c r="AG230" i="15" s="1"/>
  <c r="AF349" i="15"/>
  <c r="AG349" i="15" s="1"/>
  <c r="AF284" i="15"/>
  <c r="AG284" i="15" s="1"/>
  <c r="AF433" i="15"/>
  <c r="AG433" i="15" s="1"/>
  <c r="AF299" i="15"/>
  <c r="AG299" i="15" s="1"/>
  <c r="AF322" i="15"/>
  <c r="AG322" i="15" s="1"/>
  <c r="AF258" i="15"/>
  <c r="AG258" i="15" s="1"/>
  <c r="AF422" i="15"/>
  <c r="AG422" i="15" s="1"/>
  <c r="AF364" i="15"/>
  <c r="AG364" i="15" s="1"/>
  <c r="AF280" i="15"/>
  <c r="AG280" i="15" s="1"/>
  <c r="AF216" i="15"/>
  <c r="AG216" i="15" s="1"/>
  <c r="AF150" i="15"/>
  <c r="AG150" i="15" s="1"/>
  <c r="AF145" i="15"/>
  <c r="AG145" i="15" s="1"/>
  <c r="AF265" i="15"/>
  <c r="AG265" i="15" s="1"/>
  <c r="AF170" i="15"/>
  <c r="AG170" i="15" s="1"/>
  <c r="AF211" i="15"/>
  <c r="AG211" i="15" s="1"/>
  <c r="AF165" i="15"/>
  <c r="AG165" i="15" s="1"/>
  <c r="AF313" i="15"/>
  <c r="AG313" i="15" s="1"/>
  <c r="AF195" i="15"/>
  <c r="AG195" i="15" s="1"/>
  <c r="AF84" i="15"/>
  <c r="AG84" i="15" s="1"/>
  <c r="AF103" i="15"/>
  <c r="AG103" i="15" s="1"/>
  <c r="AF164" i="15"/>
  <c r="AG164" i="15" s="1"/>
  <c r="AF160" i="15"/>
  <c r="AG160" i="15" s="1"/>
  <c r="AF117" i="15"/>
  <c r="AG117" i="15" s="1"/>
  <c r="AF120" i="15"/>
  <c r="AG120" i="15" s="1"/>
  <c r="AF123" i="15"/>
  <c r="AG123" i="15" s="1"/>
  <c r="AF137" i="15"/>
  <c r="AG137" i="15" s="1"/>
  <c r="AF73" i="15"/>
  <c r="AG73" i="15" s="1"/>
  <c r="AF75" i="15"/>
  <c r="AG75" i="15" s="1"/>
  <c r="AF52" i="15"/>
  <c r="AG52" i="15" s="1"/>
  <c r="AF85" i="15"/>
  <c r="AG85" i="15" s="1"/>
  <c r="AF1019" i="15"/>
  <c r="AG1019" i="15" s="1"/>
  <c r="AF866" i="15"/>
  <c r="AG866" i="15" s="1"/>
  <c r="AF768" i="15"/>
  <c r="AG768" i="15" s="1"/>
  <c r="AF834" i="15"/>
  <c r="AG834" i="15" s="1"/>
  <c r="AF625" i="15"/>
  <c r="AG625" i="15" s="1"/>
  <c r="AF482" i="15"/>
  <c r="AG482" i="15" s="1"/>
  <c r="AF555" i="15"/>
  <c r="AG555" i="15" s="1"/>
  <c r="AF528" i="15"/>
  <c r="AG528" i="15" s="1"/>
  <c r="AF461" i="15"/>
  <c r="AG461" i="15" s="1"/>
  <c r="AF546" i="15"/>
  <c r="AG546" i="15" s="1"/>
  <c r="AF419" i="15"/>
  <c r="AG419" i="15" s="1"/>
  <c r="AF440" i="15"/>
  <c r="AG440" i="15" s="1"/>
  <c r="AF329" i="15"/>
  <c r="AG329" i="15" s="1"/>
  <c r="AF295" i="15"/>
  <c r="AG295" i="15" s="1"/>
  <c r="AF231" i="15"/>
  <c r="AG231" i="15" s="1"/>
  <c r="AF372" i="15"/>
  <c r="AG372" i="15" s="1"/>
  <c r="AF338" i="15"/>
  <c r="AG338" i="15" s="1"/>
  <c r="AF286" i="15"/>
  <c r="AG286" i="15" s="1"/>
  <c r="AF222" i="15"/>
  <c r="AG222" i="15" s="1"/>
  <c r="AF328" i="15"/>
  <c r="AG328" i="15" s="1"/>
  <c r="AF428" i="15"/>
  <c r="AG428" i="15" s="1"/>
  <c r="AF390" i="15"/>
  <c r="AG390" i="15" s="1"/>
  <c r="AF356" i="15"/>
  <c r="AG356" i="15" s="1"/>
  <c r="AF334" i="15"/>
  <c r="AG334" i="15" s="1"/>
  <c r="AF276" i="15"/>
  <c r="AG276" i="15" s="1"/>
  <c r="AF380" i="15"/>
  <c r="AG380" i="15" s="1"/>
  <c r="AF346" i="15"/>
  <c r="AG346" i="15" s="1"/>
  <c r="AF335" i="15"/>
  <c r="AG335" i="15" s="1"/>
  <c r="AF291" i="15"/>
  <c r="AG291" i="15" s="1"/>
  <c r="AF314" i="15"/>
  <c r="AG314" i="15" s="1"/>
  <c r="AF250" i="15"/>
  <c r="AG250" i="15" s="1"/>
  <c r="AF398" i="15"/>
  <c r="AG398" i="15" s="1"/>
  <c r="AF272" i="15"/>
  <c r="AG272" i="15" s="1"/>
  <c r="AF208" i="15"/>
  <c r="AG208" i="15" s="1"/>
  <c r="AF198" i="15"/>
  <c r="AG198" i="15" s="1"/>
  <c r="AF226" i="15"/>
  <c r="AG226" i="15" s="1"/>
  <c r="AF301" i="15"/>
  <c r="AG301" i="15" s="1"/>
  <c r="AF162" i="15"/>
  <c r="AG162" i="15" s="1"/>
  <c r="AF225" i="15"/>
  <c r="AG225" i="15" s="1"/>
  <c r="AF187" i="15"/>
  <c r="AG187" i="15" s="1"/>
  <c r="AF140" i="15"/>
  <c r="AG140" i="15" s="1"/>
  <c r="AF76" i="15"/>
  <c r="AG76" i="15" s="1"/>
  <c r="AF175" i="15"/>
  <c r="AG175" i="15" s="1"/>
  <c r="AF95" i="15"/>
  <c r="AG95" i="15" s="1"/>
  <c r="AF176" i="15"/>
  <c r="AG176" i="15" s="1"/>
  <c r="AF109" i="15"/>
  <c r="AG109" i="15" s="1"/>
  <c r="AF112" i="15"/>
  <c r="AG112" i="15" s="1"/>
  <c r="AF115" i="15"/>
  <c r="AG115" i="15" s="1"/>
  <c r="AF146" i="15"/>
  <c r="AG146" i="15" s="1"/>
  <c r="AF151" i="15"/>
  <c r="AG151" i="15" s="1"/>
  <c r="AF129" i="15"/>
  <c r="AG129" i="15" s="1"/>
  <c r="AF59" i="15"/>
  <c r="AG59" i="15" s="1"/>
  <c r="AF78" i="15"/>
  <c r="AG78" i="15" s="1"/>
  <c r="AF110" i="15"/>
  <c r="AG110" i="15" s="1"/>
  <c r="AF72" i="15"/>
  <c r="AG72" i="15" s="1"/>
  <c r="AF55" i="15"/>
  <c r="AG55" i="15" s="1"/>
  <c r="AF93" i="15"/>
  <c r="AG93" i="15" s="1"/>
  <c r="AF961" i="15"/>
  <c r="AG961" i="15" s="1"/>
  <c r="AF997" i="15"/>
  <c r="AG997" i="15" s="1"/>
  <c r="AF853" i="15"/>
  <c r="AG853" i="15" s="1"/>
  <c r="AF939" i="15"/>
  <c r="AG939" i="15" s="1"/>
  <c r="AF814" i="15"/>
  <c r="AG814" i="15" s="1"/>
  <c r="AF710" i="15"/>
  <c r="AG710" i="15" s="1"/>
  <c r="AF583" i="15"/>
  <c r="AG583" i="15" s="1"/>
  <c r="AF470" i="15"/>
  <c r="AG470" i="15" s="1"/>
  <c r="AF407" i="15"/>
  <c r="AG407" i="15" s="1"/>
  <c r="AF516" i="15"/>
  <c r="AG516" i="15" s="1"/>
  <c r="AF411" i="15"/>
  <c r="AG411" i="15" s="1"/>
  <c r="AF403" i="15"/>
  <c r="AG403" i="15" s="1"/>
  <c r="AF395" i="15"/>
  <c r="AG395" i="15" s="1"/>
  <c r="AF479" i="15"/>
  <c r="AG479" i="15" s="1"/>
  <c r="AF438" i="15"/>
  <c r="AG438" i="15" s="1"/>
  <c r="AF287" i="15"/>
  <c r="AG287" i="15" s="1"/>
  <c r="AF223" i="15"/>
  <c r="AG223" i="15" s="1"/>
  <c r="AF434" i="15"/>
  <c r="AG434" i="15" s="1"/>
  <c r="AF414" i="15"/>
  <c r="AG414" i="15" s="1"/>
  <c r="AF278" i="15"/>
  <c r="AG278" i="15" s="1"/>
  <c r="AF214" i="15"/>
  <c r="AG214" i="15" s="1"/>
  <c r="AF431" i="15"/>
  <c r="AG431" i="15" s="1"/>
  <c r="AF327" i="15"/>
  <c r="AG327" i="15" s="1"/>
  <c r="AF333" i="15"/>
  <c r="AG333" i="15" s="1"/>
  <c r="AF268" i="15"/>
  <c r="AG268" i="15" s="1"/>
  <c r="AF283" i="15"/>
  <c r="AG283" i="15" s="1"/>
  <c r="AF413" i="15"/>
  <c r="AG413" i="15" s="1"/>
  <c r="AF394" i="15"/>
  <c r="AG394" i="15" s="1"/>
  <c r="AF370" i="15"/>
  <c r="AG370" i="15" s="1"/>
  <c r="AF306" i="15"/>
  <c r="AG306" i="15" s="1"/>
  <c r="AF242" i="15"/>
  <c r="AG242" i="15" s="1"/>
  <c r="AF371" i="15"/>
  <c r="AG371" i="15" s="1"/>
  <c r="AF264" i="15"/>
  <c r="AG264" i="15" s="1"/>
  <c r="AF200" i="15"/>
  <c r="AG200" i="15" s="1"/>
  <c r="AF219" i="15"/>
  <c r="AG219" i="15" s="1"/>
  <c r="AF277" i="15"/>
  <c r="AG277" i="15" s="1"/>
  <c r="AF213" i="15"/>
  <c r="AG213" i="15" s="1"/>
  <c r="AF193" i="15"/>
  <c r="AG193" i="15" s="1"/>
  <c r="AF188" i="15"/>
  <c r="AG188" i="15" s="1"/>
  <c r="AF269" i="15"/>
  <c r="AG269" i="15" s="1"/>
  <c r="AF210" i="15"/>
  <c r="AG210" i="15" s="1"/>
  <c r="AF217" i="15"/>
  <c r="AG217" i="15" s="1"/>
  <c r="AF293" i="15"/>
  <c r="AG293" i="15" s="1"/>
  <c r="AF235" i="15"/>
  <c r="AG235" i="15" s="1"/>
  <c r="AF201" i="15"/>
  <c r="AG201" i="15" s="1"/>
  <c r="AF212" i="15"/>
  <c r="AG212" i="15" s="1"/>
  <c r="AF179" i="15"/>
  <c r="AG179" i="15" s="1"/>
  <c r="AF132" i="15"/>
  <c r="AG132" i="15" s="1"/>
  <c r="AF87" i="15"/>
  <c r="AG87" i="15" s="1"/>
  <c r="AF159" i="15"/>
  <c r="AG159" i="15" s="1"/>
  <c r="AF148" i="15"/>
  <c r="AG148" i="15" s="1"/>
  <c r="AF104" i="15"/>
  <c r="AG104" i="15" s="1"/>
  <c r="AF107" i="15"/>
  <c r="AG107" i="15" s="1"/>
  <c r="AF167" i="15"/>
  <c r="AG167" i="15" s="1"/>
  <c r="AF121" i="15"/>
  <c r="AG121" i="15" s="1"/>
  <c r="AF65" i="15"/>
  <c r="AG65" i="15" s="1"/>
  <c r="AF837" i="15"/>
  <c r="AG837" i="15" s="1"/>
  <c r="AF754" i="15"/>
  <c r="AG754" i="15" s="1"/>
  <c r="AF436" i="15"/>
  <c r="AG436" i="15" s="1"/>
  <c r="AF279" i="15"/>
  <c r="AG279" i="15" s="1"/>
  <c r="AF332" i="15"/>
  <c r="AG332" i="15" s="1"/>
  <c r="AF190" i="15"/>
  <c r="AG190" i="15" s="1"/>
  <c r="AF203" i="15"/>
  <c r="AG203" i="15" s="1"/>
  <c r="AF191" i="15"/>
  <c r="AG191" i="15" s="1"/>
  <c r="AF113" i="15"/>
  <c r="AG113" i="15" s="1"/>
  <c r="AF60" i="15"/>
  <c r="AG60" i="15" s="1"/>
  <c r="AF385" i="15"/>
  <c r="AG385" i="15" s="1"/>
  <c r="AF326" i="15"/>
  <c r="AG326" i="15" s="1"/>
  <c r="AF275" i="15"/>
  <c r="AG275" i="15" s="1"/>
  <c r="AF357" i="15"/>
  <c r="AG357" i="15" s="1"/>
  <c r="AF237" i="15"/>
  <c r="AG237" i="15" s="1"/>
  <c r="AF99" i="15"/>
  <c r="AG99" i="15" s="1"/>
  <c r="AF90" i="15"/>
  <c r="AG90" i="15" s="1"/>
  <c r="AF662" i="15"/>
  <c r="AG662" i="15" s="1"/>
  <c r="AF488" i="15"/>
  <c r="AG488" i="15" s="1"/>
  <c r="AF468" i="15"/>
  <c r="AG468" i="15" s="1"/>
  <c r="AF261" i="15"/>
  <c r="AG261" i="15" s="1"/>
  <c r="AF249" i="15"/>
  <c r="AG249" i="15" s="1"/>
  <c r="AF138" i="15"/>
  <c r="AG138" i="15" s="1"/>
  <c r="AF96" i="15"/>
  <c r="AG96" i="15" s="1"/>
  <c r="AF66" i="15"/>
  <c r="AG66" i="15" s="1"/>
  <c r="AF379" i="15"/>
  <c r="AG379" i="15" s="1"/>
  <c r="AF206" i="15"/>
  <c r="AG206" i="15" s="1"/>
  <c r="AF406" i="15"/>
  <c r="AG406" i="15" s="1"/>
  <c r="AF432" i="15"/>
  <c r="AG432" i="15" s="1"/>
  <c r="AF256" i="15"/>
  <c r="AG256" i="15" s="1"/>
  <c r="AF185" i="15"/>
  <c r="AG185" i="15" s="1"/>
  <c r="AF196" i="15"/>
  <c r="AG196" i="15" s="1"/>
  <c r="AF102" i="15"/>
  <c r="AG102" i="15" s="1"/>
  <c r="AF430" i="15"/>
  <c r="AG430" i="15" s="1"/>
  <c r="AF143" i="15"/>
  <c r="AG143" i="15" s="1"/>
  <c r="AF968" i="15"/>
  <c r="AG968" i="15" s="1"/>
  <c r="AF647" i="15"/>
  <c r="AG647" i="15" s="1"/>
  <c r="AF646" i="15"/>
  <c r="AG646" i="15" s="1"/>
  <c r="AF589" i="15"/>
  <c r="AG589" i="15" s="1"/>
  <c r="AF520" i="15"/>
  <c r="AG520" i="15" s="1"/>
  <c r="AF245" i="15"/>
  <c r="AG245" i="15" s="1"/>
  <c r="AF171" i="15"/>
  <c r="AG171" i="15" s="1"/>
  <c r="AF124" i="15"/>
  <c r="AG124" i="15" s="1"/>
  <c r="AF79" i="15"/>
  <c r="AG79" i="15" s="1"/>
  <c r="AF172" i="15"/>
  <c r="AG172" i="15" s="1"/>
  <c r="AF505" i="15"/>
  <c r="AG505" i="15" s="1"/>
  <c r="AF448" i="15"/>
  <c r="AG448" i="15" s="1"/>
  <c r="AF215" i="15"/>
  <c r="AG215" i="15" s="1"/>
  <c r="AF298" i="15"/>
  <c r="AG298" i="15" s="1"/>
  <c r="AF192" i="15"/>
  <c r="AG192" i="15" s="1"/>
  <c r="AF204" i="15"/>
  <c r="AG204" i="15" s="1"/>
  <c r="AF551" i="15"/>
  <c r="AG551" i="15" s="1"/>
  <c r="AF270" i="15"/>
  <c r="AG270" i="15" s="1"/>
  <c r="AF324" i="15"/>
  <c r="AG324" i="15" s="1"/>
  <c r="AF358" i="15"/>
  <c r="AG358" i="15" s="1"/>
  <c r="AF320" i="15"/>
  <c r="AG320" i="15" s="1"/>
  <c r="AF180" i="15"/>
  <c r="AG180" i="15" s="1"/>
  <c r="AF396" i="15"/>
  <c r="AG396" i="15" s="1"/>
  <c r="AF401" i="15"/>
  <c r="AG401" i="15" s="1"/>
  <c r="W24" i="15"/>
  <c r="W20" i="15"/>
  <c r="W25" i="15"/>
  <c r="W23" i="15"/>
  <c r="W19" i="15"/>
  <c r="W21" i="15"/>
  <c r="W18" i="15"/>
  <c r="J18" i="15" a="1"/>
  <c r="J18" i="15" s="1"/>
  <c r="P18" i="15" s="1" a="1"/>
  <c r="P18" i="15" s="1"/>
  <c r="W22" i="15"/>
  <c r="AD34" i="15"/>
  <c r="V23" i="15"/>
  <c r="V24" i="15"/>
  <c r="V20" i="15"/>
  <c r="V19" i="15"/>
  <c r="V18" i="15"/>
  <c r="V21" i="15"/>
  <c r="V25" i="15"/>
  <c r="V22" i="15"/>
  <c r="AD33" i="15"/>
  <c r="AD29" i="15"/>
  <c r="AD28" i="15"/>
  <c r="AD27" i="15"/>
  <c r="AH18" i="15"/>
  <c r="AH27" i="15"/>
  <c r="AD23" i="15"/>
  <c r="AD32" i="15"/>
  <c r="AG28" i="15"/>
  <c r="AD25" i="15"/>
  <c r="AD24" i="15"/>
  <c r="AD26" i="15"/>
  <c r="AD35" i="15"/>
  <c r="W28" i="15" l="1"/>
  <c r="V28" i="15"/>
  <c r="AG18" i="15"/>
  <c r="X28" i="15"/>
  <c r="U29" i="15"/>
  <c r="AD34" i="17"/>
  <c r="P97" i="17" a="1"/>
  <c r="P97" i="17" s="1"/>
  <c r="P95" i="17" a="1"/>
  <c r="P95" i="17" s="1"/>
  <c r="W54" i="17" s="1"/>
  <c r="P96" i="17" a="1"/>
  <c r="P96" i="17" s="1"/>
  <c r="W52" i="17" s="1"/>
  <c r="N98" i="17" a="1"/>
  <c r="N98" i="17" s="1"/>
  <c r="N99" i="17" a="1"/>
  <c r="N99" i="17" s="1"/>
  <c r="AD23" i="17"/>
  <c r="AD33" i="17"/>
  <c r="AI33" i="17" s="1"/>
  <c r="AD28" i="17"/>
  <c r="AI28" i="17" s="1"/>
  <c r="AD18" i="17"/>
  <c r="AI18" i="17" s="1"/>
  <c r="AD26" i="17"/>
  <c r="AI26" i="17" s="1"/>
  <c r="AD24" i="17"/>
  <c r="AI24" i="17" s="1"/>
  <c r="AD32" i="17"/>
  <c r="AI32" i="17" s="1"/>
  <c r="AD25" i="17"/>
  <c r="AI25" i="17" s="1"/>
  <c r="AD29" i="17"/>
  <c r="AD22" i="17"/>
  <c r="AD21" i="17"/>
  <c r="AI21" i="17" s="1"/>
  <c r="Q91" i="17" a="1"/>
  <c r="Q91" i="17" s="1"/>
  <c r="Q92" i="17" a="1"/>
  <c r="Q92" i="17" s="1"/>
  <c r="AD27" i="17"/>
  <c r="AI27" i="17" s="1"/>
  <c r="R94" i="17" a="1"/>
  <c r="R94" i="17" s="1"/>
  <c r="O93" i="17" a="1"/>
  <c r="O93" i="17" s="1"/>
  <c r="O94" i="17" a="1"/>
  <c r="O94" i="17" s="1"/>
  <c r="O92" i="17" a="1"/>
  <c r="O92" i="17" s="1"/>
  <c r="AI34" i="17"/>
  <c r="Q96" i="17" a="1"/>
  <c r="Q96" i="17" s="1"/>
  <c r="R93" i="17" a="1"/>
  <c r="R93" i="17" s="1"/>
  <c r="U27" i="17"/>
  <c r="AD41" i="17" s="1"/>
  <c r="AD19" i="17"/>
  <c r="AI19" i="17" s="1"/>
  <c r="AD31" i="17"/>
  <c r="AI31" i="17" s="1"/>
  <c r="N96" i="17" a="1"/>
  <c r="N96" i="17" s="1"/>
  <c r="AD30" i="17"/>
  <c r="AI30" i="17" s="1"/>
  <c r="AD35" i="17"/>
  <c r="AI35" i="17" s="1"/>
  <c r="AD20" i="17"/>
  <c r="AI20" i="17" s="1"/>
  <c r="Q94" i="17" a="1"/>
  <c r="Q94" i="17" s="1"/>
  <c r="N97" i="17" a="1"/>
  <c r="N97" i="17" s="1"/>
  <c r="Q93" i="17" a="1"/>
  <c r="Q93" i="17" s="1"/>
  <c r="AI29" i="17"/>
  <c r="R96" i="17" a="1"/>
  <c r="R96" i="17" s="1"/>
  <c r="Q95" i="17" a="1"/>
  <c r="Q95" i="17" s="1"/>
  <c r="Q98" i="17" a="1"/>
  <c r="Q98" i="17" s="1"/>
  <c r="O97" i="17" a="1"/>
  <c r="O97" i="17" s="1"/>
  <c r="AD40" i="17"/>
  <c r="AD42" i="17"/>
  <c r="R95" i="17" a="1"/>
  <c r="R95" i="17" s="1"/>
  <c r="Q99" i="17" a="1"/>
  <c r="Q99" i="17" s="1"/>
  <c r="AI23" i="17"/>
  <c r="AI22" i="17"/>
  <c r="P57" i="15" a="1"/>
  <c r="P57" i="15" s="1"/>
  <c r="R60" i="15" a="1"/>
  <c r="R60" i="15" s="1"/>
  <c r="O67" i="15" a="1"/>
  <c r="O67" i="15" s="1"/>
  <c r="R66" i="15" a="1"/>
  <c r="R66" i="15" s="1"/>
  <c r="R59" i="15" a="1"/>
  <c r="R59" i="15" s="1"/>
  <c r="R65" i="15" a="1"/>
  <c r="R65" i="15" s="1"/>
  <c r="R58" i="15" a="1"/>
  <c r="R58" i="15" s="1"/>
  <c r="P65" i="15" a="1"/>
  <c r="P65" i="15" s="1"/>
  <c r="Q76" i="15" a="1"/>
  <c r="Q76" i="15" s="1"/>
  <c r="Q69" i="15" a="1"/>
  <c r="Q69" i="15" s="1"/>
  <c r="Q68" i="15" a="1"/>
  <c r="Q68" i="15" s="1"/>
  <c r="Q65" i="15" a="1"/>
  <c r="Q65" i="15" s="1"/>
  <c r="Q64" i="15" a="1"/>
  <c r="Q64" i="15" s="1"/>
  <c r="Q63" i="15" a="1"/>
  <c r="Q63" i="15" s="1"/>
  <c r="P56" i="15" a="1"/>
  <c r="P56" i="15" s="1"/>
  <c r="P55" i="15" a="1"/>
  <c r="P55" i="15" s="1"/>
  <c r="P58" i="15" a="1"/>
  <c r="P58" i="15" s="1"/>
  <c r="O66" i="15" a="1"/>
  <c r="O66" i="15" s="1"/>
  <c r="O65" i="15" a="1"/>
  <c r="O65" i="15" s="1"/>
  <c r="O74" i="15" a="1"/>
  <c r="O74" i="15" s="1"/>
  <c r="O64" i="15" a="1"/>
  <c r="O64" i="15" s="1"/>
  <c r="O63" i="15" a="1"/>
  <c r="O63" i="15" s="1"/>
  <c r="N59" i="15" a="1"/>
  <c r="N59" i="15" s="1"/>
  <c r="N64" i="15" a="1"/>
  <c r="N64" i="15" s="1"/>
  <c r="N63" i="15" a="1"/>
  <c r="N63" i="15" s="1"/>
  <c r="N60" i="15" a="1"/>
  <c r="N60" i="15" s="1"/>
  <c r="N57" i="15" a="1"/>
  <c r="N57" i="15" s="1"/>
  <c r="N58" i="15" a="1"/>
  <c r="N58" i="15" s="1"/>
  <c r="AG25" i="15"/>
  <c r="AG30" i="15"/>
  <c r="AG27" i="15"/>
  <c r="AG33" i="15"/>
  <c r="AG31" i="15"/>
  <c r="AG22" i="15"/>
  <c r="AG19" i="15"/>
  <c r="AG20" i="15"/>
  <c r="AH23" i="15"/>
  <c r="AH34" i="15"/>
  <c r="AH19" i="15"/>
  <c r="AH26" i="15"/>
  <c r="AH25" i="15"/>
  <c r="AH32" i="15"/>
  <c r="AG34" i="15"/>
  <c r="AH29" i="15"/>
  <c r="AH22" i="15"/>
  <c r="AH28" i="15"/>
  <c r="AH31" i="15"/>
  <c r="AH20" i="15"/>
  <c r="AE21" i="15"/>
  <c r="AE23" i="15"/>
  <c r="AE22" i="15"/>
  <c r="AF19" i="15"/>
  <c r="AF20" i="15"/>
  <c r="AF18" i="15"/>
  <c r="AE24" i="15"/>
  <c r="AE25" i="15"/>
  <c r="AE26" i="15"/>
  <c r="AF28" i="15"/>
  <c r="AF27" i="15"/>
  <c r="AF29" i="15"/>
  <c r="AE32" i="15"/>
  <c r="AE30" i="15"/>
  <c r="AE31" i="15"/>
  <c r="AF21" i="15"/>
  <c r="AF22" i="15"/>
  <c r="AF23" i="15"/>
  <c r="AE34" i="15"/>
  <c r="AE35" i="15"/>
  <c r="AE33" i="15"/>
  <c r="AF34" i="15"/>
  <c r="AF35" i="15"/>
  <c r="AF33" i="15"/>
  <c r="AE28" i="15"/>
  <c r="AE27" i="15"/>
  <c r="AE29" i="15"/>
  <c r="AE18" i="15"/>
  <c r="AE20" i="15"/>
  <c r="AE19" i="15"/>
  <c r="AF26" i="15"/>
  <c r="AF24" i="15"/>
  <c r="AF25" i="15"/>
  <c r="AG23" i="15"/>
  <c r="AG35" i="15"/>
  <c r="AF32" i="15"/>
  <c r="AF31" i="15"/>
  <c r="AF30" i="15"/>
  <c r="W55" i="17" l="1"/>
  <c r="W53" i="17"/>
  <c r="W51" i="17"/>
  <c r="U28" i="17"/>
  <c r="AJ25" i="17" s="1"/>
  <c r="AK25" i="17" s="1"/>
  <c r="Y54" i="17"/>
  <c r="V54" i="17"/>
  <c r="U53" i="17"/>
  <c r="U54" i="17"/>
  <c r="U51" i="17"/>
  <c r="U55" i="17"/>
  <c r="U52" i="17"/>
  <c r="Y51" i="17"/>
  <c r="V51" i="17"/>
  <c r="X51" i="17"/>
  <c r="V55" i="17"/>
  <c r="X55" i="17"/>
  <c r="V52" i="17"/>
  <c r="V53" i="17"/>
  <c r="Y55" i="17"/>
  <c r="Y52" i="17"/>
  <c r="Y53" i="17"/>
  <c r="X52" i="17"/>
  <c r="X53" i="17"/>
  <c r="X54" i="17"/>
  <c r="AJ34" i="17"/>
  <c r="AK34" i="17" s="1"/>
  <c r="AJ35" i="17"/>
  <c r="AK35" i="17" s="1"/>
  <c r="AJ26" i="17"/>
  <c r="AK26" i="17" s="1"/>
  <c r="AE40" i="17"/>
  <c r="AF40" i="17" s="1"/>
  <c r="AJ19" i="17"/>
  <c r="AK19" i="17" s="1"/>
  <c r="AJ29" i="17"/>
  <c r="AK29" i="17" s="1"/>
  <c r="Y55" i="15"/>
  <c r="Y52" i="15"/>
  <c r="Y54" i="15"/>
  <c r="Y51" i="15"/>
  <c r="W51" i="15"/>
  <c r="Y53" i="15"/>
  <c r="X51" i="15"/>
  <c r="W52" i="15"/>
  <c r="W53" i="15"/>
  <c r="W54" i="15"/>
  <c r="X52" i="15"/>
  <c r="W55" i="15"/>
  <c r="X55" i="15"/>
  <c r="V52" i="15"/>
  <c r="X53" i="15"/>
  <c r="V53" i="15"/>
  <c r="V55" i="15"/>
  <c r="X54" i="15"/>
  <c r="V51" i="15"/>
  <c r="V54" i="15"/>
  <c r="U53" i="15"/>
  <c r="U52" i="15"/>
  <c r="U55" i="15"/>
  <c r="U51" i="15"/>
  <c r="U54" i="15"/>
  <c r="AG32" i="15"/>
  <c r="AG29" i="15"/>
  <c r="AG26" i="15"/>
  <c r="AI26" i="15" s="1"/>
  <c r="AI23" i="15"/>
  <c r="AI25" i="15"/>
  <c r="AI24" i="15"/>
  <c r="AI21" i="15"/>
  <c r="AI18" i="15"/>
  <c r="AI28" i="15"/>
  <c r="AI34" i="15"/>
  <c r="AI27" i="15"/>
  <c r="AI33" i="15"/>
  <c r="AI19" i="15"/>
  <c r="AI32" i="15"/>
  <c r="AI35" i="15"/>
  <c r="AI29" i="15"/>
  <c r="AI31" i="15"/>
  <c r="AI30" i="15"/>
  <c r="AI20" i="15"/>
  <c r="AI22" i="15"/>
  <c r="AJ33" i="17" l="1"/>
  <c r="AE41" i="17"/>
  <c r="AF41" i="17" s="1"/>
  <c r="AJ20" i="17"/>
  <c r="AK20" i="17" s="1"/>
  <c r="AJ24" i="17"/>
  <c r="AJ28" i="17"/>
  <c r="AK28" i="17" s="1"/>
  <c r="AJ31" i="17"/>
  <c r="AK31" i="17" s="1"/>
  <c r="AJ30" i="17"/>
  <c r="AJ18" i="17"/>
  <c r="AK18" i="17" s="1"/>
  <c r="AH983" i="15"/>
  <c r="AJ983" i="15" s="1"/>
  <c r="AH958" i="15"/>
  <c r="AJ958" i="15" s="1"/>
  <c r="AH973" i="15"/>
  <c r="AJ973" i="15" s="1"/>
  <c r="AH661" i="15"/>
  <c r="AJ661" i="15" s="1"/>
  <c r="AH839" i="15"/>
  <c r="AJ839" i="15" s="1"/>
  <c r="AH738" i="15"/>
  <c r="AJ738" i="15" s="1"/>
  <c r="AH570" i="15"/>
  <c r="AJ570" i="15" s="1"/>
  <c r="AH199" i="15"/>
  <c r="AJ199" i="15" s="1"/>
  <c r="AH856" i="15"/>
  <c r="AJ856" i="15" s="1"/>
  <c r="AH85" i="15"/>
  <c r="AJ85" i="15" s="1"/>
  <c r="AH127" i="15"/>
  <c r="AJ127" i="15" s="1"/>
  <c r="AH982" i="15"/>
  <c r="AJ982" i="15" s="1"/>
  <c r="AH573" i="15"/>
  <c r="AJ573" i="15" s="1"/>
  <c r="AH904" i="15"/>
  <c r="AJ904" i="15" s="1"/>
  <c r="AH99" i="15"/>
  <c r="AJ99" i="15" s="1"/>
  <c r="AH715" i="15"/>
  <c r="AJ715" i="15" s="1"/>
  <c r="AH642" i="15"/>
  <c r="AJ642" i="15" s="1"/>
  <c r="AH865" i="15"/>
  <c r="AJ865" i="15" s="1"/>
  <c r="AH92" i="15"/>
  <c r="AJ92" i="15" s="1"/>
  <c r="AH912" i="15"/>
  <c r="AJ912" i="15" s="1"/>
  <c r="AH205" i="15"/>
  <c r="AJ205" i="15" s="1"/>
  <c r="AH837" i="15"/>
  <c r="AJ837" i="15" s="1"/>
  <c r="AH209" i="15"/>
  <c r="AJ209" i="15" s="1"/>
  <c r="AH867" i="15"/>
  <c r="AJ867" i="15" s="1"/>
  <c r="AH603" i="15"/>
  <c r="AJ603" i="15" s="1"/>
  <c r="AH730" i="15"/>
  <c r="AJ730" i="15" s="1"/>
  <c r="AH588" i="15"/>
  <c r="AJ588" i="15" s="1"/>
  <c r="AH65" i="15"/>
  <c r="AJ65" i="15" s="1"/>
  <c r="AH952" i="15"/>
  <c r="AJ952" i="15" s="1"/>
  <c r="AH714" i="15"/>
  <c r="AJ714" i="15" s="1"/>
  <c r="AH93" i="15"/>
  <c r="AJ93" i="15" s="1"/>
  <c r="AH421" i="15"/>
  <c r="AJ421" i="15" s="1"/>
  <c r="AH862" i="15"/>
  <c r="AJ862" i="15" s="1"/>
  <c r="AH752" i="15"/>
  <c r="AJ752" i="15" s="1"/>
  <c r="AH160" i="15"/>
  <c r="AJ160" i="15" s="1"/>
  <c r="AH448" i="15"/>
  <c r="AJ448" i="15" s="1"/>
  <c r="AH585" i="15"/>
  <c r="AJ585" i="15" s="1"/>
  <c r="AH152" i="15"/>
  <c r="AJ152" i="15" s="1"/>
  <c r="AH960" i="15"/>
  <c r="AJ960" i="15" s="1"/>
  <c r="AH980" i="15"/>
  <c r="AJ980" i="15" s="1"/>
  <c r="AH822" i="15"/>
  <c r="AJ822" i="15" s="1"/>
  <c r="AH605" i="15"/>
  <c r="AJ605" i="15" s="1"/>
  <c r="AH884" i="15"/>
  <c r="AJ884" i="15" s="1"/>
  <c r="AH951" i="15"/>
  <c r="AJ951" i="15" s="1"/>
  <c r="AH652" i="15"/>
  <c r="AJ652" i="15" s="1"/>
  <c r="AH164" i="15"/>
  <c r="AJ164" i="15" s="1"/>
  <c r="AH889" i="15"/>
  <c r="AJ889" i="15" s="1"/>
  <c r="AH572" i="15"/>
  <c r="AJ572" i="15" s="1"/>
  <c r="AH949" i="15"/>
  <c r="AJ949" i="15" s="1"/>
  <c r="AH581" i="15"/>
  <c r="AJ581" i="15" s="1"/>
  <c r="AH68" i="15"/>
  <c r="AJ68" i="15" s="1"/>
  <c r="AH565" i="15"/>
  <c r="AJ565" i="15" s="1"/>
  <c r="AH992" i="15"/>
  <c r="AJ992" i="15" s="1"/>
  <c r="AH649" i="15"/>
  <c r="AJ649" i="15" s="1"/>
  <c r="AH611" i="15"/>
  <c r="AJ611" i="15" s="1"/>
  <c r="AH602" i="15"/>
  <c r="AJ602" i="15" s="1"/>
  <c r="AH705" i="15"/>
  <c r="AJ705" i="15" s="1"/>
  <c r="AH721" i="15"/>
  <c r="AJ721" i="15" s="1"/>
  <c r="AH156" i="15"/>
  <c r="AJ156" i="15" s="1"/>
  <c r="AH221" i="15"/>
  <c r="AJ221" i="15" s="1"/>
  <c r="AH729" i="15"/>
  <c r="AJ729" i="15" s="1"/>
  <c r="AH644" i="15"/>
  <c r="AJ644" i="15" s="1"/>
  <c r="AH121" i="15"/>
  <c r="AJ121" i="15" s="1"/>
  <c r="AH675" i="15"/>
  <c r="AJ675" i="15" s="1"/>
  <c r="AH853" i="15"/>
  <c r="AJ853" i="15" s="1"/>
  <c r="AH601" i="15"/>
  <c r="AJ601" i="15" s="1"/>
  <c r="AH80" i="15"/>
  <c r="AJ80" i="15" s="1"/>
  <c r="AH317" i="15"/>
  <c r="AJ317" i="15" s="1"/>
  <c r="AH864" i="15"/>
  <c r="AJ864" i="15" s="1"/>
  <c r="AH133" i="15"/>
  <c r="AJ133" i="15" s="1"/>
  <c r="AH700" i="15"/>
  <c r="AJ700" i="15" s="1"/>
  <c r="AH636" i="15"/>
  <c r="AJ636" i="15" s="1"/>
  <c r="AH901" i="15"/>
  <c r="AJ901" i="15" s="1"/>
  <c r="AH891" i="15"/>
  <c r="AJ891" i="15" s="1"/>
  <c r="AH860" i="15"/>
  <c r="AJ860" i="15" s="1"/>
  <c r="AH180" i="15"/>
  <c r="AJ180" i="15" s="1"/>
  <c r="AH53" i="15"/>
  <c r="AJ53" i="15" s="1"/>
  <c r="AH504" i="15"/>
  <c r="AJ504" i="15" s="1"/>
  <c r="AH696" i="15"/>
  <c r="AJ696" i="15" s="1"/>
  <c r="AH735" i="15"/>
  <c r="AJ735" i="15" s="1"/>
  <c r="AH857" i="15"/>
  <c r="AJ857" i="15" s="1"/>
  <c r="AH628" i="15"/>
  <c r="AJ628" i="15" s="1"/>
  <c r="AH538" i="15"/>
  <c r="AJ538" i="15" s="1"/>
  <c r="AH803" i="15"/>
  <c r="AJ803" i="15" s="1"/>
  <c r="AH107" i="15"/>
  <c r="AJ107" i="15" s="1"/>
  <c r="AH378" i="15"/>
  <c r="AJ378" i="15" s="1"/>
  <c r="AH647" i="15"/>
  <c r="AJ647" i="15" s="1"/>
  <c r="AH707" i="15"/>
  <c r="AJ707" i="15" s="1"/>
  <c r="AH589" i="15"/>
  <c r="AJ589" i="15" s="1"/>
  <c r="AH899" i="15"/>
  <c r="AJ899" i="15" s="1"/>
  <c r="AH604" i="15"/>
  <c r="AJ604" i="15" s="1"/>
  <c r="AH724" i="15"/>
  <c r="AJ724" i="15" s="1"/>
  <c r="AH727" i="15"/>
  <c r="AJ727" i="15" s="1"/>
  <c r="AH712" i="15"/>
  <c r="AJ712" i="15" s="1"/>
  <c r="AH713" i="15"/>
  <c r="AJ713" i="15" s="1"/>
  <c r="AH728" i="15"/>
  <c r="AJ728" i="15" s="1"/>
  <c r="AH739" i="15"/>
  <c r="AJ739" i="15" s="1"/>
  <c r="AH569" i="15"/>
  <c r="AJ569" i="15" s="1"/>
  <c r="AH119" i="15"/>
  <c r="AJ119" i="15" s="1"/>
  <c r="AH151" i="15"/>
  <c r="AJ151" i="15" s="1"/>
  <c r="AH981" i="15"/>
  <c r="AJ981" i="15" s="1"/>
  <c r="AH200" i="15"/>
  <c r="AJ200" i="15" s="1"/>
  <c r="AH965" i="15"/>
  <c r="AJ965" i="15" s="1"/>
  <c r="AH117" i="15"/>
  <c r="AJ117" i="15" s="1"/>
  <c r="AH319" i="15"/>
  <c r="AJ319" i="15" s="1"/>
  <c r="AH664" i="15"/>
  <c r="AJ664" i="15" s="1"/>
  <c r="AH961" i="15"/>
  <c r="AJ961" i="15" s="1"/>
  <c r="AH591" i="15"/>
  <c r="AJ591" i="15" s="1"/>
  <c r="AH120" i="15"/>
  <c r="AJ120" i="15" s="1"/>
  <c r="AH593" i="15"/>
  <c r="AJ593" i="15" s="1"/>
  <c r="AH124" i="15"/>
  <c r="AJ124" i="15" s="1"/>
  <c r="AH924" i="15"/>
  <c r="AJ924" i="15" s="1"/>
  <c r="AH861" i="15"/>
  <c r="AJ861" i="15" s="1"/>
  <c r="AH540" i="15"/>
  <c r="AJ540" i="15" s="1"/>
  <c r="AH59" i="15"/>
  <c r="AJ59" i="15" s="1"/>
  <c r="AH567" i="15"/>
  <c r="AJ567" i="15" s="1"/>
  <c r="AH629" i="15"/>
  <c r="AJ629" i="15" s="1"/>
  <c r="AH720" i="15"/>
  <c r="AJ720" i="15" s="1"/>
  <c r="AH208" i="15"/>
  <c r="AJ208" i="15" s="1"/>
  <c r="AH96" i="15"/>
  <c r="AJ96" i="15" s="1"/>
  <c r="AH577" i="15"/>
  <c r="AJ577" i="15" s="1"/>
  <c r="AH673" i="15"/>
  <c r="AJ673" i="15" s="1"/>
  <c r="AH195" i="15"/>
  <c r="AJ195" i="15" s="1"/>
  <c r="AH184" i="15"/>
  <c r="AJ184" i="15" s="1"/>
  <c r="AH985" i="15"/>
  <c r="AJ985" i="15" s="1"/>
  <c r="AH115" i="15"/>
  <c r="AJ115" i="15" s="1"/>
  <c r="AH76" i="15"/>
  <c r="AJ76" i="15" s="1"/>
  <c r="AH829" i="15"/>
  <c r="AJ829" i="15" s="1"/>
  <c r="AH732" i="15"/>
  <c r="AJ732" i="15" s="1"/>
  <c r="AH552" i="15"/>
  <c r="AJ552" i="15" s="1"/>
  <c r="AH697" i="15"/>
  <c r="AJ697" i="15" s="1"/>
  <c r="AH716" i="15"/>
  <c r="AJ716" i="15" s="1"/>
  <c r="AH995" i="15"/>
  <c r="AJ995" i="15" s="1"/>
  <c r="AH855" i="15"/>
  <c r="AJ855" i="15" s="1"/>
  <c r="AH340" i="15"/>
  <c r="AJ340" i="15" s="1"/>
  <c r="AH679" i="15"/>
  <c r="AJ679" i="15" s="1"/>
  <c r="AH336" i="15"/>
  <c r="AJ336" i="15" s="1"/>
  <c r="AH468" i="15"/>
  <c r="AJ468" i="15" s="1"/>
  <c r="AH397" i="15"/>
  <c r="AJ397" i="15" s="1"/>
  <c r="AH1048" i="15"/>
  <c r="AJ1048" i="15" s="1"/>
  <c r="AH701" i="15"/>
  <c r="AJ701" i="15" s="1"/>
  <c r="AH568" i="15"/>
  <c r="AJ568" i="15" s="1"/>
  <c r="AH799" i="15"/>
  <c r="AJ799" i="15" s="1"/>
  <c r="AH1045" i="15"/>
  <c r="AJ1045" i="15" s="1"/>
  <c r="AH1047" i="15"/>
  <c r="AJ1047" i="15" s="1"/>
  <c r="AH612" i="15"/>
  <c r="AJ612" i="15" s="1"/>
  <c r="AH272" i="15"/>
  <c r="AJ272" i="15" s="1"/>
  <c r="AH108" i="15"/>
  <c r="AJ108" i="15" s="1"/>
  <c r="AH537" i="15"/>
  <c r="AJ537" i="15" s="1"/>
  <c r="AH790" i="15"/>
  <c r="AJ790" i="15" s="1"/>
  <c r="AH299" i="15"/>
  <c r="AJ299" i="15" s="1"/>
  <c r="AH312" i="15"/>
  <c r="AJ312" i="15" s="1"/>
  <c r="AH456" i="15"/>
  <c r="AJ456" i="15" s="1"/>
  <c r="AH789" i="15"/>
  <c r="AJ789" i="15" s="1"/>
  <c r="AH505" i="15"/>
  <c r="AJ505" i="15" s="1"/>
  <c r="AH285" i="15"/>
  <c r="AJ285" i="15" s="1"/>
  <c r="AH271" i="15"/>
  <c r="AJ271" i="15" s="1"/>
  <c r="AH999" i="15"/>
  <c r="AJ999" i="15" s="1"/>
  <c r="AH292" i="15"/>
  <c r="AJ292" i="15" s="1"/>
  <c r="AH516" i="15"/>
  <c r="AJ516" i="15" s="1"/>
  <c r="AH561" i="15"/>
  <c r="AJ561" i="15" s="1"/>
  <c r="AH802" i="15"/>
  <c r="AJ802" i="15" s="1"/>
  <c r="AH296" i="15"/>
  <c r="AJ296" i="15" s="1"/>
  <c r="AH1033" i="15"/>
  <c r="AJ1033" i="15" s="1"/>
  <c r="AH536" i="15"/>
  <c r="AJ536" i="15" s="1"/>
  <c r="AH1012" i="15"/>
  <c r="AJ1012" i="15" s="1"/>
  <c r="AH529" i="15"/>
  <c r="AJ529" i="15" s="1"/>
  <c r="AH988" i="15"/>
  <c r="AJ988" i="15" s="1"/>
  <c r="AH699" i="15"/>
  <c r="AJ699" i="15" s="1"/>
  <c r="AH169" i="15"/>
  <c r="AJ169" i="15" s="1"/>
  <c r="AH1043" i="15"/>
  <c r="AJ1043" i="15" s="1"/>
  <c r="AH273" i="15"/>
  <c r="AJ273" i="15" s="1"/>
  <c r="AH800" i="15"/>
  <c r="AJ800" i="15" s="1"/>
  <c r="AH441" i="15"/>
  <c r="AJ441" i="15" s="1"/>
  <c r="AH808" i="15"/>
  <c r="AJ808" i="15" s="1"/>
  <c r="AH765" i="15"/>
  <c r="AJ765" i="15" s="1"/>
  <c r="AH72" i="15"/>
  <c r="AJ72" i="15" s="1"/>
  <c r="AH517" i="15"/>
  <c r="AJ517" i="15" s="1"/>
  <c r="AH637" i="15"/>
  <c r="AJ637" i="15" s="1"/>
  <c r="AH909" i="15"/>
  <c r="AJ909" i="15" s="1"/>
  <c r="AH332" i="15"/>
  <c r="AJ332" i="15" s="1"/>
  <c r="AH347" i="15"/>
  <c r="AJ347" i="15" s="1"/>
  <c r="AH58" i="15"/>
  <c r="AJ58" i="15" s="1"/>
  <c r="AH313" i="15"/>
  <c r="AJ313" i="15" s="1"/>
  <c r="AH1032" i="15"/>
  <c r="AJ1032" i="15" s="1"/>
  <c r="AH743" i="15"/>
  <c r="AJ743" i="15" s="1"/>
  <c r="AH1004" i="15"/>
  <c r="AJ1004" i="15" s="1"/>
  <c r="AH545" i="15"/>
  <c r="AJ545" i="15" s="1"/>
  <c r="AH908" i="15"/>
  <c r="AJ908" i="15" s="1"/>
  <c r="AH97" i="15"/>
  <c r="AJ97" i="15" s="1"/>
  <c r="AH153" i="15"/>
  <c r="AJ153" i="15" s="1"/>
  <c r="AH708" i="15"/>
  <c r="AJ708" i="15" s="1"/>
  <c r="AH633" i="15"/>
  <c r="AJ633" i="15" s="1"/>
  <c r="AH810" i="15"/>
  <c r="AJ810" i="15" s="1"/>
  <c r="AH1064" i="15"/>
  <c r="AJ1064" i="15" s="1"/>
  <c r="AH469" i="15"/>
  <c r="AJ469" i="15" s="1"/>
  <c r="AH761" i="15"/>
  <c r="AJ761" i="15" s="1"/>
  <c r="AH1027" i="15"/>
  <c r="AJ1027" i="15" s="1"/>
  <c r="AH474" i="15"/>
  <c r="AJ474" i="15" s="1"/>
  <c r="AH280" i="15"/>
  <c r="AJ280" i="15" s="1"/>
  <c r="AH551" i="15"/>
  <c r="AJ551" i="15" s="1"/>
  <c r="AH876" i="15"/>
  <c r="AJ876" i="15" s="1"/>
  <c r="AH357" i="15"/>
  <c r="AJ357" i="15" s="1"/>
  <c r="AH303" i="15"/>
  <c r="AJ303" i="15" s="1"/>
  <c r="AH406" i="15"/>
  <c r="AJ406" i="15" s="1"/>
  <c r="AH618" i="15"/>
  <c r="AJ618" i="15" s="1"/>
  <c r="AH1016" i="15"/>
  <c r="AJ1016" i="15" s="1"/>
  <c r="AH813" i="15"/>
  <c r="AJ813" i="15" s="1"/>
  <c r="AH1001" i="15"/>
  <c r="AJ1001" i="15" s="1"/>
  <c r="AH1039" i="15"/>
  <c r="AJ1039" i="15" s="1"/>
  <c r="AH1003" i="15"/>
  <c r="AJ1003" i="15" s="1"/>
  <c r="AH676" i="15"/>
  <c r="AJ676" i="15" s="1"/>
  <c r="AH385" i="15"/>
  <c r="AJ385" i="15" s="1"/>
  <c r="AH168" i="15"/>
  <c r="AJ168" i="15" s="1"/>
  <c r="AH777" i="15"/>
  <c r="AJ777" i="15" s="1"/>
  <c r="AH785" i="15"/>
  <c r="AJ785" i="15" s="1"/>
  <c r="AH485" i="15"/>
  <c r="AJ485" i="15" s="1"/>
  <c r="AH625" i="15"/>
  <c r="AJ625" i="15" s="1"/>
  <c r="AH443" i="15"/>
  <c r="AJ443" i="15" s="1"/>
  <c r="AH316" i="15"/>
  <c r="AJ316" i="15" s="1"/>
  <c r="AH749" i="15"/>
  <c r="AJ749" i="15" s="1"/>
  <c r="AH681" i="15"/>
  <c r="AJ681" i="15" s="1"/>
  <c r="AH795" i="15"/>
  <c r="AJ795" i="15" s="1"/>
  <c r="AH256" i="15"/>
  <c r="AJ256" i="15" s="1"/>
  <c r="AH492" i="15"/>
  <c r="AJ492" i="15" s="1"/>
  <c r="AH533" i="15"/>
  <c r="AJ533" i="15" s="1"/>
  <c r="AH244" i="15"/>
  <c r="AJ244" i="15" s="1"/>
  <c r="AH489" i="15"/>
  <c r="AJ489" i="15" s="1"/>
  <c r="AH553" i="15"/>
  <c r="AJ553" i="15" s="1"/>
  <c r="AH344" i="15"/>
  <c r="AJ344" i="15" s="1"/>
  <c r="AH1017" i="15"/>
  <c r="AJ1017" i="15" s="1"/>
  <c r="AH539" i="15"/>
  <c r="AJ539" i="15" s="1"/>
  <c r="AH756" i="15"/>
  <c r="AJ756" i="15" s="1"/>
  <c r="AH475" i="15"/>
  <c r="AJ475" i="15" s="1"/>
  <c r="AH514" i="15"/>
  <c r="AJ514" i="15" s="1"/>
  <c r="AH788" i="15"/>
  <c r="AJ788" i="15" s="1"/>
  <c r="AH689" i="15"/>
  <c r="AJ689" i="15" s="1"/>
  <c r="AH405" i="15"/>
  <c r="AJ405" i="15" s="1"/>
  <c r="AH507" i="15"/>
  <c r="AJ507" i="15" s="1"/>
  <c r="AH762" i="15"/>
  <c r="AJ762" i="15" s="1"/>
  <c r="AH794" i="15"/>
  <c r="AJ794" i="15" s="1"/>
  <c r="AH369" i="15"/>
  <c r="AJ369" i="15" s="1"/>
  <c r="AH1029" i="15"/>
  <c r="AJ1029" i="15" s="1"/>
  <c r="AH519" i="15"/>
  <c r="AJ519" i="15" s="1"/>
  <c r="AH408" i="15"/>
  <c r="AJ408" i="15" s="1"/>
  <c r="AH772" i="15"/>
  <c r="AJ772" i="15" s="1"/>
  <c r="AH368" i="15"/>
  <c r="AJ368" i="15" s="1"/>
  <c r="AH617" i="15"/>
  <c r="AJ617" i="15" s="1"/>
  <c r="AH1049" i="15"/>
  <c r="AJ1049" i="15" s="1"/>
  <c r="AH279" i="15"/>
  <c r="AJ279" i="15" s="1"/>
  <c r="AH1044" i="15"/>
  <c r="AJ1044" i="15" s="1"/>
  <c r="AH176" i="15"/>
  <c r="AJ176" i="15" s="1"/>
  <c r="AH556" i="15"/>
  <c r="AJ556" i="15" s="1"/>
  <c r="AH361" i="15"/>
  <c r="AJ361" i="15" s="1"/>
  <c r="AH413" i="15"/>
  <c r="AJ413" i="15" s="1"/>
  <c r="AH555" i="15"/>
  <c r="AJ555" i="15" s="1"/>
  <c r="AH816" i="15"/>
  <c r="AJ816" i="15" s="1"/>
  <c r="AH677" i="15"/>
  <c r="AJ677" i="15" s="1"/>
  <c r="AH473" i="15"/>
  <c r="AJ473" i="15" s="1"/>
  <c r="AH811" i="15"/>
  <c r="AJ811" i="15" s="1"/>
  <c r="AH250" i="15"/>
  <c r="AJ250" i="15" s="1"/>
  <c r="AH873" i="15"/>
  <c r="AJ873" i="15" s="1"/>
  <c r="AH680" i="15"/>
  <c r="AJ680" i="15" s="1"/>
  <c r="AH557" i="15"/>
  <c r="AJ557" i="15" s="1"/>
  <c r="AH747" i="15"/>
  <c r="AJ747" i="15" s="1"/>
  <c r="AH511" i="15"/>
  <c r="AJ511" i="15" s="1"/>
  <c r="AH770" i="15"/>
  <c r="AJ770" i="15" s="1"/>
  <c r="AH868" i="15"/>
  <c r="AJ868" i="15" s="1"/>
  <c r="AH780" i="15"/>
  <c r="AJ780" i="15" s="1"/>
  <c r="AH792" i="15"/>
  <c r="AJ792" i="15" s="1"/>
  <c r="AH940" i="15"/>
  <c r="AJ940" i="15" s="1"/>
  <c r="AH260" i="15"/>
  <c r="AJ260" i="15" s="1"/>
  <c r="AH781" i="15"/>
  <c r="AJ781" i="15" s="1"/>
  <c r="AH388" i="15"/>
  <c r="AJ388" i="15" s="1"/>
  <c r="AH524" i="15"/>
  <c r="AJ524" i="15" s="1"/>
  <c r="AH1020" i="15"/>
  <c r="AJ1020" i="15" s="1"/>
  <c r="AH769" i="15"/>
  <c r="AJ769" i="15" s="1"/>
  <c r="AH245" i="15"/>
  <c r="AJ245" i="15" s="1"/>
  <c r="AH329" i="15"/>
  <c r="AJ329" i="15" s="1"/>
  <c r="AH259" i="15"/>
  <c r="AJ259" i="15" s="1"/>
  <c r="AH351" i="15"/>
  <c r="AJ351" i="15" s="1"/>
  <c r="AH457" i="15"/>
  <c r="AJ457" i="15" s="1"/>
  <c r="AH805" i="15"/>
  <c r="AJ805" i="15" s="1"/>
  <c r="AH289" i="15"/>
  <c r="AJ289" i="15" s="1"/>
  <c r="AH937" i="15"/>
  <c r="AJ937" i="15" s="1"/>
  <c r="AH472" i="15"/>
  <c r="AJ472" i="15" s="1"/>
  <c r="AH757" i="15"/>
  <c r="AJ757" i="15" s="1"/>
  <c r="AH349" i="15"/>
  <c r="AJ349" i="15" s="1"/>
  <c r="AH503" i="15"/>
  <c r="AJ503" i="15" s="1"/>
  <c r="AH343" i="15"/>
  <c r="AJ343" i="15" s="1"/>
  <c r="AH801" i="15"/>
  <c r="AJ801" i="15" s="1"/>
  <c r="AH506" i="15"/>
  <c r="AJ506" i="15" s="1"/>
  <c r="AH497" i="15"/>
  <c r="AJ497" i="15" s="1"/>
  <c r="AH470" i="15"/>
  <c r="AJ470" i="15" s="1"/>
  <c r="AH626" i="15"/>
  <c r="AJ626" i="15" s="1"/>
  <c r="AH363" i="15"/>
  <c r="AJ363" i="15" s="1"/>
  <c r="AH936" i="15"/>
  <c r="AJ936" i="15" s="1"/>
  <c r="AH488" i="15"/>
  <c r="AJ488" i="15" s="1"/>
  <c r="AH933" i="15"/>
  <c r="AJ933" i="15" s="1"/>
  <c r="AH301" i="15"/>
  <c r="AJ301" i="15" s="1"/>
  <c r="AH373" i="15"/>
  <c r="AJ373" i="15" s="1"/>
  <c r="AH559" i="15"/>
  <c r="AJ559" i="15" s="1"/>
  <c r="AH452" i="15"/>
  <c r="AJ452" i="15" s="1"/>
  <c r="AH252" i="15"/>
  <c r="AJ252" i="15" s="1"/>
  <c r="AH409" i="15"/>
  <c r="AJ409" i="15" s="1"/>
  <c r="AH379" i="15"/>
  <c r="AJ379" i="15" s="1"/>
  <c r="AH104" i="15"/>
  <c r="AJ104" i="15" s="1"/>
  <c r="AH324" i="15"/>
  <c r="AJ324" i="15" s="1"/>
  <c r="AH744" i="15"/>
  <c r="AJ744" i="15" s="1"/>
  <c r="AH241" i="15"/>
  <c r="AJ241" i="15" s="1"/>
  <c r="AH620" i="15"/>
  <c r="AJ620" i="15" s="1"/>
  <c r="AH741" i="15"/>
  <c r="AJ741" i="15" s="1"/>
  <c r="AH939" i="15"/>
  <c r="AJ939" i="15" s="1"/>
  <c r="AH311" i="15"/>
  <c r="AJ311" i="15" s="1"/>
  <c r="AH396" i="15"/>
  <c r="AJ396" i="15" s="1"/>
  <c r="AH745" i="15"/>
  <c r="AJ745" i="15" s="1"/>
  <c r="AH1071" i="15"/>
  <c r="AJ1071" i="15" s="1"/>
  <c r="AH447" i="15"/>
  <c r="AJ447" i="15" s="1"/>
  <c r="AH476" i="15"/>
  <c r="AJ476" i="15" s="1"/>
  <c r="AH763" i="15"/>
  <c r="AJ763" i="15" s="1"/>
  <c r="AH320" i="15"/>
  <c r="AJ320" i="15" s="1"/>
  <c r="AH793" i="15"/>
  <c r="AJ793" i="15" s="1"/>
  <c r="AH362" i="15"/>
  <c r="AJ362" i="15" s="1"/>
  <c r="AH776" i="15"/>
  <c r="AJ776" i="15" s="1"/>
  <c r="AH341" i="15"/>
  <c r="AJ341" i="15" s="1"/>
  <c r="AH1067" i="15"/>
  <c r="AJ1067" i="15" s="1"/>
  <c r="AH412" i="15"/>
  <c r="AJ412" i="15" s="1"/>
  <c r="AH262" i="15"/>
  <c r="AJ262" i="15" s="1"/>
  <c r="AH318" i="15"/>
  <c r="AJ318" i="15" s="1"/>
  <c r="AH314" i="15"/>
  <c r="AJ314" i="15" s="1"/>
  <c r="AH493" i="15"/>
  <c r="AJ493" i="15" s="1"/>
  <c r="AH297" i="15"/>
  <c r="AJ297" i="15" s="1"/>
  <c r="AH623" i="15"/>
  <c r="AJ623" i="15" s="1"/>
  <c r="AH778" i="15"/>
  <c r="AJ778" i="15" s="1"/>
  <c r="AH300" i="15"/>
  <c r="AJ300" i="15" s="1"/>
  <c r="AH427" i="15"/>
  <c r="AJ427" i="15" s="1"/>
  <c r="AH346" i="15"/>
  <c r="AJ346" i="15" s="1"/>
  <c r="AH554" i="15"/>
  <c r="AJ554" i="15" s="1"/>
  <c r="AH490" i="15"/>
  <c r="AJ490" i="15" s="1"/>
  <c r="AH360" i="15"/>
  <c r="AJ360" i="15" s="1"/>
  <c r="AH809" i="15"/>
  <c r="AJ809" i="15" s="1"/>
  <c r="AH502" i="15"/>
  <c r="AJ502" i="15" s="1"/>
  <c r="AH426" i="15"/>
  <c r="AJ426" i="15" s="1"/>
  <c r="AH522" i="15"/>
  <c r="AJ522" i="15" s="1"/>
  <c r="AH1015" i="15"/>
  <c r="AJ1015" i="15" s="1"/>
  <c r="AH877" i="15"/>
  <c r="AJ877" i="15" s="1"/>
  <c r="AH819" i="15"/>
  <c r="AJ819" i="15" s="1"/>
  <c r="AH754" i="15"/>
  <c r="AJ754" i="15" s="1"/>
  <c r="AH438" i="15"/>
  <c r="AJ438" i="15" s="1"/>
  <c r="AH890" i="15"/>
  <c r="AJ890" i="15" s="1"/>
  <c r="AH987" i="15"/>
  <c r="AJ987" i="15" s="1"/>
  <c r="AH500" i="15"/>
  <c r="AJ500" i="15" s="1"/>
  <c r="AH377" i="15"/>
  <c r="AJ377" i="15" s="1"/>
  <c r="AH387" i="15"/>
  <c r="AJ387" i="15" s="1"/>
  <c r="AH773" i="15"/>
  <c r="AJ773" i="15" s="1"/>
  <c r="AH1013" i="15"/>
  <c r="AJ1013" i="15" s="1"/>
  <c r="AH381" i="15"/>
  <c r="AJ381" i="15" s="1"/>
  <c r="AH655" i="15"/>
  <c r="AJ655" i="15" s="1"/>
  <c r="AH71" i="15"/>
  <c r="AJ71" i="15" s="1"/>
  <c r="AH399" i="15"/>
  <c r="AJ399" i="15" s="1"/>
  <c r="AH486" i="15"/>
  <c r="AJ486" i="15" s="1"/>
  <c r="AH534" i="15"/>
  <c r="AJ534" i="15" s="1"/>
  <c r="AH1062" i="15"/>
  <c r="AJ1062" i="15" s="1"/>
  <c r="AH820" i="15"/>
  <c r="AJ820" i="15" s="1"/>
  <c r="AH484" i="15"/>
  <c r="AJ484" i="15" s="1"/>
  <c r="AH957" i="15"/>
  <c r="AJ957" i="15" s="1"/>
  <c r="AH437" i="15"/>
  <c r="AJ437" i="15" s="1"/>
  <c r="AH532" i="15"/>
  <c r="AJ532" i="15" s="1"/>
  <c r="AH921" i="15"/>
  <c r="AJ921" i="15" s="1"/>
  <c r="AH997" i="15"/>
  <c r="AJ997" i="15" s="1"/>
  <c r="AH613" i="15"/>
  <c r="AJ613" i="15" s="1"/>
  <c r="AH955" i="15"/>
  <c r="AJ955" i="15" s="1"/>
  <c r="AH758" i="15"/>
  <c r="AJ758" i="15" s="1"/>
  <c r="AH422" i="15"/>
  <c r="AJ422" i="15" s="1"/>
  <c r="AH380" i="15"/>
  <c r="AJ380" i="15" s="1"/>
  <c r="AH393" i="15"/>
  <c r="AJ393" i="15" s="1"/>
  <c r="AH1019" i="15"/>
  <c r="AJ1019" i="15" s="1"/>
  <c r="AH411" i="15"/>
  <c r="AJ411" i="15" s="1"/>
  <c r="AH922" i="15"/>
  <c r="AJ922" i="15" s="1"/>
  <c r="AH885" i="15"/>
  <c r="AJ885" i="15" s="1"/>
  <c r="AH359" i="15"/>
  <c r="AJ359" i="15" s="1"/>
  <c r="AH887" i="15"/>
  <c r="AJ887" i="15" s="1"/>
  <c r="AH178" i="15"/>
  <c r="AJ178" i="15" s="1"/>
  <c r="AH643" i="15"/>
  <c r="AJ643" i="15" s="1"/>
  <c r="AH934" i="15"/>
  <c r="AJ934" i="15" s="1"/>
  <c r="AH678" i="15"/>
  <c r="AJ678" i="15" s="1"/>
  <c r="AH390" i="15"/>
  <c r="AJ390" i="15" s="1"/>
  <c r="AH615" i="15"/>
  <c r="AJ615" i="15" s="1"/>
  <c r="AH892" i="15"/>
  <c r="AJ892" i="15" s="1"/>
  <c r="AH968" i="15"/>
  <c r="AJ968" i="15" s="1"/>
  <c r="AH1040" i="15"/>
  <c r="AJ1040" i="15" s="1"/>
  <c r="AH804" i="15"/>
  <c r="AJ804" i="15" s="1"/>
  <c r="AH212" i="15"/>
  <c r="AJ212" i="15" s="1"/>
  <c r="AH668" i="15"/>
  <c r="AJ668" i="15" s="1"/>
  <c r="AH660" i="15"/>
  <c r="AJ660" i="15" s="1"/>
  <c r="AH953" i="15"/>
  <c r="AJ953" i="15" s="1"/>
  <c r="AH919" i="15"/>
  <c r="AJ919" i="15" s="1"/>
  <c r="AH407" i="15"/>
  <c r="AJ407" i="15" s="1"/>
  <c r="AH1021" i="15"/>
  <c r="AJ1021" i="15" s="1"/>
  <c r="AH487" i="15"/>
  <c r="AJ487" i="15" s="1"/>
  <c r="AH431" i="15"/>
  <c r="AJ431" i="15" s="1"/>
  <c r="AH1018" i="15"/>
  <c r="AJ1018" i="15" s="1"/>
  <c r="AH1008" i="15"/>
  <c r="AJ1008" i="15" s="1"/>
  <c r="AH852" i="15"/>
  <c r="AJ852" i="15" s="1"/>
  <c r="AH725" i="15"/>
  <c r="AJ725" i="15" s="1"/>
  <c r="AH453" i="15"/>
  <c r="AJ453" i="15" s="1"/>
  <c r="AH391" i="15"/>
  <c r="AJ391" i="15" s="1"/>
  <c r="AH356" i="15"/>
  <c r="AJ356" i="15" s="1"/>
  <c r="AH1005" i="15"/>
  <c r="AJ1005" i="15" s="1"/>
  <c r="AH394" i="15"/>
  <c r="AJ394" i="15" s="1"/>
  <c r="AH682" i="15"/>
  <c r="AJ682" i="15" s="1"/>
  <c r="AH196" i="15"/>
  <c r="AJ196" i="15" s="1"/>
  <c r="AH900" i="15"/>
  <c r="AJ900" i="15" s="1"/>
  <c r="AH635" i="15"/>
  <c r="AJ635" i="15" s="1"/>
  <c r="AH833" i="15"/>
  <c r="AJ833" i="15" s="1"/>
  <c r="AH657" i="15"/>
  <c r="AJ657" i="15" s="1"/>
  <c r="AH835" i="15"/>
  <c r="AJ835" i="15" s="1"/>
  <c r="AH663" i="15"/>
  <c r="AJ663" i="15" s="1"/>
  <c r="AH685" i="15"/>
  <c r="AJ685" i="15" s="1"/>
  <c r="AH645" i="15"/>
  <c r="AJ645" i="15" s="1"/>
  <c r="AH692" i="15"/>
  <c r="AJ692" i="15" s="1"/>
  <c r="AH869" i="15"/>
  <c r="AJ869" i="15" s="1"/>
  <c r="AH1051" i="15"/>
  <c r="AJ1051" i="15" s="1"/>
  <c r="AH1061" i="15"/>
  <c r="AJ1061" i="15" s="1"/>
  <c r="AH1057" i="15"/>
  <c r="AJ1057" i="15" s="1"/>
  <c r="AH665" i="15"/>
  <c r="AJ665" i="15" s="1"/>
  <c r="AH1023" i="15"/>
  <c r="AJ1023" i="15" s="1"/>
  <c r="AH935" i="15"/>
  <c r="AJ935" i="15" s="1"/>
  <c r="AH276" i="15"/>
  <c r="AJ276" i="15" s="1"/>
  <c r="AH597" i="15"/>
  <c r="AJ597" i="15" s="1"/>
  <c r="AH825" i="15"/>
  <c r="AJ825" i="15" s="1"/>
  <c r="AH455" i="15"/>
  <c r="AJ455" i="15" s="1"/>
  <c r="AH859" i="15"/>
  <c r="AJ859" i="15" s="1"/>
  <c r="AH1050" i="15"/>
  <c r="AJ1050" i="15" s="1"/>
  <c r="AH870" i="15"/>
  <c r="AJ870" i="15" s="1"/>
  <c r="AH844" i="15"/>
  <c r="AJ844" i="15" s="1"/>
  <c r="AH293" i="15"/>
  <c r="AJ293" i="15" s="1"/>
  <c r="AH501" i="15"/>
  <c r="AJ501" i="15" s="1"/>
  <c r="AH959" i="15"/>
  <c r="AJ959" i="15" s="1"/>
  <c r="AH471" i="15"/>
  <c r="AJ471" i="15" s="1"/>
  <c r="AH917" i="15"/>
  <c r="AJ917" i="15" s="1"/>
  <c r="AH550" i="15"/>
  <c r="AJ550" i="15" s="1"/>
  <c r="AH726" i="15"/>
  <c r="AJ726" i="15" s="1"/>
  <c r="AH818" i="15"/>
  <c r="AJ818" i="15" s="1"/>
  <c r="AH282" i="15"/>
  <c r="AJ282" i="15" s="1"/>
  <c r="AH141" i="15"/>
  <c r="AJ141" i="15" s="1"/>
  <c r="AH609" i="15"/>
  <c r="AJ609" i="15" s="1"/>
  <c r="AH103" i="15"/>
  <c r="AJ103" i="15" s="1"/>
  <c r="AH832" i="15"/>
  <c r="AJ832" i="15" s="1"/>
  <c r="AH172" i="15"/>
  <c r="AJ172" i="15" s="1"/>
  <c r="AH880" i="15"/>
  <c r="AJ880" i="15" s="1"/>
  <c r="AH753" i="15"/>
  <c r="AJ753" i="15" s="1"/>
  <c r="AH480" i="15"/>
  <c r="AJ480" i="15" s="1"/>
  <c r="AH897" i="15"/>
  <c r="AJ897" i="15" s="1"/>
  <c r="AH165" i="15"/>
  <c r="AJ165" i="15" s="1"/>
  <c r="AH237" i="15"/>
  <c r="AJ237" i="15" s="1"/>
  <c r="AH219" i="15"/>
  <c r="AJ219" i="15" s="1"/>
  <c r="AH353" i="15"/>
  <c r="AJ353" i="15" s="1"/>
  <c r="AH931" i="15"/>
  <c r="AJ931" i="15" s="1"/>
  <c r="AH291" i="15"/>
  <c r="AJ291" i="15" s="1"/>
  <c r="AH641" i="15"/>
  <c r="AJ641" i="15" s="1"/>
  <c r="AH193" i="15"/>
  <c r="AJ193" i="15" s="1"/>
  <c r="AH817" i="15"/>
  <c r="AJ817" i="15" s="1"/>
  <c r="AH243" i="15"/>
  <c r="AJ243" i="15" s="1"/>
  <c r="AH246" i="15"/>
  <c r="AJ246" i="15" s="1"/>
  <c r="AH579" i="15"/>
  <c r="AJ579" i="15" s="1"/>
  <c r="AH298" i="15"/>
  <c r="AJ298" i="15" s="1"/>
  <c r="AH154" i="15"/>
  <c r="AJ154" i="15" s="1"/>
  <c r="AH771" i="15"/>
  <c r="AJ771" i="15" s="1"/>
  <c r="AH706" i="15"/>
  <c r="AJ706" i="15" s="1"/>
  <c r="AH226" i="15"/>
  <c r="AJ226" i="15" s="1"/>
  <c r="AH355" i="15"/>
  <c r="AJ355" i="15" s="1"/>
  <c r="AH576" i="15"/>
  <c r="AJ576" i="15" s="1"/>
  <c r="AH1025" i="15"/>
  <c r="AJ1025" i="15" s="1"/>
  <c r="AH73" i="15"/>
  <c r="AJ73" i="15" s="1"/>
  <c r="AH191" i="15"/>
  <c r="AJ191" i="15" s="1"/>
  <c r="AH112" i="15"/>
  <c r="AJ112" i="15" s="1"/>
  <c r="AH224" i="15"/>
  <c r="AJ224" i="15" s="1"/>
  <c r="AH240" i="15"/>
  <c r="AJ240" i="15" s="1"/>
  <c r="AH177" i="15"/>
  <c r="AJ177" i="15" s="1"/>
  <c r="AH401" i="15"/>
  <c r="AJ401" i="15" s="1"/>
  <c r="AH203" i="15"/>
  <c r="AJ203" i="15" s="1"/>
  <c r="AH163" i="15"/>
  <c r="AJ163" i="15" s="1"/>
  <c r="AH704" i="15"/>
  <c r="AJ704" i="15" s="1"/>
  <c r="AH197" i="15"/>
  <c r="AJ197" i="15" s="1"/>
  <c r="AH213" i="15"/>
  <c r="AJ213" i="15" s="1"/>
  <c r="AH403" i="15"/>
  <c r="AJ403" i="15" s="1"/>
  <c r="AH232" i="15"/>
  <c r="AJ232" i="15" s="1"/>
  <c r="AH449" i="15"/>
  <c r="AJ449" i="15" s="1"/>
  <c r="AH928" i="15"/>
  <c r="AJ928" i="15" s="1"/>
  <c r="AH100" i="15"/>
  <c r="AJ100" i="15" s="1"/>
  <c r="AH89" i="15"/>
  <c r="AJ89" i="15" s="1"/>
  <c r="AH129" i="15"/>
  <c r="AJ129" i="15" s="1"/>
  <c r="AH305" i="15"/>
  <c r="AJ305" i="15" s="1"/>
  <c r="AH136" i="15"/>
  <c r="AJ136" i="15" s="1"/>
  <c r="AH145" i="15"/>
  <c r="AJ145" i="15" s="1"/>
  <c r="AH187" i="15"/>
  <c r="AJ187" i="15" s="1"/>
  <c r="AH155" i="15"/>
  <c r="AJ155" i="15" s="1"/>
  <c r="AH592" i="15"/>
  <c r="AJ592" i="15" s="1"/>
  <c r="AH1059" i="15"/>
  <c r="AJ1059" i="15" s="1"/>
  <c r="AH307" i="15"/>
  <c r="AJ307" i="15" s="1"/>
  <c r="AH142" i="15"/>
  <c r="AJ142" i="15" s="1"/>
  <c r="AH251" i="15"/>
  <c r="AJ251" i="15" s="1"/>
  <c r="AH688" i="15"/>
  <c r="AJ688" i="15" s="1"/>
  <c r="AH81" i="15"/>
  <c r="AJ81" i="15" s="1"/>
  <c r="AH105" i="15"/>
  <c r="AJ105" i="15" s="1"/>
  <c r="AH755" i="15"/>
  <c r="AJ755" i="15" s="1"/>
  <c r="AH242" i="15"/>
  <c r="AJ242" i="15" s="1"/>
  <c r="AH290" i="15"/>
  <c r="AJ290" i="15" s="1"/>
  <c r="AH247" i="15"/>
  <c r="AJ247" i="15" s="1"/>
  <c r="AH546" i="15"/>
  <c r="AJ546" i="15" s="1"/>
  <c r="AH610" i="15"/>
  <c r="AJ610" i="15" s="1"/>
  <c r="AH90" i="15"/>
  <c r="AJ90" i="15" s="1"/>
  <c r="AH257" i="15"/>
  <c r="AJ257" i="15" s="1"/>
  <c r="AH284" i="15"/>
  <c r="AJ284" i="15" s="1"/>
  <c r="AH188" i="15"/>
  <c r="AJ188" i="15" s="1"/>
  <c r="AH137" i="15"/>
  <c r="AJ137" i="15" s="1"/>
  <c r="AH929" i="15"/>
  <c r="AJ929" i="15" s="1"/>
  <c r="AH269" i="15"/>
  <c r="AJ269" i="15" s="1"/>
  <c r="AH672" i="15"/>
  <c r="AJ672" i="15" s="1"/>
  <c r="AH125" i="15"/>
  <c r="AJ125" i="15" s="1"/>
  <c r="AH339" i="15"/>
  <c r="AJ339" i="15" s="1"/>
  <c r="AH547" i="15"/>
  <c r="AJ547" i="15" s="1"/>
  <c r="AH64" i="15"/>
  <c r="AJ64" i="15" s="1"/>
  <c r="AH417" i="15"/>
  <c r="AJ417" i="15" s="1"/>
  <c r="AH131" i="15"/>
  <c r="AJ131" i="15" s="1"/>
  <c r="AH134" i="15"/>
  <c r="AJ134" i="15" s="1"/>
  <c r="AH416" i="15"/>
  <c r="AJ416" i="15" s="1"/>
  <c r="AH236" i="15"/>
  <c r="AJ236" i="15" s="1"/>
  <c r="AH321" i="15"/>
  <c r="AJ321" i="15" s="1"/>
  <c r="AH1075" i="15"/>
  <c r="AJ1075" i="15" s="1"/>
  <c r="AH627" i="15"/>
  <c r="AJ627" i="15" s="1"/>
  <c r="AH268" i="15"/>
  <c r="AJ268" i="15" s="1"/>
  <c r="AH691" i="15"/>
  <c r="AJ691" i="15" s="1"/>
  <c r="AH674" i="15"/>
  <c r="AJ674" i="15" s="1"/>
  <c r="AH166" i="15"/>
  <c r="AJ166" i="15" s="1"/>
  <c r="AH150" i="15"/>
  <c r="AJ150" i="15" s="1"/>
  <c r="AH563" i="15"/>
  <c r="AJ563" i="15" s="1"/>
  <c r="AH130" i="15"/>
  <c r="AJ130" i="15" s="1"/>
  <c r="AH354" i="15"/>
  <c r="AJ354" i="15" s="1"/>
  <c r="AH306" i="15"/>
  <c r="AJ306" i="15" s="1"/>
  <c r="AH595" i="15"/>
  <c r="AJ595" i="15" s="1"/>
  <c r="AH91" i="15"/>
  <c r="AJ91" i="15" s="1"/>
  <c r="AH976" i="15"/>
  <c r="AJ976" i="15" s="1"/>
  <c r="AH737" i="15"/>
  <c r="AJ737" i="15" s="1"/>
  <c r="AH123" i="15"/>
  <c r="AJ123" i="15" s="1"/>
  <c r="AH945" i="15"/>
  <c r="AJ945" i="15" s="1"/>
  <c r="AH77" i="15"/>
  <c r="AJ77" i="15" s="1"/>
  <c r="AH60" i="15"/>
  <c r="AJ60" i="15" s="1"/>
  <c r="AH132" i="15"/>
  <c r="AJ132" i="15" s="1"/>
  <c r="AH896" i="15"/>
  <c r="AJ896" i="15" s="1"/>
  <c r="AH432" i="15"/>
  <c r="AJ432" i="15" s="1"/>
  <c r="AH277" i="15"/>
  <c r="AJ277" i="15" s="1"/>
  <c r="AH215" i="15"/>
  <c r="AJ215" i="15" s="1"/>
  <c r="AH229" i="15"/>
  <c r="AJ229" i="15" s="1"/>
  <c r="AH255" i="15"/>
  <c r="AJ255" i="15" s="1"/>
  <c r="AH126" i="15"/>
  <c r="AJ126" i="15" s="1"/>
  <c r="AH217" i="15"/>
  <c r="AJ217" i="15" s="1"/>
  <c r="AH175" i="15"/>
  <c r="AJ175" i="15" s="1"/>
  <c r="AH848" i="15"/>
  <c r="AJ848" i="15" s="1"/>
  <c r="AH185" i="15"/>
  <c r="AJ185" i="15" s="1"/>
  <c r="AH63" i="15"/>
  <c r="AJ63" i="15" s="1"/>
  <c r="AH515" i="15"/>
  <c r="AJ515" i="15" s="1"/>
  <c r="AH1026" i="15"/>
  <c r="AJ1026" i="15" s="1"/>
  <c r="AH578" i="15"/>
  <c r="AJ578" i="15" s="1"/>
  <c r="AH946" i="15"/>
  <c r="AJ946" i="15" s="1"/>
  <c r="AH258" i="15"/>
  <c r="AJ258" i="15" s="1"/>
  <c r="AH62" i="15"/>
  <c r="AJ62" i="15" s="1"/>
  <c r="AH214" i="15"/>
  <c r="AJ214" i="15" s="1"/>
  <c r="AH186" i="15"/>
  <c r="AJ186" i="15" s="1"/>
  <c r="AH619" i="15"/>
  <c r="AJ619" i="15" s="1"/>
  <c r="AH1056" i="17"/>
  <c r="AJ1056" i="17" s="1"/>
  <c r="AH161" i="15"/>
  <c r="AJ161" i="15" s="1"/>
  <c r="AH1073" i="15"/>
  <c r="AJ1073" i="15" s="1"/>
  <c r="AH513" i="15"/>
  <c r="AJ513" i="15" s="1"/>
  <c r="AH977" i="15"/>
  <c r="AJ977" i="15" s="1"/>
  <c r="AH913" i="15"/>
  <c r="AJ913" i="15" s="1"/>
  <c r="AH640" i="15"/>
  <c r="AJ640" i="15" s="1"/>
  <c r="AH624" i="15"/>
  <c r="AJ624" i="15" s="1"/>
  <c r="AH55" i="15"/>
  <c r="AJ55" i="15" s="1"/>
  <c r="AH295" i="15"/>
  <c r="AJ295" i="15" s="1"/>
  <c r="AH496" i="15"/>
  <c r="AJ496" i="15" s="1"/>
  <c r="AH883" i="15"/>
  <c r="AJ883" i="15" s="1"/>
  <c r="AH419" i="15"/>
  <c r="AJ419" i="15" s="1"/>
  <c r="AH220" i="15"/>
  <c r="AJ220" i="15" s="1"/>
  <c r="AH881" i="15"/>
  <c r="AJ881" i="15" s="1"/>
  <c r="AH57" i="15"/>
  <c r="AJ57" i="15" s="1"/>
  <c r="AH608" i="15"/>
  <c r="AJ608" i="15" s="1"/>
  <c r="AH433" i="15"/>
  <c r="AJ433" i="15" s="1"/>
  <c r="AH281" i="15"/>
  <c r="AJ281" i="15" s="1"/>
  <c r="AH483" i="15"/>
  <c r="AJ483" i="15" s="1"/>
  <c r="AH947" i="15"/>
  <c r="AJ947" i="15" s="1"/>
  <c r="AH227" i="15"/>
  <c r="AJ227" i="15" s="1"/>
  <c r="AH562" i="15"/>
  <c r="AJ562" i="15" s="1"/>
  <c r="AH114" i="15"/>
  <c r="AJ114" i="15" s="1"/>
  <c r="AH275" i="15"/>
  <c r="AJ275" i="15" s="1"/>
  <c r="AH98" i="15"/>
  <c r="AJ98" i="15" s="1"/>
  <c r="AH94" i="15"/>
  <c r="AJ94" i="15" s="1"/>
  <c r="AH149" i="15"/>
  <c r="AJ149" i="15" s="1"/>
  <c r="AH263" i="15"/>
  <c r="AJ263" i="15" s="1"/>
  <c r="AH171" i="15"/>
  <c r="AJ171" i="15" s="1"/>
  <c r="AH249" i="15"/>
  <c r="AJ249" i="15" s="1"/>
  <c r="AH283" i="15"/>
  <c r="AJ283" i="15" s="1"/>
  <c r="AH1074" i="15"/>
  <c r="AJ1074" i="15" s="1"/>
  <c r="AH1010" i="15"/>
  <c r="AJ1010" i="15" s="1"/>
  <c r="AH323" i="15"/>
  <c r="AJ323" i="15" s="1"/>
  <c r="AH1011" i="15"/>
  <c r="AJ1011" i="15" s="1"/>
  <c r="AH54" i="15"/>
  <c r="AJ54" i="15" s="1"/>
  <c r="AH498" i="15"/>
  <c r="AJ498" i="15" s="1"/>
  <c r="AH594" i="15"/>
  <c r="AJ594" i="15" s="1"/>
  <c r="AH204" i="15"/>
  <c r="AJ204" i="15" s="1"/>
  <c r="AH392" i="15"/>
  <c r="AJ392" i="15" s="1"/>
  <c r="AH964" i="15"/>
  <c r="AJ964" i="15" s="1"/>
  <c r="AH116" i="15"/>
  <c r="AJ116" i="15" s="1"/>
  <c r="AH128" i="15"/>
  <c r="AJ128" i="15" s="1"/>
  <c r="AH1052" i="15"/>
  <c r="AJ1052" i="15" s="1"/>
  <c r="AH944" i="15"/>
  <c r="AJ944" i="15" s="1"/>
  <c r="AH424" i="15"/>
  <c r="AJ424" i="15" s="1"/>
  <c r="AH528" i="15"/>
  <c r="AJ528" i="15" s="1"/>
  <c r="AH348" i="15"/>
  <c r="AJ348" i="15" s="1"/>
  <c r="AH648" i="15"/>
  <c r="AJ648" i="15" s="1"/>
  <c r="AH684" i="15"/>
  <c r="AJ684" i="15" s="1"/>
  <c r="AH440" i="15"/>
  <c r="AJ440" i="15" s="1"/>
  <c r="AH288" i="15"/>
  <c r="AJ288" i="15" s="1"/>
  <c r="AH1060" i="15"/>
  <c r="AJ1060" i="15" s="1"/>
  <c r="AH1024" i="15"/>
  <c r="AJ1024" i="15" s="1"/>
  <c r="AH512" i="15"/>
  <c r="AJ512" i="15" s="1"/>
  <c r="AH304" i="15"/>
  <c r="AJ304" i="15" s="1"/>
  <c r="AH920" i="15"/>
  <c r="AJ920" i="15" s="1"/>
  <c r="AH1072" i="15"/>
  <c r="AJ1072" i="15" s="1"/>
  <c r="AH352" i="15"/>
  <c r="AJ352" i="15" s="1"/>
  <c r="AH88" i="15"/>
  <c r="AJ88" i="15" s="1"/>
  <c r="AH812" i="15"/>
  <c r="AJ812" i="15" s="1"/>
  <c r="AH56" i="15"/>
  <c r="AJ56" i="15" s="1"/>
  <c r="AH192" i="15"/>
  <c r="AJ192" i="15" s="1"/>
  <c r="AH584" i="15"/>
  <c r="AJ584" i="15" s="1"/>
  <c r="AH596" i="15"/>
  <c r="AJ596" i="15" s="1"/>
  <c r="AH508" i="15"/>
  <c r="AJ508" i="15" s="1"/>
  <c r="AH972" i="15"/>
  <c r="AJ972" i="15" s="1"/>
  <c r="AH376" i="15"/>
  <c r="AJ376" i="15" s="1"/>
  <c r="AH1068" i="15"/>
  <c r="AJ1068" i="15" s="1"/>
  <c r="AH364" i="15"/>
  <c r="AJ364" i="15" s="1"/>
  <c r="AH248" i="15"/>
  <c r="AJ248" i="15" s="1"/>
  <c r="AH464" i="15"/>
  <c r="AJ464" i="15" s="1"/>
  <c r="AH84" i="15"/>
  <c r="AJ84" i="15" s="1"/>
  <c r="AH140" i="15"/>
  <c r="AJ140" i="15" s="1"/>
  <c r="AH404" i="15"/>
  <c r="AJ404" i="15" s="1"/>
  <c r="AH328" i="15"/>
  <c r="AJ328" i="15" s="1"/>
  <c r="AH580" i="15"/>
  <c r="AJ580" i="15" s="1"/>
  <c r="AH460" i="15"/>
  <c r="AJ460" i="15" s="1"/>
  <c r="AH616" i="15"/>
  <c r="AJ616" i="15" s="1"/>
  <c r="AH748" i="15"/>
  <c r="AJ748" i="15" s="1"/>
  <c r="AH872" i="15"/>
  <c r="AJ872" i="15" s="1"/>
  <c r="AH760" i="15"/>
  <c r="AJ760" i="15" s="1"/>
  <c r="AH784" i="15"/>
  <c r="AJ784" i="15" s="1"/>
  <c r="AH632" i="15"/>
  <c r="AJ632" i="15" s="1"/>
  <c r="AH948" i="15"/>
  <c r="AJ948" i="15" s="1"/>
  <c r="AH836" i="15"/>
  <c r="AJ836" i="15" s="1"/>
  <c r="AH736" i="15"/>
  <c r="AJ736" i="15" s="1"/>
  <c r="AH445" i="15"/>
  <c r="AJ445" i="15" s="1"/>
  <c r="AH222" i="15"/>
  <c r="AJ222" i="15" s="1"/>
  <c r="AH941" i="15"/>
  <c r="AJ941" i="15" s="1"/>
  <c r="AH719" i="15"/>
  <c r="AJ719" i="15" s="1"/>
  <c r="AH461" i="15"/>
  <c r="AJ461" i="15" s="1"/>
  <c r="AH509" i="15"/>
  <c r="AJ509" i="15" s="1"/>
  <c r="AH157" i="15"/>
  <c r="AJ157" i="15" s="1"/>
  <c r="AH991" i="15"/>
  <c r="AJ991" i="15" s="1"/>
  <c r="AH367" i="15"/>
  <c r="AJ367" i="15" s="1"/>
  <c r="AH717" i="15"/>
  <c r="AJ717" i="15" s="1"/>
  <c r="AH429" i="15"/>
  <c r="AJ429" i="15" s="1"/>
  <c r="AH845" i="15"/>
  <c r="AJ845" i="15" s="1"/>
  <c r="AH989" i="15"/>
  <c r="AJ989" i="15" s="1"/>
  <c r="AH621" i="15"/>
  <c r="AJ621" i="15" s="1"/>
  <c r="AH239" i="15"/>
  <c r="AJ239" i="15" s="1"/>
  <c r="AH207" i="15"/>
  <c r="AJ207" i="15" s="1"/>
  <c r="AH478" i="15"/>
  <c r="AJ478" i="15" s="1"/>
  <c r="AH189" i="15"/>
  <c r="AJ189" i="15" s="1"/>
  <c r="AH206" i="15"/>
  <c r="AJ206" i="15" s="1"/>
  <c r="AH669" i="15"/>
  <c r="AJ669" i="15" s="1"/>
  <c r="AH847" i="15"/>
  <c r="AJ847" i="15" s="1"/>
  <c r="AH254" i="15"/>
  <c r="AJ254" i="15" s="1"/>
  <c r="AH1037" i="15"/>
  <c r="AJ1037" i="15" s="1"/>
  <c r="AH797" i="15"/>
  <c r="AJ797" i="15" s="1"/>
  <c r="AH926" i="15"/>
  <c r="AJ926" i="15" s="1"/>
  <c r="AH767" i="15"/>
  <c r="AJ767" i="15" s="1"/>
  <c r="AH1069" i="15"/>
  <c r="AJ1069" i="15" s="1"/>
  <c r="AH521" i="15"/>
  <c r="AJ521" i="15" s="1"/>
  <c r="AH465" i="15"/>
  <c r="AJ465" i="15" s="1"/>
  <c r="AH135" i="15"/>
  <c r="AJ135" i="15" s="1"/>
  <c r="AH711" i="15"/>
  <c r="AJ711" i="15" s="1"/>
  <c r="AH587" i="15"/>
  <c r="AJ587" i="15" s="1"/>
  <c r="AH971" i="15"/>
  <c r="AJ971" i="15" s="1"/>
  <c r="AH389" i="15"/>
  <c r="AJ389" i="15" s="1"/>
  <c r="AH709" i="15"/>
  <c r="AJ709" i="15" s="1"/>
  <c r="AH210" i="15"/>
  <c r="AJ210" i="15" s="1"/>
  <c r="AH787" i="15"/>
  <c r="AJ787" i="15" s="1"/>
  <c r="AH265" i="15"/>
  <c r="AJ265" i="15" s="1"/>
  <c r="AH225" i="15"/>
  <c r="AJ225" i="15" s="1"/>
  <c r="AH113" i="15"/>
  <c r="AJ113" i="15" s="1"/>
  <c r="AH499" i="15"/>
  <c r="AJ499" i="15" s="1"/>
  <c r="AH871" i="15"/>
  <c r="AJ871" i="15" s="1"/>
  <c r="AH821" i="15"/>
  <c r="AJ821" i="15" s="1"/>
  <c r="AH1009" i="15"/>
  <c r="AJ1009" i="15" s="1"/>
  <c r="AH101" i="15"/>
  <c r="AJ101" i="15" s="1"/>
  <c r="AH309" i="15"/>
  <c r="AJ309" i="15" s="1"/>
  <c r="AH481" i="15"/>
  <c r="AJ481" i="15" s="1"/>
  <c r="AH695" i="15"/>
  <c r="AJ695" i="15" s="1"/>
  <c r="AH599" i="15"/>
  <c r="AJ599" i="15" s="1"/>
  <c r="AH358" i="15"/>
  <c r="AJ358" i="15" s="1"/>
  <c r="AH993" i="15"/>
  <c r="AJ993" i="15" s="1"/>
  <c r="AH345" i="15"/>
  <c r="AJ345" i="15" s="1"/>
  <c r="AH87" i="15"/>
  <c r="AJ87" i="15" s="1"/>
  <c r="AH827" i="15"/>
  <c r="AJ827" i="15" s="1"/>
  <c r="AH233" i="15"/>
  <c r="AJ233" i="15" s="1"/>
  <c r="AH491" i="15"/>
  <c r="AJ491" i="15" s="1"/>
  <c r="AH218" i="15"/>
  <c r="AJ218" i="15" s="1"/>
  <c r="AH875" i="15"/>
  <c r="AJ875" i="15" s="1"/>
  <c r="AH66" i="15"/>
  <c r="AJ66" i="15" s="1"/>
  <c r="AH439" i="15"/>
  <c r="AJ439" i="15" s="1"/>
  <c r="AH698" i="15"/>
  <c r="AJ698" i="15" s="1"/>
  <c r="AH442" i="15"/>
  <c r="AJ442" i="15" s="1"/>
  <c r="AJ21" i="17"/>
  <c r="AJ23" i="17"/>
  <c r="AK23" i="17" s="1"/>
  <c r="AH992" i="17"/>
  <c r="AJ992" i="17" s="1"/>
  <c r="AJ32" i="17"/>
  <c r="AK32" i="17" s="1"/>
  <c r="AJ27" i="17"/>
  <c r="AJ22" i="17"/>
  <c r="AK22" i="17" s="1"/>
  <c r="AE42" i="17"/>
  <c r="AH1067" i="17"/>
  <c r="AJ1067" i="17" s="1"/>
  <c r="AH880" i="17"/>
  <c r="AJ880" i="17" s="1"/>
  <c r="AH988" i="17"/>
  <c r="AJ988" i="17" s="1"/>
  <c r="AH939" i="17"/>
  <c r="AJ939" i="17" s="1"/>
  <c r="AH843" i="17"/>
  <c r="AJ843" i="17" s="1"/>
  <c r="AH1064" i="17"/>
  <c r="AJ1064" i="17" s="1"/>
  <c r="AH1048" i="17"/>
  <c r="AJ1048" i="17" s="1"/>
  <c r="AH1024" i="17"/>
  <c r="AJ1024" i="17" s="1"/>
  <c r="AH1035" i="17"/>
  <c r="AJ1035" i="17" s="1"/>
  <c r="AH1074" i="17"/>
  <c r="AJ1074" i="17" s="1"/>
  <c r="AH1016" i="17"/>
  <c r="AJ1016" i="17" s="1"/>
  <c r="AH848" i="17"/>
  <c r="AJ848" i="17" s="1"/>
  <c r="AH1040" i="17"/>
  <c r="AJ1040" i="17" s="1"/>
  <c r="AH984" i="17"/>
  <c r="AJ984" i="17" s="1"/>
  <c r="AH912" i="17"/>
  <c r="AJ912" i="17" s="1"/>
  <c r="AH1072" i="17"/>
  <c r="AJ1072" i="17" s="1"/>
  <c r="AH672" i="17"/>
  <c r="AJ672" i="17" s="1"/>
  <c r="AH1068" i="17"/>
  <c r="AJ1068" i="17" s="1"/>
  <c r="AH840" i="17"/>
  <c r="AJ840" i="17" s="1"/>
  <c r="AH1030" i="15"/>
  <c r="AJ1030" i="15" s="1"/>
  <c r="AH179" i="15"/>
  <c r="AJ179" i="15" s="1"/>
  <c r="AH1066" i="15"/>
  <c r="AJ1066" i="15" s="1"/>
  <c r="AH418" i="15"/>
  <c r="AJ418" i="15" s="1"/>
  <c r="AH374" i="15"/>
  <c r="AJ374" i="15" s="1"/>
  <c r="AH278" i="15"/>
  <c r="AJ278" i="15" s="1"/>
  <c r="AH170" i="15"/>
  <c r="AJ170" i="15" s="1"/>
  <c r="AH230" i="15"/>
  <c r="AJ230" i="15" s="1"/>
  <c r="AH667" i="15"/>
  <c r="AJ667" i="15" s="1"/>
  <c r="AH598" i="15"/>
  <c r="AJ598" i="15" s="1"/>
  <c r="AH954" i="15"/>
  <c r="AJ954" i="15" s="1"/>
  <c r="AH614" i="15"/>
  <c r="AJ614" i="15" s="1"/>
  <c r="AH918" i="15"/>
  <c r="AJ918" i="15" s="1"/>
  <c r="AH666" i="15"/>
  <c r="AJ666" i="15" s="1"/>
  <c r="AH683" i="15"/>
  <c r="AJ683" i="15" s="1"/>
  <c r="AH386" i="15"/>
  <c r="AJ386" i="15" s="1"/>
  <c r="AH994" i="15"/>
  <c r="AJ994" i="15" s="1"/>
  <c r="AH1014" i="15"/>
  <c r="AJ1014" i="15" s="1"/>
  <c r="AH930" i="15"/>
  <c r="AJ930" i="15" s="1"/>
  <c r="AH694" i="15"/>
  <c r="AJ694" i="15" s="1"/>
  <c r="AH938" i="15"/>
  <c r="AJ938" i="15" s="1"/>
  <c r="AH294" i="15"/>
  <c r="AJ294" i="15" s="1"/>
  <c r="AH888" i="17"/>
  <c r="AJ888" i="17" s="1"/>
  <c r="AH1002" i="15"/>
  <c r="AJ1002" i="15" s="1"/>
  <c r="AH162" i="15"/>
  <c r="AJ162" i="15" s="1"/>
  <c r="AH167" i="15"/>
  <c r="AJ167" i="15" s="1"/>
  <c r="AH1058" i="15"/>
  <c r="AJ1058" i="15" s="1"/>
  <c r="AH898" i="15"/>
  <c r="AJ898" i="15" s="1"/>
  <c r="AH690" i="15"/>
  <c r="AJ690" i="15" s="1"/>
  <c r="AH866" i="15"/>
  <c r="AJ866" i="15" s="1"/>
  <c r="AH806" i="15"/>
  <c r="AJ806" i="15" s="1"/>
  <c r="AH662" i="15"/>
  <c r="AJ662" i="15" s="1"/>
  <c r="AH181" i="15"/>
  <c r="AJ181" i="15" s="1"/>
  <c r="AH423" i="15"/>
  <c r="AJ423" i="15" s="1"/>
  <c r="AH858" i="15"/>
  <c r="AJ858" i="15" s="1"/>
  <c r="AH923" i="15"/>
  <c r="AJ923" i="15" s="1"/>
  <c r="AH86" i="15"/>
  <c r="AJ86" i="15" s="1"/>
  <c r="AH791" i="15"/>
  <c r="AJ791" i="15" s="1"/>
  <c r="AH425" i="15"/>
  <c r="AJ425" i="15" s="1"/>
  <c r="AH549" i="15"/>
  <c r="AJ549" i="15" s="1"/>
  <c r="AH435" i="15"/>
  <c r="AJ435" i="15" s="1"/>
  <c r="AH310" i="15"/>
  <c r="AJ310" i="15" s="1"/>
  <c r="AH634" i="15"/>
  <c r="AJ634" i="15" s="1"/>
  <c r="AH566" i="15"/>
  <c r="AJ566" i="15" s="1"/>
  <c r="AH834" i="15"/>
  <c r="AJ834" i="15" s="1"/>
  <c r="AH630" i="15"/>
  <c r="AJ630" i="15" s="1"/>
  <c r="AH410" i="15"/>
  <c r="AJ410" i="15" s="1"/>
  <c r="AH122" i="15"/>
  <c r="AJ122" i="15" s="1"/>
  <c r="AH144" i="15"/>
  <c r="AJ144" i="15" s="1"/>
  <c r="AH1065" i="15"/>
  <c r="AJ1065" i="15" s="1"/>
  <c r="AH1035" i="15"/>
  <c r="AJ1035" i="15" s="1"/>
  <c r="AH415" i="15"/>
  <c r="AJ415" i="15" s="1"/>
  <c r="AH863" i="15"/>
  <c r="AJ863" i="15" s="1"/>
  <c r="AH231" i="15"/>
  <c r="AJ231" i="15" s="1"/>
  <c r="AH434" i="15"/>
  <c r="AJ434" i="15" s="1"/>
  <c r="AH905" i="15"/>
  <c r="AJ905" i="15" s="1"/>
  <c r="AH759" i="15"/>
  <c r="AJ759" i="15" s="1"/>
  <c r="AH850" i="15"/>
  <c r="AJ850" i="15" s="1"/>
  <c r="AH998" i="15"/>
  <c r="AJ998" i="15" s="1"/>
  <c r="AH118" i="15"/>
  <c r="AJ118" i="15" s="1"/>
  <c r="AH963" i="15"/>
  <c r="AJ963" i="15" s="1"/>
  <c r="AH631" i="15"/>
  <c r="AJ631" i="15" s="1"/>
  <c r="AH1046" i="15"/>
  <c r="AJ1046" i="15" s="1"/>
  <c r="AH375" i="15"/>
  <c r="AJ375" i="15" s="1"/>
  <c r="AH511" i="17"/>
  <c r="AJ511" i="17" s="1"/>
  <c r="AH240" i="17"/>
  <c r="AJ240" i="17" s="1"/>
  <c r="AH991" i="17"/>
  <c r="AJ991" i="17" s="1"/>
  <c r="AH282" i="17"/>
  <c r="AJ282" i="17" s="1"/>
  <c r="AH1069" i="17"/>
  <c r="AJ1069" i="17" s="1"/>
  <c r="AH947" i="17"/>
  <c r="AJ947" i="17" s="1"/>
  <c r="AH1051" i="17"/>
  <c r="AJ1051" i="17" s="1"/>
  <c r="AH936" i="17"/>
  <c r="AJ936" i="17" s="1"/>
  <c r="AH123" i="17"/>
  <c r="AJ123" i="17" s="1"/>
  <c r="AH211" i="17"/>
  <c r="AJ211" i="17" s="1"/>
  <c r="AH1032" i="17"/>
  <c r="AJ1032" i="17" s="1"/>
  <c r="AH976" i="17"/>
  <c r="AJ976" i="17" s="1"/>
  <c r="AH288" i="17"/>
  <c r="AJ288" i="17" s="1"/>
  <c r="AH219" i="17"/>
  <c r="AJ219" i="17" s="1"/>
  <c r="AH979" i="17"/>
  <c r="AJ979" i="17" s="1"/>
  <c r="AH512" i="17"/>
  <c r="AJ512" i="17" s="1"/>
  <c r="AH187" i="17"/>
  <c r="AJ187" i="17" s="1"/>
  <c r="AH548" i="17"/>
  <c r="AJ548" i="17" s="1"/>
  <c r="AH272" i="17"/>
  <c r="AJ272" i="17" s="1"/>
  <c r="AH296" i="17"/>
  <c r="AJ296" i="17" s="1"/>
  <c r="AH523" i="17"/>
  <c r="AJ523" i="17" s="1"/>
  <c r="AH560" i="17"/>
  <c r="AJ560" i="17" s="1"/>
  <c r="AH304" i="17"/>
  <c r="AJ304" i="17" s="1"/>
  <c r="AH1058" i="17"/>
  <c r="AJ1058" i="17" s="1"/>
  <c r="AH384" i="17"/>
  <c r="AJ384" i="17" s="1"/>
  <c r="AH1043" i="17"/>
  <c r="AJ1043" i="17" s="1"/>
  <c r="AH331" i="17"/>
  <c r="AJ331" i="17" s="1"/>
  <c r="AH280" i="17"/>
  <c r="AJ280" i="17" s="1"/>
  <c r="AH56" i="17"/>
  <c r="AJ56" i="17" s="1"/>
  <c r="AH1027" i="17"/>
  <c r="AJ1027" i="17" s="1"/>
  <c r="AH1042" i="17"/>
  <c r="AJ1042" i="17" s="1"/>
  <c r="AH562" i="17"/>
  <c r="AJ562" i="17" s="1"/>
  <c r="AH94" i="17"/>
  <c r="AJ94" i="17" s="1"/>
  <c r="AH553" i="17"/>
  <c r="AJ553" i="17" s="1"/>
  <c r="AH1066" i="17"/>
  <c r="AJ1066" i="17" s="1"/>
  <c r="AH1026" i="17"/>
  <c r="AJ1026" i="17" s="1"/>
  <c r="AH192" i="17"/>
  <c r="AJ192" i="17" s="1"/>
  <c r="AH224" i="17"/>
  <c r="AJ224" i="17" s="1"/>
  <c r="AH284" i="17"/>
  <c r="AJ284" i="17" s="1"/>
  <c r="AH547" i="17"/>
  <c r="AJ547" i="17" s="1"/>
  <c r="AH859" i="17"/>
  <c r="AJ859" i="17" s="1"/>
  <c r="AH59" i="17"/>
  <c r="AJ59" i="17" s="1"/>
  <c r="AH1019" i="17"/>
  <c r="AJ1019" i="17" s="1"/>
  <c r="AH554" i="17"/>
  <c r="AJ554" i="17" s="1"/>
  <c r="AH546" i="17"/>
  <c r="AJ546" i="17" s="1"/>
  <c r="AH473" i="17"/>
  <c r="AJ473" i="17" s="1"/>
  <c r="AH264" i="17"/>
  <c r="AJ264" i="17" s="1"/>
  <c r="AH232" i="17"/>
  <c r="AJ232" i="17" s="1"/>
  <c r="AH528" i="17"/>
  <c r="AJ528" i="17" s="1"/>
  <c r="AH536" i="17"/>
  <c r="AJ536" i="17" s="1"/>
  <c r="AH496" i="17"/>
  <c r="AJ496" i="17" s="1"/>
  <c r="AH432" i="17"/>
  <c r="AJ432" i="17" s="1"/>
  <c r="AH275" i="17"/>
  <c r="AJ275" i="17" s="1"/>
  <c r="AH259" i="17"/>
  <c r="AJ259" i="17" s="1"/>
  <c r="AH539" i="17"/>
  <c r="AJ539" i="17" s="1"/>
  <c r="AH251" i="17"/>
  <c r="AJ251" i="17" s="1"/>
  <c r="AH1075" i="17"/>
  <c r="AJ1075" i="17" s="1"/>
  <c r="AH494" i="17"/>
  <c r="AJ494" i="17" s="1"/>
  <c r="AH1018" i="17"/>
  <c r="AJ1018" i="17" s="1"/>
  <c r="AH255" i="17"/>
  <c r="AJ255" i="17" s="1"/>
  <c r="AH274" i="17"/>
  <c r="AJ274" i="17" s="1"/>
  <c r="AH552" i="17"/>
  <c r="AJ552" i="17" s="1"/>
  <c r="AH248" i="17"/>
  <c r="AJ248" i="17" s="1"/>
  <c r="AH544" i="17"/>
  <c r="AJ544" i="17" s="1"/>
  <c r="AH488" i="17"/>
  <c r="AJ488" i="17" s="1"/>
  <c r="AH520" i="17"/>
  <c r="AJ520" i="17" s="1"/>
  <c r="AH476" i="17"/>
  <c r="AJ476" i="17" s="1"/>
  <c r="AH299" i="17"/>
  <c r="AJ299" i="17" s="1"/>
  <c r="AH851" i="17"/>
  <c r="AJ851" i="17" s="1"/>
  <c r="AH883" i="17"/>
  <c r="AJ883" i="17" s="1"/>
  <c r="AH250" i="17"/>
  <c r="AJ250" i="17" s="1"/>
  <c r="AH1050" i="17"/>
  <c r="AJ1050" i="17" s="1"/>
  <c r="AH504" i="17"/>
  <c r="AJ504" i="17" s="1"/>
  <c r="AH508" i="17"/>
  <c r="AJ508" i="17" s="1"/>
  <c r="AH368" i="17"/>
  <c r="AJ368" i="17" s="1"/>
  <c r="AH480" i="17"/>
  <c r="AJ480" i="17" s="1"/>
  <c r="AH267" i="17"/>
  <c r="AJ267" i="17" s="1"/>
  <c r="AH507" i="17"/>
  <c r="AJ507" i="17" s="1"/>
  <c r="AH555" i="17"/>
  <c r="AJ555" i="17" s="1"/>
  <c r="AH302" i="17"/>
  <c r="AJ302" i="17" s="1"/>
  <c r="AH492" i="17"/>
  <c r="AJ492" i="17" s="1"/>
  <c r="AH256" i="17"/>
  <c r="AJ256" i="17" s="1"/>
  <c r="AH104" i="17"/>
  <c r="AJ104" i="17" s="1"/>
  <c r="AH200" i="17"/>
  <c r="AJ200" i="17" s="1"/>
  <c r="AH464" i="17"/>
  <c r="AJ464" i="17" s="1"/>
  <c r="AH531" i="17"/>
  <c r="AJ531" i="17" s="1"/>
  <c r="AH515" i="17"/>
  <c r="AJ515" i="17" s="1"/>
  <c r="AH1059" i="17"/>
  <c r="AJ1059" i="17" s="1"/>
  <c r="AH266" i="17"/>
  <c r="AJ266" i="17" s="1"/>
  <c r="AH795" i="17"/>
  <c r="AJ795" i="17" s="1"/>
  <c r="AH1062" i="17"/>
  <c r="AJ1062" i="17" s="1"/>
  <c r="AH688" i="17"/>
  <c r="AJ688" i="17" s="1"/>
  <c r="AH100" i="17"/>
  <c r="AJ100" i="17" s="1"/>
  <c r="AH132" i="17"/>
  <c r="AJ132" i="17" s="1"/>
  <c r="AH71" i="17"/>
  <c r="AJ71" i="17" s="1"/>
  <c r="AH549" i="17"/>
  <c r="AJ549" i="17" s="1"/>
  <c r="AH551" i="17"/>
  <c r="AJ551" i="17" s="1"/>
  <c r="AH839" i="17"/>
  <c r="AJ839" i="17" s="1"/>
  <c r="AH102" i="17"/>
  <c r="AJ102" i="17" s="1"/>
  <c r="AH534" i="17"/>
  <c r="AJ534" i="17" s="1"/>
  <c r="AH306" i="17"/>
  <c r="AJ306" i="17" s="1"/>
  <c r="AH185" i="17"/>
  <c r="AJ185" i="17" s="1"/>
  <c r="AH776" i="17"/>
  <c r="AJ776" i="17" s="1"/>
  <c r="AH291" i="17"/>
  <c r="AJ291" i="17" s="1"/>
  <c r="AH298" i="17"/>
  <c r="AJ298" i="17" s="1"/>
  <c r="AH370" i="17"/>
  <c r="AJ370" i="17" s="1"/>
  <c r="AH506" i="17"/>
  <c r="AJ506" i="17" s="1"/>
  <c r="AH293" i="17"/>
  <c r="AJ293" i="17" s="1"/>
  <c r="AH84" i="17"/>
  <c r="AJ84" i="17" s="1"/>
  <c r="AH724" i="17"/>
  <c r="AJ724" i="17" s="1"/>
  <c r="AH563" i="17"/>
  <c r="AJ563" i="17" s="1"/>
  <c r="AH290" i="17"/>
  <c r="AJ290" i="17" s="1"/>
  <c r="AH538" i="17"/>
  <c r="AJ538" i="17" s="1"/>
  <c r="AH514" i="17"/>
  <c r="AJ514" i="17" s="1"/>
  <c r="AH258" i="17"/>
  <c r="AJ258" i="17" s="1"/>
  <c r="AH537" i="17"/>
  <c r="AJ537" i="17" s="1"/>
  <c r="AH1041" i="17"/>
  <c r="AJ1041" i="17" s="1"/>
  <c r="AH1028" i="17"/>
  <c r="AJ1028" i="17" s="1"/>
  <c r="AH804" i="17"/>
  <c r="AJ804" i="17" s="1"/>
  <c r="AH196" i="17"/>
  <c r="AJ196" i="17" s="1"/>
  <c r="AH792" i="17"/>
  <c r="AJ792" i="17" s="1"/>
  <c r="AH407" i="17"/>
  <c r="AJ407" i="17" s="1"/>
  <c r="AH283" i="17"/>
  <c r="AJ283" i="17" s="1"/>
  <c r="AH99" i="17"/>
  <c r="AJ99" i="17" s="1"/>
  <c r="AH502" i="17"/>
  <c r="AJ502" i="17" s="1"/>
  <c r="AH186" i="17"/>
  <c r="AJ186" i="17" s="1"/>
  <c r="AH530" i="17"/>
  <c r="AJ530" i="17" s="1"/>
  <c r="AH522" i="17"/>
  <c r="AJ522" i="17" s="1"/>
  <c r="AH505" i="17"/>
  <c r="AJ505" i="17" s="1"/>
  <c r="AH388" i="17"/>
  <c r="AJ388" i="17" s="1"/>
  <c r="AH167" i="17"/>
  <c r="AJ167" i="17" s="1"/>
  <c r="AH307" i="17"/>
  <c r="AJ307" i="17" s="1"/>
  <c r="AH218" i="17"/>
  <c r="AJ218" i="17" s="1"/>
  <c r="AH889" i="17"/>
  <c r="AJ889" i="17" s="1"/>
  <c r="AH73" i="17"/>
  <c r="AJ73" i="17" s="1"/>
  <c r="AH131" i="17"/>
  <c r="AJ131" i="17" s="1"/>
  <c r="AH107" i="17"/>
  <c r="AJ107" i="17" s="1"/>
  <c r="AH371" i="17"/>
  <c r="AJ371" i="17" s="1"/>
  <c r="AH871" i="17"/>
  <c r="AJ871" i="17" s="1"/>
  <c r="AH874" i="17"/>
  <c r="AJ874" i="17" s="1"/>
  <c r="AH70" i="17"/>
  <c r="AJ70" i="17" s="1"/>
  <c r="AH354" i="17"/>
  <c r="AJ354" i="17" s="1"/>
  <c r="AH932" i="15"/>
  <c r="AJ932" i="15" s="1"/>
  <c r="AH382" i="15"/>
  <c r="AJ382" i="15" s="1"/>
  <c r="AH786" i="15"/>
  <c r="AJ786" i="15" s="1"/>
  <c r="AH868" i="17"/>
  <c r="AJ868" i="17" s="1"/>
  <c r="AH656" i="17"/>
  <c r="AJ656" i="17" s="1"/>
  <c r="AH52" i="17"/>
  <c r="AJ52" i="17" s="1"/>
  <c r="AH948" i="17"/>
  <c r="AJ948" i="17" s="1"/>
  <c r="AH336" i="17"/>
  <c r="AJ336" i="17" s="1"/>
  <c r="AH112" i="17"/>
  <c r="AJ112" i="17" s="1"/>
  <c r="AH68" i="17"/>
  <c r="AJ68" i="17" s="1"/>
  <c r="AH452" i="17"/>
  <c r="AJ452" i="17" s="1"/>
  <c r="AH752" i="17"/>
  <c r="AJ752" i="17" s="1"/>
  <c r="AH516" i="17"/>
  <c r="AJ516" i="17" s="1"/>
  <c r="AH600" i="17"/>
  <c r="AJ600" i="17" s="1"/>
  <c r="AH636" i="17"/>
  <c r="AJ636" i="17" s="1"/>
  <c r="AH116" i="17"/>
  <c r="AJ116" i="17" s="1"/>
  <c r="AH372" i="17"/>
  <c r="AJ372" i="17" s="1"/>
  <c r="AH932" i="17"/>
  <c r="AJ932" i="17" s="1"/>
  <c r="AH908" i="17"/>
  <c r="AJ908" i="17" s="1"/>
  <c r="AH820" i="17"/>
  <c r="AJ820" i="17" s="1"/>
  <c r="AH679" i="17"/>
  <c r="AJ679" i="17" s="1"/>
  <c r="AH891" i="17"/>
  <c r="AJ891" i="17" s="1"/>
  <c r="AH683" i="17"/>
  <c r="AJ683" i="17" s="1"/>
  <c r="AH55" i="17"/>
  <c r="AJ55" i="17" s="1"/>
  <c r="AH67" i="17"/>
  <c r="AJ67" i="17" s="1"/>
  <c r="AH91" i="17"/>
  <c r="AJ91" i="17" s="1"/>
  <c r="AH315" i="17"/>
  <c r="AJ315" i="17" s="1"/>
  <c r="AH519" i="17"/>
  <c r="AJ519" i="17" s="1"/>
  <c r="AH1063" i="17"/>
  <c r="AJ1063" i="17" s="1"/>
  <c r="AH866" i="17"/>
  <c r="AJ866" i="17" s="1"/>
  <c r="AH942" i="17"/>
  <c r="AJ942" i="17" s="1"/>
  <c r="AH66" i="17"/>
  <c r="AJ66" i="17" s="1"/>
  <c r="AH118" i="17"/>
  <c r="AJ118" i="17" s="1"/>
  <c r="AH1034" i="17"/>
  <c r="AJ1034" i="17" s="1"/>
  <c r="AH57" i="17"/>
  <c r="AJ57" i="17" s="1"/>
  <c r="AH249" i="17"/>
  <c r="AJ249" i="17" s="1"/>
  <c r="AH852" i="17"/>
  <c r="AJ852" i="17" s="1"/>
  <c r="AH944" i="17"/>
  <c r="AJ944" i="17" s="1"/>
  <c r="AH320" i="17"/>
  <c r="AJ320" i="17" s="1"/>
  <c r="AH616" i="17"/>
  <c r="AJ616" i="17" s="1"/>
  <c r="AH328" i="17"/>
  <c r="AJ328" i="17" s="1"/>
  <c r="AH780" i="17"/>
  <c r="AJ780" i="17" s="1"/>
  <c r="AH344" i="17"/>
  <c r="AJ344" i="17" s="1"/>
  <c r="AH392" i="17"/>
  <c r="AJ392" i="17" s="1"/>
  <c r="AH568" i="17"/>
  <c r="AJ568" i="17" s="1"/>
  <c r="AH136" i="17"/>
  <c r="AJ136" i="17" s="1"/>
  <c r="AH592" i="17"/>
  <c r="AJ592" i="17" s="1"/>
  <c r="AH96" i="17"/>
  <c r="AJ96" i="17" s="1"/>
  <c r="AH1044" i="17"/>
  <c r="AJ1044" i="17" s="1"/>
  <c r="AH164" i="17"/>
  <c r="AJ164" i="17" s="1"/>
  <c r="AH836" i="17"/>
  <c r="AJ836" i="17" s="1"/>
  <c r="AH928" i="17"/>
  <c r="AJ928" i="17" s="1"/>
  <c r="AH916" i="17"/>
  <c r="AJ916" i="17" s="1"/>
  <c r="AH327" i="17"/>
  <c r="AJ327" i="17" s="1"/>
  <c r="AH427" i="17"/>
  <c r="AJ427" i="17" s="1"/>
  <c r="AH395" i="17"/>
  <c r="AJ395" i="17" s="1"/>
  <c r="AH171" i="17"/>
  <c r="AJ171" i="17" s="1"/>
  <c r="AH355" i="17"/>
  <c r="AJ355" i="17" s="1"/>
  <c r="AH811" i="17"/>
  <c r="AJ811" i="17" s="1"/>
  <c r="AH935" i="17"/>
  <c r="AJ935" i="17" s="1"/>
  <c r="AH763" i="17"/>
  <c r="AJ763" i="17" s="1"/>
  <c r="AH854" i="17"/>
  <c r="AJ854" i="17" s="1"/>
  <c r="AH58" i="17"/>
  <c r="AJ58" i="17" s="1"/>
  <c r="AH338" i="17"/>
  <c r="AJ338" i="17" s="1"/>
  <c r="AH262" i="17"/>
  <c r="AJ262" i="17" s="1"/>
  <c r="AH842" i="17"/>
  <c r="AJ842" i="17" s="1"/>
  <c r="AH333" i="17"/>
  <c r="AJ333" i="17" s="1"/>
  <c r="AH53" i="17"/>
  <c r="AJ53" i="17" s="1"/>
  <c r="AH648" i="17"/>
  <c r="AJ648" i="17" s="1"/>
  <c r="AH728" i="17"/>
  <c r="AJ728" i="17" s="1"/>
  <c r="AH532" i="17"/>
  <c r="AJ532" i="17" s="1"/>
  <c r="AH816" i="17"/>
  <c r="AJ816" i="17" s="1"/>
  <c r="AH856" i="17"/>
  <c r="AJ856" i="17" s="1"/>
  <c r="AH72" i="17"/>
  <c r="AJ72" i="17" s="1"/>
  <c r="AH80" i="17"/>
  <c r="AJ80" i="17" s="1"/>
  <c r="AH148" i="17"/>
  <c r="AJ148" i="17" s="1"/>
  <c r="AH120" i="17"/>
  <c r="AJ120" i="17" s="1"/>
  <c r="AH356" i="17"/>
  <c r="AJ356" i="17" s="1"/>
  <c r="AH340" i="17"/>
  <c r="AJ340" i="17" s="1"/>
  <c r="AH824" i="17"/>
  <c r="AJ824" i="17" s="1"/>
  <c r="AH872" i="17"/>
  <c r="AJ872" i="17" s="1"/>
  <c r="AH155" i="17"/>
  <c r="AJ155" i="17" s="1"/>
  <c r="AH403" i="17"/>
  <c r="AJ403" i="17" s="1"/>
  <c r="AH1015" i="17"/>
  <c r="AJ1015" i="17" s="1"/>
  <c r="AH887" i="17"/>
  <c r="AJ887" i="17" s="1"/>
  <c r="AH695" i="17"/>
  <c r="AJ695" i="17" s="1"/>
  <c r="AH247" i="17"/>
  <c r="AJ247" i="17" s="1"/>
  <c r="AH739" i="17"/>
  <c r="AJ739" i="17" s="1"/>
  <c r="AH359" i="17"/>
  <c r="AJ359" i="17" s="1"/>
  <c r="AH339" i="17"/>
  <c r="AJ339" i="17" s="1"/>
  <c r="AH1030" i="17"/>
  <c r="AJ1030" i="17" s="1"/>
  <c r="AH1014" i="17"/>
  <c r="AJ1014" i="17" s="1"/>
  <c r="AH818" i="17"/>
  <c r="AJ818" i="17" s="1"/>
  <c r="AH762" i="17"/>
  <c r="AJ762" i="17" s="1"/>
  <c r="AH778" i="17"/>
  <c r="AJ778" i="17" s="1"/>
  <c r="AH341" i="17"/>
  <c r="AJ341" i="17" s="1"/>
  <c r="AH324" i="17"/>
  <c r="AJ324" i="17" s="1"/>
  <c r="AH580" i="17"/>
  <c r="AJ580" i="17" s="1"/>
  <c r="AH360" i="17"/>
  <c r="AJ360" i="17" s="1"/>
  <c r="AH92" i="17"/>
  <c r="AJ92" i="17" s="1"/>
  <c r="AH244" i="17"/>
  <c r="AJ244" i="17" s="1"/>
  <c r="AH500" i="17"/>
  <c r="AJ500" i="17" s="1"/>
  <c r="AH900" i="17"/>
  <c r="AJ900" i="17" s="1"/>
  <c r="AH88" i="17"/>
  <c r="AJ88" i="17" s="1"/>
  <c r="AH420" i="17"/>
  <c r="AJ420" i="17" s="1"/>
  <c r="AH128" i="17"/>
  <c r="AJ128" i="17" s="1"/>
  <c r="AH416" i="17"/>
  <c r="AJ416" i="17" s="1"/>
  <c r="AH312" i="17"/>
  <c r="AJ312" i="17" s="1"/>
  <c r="AH292" i="17"/>
  <c r="AJ292" i="17" s="1"/>
  <c r="AH920" i="17"/>
  <c r="AJ920" i="17" s="1"/>
  <c r="AH832" i="17"/>
  <c r="AJ832" i="17" s="1"/>
  <c r="AH343" i="17"/>
  <c r="AJ343" i="17" s="1"/>
  <c r="AH915" i="17"/>
  <c r="AJ915" i="17" s="1"/>
  <c r="AH875" i="17"/>
  <c r="AJ875" i="17" s="1"/>
  <c r="AH827" i="17"/>
  <c r="AJ827" i="17" s="1"/>
  <c r="AH87" i="17"/>
  <c r="AJ87" i="17" s="1"/>
  <c r="AH83" i="17"/>
  <c r="AJ83" i="17" s="1"/>
  <c r="AH323" i="17"/>
  <c r="AJ323" i="17" s="1"/>
  <c r="AH347" i="17"/>
  <c r="AJ347" i="17" s="1"/>
  <c r="AH535" i="17"/>
  <c r="AJ535" i="17" s="1"/>
  <c r="AH1047" i="17"/>
  <c r="AJ1047" i="17" s="1"/>
  <c r="AH314" i="17"/>
  <c r="AJ314" i="17" s="1"/>
  <c r="AH294" i="17"/>
  <c r="AJ294" i="17" s="1"/>
  <c r="AH74" i="17"/>
  <c r="AJ74" i="17" s="1"/>
  <c r="AH518" i="17"/>
  <c r="AJ518" i="17" s="1"/>
  <c r="AH626" i="17"/>
  <c r="AJ626" i="17" s="1"/>
  <c r="AH966" i="17"/>
  <c r="AJ966" i="17" s="1"/>
  <c r="AH1065" i="17"/>
  <c r="AJ1065" i="17" s="1"/>
  <c r="AH632" i="17"/>
  <c r="AJ632" i="17" s="1"/>
  <c r="AH788" i="17"/>
  <c r="AJ788" i="17" s="1"/>
  <c r="AH144" i="17"/>
  <c r="AJ144" i="17" s="1"/>
  <c r="AH260" i="17"/>
  <c r="AJ260" i="17" s="1"/>
  <c r="AH760" i="17"/>
  <c r="AJ760" i="17" s="1"/>
  <c r="AH64" i="17"/>
  <c r="AJ64" i="17" s="1"/>
  <c r="AH160" i="17"/>
  <c r="AJ160" i="17" s="1"/>
  <c r="AH584" i="17"/>
  <c r="AJ584" i="17" s="1"/>
  <c r="AH176" i="17"/>
  <c r="AJ176" i="17" s="1"/>
  <c r="AH168" i="17"/>
  <c r="AJ168" i="17" s="1"/>
  <c r="AH276" i="17"/>
  <c r="AJ276" i="17" s="1"/>
  <c r="AH308" i="17"/>
  <c r="AJ308" i="17" s="1"/>
  <c r="AH404" i="17"/>
  <c r="AJ404" i="17" s="1"/>
  <c r="AH376" i="17"/>
  <c r="AJ376" i="17" s="1"/>
  <c r="AH904" i="17"/>
  <c r="AJ904" i="17" s="1"/>
  <c r="AH864" i="17"/>
  <c r="AJ864" i="17" s="1"/>
  <c r="AH139" i="17"/>
  <c r="AJ139" i="17" s="1"/>
  <c r="AH279" i="17"/>
  <c r="AJ279" i="17" s="1"/>
  <c r="AH263" i="17"/>
  <c r="AJ263" i="17" s="1"/>
  <c r="AH867" i="17"/>
  <c r="AJ867" i="17" s="1"/>
  <c r="AH311" i="17"/>
  <c r="AJ311" i="17" s="1"/>
  <c r="AH503" i="17"/>
  <c r="AJ503" i="17" s="1"/>
  <c r="AH823" i="17"/>
  <c r="AJ823" i="17" s="1"/>
  <c r="AH1031" i="17"/>
  <c r="AJ1031" i="17" s="1"/>
  <c r="AH362" i="17"/>
  <c r="AJ362" i="17" s="1"/>
  <c r="AH82" i="17"/>
  <c r="AJ82" i="17" s="1"/>
  <c r="AH1046" i="17"/>
  <c r="AJ1046" i="17" s="1"/>
  <c r="AH278" i="17"/>
  <c r="AJ278" i="17" s="1"/>
  <c r="AH550" i="17"/>
  <c r="AJ550" i="17" s="1"/>
  <c r="AH357" i="17"/>
  <c r="AJ357" i="17" s="1"/>
  <c r="AH768" i="17"/>
  <c r="AJ768" i="17" s="1"/>
  <c r="AH400" i="17"/>
  <c r="AJ400" i="17" s="1"/>
  <c r="AH1060" i="17"/>
  <c r="AJ1060" i="17" s="1"/>
  <c r="AH996" i="17"/>
  <c r="AJ996" i="17" s="1"/>
  <c r="AH608" i="17"/>
  <c r="AJ608" i="17" s="1"/>
  <c r="AH1012" i="17"/>
  <c r="AJ1012" i="17" s="1"/>
  <c r="AH884" i="17"/>
  <c r="AJ884" i="17" s="1"/>
  <c r="AH152" i="17"/>
  <c r="AJ152" i="17" s="1"/>
  <c r="AH680" i="17"/>
  <c r="AJ680" i="17" s="1"/>
  <c r="AH352" i="17"/>
  <c r="AJ352" i="17" s="1"/>
  <c r="AH424" i="17"/>
  <c r="AJ424" i="17" s="1"/>
  <c r="AH896" i="17"/>
  <c r="AJ896" i="17" s="1"/>
  <c r="AH408" i="17"/>
  <c r="AJ408" i="17" s="1"/>
  <c r="AH999" i="17"/>
  <c r="AJ999" i="17" s="1"/>
  <c r="AH147" i="17"/>
  <c r="AJ147" i="17" s="1"/>
  <c r="AH363" i="17"/>
  <c r="AJ363" i="17" s="1"/>
  <c r="AH103" i="17"/>
  <c r="AJ103" i="17" s="1"/>
  <c r="AH75" i="17"/>
  <c r="AJ75" i="17" s="1"/>
  <c r="AH115" i="17"/>
  <c r="AJ115" i="17" s="1"/>
  <c r="AH295" i="17"/>
  <c r="AJ295" i="17" s="1"/>
  <c r="AH907" i="17"/>
  <c r="AJ907" i="17" s="1"/>
  <c r="AH150" i="17"/>
  <c r="AJ150" i="17" s="1"/>
  <c r="AH114" i="17"/>
  <c r="AJ114" i="17" s="1"/>
  <c r="AH758" i="17"/>
  <c r="AJ758" i="17" s="1"/>
  <c r="AH246" i="17"/>
  <c r="AJ246" i="17" s="1"/>
  <c r="AH321" i="17"/>
  <c r="AJ321" i="17" s="1"/>
  <c r="AH981" i="17"/>
  <c r="AJ981" i="17" s="1"/>
  <c r="AH459" i="17"/>
  <c r="AJ459" i="17" s="1"/>
  <c r="AH239" i="17"/>
  <c r="AJ239" i="17" s="1"/>
  <c r="AH475" i="17"/>
  <c r="AJ475" i="17" s="1"/>
  <c r="AH203" i="17"/>
  <c r="AJ203" i="17" s="1"/>
  <c r="AH442" i="17"/>
  <c r="AJ442" i="17" s="1"/>
  <c r="AH226" i="17"/>
  <c r="AJ226" i="17" s="1"/>
  <c r="AH202" i="17"/>
  <c r="AJ202" i="17" s="1"/>
  <c r="AH210" i="17"/>
  <c r="AJ210" i="17" s="1"/>
  <c r="AH230" i="17"/>
  <c r="AJ230" i="17" s="1"/>
  <c r="AH198" i="17"/>
  <c r="AJ198" i="17" s="1"/>
  <c r="AH181" i="17"/>
  <c r="AJ181" i="17" s="1"/>
  <c r="AH949" i="17"/>
  <c r="AJ949" i="17" s="1"/>
  <c r="AH985" i="17"/>
  <c r="AJ985" i="17" s="1"/>
  <c r="AH696" i="17"/>
  <c r="AJ696" i="17" s="1"/>
  <c r="AH960" i="17"/>
  <c r="AJ960" i="17" s="1"/>
  <c r="AH1008" i="17"/>
  <c r="AJ1008" i="17" s="1"/>
  <c r="AH184" i="17"/>
  <c r="AJ184" i="17" s="1"/>
  <c r="AH467" i="17"/>
  <c r="AJ467" i="17" s="1"/>
  <c r="AH235" i="17"/>
  <c r="AJ235" i="17" s="1"/>
  <c r="AH855" i="17"/>
  <c r="AJ855" i="17" s="1"/>
  <c r="AH310" i="17"/>
  <c r="AJ310" i="17" s="1"/>
  <c r="AH358" i="17"/>
  <c r="AJ358" i="17" s="1"/>
  <c r="AH882" i="17"/>
  <c r="AJ882" i="17" s="1"/>
  <c r="AH838" i="17"/>
  <c r="AJ838" i="17" s="1"/>
  <c r="AH1010" i="17"/>
  <c r="AJ1010" i="17" s="1"/>
  <c r="AH350" i="17"/>
  <c r="AJ350" i="17" s="1"/>
  <c r="AH194" i="17"/>
  <c r="AJ194" i="17" s="1"/>
  <c r="AH90" i="17"/>
  <c r="AJ90" i="17" s="1"/>
  <c r="AH498" i="17"/>
  <c r="AJ498" i="17" s="1"/>
  <c r="AH950" i="17"/>
  <c r="AJ950" i="17" s="1"/>
  <c r="AH978" i="17"/>
  <c r="AJ978" i="17" s="1"/>
  <c r="AH325" i="17"/>
  <c r="AJ325" i="17" s="1"/>
  <c r="AH229" i="17"/>
  <c r="AJ229" i="17" s="1"/>
  <c r="AH1049" i="17"/>
  <c r="AJ1049" i="17" s="1"/>
  <c r="AH309" i="17"/>
  <c r="AJ309" i="17" s="1"/>
  <c r="AH1033" i="17"/>
  <c r="AJ1033" i="17" s="1"/>
  <c r="AH257" i="17"/>
  <c r="AJ257" i="17" s="1"/>
  <c r="AH197" i="17"/>
  <c r="AJ197" i="17" s="1"/>
  <c r="AH441" i="17"/>
  <c r="AJ441" i="17" s="1"/>
  <c r="AH180" i="17"/>
  <c r="AJ180" i="17" s="1"/>
  <c r="AH440" i="17"/>
  <c r="AJ440" i="17" s="1"/>
  <c r="AH456" i="17"/>
  <c r="AJ456" i="17" s="1"/>
  <c r="AH472" i="17"/>
  <c r="AJ472" i="17" s="1"/>
  <c r="AH980" i="17"/>
  <c r="AJ980" i="17" s="1"/>
  <c r="AH1000" i="17"/>
  <c r="AJ1000" i="17" s="1"/>
  <c r="AH987" i="17"/>
  <c r="AJ987" i="17" s="1"/>
  <c r="AH983" i="17"/>
  <c r="AJ983" i="17" s="1"/>
  <c r="AH455" i="17"/>
  <c r="AJ455" i="17" s="1"/>
  <c r="AH955" i="17"/>
  <c r="AJ955" i="17" s="1"/>
  <c r="AH470" i="17"/>
  <c r="AJ470" i="17" s="1"/>
  <c r="AH982" i="17"/>
  <c r="AJ982" i="17" s="1"/>
  <c r="AH698" i="17"/>
  <c r="AJ698" i="17" s="1"/>
  <c r="AH214" i="17"/>
  <c r="AJ214" i="17" s="1"/>
  <c r="AH86" i="17"/>
  <c r="AJ86" i="17" s="1"/>
  <c r="AH242" i="17"/>
  <c r="AJ242" i="17" s="1"/>
  <c r="AH182" i="17"/>
  <c r="AJ182" i="17" s="1"/>
  <c r="AH970" i="17"/>
  <c r="AJ970" i="17" s="1"/>
  <c r="AH213" i="17"/>
  <c r="AJ213" i="17" s="1"/>
  <c r="AH697" i="17"/>
  <c r="AJ697" i="17" s="1"/>
  <c r="AH977" i="17"/>
  <c r="AJ977" i="17" s="1"/>
  <c r="AH1009" i="17"/>
  <c r="AJ1009" i="17" s="1"/>
  <c r="AH961" i="17"/>
  <c r="AJ961" i="17" s="1"/>
  <c r="AH193" i="17"/>
  <c r="AJ193" i="17" s="1"/>
  <c r="AH89" i="17"/>
  <c r="AJ89" i="17" s="1"/>
  <c r="AH993" i="17"/>
  <c r="AJ993" i="17" s="1"/>
  <c r="AH468" i="17"/>
  <c r="AJ468" i="17" s="1"/>
  <c r="AH484" i="17"/>
  <c r="AJ484" i="17" s="1"/>
  <c r="AH436" i="17"/>
  <c r="AJ436" i="17" s="1"/>
  <c r="AH1011" i="17"/>
  <c r="AJ1011" i="17" s="1"/>
  <c r="AH967" i="17"/>
  <c r="AJ967" i="17" s="1"/>
  <c r="AH995" i="17"/>
  <c r="AJ995" i="17" s="1"/>
  <c r="AH487" i="17"/>
  <c r="AJ487" i="17" s="1"/>
  <c r="AH499" i="17"/>
  <c r="AJ499" i="17" s="1"/>
  <c r="AH491" i="17"/>
  <c r="AJ491" i="17" s="1"/>
  <c r="AH962" i="17"/>
  <c r="AJ962" i="17" s="1"/>
  <c r="AH438" i="17"/>
  <c r="AJ438" i="17" s="1"/>
  <c r="AH234" i="17"/>
  <c r="AJ234" i="17" s="1"/>
  <c r="AH453" i="17"/>
  <c r="AJ453" i="17" s="1"/>
  <c r="AH1001" i="17"/>
  <c r="AJ1001" i="17" s="1"/>
  <c r="AH849" i="17"/>
  <c r="AJ849" i="17" s="1"/>
  <c r="AH217" i="17"/>
  <c r="AJ217" i="17" s="1"/>
  <c r="AH353" i="17"/>
  <c r="AJ353" i="17" s="1"/>
  <c r="AH720" i="17"/>
  <c r="AJ720" i="17" s="1"/>
  <c r="AH236" i="17"/>
  <c r="AJ236" i="17" s="1"/>
  <c r="AH968" i="17"/>
  <c r="AJ968" i="17" s="1"/>
  <c r="AH215" i="17"/>
  <c r="AJ215" i="17" s="1"/>
  <c r="AH951" i="17"/>
  <c r="AJ951" i="17" s="1"/>
  <c r="AH1003" i="17"/>
  <c r="AJ1003" i="17" s="1"/>
  <c r="AH199" i="17"/>
  <c r="AJ199" i="17" s="1"/>
  <c r="AH483" i="17"/>
  <c r="AJ483" i="17" s="1"/>
  <c r="AH443" i="17"/>
  <c r="AJ443" i="17" s="1"/>
  <c r="AH971" i="17"/>
  <c r="AJ971" i="17" s="1"/>
  <c r="AH963" i="17"/>
  <c r="AJ963" i="17" s="1"/>
  <c r="AH374" i="17"/>
  <c r="AJ374" i="17" s="1"/>
  <c r="AH998" i="17"/>
  <c r="AJ998" i="17" s="1"/>
  <c r="AH986" i="17"/>
  <c r="AJ986" i="17" s="1"/>
  <c r="AH822" i="17"/>
  <c r="AJ822" i="17" s="1"/>
  <c r="AH454" i="17"/>
  <c r="AJ454" i="17" s="1"/>
  <c r="AH98" i="17"/>
  <c r="AJ98" i="17" s="1"/>
  <c r="AH486" i="17"/>
  <c r="AJ486" i="17" s="1"/>
  <c r="AH170" i="17"/>
  <c r="AJ170" i="17" s="1"/>
  <c r="AH346" i="17"/>
  <c r="AJ346" i="17" s="1"/>
  <c r="AH322" i="17"/>
  <c r="AJ322" i="17" s="1"/>
  <c r="AH858" i="17"/>
  <c r="AJ858" i="17" s="1"/>
  <c r="AH450" i="17"/>
  <c r="AJ450" i="17" s="1"/>
  <c r="AH54" i="17"/>
  <c r="AJ54" i="17" s="1"/>
  <c r="AH954" i="17"/>
  <c r="AJ954" i="17" s="1"/>
  <c r="AH597" i="17"/>
  <c r="AJ597" i="17" s="1"/>
  <c r="AH841" i="17"/>
  <c r="AJ841" i="17" s="1"/>
  <c r="AH1013" i="17"/>
  <c r="AJ1013" i="17" s="1"/>
  <c r="AH1025" i="17"/>
  <c r="AJ1025" i="17" s="1"/>
  <c r="AH337" i="17"/>
  <c r="AJ337" i="17" s="1"/>
  <c r="AH513" i="17"/>
  <c r="AJ513" i="17" s="1"/>
  <c r="AH705" i="17"/>
  <c r="AJ705" i="17" s="1"/>
  <c r="AH881" i="17"/>
  <c r="AJ881" i="17" s="1"/>
  <c r="AH973" i="17"/>
  <c r="AJ973" i="17" s="1"/>
  <c r="AH208" i="17"/>
  <c r="AJ208" i="17" s="1"/>
  <c r="AH704" i="17"/>
  <c r="AJ704" i="17" s="1"/>
  <c r="AH1004" i="17"/>
  <c r="AJ1004" i="17" s="1"/>
  <c r="AH964" i="17"/>
  <c r="AJ964" i="17" s="1"/>
  <c r="AH212" i="17"/>
  <c r="AJ212" i="17" s="1"/>
  <c r="AH451" i="17"/>
  <c r="AJ451" i="17" s="1"/>
  <c r="AH243" i="17"/>
  <c r="AJ243" i="17" s="1"/>
  <c r="AH587" i="17"/>
  <c r="AJ587" i="17" s="1"/>
  <c r="AH439" i="17"/>
  <c r="AJ439" i="17" s="1"/>
  <c r="AH835" i="17"/>
  <c r="AJ835" i="17" s="1"/>
  <c r="AH919" i="17"/>
  <c r="AJ919" i="17" s="1"/>
  <c r="AH106" i="17"/>
  <c r="AJ106" i="17" s="1"/>
  <c r="AH342" i="17"/>
  <c r="AJ342" i="17" s="1"/>
  <c r="AH994" i="17"/>
  <c r="AJ994" i="17" s="1"/>
  <c r="AH330" i="17"/>
  <c r="AJ330" i="17" s="1"/>
  <c r="AH142" i="17"/>
  <c r="AJ142" i="17" s="1"/>
  <c r="AH390" i="17"/>
  <c r="AJ390" i="17" s="1"/>
  <c r="AH326" i="17"/>
  <c r="AJ326" i="17" s="1"/>
  <c r="AH458" i="17"/>
  <c r="AJ458" i="17" s="1"/>
  <c r="AH482" i="17"/>
  <c r="AJ482" i="17" s="1"/>
  <c r="AH826" i="17"/>
  <c r="AJ826" i="17" s="1"/>
  <c r="AH821" i="17"/>
  <c r="AJ821" i="17" s="1"/>
  <c r="AH561" i="17"/>
  <c r="AJ561" i="17" s="1"/>
  <c r="AH233" i="17"/>
  <c r="AJ233" i="17" s="1"/>
  <c r="AH485" i="17"/>
  <c r="AJ485" i="17" s="1"/>
  <c r="AH437" i="17"/>
  <c r="AJ437" i="17" s="1"/>
  <c r="AH329" i="17"/>
  <c r="AJ329" i="17" s="1"/>
  <c r="AH521" i="17"/>
  <c r="AJ521" i="17" s="1"/>
  <c r="AH956" i="17"/>
  <c r="AJ956" i="17" s="1"/>
  <c r="AH216" i="17"/>
  <c r="AJ216" i="17" s="1"/>
  <c r="AH188" i="17"/>
  <c r="AJ188" i="17" s="1"/>
  <c r="AH448" i="17"/>
  <c r="AJ448" i="17" s="1"/>
  <c r="AH228" i="17"/>
  <c r="AJ228" i="17" s="1"/>
  <c r="AH952" i="17"/>
  <c r="AJ952" i="17" s="1"/>
  <c r="AH195" i="17"/>
  <c r="AJ195" i="17" s="1"/>
  <c r="AH183" i="17"/>
  <c r="AJ183" i="17" s="1"/>
  <c r="AH231" i="17"/>
  <c r="AJ231" i="17" s="1"/>
  <c r="AH471" i="17"/>
  <c r="AJ471" i="17" s="1"/>
  <c r="AH223" i="17"/>
  <c r="AJ223" i="17" s="1"/>
  <c r="AH227" i="17"/>
  <c r="AJ227" i="17" s="1"/>
  <c r="AH466" i="17"/>
  <c r="AJ466" i="17" s="1"/>
  <c r="AH1002" i="17"/>
  <c r="AJ1002" i="17" s="1"/>
  <c r="AH178" i="17"/>
  <c r="AJ178" i="17" s="1"/>
  <c r="AH834" i="17"/>
  <c r="AJ834" i="17" s="1"/>
  <c r="AH474" i="17"/>
  <c r="AJ474" i="17" s="1"/>
  <c r="AH490" i="17"/>
  <c r="AJ490" i="17" s="1"/>
  <c r="AH850" i="17"/>
  <c r="AJ850" i="17" s="1"/>
  <c r="AH870" i="17"/>
  <c r="AJ870" i="17" s="1"/>
  <c r="AH753" i="17"/>
  <c r="AJ753" i="17" s="1"/>
  <c r="AH477" i="17"/>
  <c r="AJ477" i="17" s="1"/>
  <c r="AH345" i="17"/>
  <c r="AJ345" i="17" s="1"/>
  <c r="AH313" i="17"/>
  <c r="AJ313" i="17" s="1"/>
  <c r="AH529" i="17"/>
  <c r="AJ529" i="17" s="1"/>
  <c r="AH497" i="17"/>
  <c r="AJ497" i="17" s="1"/>
  <c r="AH281" i="17"/>
  <c r="AJ281" i="17" s="1"/>
  <c r="AH1057" i="17"/>
  <c r="AJ1057" i="17" s="1"/>
  <c r="AH796" i="15"/>
  <c r="AJ796" i="15" s="1"/>
  <c r="AH544" i="15"/>
  <c r="AJ544" i="15" s="1"/>
  <c r="AH888" i="15"/>
  <c r="AJ888" i="15" s="1"/>
  <c r="AH1041" i="15"/>
  <c r="AJ1041" i="15" s="1"/>
  <c r="AH333" i="15"/>
  <c r="AJ333" i="15" s="1"/>
  <c r="AH253" i="15"/>
  <c r="AJ253" i="15" s="1"/>
  <c r="AH815" i="15"/>
  <c r="AJ815" i="15" s="1"/>
  <c r="AH838" i="15"/>
  <c r="AJ838" i="15" s="1"/>
  <c r="AH530" i="15"/>
  <c r="AJ530" i="15" s="1"/>
  <c r="AH828" i="15"/>
  <c r="AJ828" i="15" s="1"/>
  <c r="AH428" i="15"/>
  <c r="AJ428" i="15" s="1"/>
  <c r="AH436" i="15"/>
  <c r="AJ436" i="15" s="1"/>
  <c r="AH520" i="15"/>
  <c r="AJ520" i="15" s="1"/>
  <c r="AH61" i="15"/>
  <c r="AJ61" i="15" s="1"/>
  <c r="AH841" i="15"/>
  <c r="AJ841" i="15" s="1"/>
  <c r="AH287" i="15"/>
  <c r="AJ287" i="15" s="1"/>
  <c r="AH463" i="15"/>
  <c r="AJ463" i="15" s="1"/>
  <c r="AH907" i="15"/>
  <c r="AJ907" i="15" s="1"/>
  <c r="AH764" i="15"/>
  <c r="AJ764" i="15" s="1"/>
  <c r="AH372" i="15"/>
  <c r="AJ372" i="15" s="1"/>
  <c r="AH384" i="15"/>
  <c r="AJ384" i="15" s="1"/>
  <c r="AH560" i="15"/>
  <c r="AJ560" i="15" s="1"/>
  <c r="AH525" i="15"/>
  <c r="AJ525" i="15" s="1"/>
  <c r="AH173" i="15"/>
  <c r="AJ173" i="15" s="1"/>
  <c r="AH109" i="15"/>
  <c r="AJ109" i="15" s="1"/>
  <c r="AH543" i="15"/>
  <c r="AJ543" i="15" s="1"/>
  <c r="AH95" i="15"/>
  <c r="AJ95" i="15" s="1"/>
  <c r="AH943" i="15"/>
  <c r="AJ943" i="15" s="1"/>
  <c r="AH1031" i="15"/>
  <c r="AJ1031" i="15" s="1"/>
  <c r="AH526" i="15"/>
  <c r="AJ526" i="15" s="1"/>
  <c r="AH942" i="15"/>
  <c r="AJ942" i="15" s="1"/>
  <c r="AH335" i="15"/>
  <c r="AJ335" i="15" s="1"/>
  <c r="AH978" i="15"/>
  <c r="AJ978" i="15" s="1"/>
  <c r="AH927" i="15"/>
  <c r="AJ927" i="15" s="1"/>
  <c r="AH158" i="15"/>
  <c r="AJ158" i="15" s="1"/>
  <c r="AH495" i="15"/>
  <c r="AJ495" i="15" s="1"/>
  <c r="AH586" i="15"/>
  <c r="AJ586" i="15" s="1"/>
  <c r="AH650" i="15"/>
  <c r="AJ650" i="15" s="1"/>
  <c r="AH302" i="15"/>
  <c r="AJ302" i="15" s="1"/>
  <c r="AH1042" i="15"/>
  <c r="AJ1042" i="15" s="1"/>
  <c r="AH638" i="15"/>
  <c r="AJ638" i="15" s="1"/>
  <c r="AH190" i="15"/>
  <c r="AJ190" i="15" s="1"/>
  <c r="AH466" i="15"/>
  <c r="AJ466" i="15" s="1"/>
  <c r="AH798" i="15"/>
  <c r="AJ798" i="15" s="1"/>
  <c r="AH702" i="15"/>
  <c r="AJ702" i="15" s="1"/>
  <c r="AH518" i="15"/>
  <c r="AJ518" i="15" s="1"/>
  <c r="AH350" i="15"/>
  <c r="AJ350" i="15" s="1"/>
  <c r="AH732" i="17"/>
  <c r="AJ732" i="17" s="1"/>
  <c r="AH156" i="17"/>
  <c r="AJ156" i="17" s="1"/>
  <c r="AH796" i="17"/>
  <c r="AJ796" i="17" s="1"/>
  <c r="AH972" i="17"/>
  <c r="AJ972" i="17" s="1"/>
  <c r="AH892" i="17"/>
  <c r="AJ892" i="17" s="1"/>
  <c r="AH140" i="17"/>
  <c r="AJ140" i="17" s="1"/>
  <c r="AH444" i="17"/>
  <c r="AJ444" i="17" s="1"/>
  <c r="AH1020" i="17"/>
  <c r="AJ1020" i="17" s="1"/>
  <c r="AH940" i="17"/>
  <c r="AJ940" i="17" s="1"/>
  <c r="AH975" i="17"/>
  <c r="AJ975" i="17" s="1"/>
  <c r="AH831" i="17"/>
  <c r="AJ831" i="17" s="1"/>
  <c r="AH303" i="17"/>
  <c r="AJ303" i="17" s="1"/>
  <c r="AH959" i="17"/>
  <c r="AJ959" i="17" s="1"/>
  <c r="AH463" i="17"/>
  <c r="AJ463" i="17" s="1"/>
  <c r="AH191" i="17"/>
  <c r="AJ191" i="17" s="1"/>
  <c r="AH879" i="17"/>
  <c r="AJ879" i="17" s="1"/>
  <c r="AH1022" i="17"/>
  <c r="AJ1022" i="17" s="1"/>
  <c r="AH1070" i="17"/>
  <c r="AJ1070" i="17" s="1"/>
  <c r="AH110" i="17"/>
  <c r="AJ110" i="17" s="1"/>
  <c r="AH1006" i="17"/>
  <c r="AJ1006" i="17" s="1"/>
  <c r="AH285" i="17"/>
  <c r="AJ285" i="17" s="1"/>
  <c r="AH541" i="17"/>
  <c r="AJ541" i="17" s="1"/>
  <c r="AH301" i="17"/>
  <c r="AJ301" i="17" s="1"/>
  <c r="AH97" i="17"/>
  <c r="AJ97" i="17" s="1"/>
  <c r="AH209" i="17"/>
  <c r="AJ209" i="17" s="1"/>
  <c r="AH517" i="17"/>
  <c r="AJ517" i="17" s="1"/>
  <c r="AH159" i="15"/>
  <c r="AJ159" i="15" s="1"/>
  <c r="AH782" i="15"/>
  <c r="AJ782" i="15" s="1"/>
  <c r="AH670" i="15"/>
  <c r="AJ670" i="15" s="1"/>
  <c r="AH651" i="15"/>
  <c r="AJ651" i="15" s="1"/>
  <c r="AH75" i="15"/>
  <c r="AJ75" i="15" s="1"/>
  <c r="AH111" i="15"/>
  <c r="AJ111" i="15" s="1"/>
  <c r="AH266" i="15"/>
  <c r="AJ266" i="15" s="1"/>
  <c r="AH146" i="15"/>
  <c r="AJ146" i="15" s="1"/>
  <c r="AH430" i="15"/>
  <c r="AJ430" i="15" s="1"/>
  <c r="AH722" i="15"/>
  <c r="AJ722" i="15" s="1"/>
  <c r="AH974" i="15"/>
  <c r="AJ974" i="15" s="1"/>
  <c r="AH686" i="15"/>
  <c r="AJ686" i="15" s="1"/>
  <c r="AH750" i="15"/>
  <c r="AJ750" i="15" s="1"/>
  <c r="AH138" i="15"/>
  <c r="AJ138" i="15" s="1"/>
  <c r="AH1006" i="15"/>
  <c r="AJ1006" i="15" s="1"/>
  <c r="AH1034" i="15"/>
  <c r="AJ1034" i="15" s="1"/>
  <c r="AH668" i="17"/>
  <c r="AJ668" i="17" s="1"/>
  <c r="AH812" i="17"/>
  <c r="AJ812" i="17" s="1"/>
  <c r="AH556" i="17"/>
  <c r="AJ556" i="17" s="1"/>
  <c r="AH428" i="17"/>
  <c r="AJ428" i="17" s="1"/>
  <c r="AH364" i="17"/>
  <c r="AJ364" i="17" s="1"/>
  <c r="AH652" i="17"/>
  <c r="AJ652" i="17" s="1"/>
  <c r="AH111" i="17"/>
  <c r="AJ111" i="17" s="1"/>
  <c r="AH447" i="17"/>
  <c r="AJ447" i="17" s="1"/>
  <c r="AH479" i="17"/>
  <c r="AJ479" i="17" s="1"/>
  <c r="AH1007" i="17"/>
  <c r="AJ1007" i="17" s="1"/>
  <c r="AH1038" i="17"/>
  <c r="AJ1038" i="17" s="1"/>
  <c r="AH78" i="17"/>
  <c r="AJ78" i="17" s="1"/>
  <c r="AH238" i="17"/>
  <c r="AJ238" i="17" s="1"/>
  <c r="AH830" i="17"/>
  <c r="AJ830" i="17" s="1"/>
  <c r="AH862" i="17"/>
  <c r="AJ862" i="17" s="1"/>
  <c r="AH493" i="17"/>
  <c r="AJ493" i="17" s="1"/>
  <c r="AH461" i="17"/>
  <c r="AJ461" i="17" s="1"/>
  <c r="AH444" i="15"/>
  <c r="AJ444" i="15" s="1"/>
  <c r="AH740" i="15"/>
  <c r="AJ740" i="15" s="1"/>
  <c r="AH216" i="15"/>
  <c r="AJ216" i="15" s="1"/>
  <c r="AH477" i="15"/>
  <c r="AJ477" i="15" s="1"/>
  <c r="AH734" i="15"/>
  <c r="AJ734" i="15" s="1"/>
  <c r="AH1070" i="15"/>
  <c r="AJ1070" i="15" s="1"/>
  <c r="AH462" i="15"/>
  <c r="AJ462" i="15" s="1"/>
  <c r="AH1038" i="15"/>
  <c r="AJ1038" i="15" s="1"/>
  <c r="AH879" i="15"/>
  <c r="AJ879" i="15" s="1"/>
  <c r="AH851" i="15"/>
  <c r="AJ851" i="15" s="1"/>
  <c r="AH510" i="15"/>
  <c r="AJ510" i="15" s="1"/>
  <c r="AH646" i="15"/>
  <c r="AJ646" i="15" s="1"/>
  <c r="AH78" i="15"/>
  <c r="AJ78" i="15" s="1"/>
  <c r="AH494" i="15"/>
  <c r="AJ494" i="15" s="1"/>
  <c r="AH658" i="15"/>
  <c r="AJ658" i="15" s="1"/>
  <c r="AH267" i="15"/>
  <c r="AJ267" i="15" s="1"/>
  <c r="AH814" i="15"/>
  <c r="AJ814" i="15" s="1"/>
  <c r="AH110" i="15"/>
  <c r="AJ110" i="15" s="1"/>
  <c r="AH238" i="15"/>
  <c r="AJ238" i="15" s="1"/>
  <c r="AH366" i="15"/>
  <c r="AJ366" i="15" s="1"/>
  <c r="AH174" i="15"/>
  <c r="AJ174" i="15" s="1"/>
  <c r="AH124" i="17"/>
  <c r="AJ124" i="17" s="1"/>
  <c r="AH1036" i="17"/>
  <c r="AJ1036" i="17" s="1"/>
  <c r="AH540" i="17"/>
  <c r="AJ540" i="17" s="1"/>
  <c r="AH860" i="17"/>
  <c r="AJ860" i="17" s="1"/>
  <c r="AH460" i="17"/>
  <c r="AJ460" i="17" s="1"/>
  <c r="AH316" i="17"/>
  <c r="AJ316" i="17" s="1"/>
  <c r="AH495" i="17"/>
  <c r="AJ495" i="17" s="1"/>
  <c r="AH895" i="17"/>
  <c r="AJ895" i="17" s="1"/>
  <c r="AH1055" i="17"/>
  <c r="AJ1055" i="17" s="1"/>
  <c r="AH1039" i="17"/>
  <c r="AJ1039" i="17" s="1"/>
  <c r="AH367" i="17"/>
  <c r="AJ367" i="17" s="1"/>
  <c r="AH543" i="17"/>
  <c r="AJ543" i="17" s="1"/>
  <c r="AH847" i="17"/>
  <c r="AJ847" i="17" s="1"/>
  <c r="AH95" i="17"/>
  <c r="AJ95" i="17" s="1"/>
  <c r="AH175" i="17"/>
  <c r="AJ175" i="17" s="1"/>
  <c r="AH319" i="17"/>
  <c r="AJ319" i="17" s="1"/>
  <c r="AH943" i="17"/>
  <c r="AJ943" i="17" s="1"/>
  <c r="AH911" i="17"/>
  <c r="AJ911" i="17" s="1"/>
  <c r="AH462" i="17"/>
  <c r="AJ462" i="17" s="1"/>
  <c r="AH62" i="17"/>
  <c r="AJ62" i="17" s="1"/>
  <c r="AH445" i="17"/>
  <c r="AJ445" i="17" s="1"/>
  <c r="AH509" i="17"/>
  <c r="AJ509" i="17" s="1"/>
  <c r="AH237" i="17"/>
  <c r="AJ237" i="17" s="1"/>
  <c r="AH600" i="15"/>
  <c r="AJ600" i="15" s="1"/>
  <c r="AH337" i="15"/>
  <c r="AJ337" i="15" s="1"/>
  <c r="AH915" i="15"/>
  <c r="AJ915" i="15" s="1"/>
  <c r="AH211" i="15"/>
  <c r="AJ211" i="15" s="1"/>
  <c r="AH979" i="15"/>
  <c r="AJ979" i="15" s="1"/>
  <c r="AH916" i="15"/>
  <c r="AJ916" i="15" s="1"/>
  <c r="AH286" i="15"/>
  <c r="AJ286" i="15" s="1"/>
  <c r="AH984" i="15"/>
  <c r="AJ984" i="15" s="1"/>
  <c r="AH1022" i="15"/>
  <c r="AJ1022" i="15" s="1"/>
  <c r="AH582" i="15"/>
  <c r="AJ582" i="15" s="1"/>
  <c r="AH338" i="15"/>
  <c r="AJ338" i="15" s="1"/>
  <c r="AH82" i="15"/>
  <c r="AJ82" i="15" s="1"/>
  <c r="AH334" i="15"/>
  <c r="AJ334" i="15" s="1"/>
  <c r="AH402" i="15"/>
  <c r="AJ402" i="15" s="1"/>
  <c r="AH558" i="15"/>
  <c r="AJ558" i="15" s="1"/>
  <c r="AH990" i="15"/>
  <c r="AJ990" i="15" s="1"/>
  <c r="AH622" i="15"/>
  <c r="AJ622" i="15" s="1"/>
  <c r="AH846" i="15"/>
  <c r="AJ846" i="15" s="1"/>
  <c r="AH326" i="15"/>
  <c r="AJ326" i="15" s="1"/>
  <c r="AH844" i="17"/>
  <c r="AJ844" i="17" s="1"/>
  <c r="AH220" i="17"/>
  <c r="AJ220" i="17" s="1"/>
  <c r="AH332" i="17"/>
  <c r="AJ332" i="17" s="1"/>
  <c r="AH924" i="17"/>
  <c r="AJ924" i="17" s="1"/>
  <c r="AH431" i="17"/>
  <c r="AJ431" i="17" s="1"/>
  <c r="AH79" i="17"/>
  <c r="AJ79" i="17" s="1"/>
  <c r="AH559" i="17"/>
  <c r="AJ559" i="17" s="1"/>
  <c r="AH222" i="17"/>
  <c r="AJ222" i="17" s="1"/>
  <c r="AH318" i="17"/>
  <c r="AJ318" i="17" s="1"/>
  <c r="AH286" i="17"/>
  <c r="AJ286" i="17" s="1"/>
  <c r="AH558" i="17"/>
  <c r="AJ558" i="17" s="1"/>
  <c r="AH878" i="17"/>
  <c r="AJ878" i="17" s="1"/>
  <c r="AH846" i="17"/>
  <c r="AJ846" i="17" s="1"/>
  <c r="AH205" i="17"/>
  <c r="AJ205" i="17" s="1"/>
  <c r="AH77" i="17"/>
  <c r="AJ77" i="17" s="1"/>
  <c r="AH325" i="15"/>
  <c r="AJ325" i="15" s="1"/>
  <c r="AH902" i="15"/>
  <c r="AJ902" i="15" s="1"/>
  <c r="AH653" i="15"/>
  <c r="AJ653" i="15" s="1"/>
  <c r="AH365" i="15"/>
  <c r="AJ365" i="15" s="1"/>
  <c r="AH783" i="15"/>
  <c r="AJ783" i="15" s="1"/>
  <c r="AH659" i="15"/>
  <c r="AJ659" i="15" s="1"/>
  <c r="AH270" i="15"/>
  <c r="AJ270" i="15" s="1"/>
  <c r="AH911" i="15"/>
  <c r="AJ911" i="15" s="1"/>
  <c r="AH74" i="15"/>
  <c r="AJ74" i="15" s="1"/>
  <c r="AH775" i="15"/>
  <c r="AJ775" i="15" s="1"/>
  <c r="AH69" i="15"/>
  <c r="AJ69" i="15" s="1"/>
  <c r="AH654" i="15"/>
  <c r="AJ654" i="15" s="1"/>
  <c r="AH906" i="15"/>
  <c r="AJ906" i="15" s="1"/>
  <c r="AH590" i="15"/>
  <c r="AJ590" i="15" s="1"/>
  <c r="AH108" i="17"/>
  <c r="AJ108" i="17" s="1"/>
  <c r="AH76" i="17"/>
  <c r="AJ76" i="17" s="1"/>
  <c r="AH204" i="17"/>
  <c r="AJ204" i="17" s="1"/>
  <c r="AH524" i="17"/>
  <c r="AJ524" i="17" s="1"/>
  <c r="AH268" i="17"/>
  <c r="AJ268" i="17" s="1"/>
  <c r="AH412" i="17"/>
  <c r="AJ412" i="17" s="1"/>
  <c r="AH172" i="17"/>
  <c r="AJ172" i="17" s="1"/>
  <c r="AH876" i="17"/>
  <c r="AJ876" i="17" s="1"/>
  <c r="AH863" i="17"/>
  <c r="AJ863" i="17" s="1"/>
  <c r="AH287" i="17"/>
  <c r="AJ287" i="17" s="1"/>
  <c r="AH1023" i="17"/>
  <c r="AJ1023" i="17" s="1"/>
  <c r="AH271" i="17"/>
  <c r="AJ271" i="17" s="1"/>
  <c r="AH335" i="17"/>
  <c r="AJ335" i="17" s="1"/>
  <c r="AH270" i="17"/>
  <c r="AJ270" i="17" s="1"/>
  <c r="AH526" i="17"/>
  <c r="AJ526" i="17" s="1"/>
  <c r="AH990" i="17"/>
  <c r="AJ990" i="17" s="1"/>
  <c r="AH206" i="17"/>
  <c r="AJ206" i="17" s="1"/>
  <c r="AH366" i="17"/>
  <c r="AJ366" i="17" s="1"/>
  <c r="AH958" i="17"/>
  <c r="AJ958" i="17" s="1"/>
  <c r="AH269" i="17"/>
  <c r="AJ269" i="17" s="1"/>
  <c r="AH557" i="17"/>
  <c r="AJ557" i="17" s="1"/>
  <c r="AH221" i="17"/>
  <c r="AJ221" i="17" s="1"/>
  <c r="AH305" i="17"/>
  <c r="AJ305" i="17" s="1"/>
  <c r="AH965" i="17"/>
  <c r="AJ965" i="17" s="1"/>
  <c r="AH1055" i="15"/>
  <c r="AJ1055" i="15" s="1"/>
  <c r="AH824" i="15"/>
  <c r="AJ824" i="15" s="1"/>
  <c r="AH564" i="15"/>
  <c r="AJ564" i="15" s="1"/>
  <c r="AH308" i="15"/>
  <c r="AJ308" i="15" s="1"/>
  <c r="AH228" i="15"/>
  <c r="AJ228" i="15" s="1"/>
  <c r="AH925" i="15"/>
  <c r="AJ925" i="15" s="1"/>
  <c r="AH733" i="15"/>
  <c r="AJ733" i="15" s="1"/>
  <c r="AH607" i="15"/>
  <c r="AJ607" i="15" s="1"/>
  <c r="AH147" i="15"/>
  <c r="AJ147" i="15" s="1"/>
  <c r="AH531" i="15"/>
  <c r="AJ531" i="15" s="1"/>
  <c r="AH1028" i="15"/>
  <c r="AJ1028" i="15" s="1"/>
  <c r="AH548" i="15"/>
  <c r="AJ548" i="15" s="1"/>
  <c r="AH148" i="15"/>
  <c r="AJ148" i="15" s="1"/>
  <c r="AH840" i="15"/>
  <c r="AJ840" i="15" s="1"/>
  <c r="AH541" i="15"/>
  <c r="AJ541" i="15" s="1"/>
  <c r="AH895" i="15"/>
  <c r="AJ895" i="15" s="1"/>
  <c r="AH395" i="15"/>
  <c r="AJ395" i="15" s="1"/>
  <c r="AH542" i="15"/>
  <c r="AJ542" i="15" s="1"/>
  <c r="AH768" i="15"/>
  <c r="AJ768" i="15" s="1"/>
  <c r="AH264" i="15"/>
  <c r="AJ264" i="15" s="1"/>
  <c r="AH1000" i="15"/>
  <c r="AJ1000" i="15" s="1"/>
  <c r="AH1036" i="15"/>
  <c r="AJ1036" i="15" s="1"/>
  <c r="AH893" i="15"/>
  <c r="AJ893" i="15" s="1"/>
  <c r="AH1053" i="15"/>
  <c r="AJ1053" i="15" s="1"/>
  <c r="AH687" i="15"/>
  <c r="AJ687" i="15" s="1"/>
  <c r="AH139" i="15"/>
  <c r="AJ139" i="15" s="1"/>
  <c r="AH723" i="15"/>
  <c r="AJ723" i="15" s="1"/>
  <c r="AH479" i="15"/>
  <c r="AJ479" i="15" s="1"/>
  <c r="AH1056" i="15"/>
  <c r="AJ1056" i="15" s="1"/>
  <c r="AH420" i="15"/>
  <c r="AJ420" i="15" s="1"/>
  <c r="AH996" i="15"/>
  <c r="AJ996" i="15" s="1"/>
  <c r="AH400" i="15"/>
  <c r="AJ400" i="15" s="1"/>
  <c r="AH969" i="15"/>
  <c r="AJ969" i="15" s="1"/>
  <c r="AH201" i="15"/>
  <c r="AJ201" i="15" s="1"/>
  <c r="AH261" i="15"/>
  <c r="AJ261" i="15" s="1"/>
  <c r="AH831" i="15"/>
  <c r="AJ831" i="15" s="1"/>
  <c r="AH459" i="15"/>
  <c r="AJ459" i="15" s="1"/>
  <c r="AH574" i="15"/>
  <c r="AJ574" i="15" s="1"/>
  <c r="AH774" i="15"/>
  <c r="AJ774" i="15" s="1"/>
  <c r="AH842" i="15"/>
  <c r="AJ842" i="15" s="1"/>
  <c r="AH656" i="15"/>
  <c r="AJ656" i="15" s="1"/>
  <c r="AH223" i="15"/>
  <c r="AJ223" i="15" s="1"/>
  <c r="AH718" i="15"/>
  <c r="AJ718" i="15" s="1"/>
  <c r="AH575" i="15"/>
  <c r="AJ575" i="15" s="1"/>
  <c r="AH967" i="15"/>
  <c r="AJ967" i="15" s="1"/>
  <c r="AH843" i="15"/>
  <c r="AJ843" i="15" s="1"/>
  <c r="AH398" i="15"/>
  <c r="AJ398" i="15" s="1"/>
  <c r="AH849" i="15"/>
  <c r="AJ849" i="15" s="1"/>
  <c r="AH766" i="15"/>
  <c r="AJ766" i="15" s="1"/>
  <c r="AH606" i="15"/>
  <c r="AJ606" i="15" s="1"/>
  <c r="AH527" i="15"/>
  <c r="AJ527" i="15" s="1"/>
  <c r="AH894" i="15"/>
  <c r="AJ894" i="15" s="1"/>
  <c r="AH1052" i="17"/>
  <c r="AJ1052" i="17" s="1"/>
  <c r="AH828" i="17"/>
  <c r="AJ828" i="17" s="1"/>
  <c r="AH60" i="17"/>
  <c r="AJ60" i="17" s="1"/>
  <c r="AH380" i="17"/>
  <c r="AJ380" i="17" s="1"/>
  <c r="AH300" i="17"/>
  <c r="AJ300" i="17" s="1"/>
  <c r="AH348" i="17"/>
  <c r="AJ348" i="17" s="1"/>
  <c r="AH351" i="17"/>
  <c r="AJ351" i="17" s="1"/>
  <c r="AH63" i="17"/>
  <c r="AJ63" i="17" s="1"/>
  <c r="AH510" i="17"/>
  <c r="AJ510" i="17" s="1"/>
  <c r="AH190" i="17"/>
  <c r="AJ190" i="17" s="1"/>
  <c r="AH446" i="17"/>
  <c r="AJ446" i="17" s="1"/>
  <c r="AH254" i="17"/>
  <c r="AJ254" i="17" s="1"/>
  <c r="AH1054" i="17"/>
  <c r="AJ1054" i="17" s="1"/>
  <c r="AH317" i="17"/>
  <c r="AJ317" i="17" s="1"/>
  <c r="AH1029" i="17"/>
  <c r="AJ1029" i="17" s="1"/>
  <c r="AH189" i="17"/>
  <c r="AJ189" i="17" s="1"/>
  <c r="AH469" i="17"/>
  <c r="AJ469" i="17" s="1"/>
  <c r="AH465" i="17"/>
  <c r="AJ465" i="17" s="1"/>
  <c r="AH414" i="15"/>
  <c r="AJ414" i="15" s="1"/>
  <c r="AH383" i="15"/>
  <c r="AJ383" i="15" s="1"/>
  <c r="AH903" i="15"/>
  <c r="AJ903" i="15" s="1"/>
  <c r="AH914" i="15"/>
  <c r="AJ914" i="15" s="1"/>
  <c r="AH274" i="15"/>
  <c r="AJ274" i="15" s="1"/>
  <c r="AH252" i="17"/>
  <c r="AJ252" i="17" s="1"/>
  <c r="AH396" i="17"/>
  <c r="AJ396" i="17" s="1"/>
  <c r="AH127" i="17"/>
  <c r="AJ127" i="17" s="1"/>
  <c r="AH143" i="17"/>
  <c r="AJ143" i="17" s="1"/>
  <c r="AH751" i="17"/>
  <c r="AJ751" i="17" s="1"/>
  <c r="AH527" i="17"/>
  <c r="AJ527" i="17" s="1"/>
  <c r="AH207" i="17"/>
  <c r="AJ207" i="17" s="1"/>
  <c r="AH1071" i="17"/>
  <c r="AJ1071" i="17" s="1"/>
  <c r="AH974" i="17"/>
  <c r="AJ974" i="17" s="1"/>
  <c r="AH542" i="17"/>
  <c r="AJ542" i="17" s="1"/>
  <c r="AH478" i="17"/>
  <c r="AJ478" i="17" s="1"/>
  <c r="AH334" i="17"/>
  <c r="AJ334" i="17" s="1"/>
  <c r="AH1037" i="17"/>
  <c r="AJ1037" i="17" s="1"/>
  <c r="AH845" i="17"/>
  <c r="AJ845" i="17" s="1"/>
  <c r="AH365" i="17"/>
  <c r="AJ365" i="17" s="1"/>
  <c r="AH289" i="17"/>
  <c r="AJ289" i="17" s="1"/>
  <c r="AH825" i="17"/>
  <c r="AJ825" i="17" s="1"/>
  <c r="AH69" i="17"/>
  <c r="AJ69" i="17" s="1"/>
  <c r="AH113" i="17"/>
  <c r="AJ113" i="17" s="1"/>
  <c r="AH369" i="17"/>
  <c r="AJ369" i="17" s="1"/>
  <c r="AH853" i="17"/>
  <c r="AJ853" i="17" s="1"/>
  <c r="AH65" i="17"/>
  <c r="AJ65" i="17" s="1"/>
  <c r="AH101" i="17"/>
  <c r="AJ101" i="17" s="1"/>
  <c r="AH873" i="17"/>
  <c r="AJ873" i="17" s="1"/>
  <c r="AH886" i="15"/>
  <c r="AJ886" i="15" s="1"/>
  <c r="AH910" i="15"/>
  <c r="AJ910" i="15" s="1"/>
  <c r="AH1054" i="15"/>
  <c r="AJ1054" i="15" s="1"/>
  <c r="AH85" i="17"/>
  <c r="AJ85" i="17" s="1"/>
  <c r="AH969" i="17"/>
  <c r="AJ969" i="17" s="1"/>
  <c r="AH105" i="17"/>
  <c r="AJ105" i="17" s="1"/>
  <c r="AH869" i="17"/>
  <c r="AJ869" i="17" s="1"/>
  <c r="AH865" i="17"/>
  <c r="AJ865" i="17" s="1"/>
  <c r="AH914" i="17"/>
  <c r="AJ914" i="17" s="1"/>
  <c r="AH861" i="17"/>
  <c r="AJ861" i="17" s="1"/>
  <c r="AH93" i="17"/>
  <c r="AJ93" i="17" s="1"/>
  <c r="AH857" i="17"/>
  <c r="AJ857" i="17" s="1"/>
  <c r="AH565" i="17"/>
  <c r="AJ565" i="17" s="1"/>
  <c r="AH837" i="17"/>
  <c r="AJ837" i="17" s="1"/>
  <c r="AH349" i="17"/>
  <c r="AJ349" i="17" s="1"/>
  <c r="AH109" i="17"/>
  <c r="AJ109" i="17" s="1"/>
  <c r="AH241" i="17"/>
  <c r="AJ241" i="17" s="1"/>
  <c r="AH953" i="17"/>
  <c r="AJ953" i="17" s="1"/>
  <c r="AH225" i="17"/>
  <c r="AJ225" i="17" s="1"/>
  <c r="AH361" i="17"/>
  <c r="AJ361" i="17" s="1"/>
  <c r="AH81" i="17"/>
  <c r="AJ81" i="17" s="1"/>
  <c r="AH481" i="17"/>
  <c r="AJ481" i="17" s="1"/>
  <c r="AH525" i="17"/>
  <c r="AJ525" i="17" s="1"/>
  <c r="AH745" i="17"/>
  <c r="AJ745" i="17" s="1"/>
  <c r="AH1061" i="17"/>
  <c r="AJ1061" i="17" s="1"/>
  <c r="AH1017" i="17"/>
  <c r="AJ1017" i="17" s="1"/>
  <c r="AH201" i="17"/>
  <c r="AJ201" i="17" s="1"/>
  <c r="AH265" i="17"/>
  <c r="AJ265" i="17" s="1"/>
  <c r="AH457" i="17"/>
  <c r="AJ457" i="17" s="1"/>
  <c r="AH833" i="17"/>
  <c r="AJ833" i="17" s="1"/>
  <c r="AH970" i="15"/>
  <c r="AJ970" i="15" s="1"/>
  <c r="AH489" i="17"/>
  <c r="AJ489" i="17" s="1"/>
  <c r="AH533" i="17"/>
  <c r="AJ533" i="17" s="1"/>
  <c r="AH989" i="17"/>
  <c r="AJ989" i="17" s="1"/>
  <c r="AH877" i="17"/>
  <c r="AJ877" i="17" s="1"/>
  <c r="AH957" i="17"/>
  <c r="AJ957" i="17" s="1"/>
  <c r="AH501" i="17"/>
  <c r="AJ501" i="17" s="1"/>
  <c r="AH449" i="17"/>
  <c r="AJ449" i="17" s="1"/>
  <c r="AH1053" i="17"/>
  <c r="AJ1053" i="17" s="1"/>
  <c r="AH61" i="17"/>
  <c r="AJ61" i="17" s="1"/>
  <c r="AH710" i="15"/>
  <c r="AJ710" i="15" s="1"/>
  <c r="AH330" i="15"/>
  <c r="AJ330" i="15" s="1"/>
  <c r="AH854" i="15"/>
  <c r="AJ854" i="15" s="1"/>
  <c r="AH342" i="15"/>
  <c r="AJ342" i="15" s="1"/>
  <c r="AH202" i="15"/>
  <c r="AJ202" i="15" s="1"/>
  <c r="AH52" i="15"/>
  <c r="AJ52" i="15" s="1"/>
  <c r="AH736" i="17"/>
  <c r="AJ736" i="17" s="1"/>
  <c r="AH660" i="17"/>
  <c r="AJ660" i="17" s="1"/>
  <c r="AH756" i="17"/>
  <c r="AJ756" i="17" s="1"/>
  <c r="AH772" i="17"/>
  <c r="AJ772" i="17" s="1"/>
  <c r="AH807" i="17"/>
  <c r="AJ807" i="17" s="1"/>
  <c r="AH663" i="17"/>
  <c r="AJ663" i="17" s="1"/>
  <c r="AH727" i="17"/>
  <c r="AJ727" i="17" s="1"/>
  <c r="AH611" i="17"/>
  <c r="AJ611" i="17" s="1"/>
  <c r="AH571" i="17"/>
  <c r="AJ571" i="17" s="1"/>
  <c r="AH607" i="17"/>
  <c r="AJ607" i="17" s="1"/>
  <c r="AH699" i="17"/>
  <c r="AJ699" i="17" s="1"/>
  <c r="AH591" i="17"/>
  <c r="AJ591" i="17" s="1"/>
  <c r="AH779" i="17"/>
  <c r="AJ779" i="17" s="1"/>
  <c r="AH794" i="17"/>
  <c r="AJ794" i="17" s="1"/>
  <c r="AH706" i="17"/>
  <c r="AJ706" i="17" s="1"/>
  <c r="AH602" i="17"/>
  <c r="AJ602" i="17" s="1"/>
  <c r="AH766" i="17"/>
  <c r="AJ766" i="17" s="1"/>
  <c r="AH606" i="17"/>
  <c r="AJ606" i="17" s="1"/>
  <c r="AH817" i="17"/>
  <c r="AJ817" i="17" s="1"/>
  <c r="AH693" i="17"/>
  <c r="AJ693" i="17" s="1"/>
  <c r="AH813" i="17"/>
  <c r="AJ813" i="17" s="1"/>
  <c r="AH613" i="17"/>
  <c r="AJ613" i="17" s="1"/>
  <c r="AH605" i="17"/>
  <c r="AJ605" i="17" s="1"/>
  <c r="AH569" i="17"/>
  <c r="AJ569" i="17" s="1"/>
  <c r="AH829" i="17"/>
  <c r="AJ829" i="17" s="1"/>
  <c r="AH599" i="17"/>
  <c r="AJ599" i="17" s="1"/>
  <c r="AH775" i="17"/>
  <c r="AJ775" i="17" s="1"/>
  <c r="AH623" i="17"/>
  <c r="AJ623" i="17" s="1"/>
  <c r="AH711" i="17"/>
  <c r="AJ711" i="17" s="1"/>
  <c r="AH598" i="17"/>
  <c r="AJ598" i="17" s="1"/>
  <c r="AH742" i="17"/>
  <c r="AJ742" i="17" s="1"/>
  <c r="AH622" i="17"/>
  <c r="AJ622" i="17" s="1"/>
  <c r="AH730" i="17"/>
  <c r="AJ730" i="17" s="1"/>
  <c r="AH702" i="17"/>
  <c r="AJ702" i="17" s="1"/>
  <c r="AH749" i="17"/>
  <c r="AJ749" i="17" s="1"/>
  <c r="AH809" i="17"/>
  <c r="AJ809" i="17" s="1"/>
  <c r="AH777" i="17"/>
  <c r="AJ777" i="17" s="1"/>
  <c r="AH757" i="17"/>
  <c r="AJ757" i="17" s="1"/>
  <c r="AH585" i="17"/>
  <c r="AJ585" i="17" s="1"/>
  <c r="AH729" i="17"/>
  <c r="AJ729" i="17" s="1"/>
  <c r="AH701" i="17"/>
  <c r="AJ701" i="17" s="1"/>
  <c r="AH692" i="17"/>
  <c r="AJ692" i="17" s="1"/>
  <c r="AH731" i="17"/>
  <c r="AJ731" i="17" s="1"/>
  <c r="AH815" i="17"/>
  <c r="AJ815" i="17" s="1"/>
  <c r="AH819" i="17"/>
  <c r="AJ819" i="17" s="1"/>
  <c r="AH595" i="17"/>
  <c r="AJ595" i="17" s="1"/>
  <c r="AH799" i="17"/>
  <c r="AJ799" i="17" s="1"/>
  <c r="AH647" i="17"/>
  <c r="AJ647" i="17" s="1"/>
  <c r="AH575" i="17"/>
  <c r="AJ575" i="17" s="1"/>
  <c r="AH603" i="17"/>
  <c r="AJ603" i="17" s="1"/>
  <c r="AH798" i="17"/>
  <c r="AJ798" i="17" s="1"/>
  <c r="AH722" i="17"/>
  <c r="AJ722" i="17" s="1"/>
  <c r="AH566" i="17"/>
  <c r="AJ566" i="17" s="1"/>
  <c r="AH574" i="17"/>
  <c r="AJ574" i="17" s="1"/>
  <c r="AH786" i="17"/>
  <c r="AJ786" i="17" s="1"/>
  <c r="AH801" i="17"/>
  <c r="AJ801" i="17" s="1"/>
  <c r="AH721" i="17"/>
  <c r="AJ721" i="17" s="1"/>
  <c r="AH581" i="17"/>
  <c r="AJ581" i="17" s="1"/>
  <c r="AH708" i="17"/>
  <c r="AJ708" i="17" s="1"/>
  <c r="AH740" i="17"/>
  <c r="AJ740" i="17" s="1"/>
  <c r="AH579" i="17"/>
  <c r="AJ579" i="17" s="1"/>
  <c r="AH783" i="17"/>
  <c r="AJ783" i="17" s="1"/>
  <c r="AH791" i="17"/>
  <c r="AJ791" i="17" s="1"/>
  <c r="AH655" i="17"/>
  <c r="AJ655" i="17" s="1"/>
  <c r="AH735" i="17"/>
  <c r="AJ735" i="17" s="1"/>
  <c r="AH619" i="17"/>
  <c r="AJ619" i="17" s="1"/>
  <c r="AH630" i="17"/>
  <c r="AJ630" i="17" s="1"/>
  <c r="AH782" i="17"/>
  <c r="AJ782" i="17" s="1"/>
  <c r="AH694" i="17"/>
  <c r="AJ694" i="17" s="1"/>
  <c r="AH802" i="17"/>
  <c r="AJ802" i="17" s="1"/>
  <c r="AH765" i="17"/>
  <c r="AJ765" i="17" s="1"/>
  <c r="AH621" i="17"/>
  <c r="AJ621" i="17" s="1"/>
  <c r="AH808" i="17"/>
  <c r="AJ808" i="17" s="1"/>
  <c r="AH640" i="17"/>
  <c r="AJ640" i="17" s="1"/>
  <c r="AH676" i="17"/>
  <c r="AJ676" i="17" s="1"/>
  <c r="AH588" i="17"/>
  <c r="AJ588" i="17" s="1"/>
  <c r="AH628" i="17"/>
  <c r="AJ628" i="17" s="1"/>
  <c r="AH700" i="17"/>
  <c r="AJ700" i="17" s="1"/>
  <c r="AH764" i="17"/>
  <c r="AJ764" i="17" s="1"/>
  <c r="AH671" i="17"/>
  <c r="AJ671" i="17" s="1"/>
  <c r="AH743" i="17"/>
  <c r="AJ743" i="17" s="1"/>
  <c r="AH615" i="17"/>
  <c r="AJ615" i="17" s="1"/>
  <c r="AH755" i="17"/>
  <c r="AJ755" i="17" s="1"/>
  <c r="AH715" i="17"/>
  <c r="AJ715" i="17" s="1"/>
  <c r="AH814" i="17"/>
  <c r="AJ814" i="17" s="1"/>
  <c r="AH738" i="17"/>
  <c r="AJ738" i="17" s="1"/>
  <c r="AH790" i="17"/>
  <c r="AJ790" i="17" s="1"/>
  <c r="AH594" i="17"/>
  <c r="AJ594" i="17" s="1"/>
  <c r="AH746" i="17"/>
  <c r="AJ746" i="17" s="1"/>
  <c r="AH586" i="17"/>
  <c r="AJ586" i="17" s="1"/>
  <c r="AH774" i="17"/>
  <c r="AJ774" i="17" s="1"/>
  <c r="AH610" i="17"/>
  <c r="AJ610" i="17" s="1"/>
  <c r="AH614" i="17"/>
  <c r="AJ614" i="17" s="1"/>
  <c r="AH726" i="17"/>
  <c r="AJ726" i="17" s="1"/>
  <c r="AH710" i="17"/>
  <c r="AJ710" i="17" s="1"/>
  <c r="AH737" i="17"/>
  <c r="AJ737" i="17" s="1"/>
  <c r="AH625" i="17"/>
  <c r="AJ625" i="17" s="1"/>
  <c r="AH761" i="17"/>
  <c r="AJ761" i="17" s="1"/>
  <c r="AH797" i="17"/>
  <c r="AJ797" i="17" s="1"/>
  <c r="AH805" i="17"/>
  <c r="AJ805" i="17" s="1"/>
  <c r="AH717" i="17"/>
  <c r="AJ717" i="17" s="1"/>
  <c r="AH583" i="15"/>
  <c r="AJ583" i="15" s="1"/>
  <c r="AH234" i="15"/>
  <c r="AJ234" i="15" s="1"/>
  <c r="AH956" i="15"/>
  <c r="AJ956" i="15" s="1"/>
  <c r="AH183" i="15"/>
  <c r="AJ183" i="15" s="1"/>
  <c r="AH194" i="15"/>
  <c r="AJ194" i="15" s="1"/>
  <c r="AH742" i="15"/>
  <c r="AJ742" i="15" s="1"/>
  <c r="AH823" i="15"/>
  <c r="AJ823" i="15" s="1"/>
  <c r="AH962" i="15"/>
  <c r="AJ962" i="15" s="1"/>
  <c r="AH450" i="15"/>
  <c r="AJ450" i="15" s="1"/>
  <c r="AH882" i="15"/>
  <c r="AJ882" i="15" s="1"/>
  <c r="AH482" i="15"/>
  <c r="AJ482" i="15" s="1"/>
  <c r="AH327" i="15"/>
  <c r="AJ327" i="15" s="1"/>
  <c r="AH182" i="15"/>
  <c r="AJ182" i="15" s="1"/>
  <c r="AH874" i="15"/>
  <c r="AJ874" i="15" s="1"/>
  <c r="AH106" i="15"/>
  <c r="AJ106" i="15" s="1"/>
  <c r="AH744" i="17"/>
  <c r="AJ744" i="17" s="1"/>
  <c r="AH576" i="17"/>
  <c r="AJ576" i="17" s="1"/>
  <c r="AH624" i="17"/>
  <c r="AJ624" i="17" s="1"/>
  <c r="AH604" i="17"/>
  <c r="AJ604" i="17" s="1"/>
  <c r="AH572" i="17"/>
  <c r="AJ572" i="17" s="1"/>
  <c r="AH564" i="17"/>
  <c r="AJ564" i="17" s="1"/>
  <c r="AH596" i="17"/>
  <c r="AJ596" i="17" s="1"/>
  <c r="AH800" i="17"/>
  <c r="AJ800" i="17" s="1"/>
  <c r="AH719" i="17"/>
  <c r="AJ719" i="17" s="1"/>
  <c r="AH567" i="17"/>
  <c r="AJ567" i="17" s="1"/>
  <c r="AH747" i="17"/>
  <c r="AJ747" i="17" s="1"/>
  <c r="AH759" i="17"/>
  <c r="AJ759" i="17" s="1"/>
  <c r="AH627" i="17"/>
  <c r="AJ627" i="17" s="1"/>
  <c r="AH707" i="17"/>
  <c r="AJ707" i="17" s="1"/>
  <c r="AH803" i="17"/>
  <c r="AJ803" i="17" s="1"/>
  <c r="AH810" i="17"/>
  <c r="AJ810" i="17" s="1"/>
  <c r="AH750" i="17"/>
  <c r="AJ750" i="17" s="1"/>
  <c r="AH754" i="17"/>
  <c r="AJ754" i="17" s="1"/>
  <c r="AH582" i="17"/>
  <c r="AJ582" i="17" s="1"/>
  <c r="AH609" i="17"/>
  <c r="AJ609" i="17" s="1"/>
  <c r="AH593" i="17"/>
  <c r="AJ593" i="17" s="1"/>
  <c r="AH725" i="17"/>
  <c r="AJ725" i="17" s="1"/>
  <c r="AH741" i="17"/>
  <c r="AJ741" i="17" s="1"/>
  <c r="AH577" i="17"/>
  <c r="AJ577" i="17" s="1"/>
  <c r="AH709" i="17"/>
  <c r="AJ709" i="17" s="1"/>
  <c r="AH1005" i="17"/>
  <c r="AJ1005" i="17" s="1"/>
  <c r="AH454" i="15"/>
  <c r="AJ454" i="15" s="1"/>
  <c r="AH693" i="15"/>
  <c r="AJ693" i="15" s="1"/>
  <c r="AH198" i="15"/>
  <c r="AJ198" i="15" s="1"/>
  <c r="AH322" i="15"/>
  <c r="AJ322" i="15" s="1"/>
  <c r="AH746" i="15"/>
  <c r="AJ746" i="15" s="1"/>
  <c r="AH826" i="15"/>
  <c r="AJ826" i="15" s="1"/>
  <c r="AH370" i="15"/>
  <c r="AJ370" i="15" s="1"/>
  <c r="AH950" i="15"/>
  <c r="AJ950" i="15" s="1"/>
  <c r="AH830" i="15"/>
  <c r="AJ830" i="15" s="1"/>
  <c r="AH446" i="15"/>
  <c r="AJ446" i="15" s="1"/>
  <c r="AH102" i="15"/>
  <c r="AJ102" i="15" s="1"/>
  <c r="AH966" i="15"/>
  <c r="AJ966" i="15" s="1"/>
  <c r="AH458" i="15"/>
  <c r="AJ458" i="15" s="1"/>
  <c r="AH878" i="15"/>
  <c r="AJ878" i="15" s="1"/>
  <c r="AH986" i="15"/>
  <c r="AJ986" i="15" s="1"/>
  <c r="AH70" i="15"/>
  <c r="AJ70" i="15" s="1"/>
  <c r="AH664" i="17"/>
  <c r="AJ664" i="17" s="1"/>
  <c r="AH684" i="17"/>
  <c r="AJ684" i="17" s="1"/>
  <c r="AH612" i="17"/>
  <c r="AJ612" i="17" s="1"/>
  <c r="AH784" i="17"/>
  <c r="AJ784" i="17" s="1"/>
  <c r="AH644" i="17"/>
  <c r="AJ644" i="17" s="1"/>
  <c r="AH620" i="17"/>
  <c r="AJ620" i="17" s="1"/>
  <c r="AH748" i="17"/>
  <c r="AJ748" i="17" s="1"/>
  <c r="AH716" i="17"/>
  <c r="AJ716" i="17" s="1"/>
  <c r="AH712" i="17"/>
  <c r="AJ712" i="17" s="1"/>
  <c r="AH583" i="17"/>
  <c r="AJ583" i="17" s="1"/>
  <c r="AH767" i="17"/>
  <c r="AJ767" i="17" s="1"/>
  <c r="AH723" i="17"/>
  <c r="AJ723" i="17" s="1"/>
  <c r="AH659" i="17"/>
  <c r="AJ659" i="17" s="1"/>
  <c r="AH703" i="17"/>
  <c r="AJ703" i="17" s="1"/>
  <c r="AH787" i="17"/>
  <c r="AJ787" i="17" s="1"/>
  <c r="AH771" i="17"/>
  <c r="AJ771" i="17" s="1"/>
  <c r="AH635" i="17"/>
  <c r="AJ635" i="17" s="1"/>
  <c r="AH714" i="17"/>
  <c r="AJ714" i="17" s="1"/>
  <c r="AH590" i="17"/>
  <c r="AJ590" i="17" s="1"/>
  <c r="AH806" i="17"/>
  <c r="AJ806" i="17" s="1"/>
  <c r="AH578" i="17"/>
  <c r="AJ578" i="17" s="1"/>
  <c r="AH618" i="17"/>
  <c r="AJ618" i="17" s="1"/>
  <c r="AH570" i="17"/>
  <c r="AJ570" i="17" s="1"/>
  <c r="AH734" i="17"/>
  <c r="AJ734" i="17" s="1"/>
  <c r="AH718" i="17"/>
  <c r="AJ718" i="17" s="1"/>
  <c r="AH770" i="17"/>
  <c r="AJ770" i="17" s="1"/>
  <c r="AH589" i="17"/>
  <c r="AJ589" i="17" s="1"/>
  <c r="AH769" i="17"/>
  <c r="AJ769" i="17" s="1"/>
  <c r="AH601" i="17"/>
  <c r="AJ601" i="17" s="1"/>
  <c r="AH713" i="17"/>
  <c r="AJ713" i="17" s="1"/>
  <c r="AH617" i="17"/>
  <c r="AJ617" i="17" s="1"/>
  <c r="AH1073" i="17"/>
  <c r="AJ1073" i="17" s="1"/>
  <c r="AH937" i="17"/>
  <c r="AJ937" i="17" s="1"/>
  <c r="AH662" i="17"/>
  <c r="AJ662" i="17" s="1"/>
  <c r="AH658" i="17"/>
  <c r="AJ658" i="17" s="1"/>
  <c r="AH922" i="17"/>
  <c r="AJ922" i="17" s="1"/>
  <c r="AH421" i="17"/>
  <c r="AJ421" i="17" s="1"/>
  <c r="AH645" i="17"/>
  <c r="AJ645" i="17" s="1"/>
  <c r="AH161" i="17"/>
  <c r="AJ161" i="17" s="1"/>
  <c r="AH649" i="17"/>
  <c r="AJ649" i="17" s="1"/>
  <c r="AH179" i="17"/>
  <c r="AJ179" i="17" s="1"/>
  <c r="AH163" i="17"/>
  <c r="AJ163" i="17" s="1"/>
  <c r="AH135" i="17"/>
  <c r="AJ135" i="17" s="1"/>
  <c r="AH643" i="17"/>
  <c r="AJ643" i="17" s="1"/>
  <c r="AH639" i="17"/>
  <c r="AJ639" i="17" s="1"/>
  <c r="AH375" i="17"/>
  <c r="AJ375" i="17" s="1"/>
  <c r="AH903" i="17"/>
  <c r="AJ903" i="17" s="1"/>
  <c r="AH119" i="17"/>
  <c r="AJ119" i="17" s="1"/>
  <c r="AH151" i="17"/>
  <c r="AJ151" i="17" s="1"/>
  <c r="AH651" i="17"/>
  <c r="AJ651" i="17" s="1"/>
  <c r="AH379" i="17"/>
  <c r="AJ379" i="17" s="1"/>
  <c r="AH415" i="17"/>
  <c r="AJ415" i="17" s="1"/>
  <c r="AH691" i="17"/>
  <c r="AJ691" i="17" s="1"/>
  <c r="AH650" i="17"/>
  <c r="AJ650" i="17" s="1"/>
  <c r="AH166" i="17"/>
  <c r="AJ166" i="17" s="1"/>
  <c r="AH386" i="17"/>
  <c r="AJ386" i="17" s="1"/>
  <c r="AH906" i="17"/>
  <c r="AJ906" i="17" s="1"/>
  <c r="AH934" i="17"/>
  <c r="AJ934" i="17" s="1"/>
  <c r="AH429" i="17"/>
  <c r="AJ429" i="17" s="1"/>
  <c r="AH177" i="17"/>
  <c r="AJ177" i="17" s="1"/>
  <c r="AH121" i="17"/>
  <c r="AJ121" i="17" s="1"/>
  <c r="AH665" i="17"/>
  <c r="AJ665" i="17" s="1"/>
  <c r="AH669" i="17"/>
  <c r="AJ669" i="17" s="1"/>
  <c r="AH173" i="17"/>
  <c r="AJ173" i="17" s="1"/>
  <c r="AH637" i="17"/>
  <c r="AJ637" i="17" s="1"/>
  <c r="AH141" i="17"/>
  <c r="AJ141" i="17" s="1"/>
  <c r="AH909" i="17"/>
  <c r="AJ909" i="17" s="1"/>
  <c r="AH159" i="17"/>
  <c r="AJ159" i="17" s="1"/>
  <c r="AH631" i="17"/>
  <c r="AJ631" i="17" s="1"/>
  <c r="AH923" i="17"/>
  <c r="AJ923" i="17" s="1"/>
  <c r="AH419" i="17"/>
  <c r="AJ419" i="17" s="1"/>
  <c r="AH387" i="17"/>
  <c r="AJ387" i="17" s="1"/>
  <c r="AH398" i="17"/>
  <c r="AJ398" i="17" s="1"/>
  <c r="AH690" i="17"/>
  <c r="AJ690" i="17" s="1"/>
  <c r="AH394" i="17"/>
  <c r="AJ394" i="17" s="1"/>
  <c r="AH122" i="17"/>
  <c r="AJ122" i="17" s="1"/>
  <c r="AH886" i="17"/>
  <c r="AJ886" i="17" s="1"/>
  <c r="AH134" i="17"/>
  <c r="AJ134" i="17" s="1"/>
  <c r="AH430" i="17"/>
  <c r="AJ430" i="17" s="1"/>
  <c r="AH426" i="17"/>
  <c r="AJ426" i="17" s="1"/>
  <c r="AH634" i="17"/>
  <c r="AJ634" i="17" s="1"/>
  <c r="AH638" i="17"/>
  <c r="AJ638" i="17" s="1"/>
  <c r="AH686" i="17"/>
  <c r="AJ686" i="17" s="1"/>
  <c r="AH921" i="17"/>
  <c r="AJ921" i="17" s="1"/>
  <c r="AH153" i="17"/>
  <c r="AJ153" i="17" s="1"/>
  <c r="AH385" i="17"/>
  <c r="AJ385" i="17" s="1"/>
  <c r="AH405" i="17"/>
  <c r="AJ405" i="17" s="1"/>
  <c r="AH117" i="17"/>
  <c r="AJ117" i="17" s="1"/>
  <c r="AH425" i="17"/>
  <c r="AJ425" i="17" s="1"/>
  <c r="AH917" i="17"/>
  <c r="AJ917" i="17" s="1"/>
  <c r="AH899" i="17"/>
  <c r="AJ899" i="17" s="1"/>
  <c r="AH382" i="17"/>
  <c r="AJ382" i="17" s="1"/>
  <c r="AH378" i="17"/>
  <c r="AJ378" i="17" s="1"/>
  <c r="AH666" i="17"/>
  <c r="AJ666" i="17" s="1"/>
  <c r="AH894" i="17"/>
  <c r="AJ894" i="17" s="1"/>
  <c r="AH682" i="17"/>
  <c r="AJ682" i="17" s="1"/>
  <c r="AH154" i="17"/>
  <c r="AJ154" i="17" s="1"/>
  <c r="AH434" i="17"/>
  <c r="AJ434" i="17" s="1"/>
  <c r="AH670" i="17"/>
  <c r="AJ670" i="17" s="1"/>
  <c r="AH938" i="17"/>
  <c r="AJ938" i="17" s="1"/>
  <c r="AH926" i="17"/>
  <c r="AJ926" i="17" s="1"/>
  <c r="AH913" i="17"/>
  <c r="AJ913" i="17" s="1"/>
  <c r="AH929" i="17"/>
  <c r="AJ929" i="17" s="1"/>
  <c r="AH681" i="17"/>
  <c r="AJ681" i="17" s="1"/>
  <c r="AH397" i="17"/>
  <c r="AJ397" i="17" s="1"/>
  <c r="AH893" i="17"/>
  <c r="AJ893" i="17" s="1"/>
  <c r="AH901" i="17"/>
  <c r="AJ901" i="17" s="1"/>
  <c r="AH149" i="17"/>
  <c r="AJ149" i="17" s="1"/>
  <c r="AH417" i="17"/>
  <c r="AJ417" i="17" s="1"/>
  <c r="AH910" i="17"/>
  <c r="AJ910" i="17" s="1"/>
  <c r="AH946" i="17"/>
  <c r="AJ946" i="17" s="1"/>
  <c r="AH890" i="17"/>
  <c r="AJ890" i="17" s="1"/>
  <c r="AH373" i="17"/>
  <c r="AJ373" i="17" s="1"/>
  <c r="AH381" i="17"/>
  <c r="AJ381" i="17" s="1"/>
  <c r="AH633" i="17"/>
  <c r="AJ633" i="17" s="1"/>
  <c r="AH129" i="17"/>
  <c r="AJ129" i="17" s="1"/>
  <c r="AH137" i="17"/>
  <c r="AJ137" i="17" s="1"/>
  <c r="AH409" i="17"/>
  <c r="AJ409" i="17" s="1"/>
  <c r="AH677" i="17"/>
  <c r="AJ677" i="17" s="1"/>
  <c r="AH667" i="17"/>
  <c r="AJ667" i="17" s="1"/>
  <c r="AH383" i="17"/>
  <c r="AJ383" i="17" s="1"/>
  <c r="AH435" i="17"/>
  <c r="AJ435" i="17" s="1"/>
  <c r="AH423" i="17"/>
  <c r="AJ423" i="17" s="1"/>
  <c r="AH687" i="17"/>
  <c r="AJ687" i="17" s="1"/>
  <c r="AH130" i="17"/>
  <c r="AJ130" i="17" s="1"/>
  <c r="AH162" i="17"/>
  <c r="AJ162" i="17" s="1"/>
  <c r="AH410" i="17"/>
  <c r="AJ410" i="17" s="1"/>
  <c r="AH918" i="17"/>
  <c r="AJ918" i="17" s="1"/>
  <c r="AH158" i="17"/>
  <c r="AJ158" i="17" s="1"/>
  <c r="AH642" i="17"/>
  <c r="AJ642" i="17" s="1"/>
  <c r="AH661" i="17"/>
  <c r="AJ661" i="17" s="1"/>
  <c r="AH401" i="17"/>
  <c r="AJ401" i="17" s="1"/>
  <c r="AH125" i="17"/>
  <c r="AJ125" i="17" s="1"/>
  <c r="AH393" i="17"/>
  <c r="AJ393" i="17" s="1"/>
  <c r="AH657" i="17"/>
  <c r="AJ657" i="17" s="1"/>
  <c r="AH941" i="17"/>
  <c r="AJ941" i="17" s="1"/>
  <c r="AH391" i="17"/>
  <c r="AJ391" i="17" s="1"/>
  <c r="AH411" i="17"/>
  <c r="AJ411" i="17" s="1"/>
  <c r="AH399" i="17"/>
  <c r="AJ399" i="17" s="1"/>
  <c r="AH675" i="17"/>
  <c r="AJ675" i="17" s="1"/>
  <c r="AH931" i="17"/>
  <c r="AJ931" i="17" s="1"/>
  <c r="AH927" i="17"/>
  <c r="AJ927" i="17" s="1"/>
  <c r="AH654" i="17"/>
  <c r="AJ654" i="17" s="1"/>
  <c r="AH138" i="17"/>
  <c r="AJ138" i="17" s="1"/>
  <c r="AH646" i="17"/>
  <c r="AJ646" i="17" s="1"/>
  <c r="AH418" i="17"/>
  <c r="AJ418" i="17" s="1"/>
  <c r="AH402" i="17"/>
  <c r="AJ402" i="17" s="1"/>
  <c r="AH930" i="17"/>
  <c r="AJ930" i="17" s="1"/>
  <c r="AH422" i="17"/>
  <c r="AJ422" i="17" s="1"/>
  <c r="AH126" i="17"/>
  <c r="AJ126" i="17" s="1"/>
  <c r="AH174" i="17"/>
  <c r="AJ174" i="17" s="1"/>
  <c r="AH678" i="17"/>
  <c r="AJ678" i="17" s="1"/>
  <c r="AH146" i="17"/>
  <c r="AJ146" i="17" s="1"/>
  <c r="AH689" i="17"/>
  <c r="AJ689" i="17" s="1"/>
  <c r="AH413" i="17"/>
  <c r="AJ413" i="17" s="1"/>
  <c r="AH377" i="17"/>
  <c r="AJ377" i="17" s="1"/>
  <c r="AH685" i="17"/>
  <c r="AJ685" i="17" s="1"/>
  <c r="AH169" i="17"/>
  <c r="AJ169" i="17" s="1"/>
  <c r="AH133" i="17"/>
  <c r="AJ133" i="17" s="1"/>
  <c r="AH673" i="17"/>
  <c r="AJ673" i="17" s="1"/>
  <c r="AH145" i="17"/>
  <c r="AJ145" i="17" s="1"/>
  <c r="AH433" i="17"/>
  <c r="AJ433" i="17" s="1"/>
  <c r="AH674" i="17"/>
  <c r="AJ674" i="17" s="1"/>
  <c r="AH898" i="17"/>
  <c r="AJ898" i="17" s="1"/>
  <c r="AH414" i="17"/>
  <c r="AJ414" i="17" s="1"/>
  <c r="AH406" i="17"/>
  <c r="AJ406" i="17" s="1"/>
  <c r="AH902" i="17"/>
  <c r="AJ902" i="17" s="1"/>
  <c r="AH653" i="17"/>
  <c r="AJ653" i="17" s="1"/>
  <c r="AH157" i="17"/>
  <c r="AJ157" i="17" s="1"/>
  <c r="AH925" i="17"/>
  <c r="AJ925" i="17" s="1"/>
  <c r="AH629" i="17"/>
  <c r="AJ629" i="17" s="1"/>
  <c r="AH389" i="17"/>
  <c r="AJ389" i="17" s="1"/>
  <c r="AH885" i="17"/>
  <c r="AJ885" i="17" s="1"/>
  <c r="AH945" i="17"/>
  <c r="AJ945" i="17" s="1"/>
  <c r="AH897" i="17"/>
  <c r="AJ897" i="17" s="1"/>
  <c r="AH997" i="17"/>
  <c r="AJ997" i="17" s="1"/>
  <c r="AH773" i="17"/>
  <c r="AJ773" i="17" s="1"/>
  <c r="AH793" i="17"/>
  <c r="AJ793" i="17" s="1"/>
  <c r="AH733" i="17"/>
  <c r="AJ733" i="17" s="1"/>
  <c r="AH165" i="17"/>
  <c r="AJ165" i="17" s="1"/>
  <c r="AH789" i="17"/>
  <c r="AJ789" i="17" s="1"/>
  <c r="AH933" i="17"/>
  <c r="AJ933" i="17" s="1"/>
  <c r="AH1045" i="17"/>
  <c r="AJ1045" i="17" s="1"/>
  <c r="AH905" i="17"/>
  <c r="AJ905" i="17" s="1"/>
  <c r="AH573" i="17"/>
  <c r="AJ573" i="17" s="1"/>
  <c r="AH641" i="17"/>
  <c r="AJ641" i="17" s="1"/>
  <c r="AH781" i="17"/>
  <c r="AJ781" i="17" s="1"/>
  <c r="AH245" i="17"/>
  <c r="AJ245" i="17" s="1"/>
  <c r="AH253" i="17"/>
  <c r="AJ253" i="17" s="1"/>
  <c r="AH785" i="17"/>
  <c r="AJ785" i="17" s="1"/>
  <c r="AH545" i="17"/>
  <c r="AJ545" i="17" s="1"/>
  <c r="AH1021" i="17"/>
  <c r="AJ1021" i="17" s="1"/>
  <c r="AH261" i="17"/>
  <c r="AJ261" i="17" s="1"/>
  <c r="AH273" i="17"/>
  <c r="AJ273" i="17" s="1"/>
  <c r="AH297" i="17"/>
  <c r="AJ297" i="17" s="1"/>
  <c r="AH277" i="17"/>
  <c r="AJ277" i="17" s="1"/>
  <c r="AK21" i="17"/>
  <c r="AM21" i="17"/>
  <c r="AM18" i="17"/>
  <c r="AK30" i="17"/>
  <c r="AM30" i="17"/>
  <c r="AK27" i="17"/>
  <c r="AM27" i="17"/>
  <c r="AM33" i="17"/>
  <c r="AK33" i="17"/>
  <c r="AM24" i="17"/>
  <c r="AK24" i="17"/>
  <c r="AH143" i="15"/>
  <c r="AJ143" i="15" s="1"/>
  <c r="AH639" i="15"/>
  <c r="AJ639" i="15" s="1"/>
  <c r="AH315" i="15"/>
  <c r="AJ315" i="15" s="1"/>
  <c r="AH83" i="15"/>
  <c r="AJ83" i="15" s="1"/>
  <c r="AH371" i="15"/>
  <c r="AJ371" i="15" s="1"/>
  <c r="AH523" i="15"/>
  <c r="AJ523" i="15" s="1"/>
  <c r="AH571" i="15"/>
  <c r="AJ571" i="15" s="1"/>
  <c r="AH807" i="15"/>
  <c r="AJ807" i="15" s="1"/>
  <c r="AH779" i="15"/>
  <c r="AJ779" i="15" s="1"/>
  <c r="AH975" i="15"/>
  <c r="AJ975" i="15" s="1"/>
  <c r="AH731" i="15"/>
  <c r="AJ731" i="15" s="1"/>
  <c r="AH1063" i="15"/>
  <c r="AJ1063" i="15" s="1"/>
  <c r="AH467" i="15"/>
  <c r="AJ467" i="15" s="1"/>
  <c r="AH67" i="15"/>
  <c r="AJ67" i="15" s="1"/>
  <c r="AH331" i="15"/>
  <c r="AJ331" i="15" s="1"/>
  <c r="AH703" i="15"/>
  <c r="AJ703" i="15" s="1"/>
  <c r="AH535" i="15"/>
  <c r="AJ535" i="15" s="1"/>
  <c r="AH451" i="15"/>
  <c r="AJ451" i="15" s="1"/>
  <c r="AH235" i="15"/>
  <c r="AJ235" i="15" s="1"/>
  <c r="AH671" i="15"/>
  <c r="AJ671" i="15" s="1"/>
  <c r="AH1007" i="15"/>
  <c r="AJ1007" i="15" s="1"/>
  <c r="AH79" i="15"/>
  <c r="AJ79" i="15" s="1"/>
  <c r="AH751" i="15"/>
  <c r="AJ751" i="15" s="1"/>
  <c r="AJ23" i="15"/>
  <c r="AK23" i="15" s="1"/>
  <c r="AJ34" i="15"/>
  <c r="AM34" i="15" s="1"/>
  <c r="AJ20" i="15"/>
  <c r="AM20" i="15" s="1"/>
  <c r="AO20" i="15" s="1"/>
  <c r="AJ30" i="15"/>
  <c r="AM30" i="15" s="1"/>
  <c r="AJ22" i="15"/>
  <c r="AK22" i="15" s="1"/>
  <c r="AJ21" i="15"/>
  <c r="AJ26" i="15"/>
  <c r="AJ28" i="15"/>
  <c r="AJ33" i="15"/>
  <c r="AJ25" i="15"/>
  <c r="AJ29" i="15"/>
  <c r="AJ31" i="15"/>
  <c r="AJ32" i="15"/>
  <c r="AJ27" i="15"/>
  <c r="AJ35" i="15"/>
  <c r="AJ18" i="15"/>
  <c r="AJ19" i="15"/>
  <c r="AJ24" i="15"/>
  <c r="U36" i="17" l="1"/>
  <c r="AF42" i="17"/>
  <c r="U37" i="17"/>
  <c r="AL52" i="17"/>
  <c r="U39" i="17" s="1"/>
  <c r="AL52" i="15"/>
  <c r="AO18" i="17"/>
  <c r="AM36" i="17"/>
  <c r="U38" i="17" s="1"/>
  <c r="AM52" i="15"/>
  <c r="U39" i="15" s="1"/>
  <c r="AM23" i="15"/>
  <c r="AO23" i="15" s="1"/>
  <c r="AK34" i="15"/>
  <c r="AK30" i="15"/>
  <c r="AM22" i="15"/>
  <c r="AO22" i="15" s="1"/>
  <c r="AK20" i="15"/>
  <c r="AK18" i="15"/>
  <c r="U36" i="15"/>
  <c r="AM18" i="15"/>
  <c r="AM26" i="15"/>
  <c r="AK26" i="15"/>
  <c r="AK35" i="15"/>
  <c r="AM35" i="15"/>
  <c r="AM21" i="15"/>
  <c r="AO21" i="15" s="1"/>
  <c r="AK21" i="15"/>
  <c r="AM29" i="15"/>
  <c r="AK29" i="15"/>
  <c r="AM25" i="15"/>
  <c r="AK25" i="15"/>
  <c r="AK24" i="15"/>
  <c r="AM24" i="15"/>
  <c r="AO24" i="15" s="1"/>
  <c r="AM27" i="15"/>
  <c r="AK27" i="15"/>
  <c r="AM33" i="15"/>
  <c r="AK33" i="15"/>
  <c r="AM32" i="15"/>
  <c r="AK32" i="15"/>
  <c r="AM28" i="15"/>
  <c r="AK28" i="15"/>
  <c r="AM31" i="15"/>
  <c r="AK31" i="15"/>
  <c r="AM19" i="15"/>
  <c r="AO19" i="15" s="1"/>
  <c r="AK19" i="15"/>
  <c r="U14" i="17" l="1"/>
  <c r="V39" i="17"/>
  <c r="U14" i="15"/>
  <c r="AM36" i="15"/>
  <c r="U38" i="15" s="1"/>
  <c r="U40" i="15" s="1"/>
  <c r="AO18" i="15"/>
  <c r="AH42" i="17" l="1"/>
  <c r="U40" i="17" s="1"/>
  <c r="AH41" i="17"/>
  <c r="AH40" i="17"/>
  <c r="U41" i="17" l="1"/>
  <c r="W39" i="17"/>
  <c r="R99" i="8" l="1" a="1"/>
  <c r="R99" i="8" s="1"/>
  <c r="R100" i="8" a="1"/>
  <c r="R100" i="8" s="1"/>
  <c r="R101" i="8" a="1"/>
  <c r="R101" i="8" s="1"/>
  <c r="R102" i="8" a="1"/>
  <c r="R102" i="8" s="1"/>
  <c r="R103" i="8" a="1"/>
  <c r="R103" i="8" s="1"/>
  <c r="R104" i="8" a="1"/>
  <c r="R104" i="8" s="1"/>
  <c r="R105" i="8" a="1"/>
  <c r="R105" i="8" s="1"/>
  <c r="R106" i="8" a="1"/>
  <c r="R106" i="8" s="1"/>
  <c r="R107" i="8" a="1"/>
  <c r="R107" i="8" s="1"/>
  <c r="R108" i="8" a="1"/>
  <c r="R108" i="8" s="1"/>
  <c r="R109" i="8" a="1"/>
  <c r="R109" i="8" s="1"/>
  <c r="R110" i="8" a="1"/>
  <c r="R110" i="8" s="1"/>
  <c r="R111" i="8" a="1"/>
  <c r="R111" i="8" s="1"/>
  <c r="R112" i="8" a="1"/>
  <c r="R112" i="8" s="1"/>
  <c r="R113" i="8" a="1"/>
  <c r="R113" i="8" s="1"/>
  <c r="R114" i="8" a="1"/>
  <c r="R114" i="8" s="1"/>
  <c r="R115" i="8" a="1"/>
  <c r="R115" i="8" s="1"/>
  <c r="R116" i="8" a="1"/>
  <c r="R116" i="8" s="1"/>
  <c r="R117" i="8" a="1"/>
  <c r="R117" i="8" s="1"/>
  <c r="R118" i="8" a="1"/>
  <c r="R118" i="8" s="1"/>
  <c r="R119" i="8" a="1"/>
  <c r="R119" i="8" s="1"/>
  <c r="R120" i="8" a="1"/>
  <c r="R120" i="8" s="1"/>
  <c r="R121" i="8" a="1"/>
  <c r="R121" i="8" s="1"/>
  <c r="R122" i="8" a="1"/>
  <c r="R122" i="8" s="1"/>
  <c r="R123" i="8" a="1"/>
  <c r="R123" i="8" s="1"/>
  <c r="R124" i="8" a="1"/>
  <c r="R124" i="8" s="1"/>
  <c r="R125" i="8" a="1"/>
  <c r="R125" i="8" s="1"/>
  <c r="R126" i="8" a="1"/>
  <c r="R126" i="8" s="1"/>
  <c r="R127" i="8" a="1"/>
  <c r="R127" i="8" s="1"/>
  <c r="R128" i="8" a="1"/>
  <c r="R128" i="8" s="1"/>
  <c r="R129" i="8" a="1"/>
  <c r="R129" i="8" s="1"/>
  <c r="R130" i="8" a="1"/>
  <c r="R130" i="8" s="1"/>
  <c r="R131" i="8" a="1"/>
  <c r="R131" i="8" s="1"/>
  <c r="R132" i="8" a="1"/>
  <c r="R132" i="8" s="1"/>
  <c r="R133" i="8" a="1"/>
  <c r="R133" i="8" s="1"/>
  <c r="R134" i="8" a="1"/>
  <c r="R134" i="8" s="1"/>
  <c r="R135" i="8" a="1"/>
  <c r="R135" i="8" s="1"/>
  <c r="R136" i="8" a="1"/>
  <c r="R136" i="8" s="1"/>
  <c r="R137" i="8" a="1"/>
  <c r="R137" i="8" s="1"/>
  <c r="R138" i="8" a="1"/>
  <c r="R138" i="8" s="1"/>
  <c r="R139" i="8" a="1"/>
  <c r="R139" i="8" s="1"/>
  <c r="R140" i="8" a="1"/>
  <c r="R140" i="8" s="1"/>
  <c r="R141" i="8" a="1"/>
  <c r="R141" i="8" s="1"/>
  <c r="R142" i="8" a="1"/>
  <c r="R142" i="8" s="1"/>
  <c r="R143" i="8" a="1"/>
  <c r="R143" i="8" s="1"/>
  <c r="R144" i="8" a="1"/>
  <c r="R144" i="8" s="1"/>
  <c r="R145" i="8" a="1"/>
  <c r="R145" i="8" s="1"/>
  <c r="R146" i="8" a="1"/>
  <c r="R146" i="8" s="1"/>
  <c r="R147" i="8" a="1"/>
  <c r="R147" i="8" s="1"/>
  <c r="R148" i="8" a="1"/>
  <c r="R148" i="8" s="1"/>
  <c r="R149" i="8" a="1"/>
  <c r="R149" i="8" s="1"/>
  <c r="R150" i="8" a="1"/>
  <c r="R150" i="8" s="1"/>
  <c r="R151" i="8" a="1"/>
  <c r="R151" i="8" s="1"/>
  <c r="R152" i="8" a="1"/>
  <c r="R152" i="8" s="1"/>
  <c r="R153" i="8" a="1"/>
  <c r="R153" i="8" s="1"/>
  <c r="R154" i="8" a="1"/>
  <c r="R154" i="8" s="1"/>
  <c r="R155" i="8" a="1"/>
  <c r="R155" i="8" s="1"/>
  <c r="R156" i="8" a="1"/>
  <c r="R156" i="8" s="1"/>
  <c r="R157" i="8" a="1"/>
  <c r="R157" i="8" s="1"/>
  <c r="R158" i="8" a="1"/>
  <c r="R158" i="8" s="1"/>
  <c r="R159" i="8" a="1"/>
  <c r="R159" i="8" s="1"/>
  <c r="R160" i="8" a="1"/>
  <c r="R160" i="8" s="1"/>
  <c r="R161" i="8" a="1"/>
  <c r="R161" i="8" s="1"/>
  <c r="R162" i="8" a="1"/>
  <c r="R162" i="8" s="1"/>
  <c r="R163" i="8" a="1"/>
  <c r="R163" i="8" s="1"/>
  <c r="R164" i="8" a="1"/>
  <c r="R164" i="8" s="1"/>
  <c r="R165" i="8" a="1"/>
  <c r="R165" i="8" s="1"/>
  <c r="R166" i="8" a="1"/>
  <c r="R166" i="8" s="1"/>
  <c r="R167" i="8" a="1"/>
  <c r="R167" i="8" s="1"/>
  <c r="R168" i="8" a="1"/>
  <c r="R168" i="8" s="1"/>
  <c r="R169" i="8" a="1"/>
  <c r="R169" i="8" s="1"/>
  <c r="R170" i="8" a="1"/>
  <c r="R170" i="8" s="1"/>
  <c r="R171" i="8" a="1"/>
  <c r="R171" i="8" s="1"/>
  <c r="R172" i="8" a="1"/>
  <c r="R172" i="8" s="1"/>
  <c r="R173" i="8" a="1"/>
  <c r="R173" i="8" s="1"/>
  <c r="R174" i="8" a="1"/>
  <c r="R174" i="8" s="1"/>
  <c r="R175" i="8" a="1"/>
  <c r="R175" i="8" s="1"/>
  <c r="R176" i="8" a="1"/>
  <c r="R176" i="8" s="1"/>
  <c r="R177" i="8" a="1"/>
  <c r="R177" i="8" s="1"/>
  <c r="R178" i="8" a="1"/>
  <c r="R178" i="8" s="1"/>
  <c r="R179" i="8" a="1"/>
  <c r="R179" i="8" s="1"/>
  <c r="R180" i="8" a="1"/>
  <c r="R180" i="8" s="1"/>
  <c r="R181" i="8" a="1"/>
  <c r="R181" i="8" s="1"/>
  <c r="R182" i="8" a="1"/>
  <c r="R182" i="8" s="1"/>
  <c r="R183" i="8" a="1"/>
  <c r="R183" i="8" s="1"/>
  <c r="R184" i="8" a="1"/>
  <c r="R184" i="8" s="1"/>
  <c r="R185" i="8" a="1"/>
  <c r="R185" i="8" s="1"/>
  <c r="R186" i="8" a="1"/>
  <c r="R186" i="8" s="1"/>
  <c r="R187" i="8" a="1"/>
  <c r="R187" i="8" s="1"/>
  <c r="R188" i="8" a="1"/>
  <c r="R188" i="8" s="1"/>
  <c r="R189" i="8" a="1"/>
  <c r="R189" i="8" s="1"/>
  <c r="R190" i="8" a="1"/>
  <c r="R190" i="8" s="1"/>
  <c r="R191" i="8" a="1"/>
  <c r="R191" i="8" s="1"/>
  <c r="R192" i="8" a="1"/>
  <c r="R192" i="8" s="1"/>
  <c r="R193" i="8" a="1"/>
  <c r="R193" i="8" s="1"/>
  <c r="R194" i="8" a="1"/>
  <c r="R194" i="8" s="1"/>
  <c r="R195" i="8" a="1"/>
  <c r="R195" i="8" s="1"/>
  <c r="R196" i="8" a="1"/>
  <c r="R196" i="8" s="1"/>
  <c r="R197" i="8" a="1"/>
  <c r="R197" i="8" s="1"/>
  <c r="R198" i="8" a="1"/>
  <c r="R198" i="8" s="1"/>
  <c r="R199" i="8" a="1"/>
  <c r="R199" i="8" s="1"/>
  <c r="R200" i="8" a="1"/>
  <c r="R200" i="8" s="1"/>
  <c r="R201" i="8" a="1"/>
  <c r="R201" i="8" s="1"/>
  <c r="Q108" i="8" a="1"/>
  <c r="Q108" i="8" s="1"/>
  <c r="Q109" i="8" a="1"/>
  <c r="Q109" i="8" s="1"/>
  <c r="Q110" i="8" a="1"/>
  <c r="Q110" i="8" s="1"/>
  <c r="Q111" i="8" a="1"/>
  <c r="Q111" i="8" s="1"/>
  <c r="Q112" i="8" a="1"/>
  <c r="Q112" i="8" s="1"/>
  <c r="Q113" i="8" a="1"/>
  <c r="Q113" i="8" s="1"/>
  <c r="Q114" i="8" a="1"/>
  <c r="Q114" i="8" s="1"/>
  <c r="Q115" i="8" a="1"/>
  <c r="Q115" i="8" s="1"/>
  <c r="Q116" i="8" a="1"/>
  <c r="Q116" i="8" s="1"/>
  <c r="Q117" i="8" a="1"/>
  <c r="Q117" i="8" s="1"/>
  <c r="Q118" i="8" a="1"/>
  <c r="Q118" i="8" s="1"/>
  <c r="Q119" i="8" a="1"/>
  <c r="Q119" i="8" s="1"/>
  <c r="Q120" i="8" a="1"/>
  <c r="Q120" i="8" s="1"/>
  <c r="Q121" i="8" a="1"/>
  <c r="Q121" i="8" s="1"/>
  <c r="Q122" i="8" a="1"/>
  <c r="Q122" i="8" s="1"/>
  <c r="Q123" i="8" a="1"/>
  <c r="Q123" i="8" s="1"/>
  <c r="Q124" i="8" a="1"/>
  <c r="Q124" i="8" s="1"/>
  <c r="Q125" i="8" a="1"/>
  <c r="Q125" i="8" s="1"/>
  <c r="Q126" i="8" a="1"/>
  <c r="Q126" i="8" s="1"/>
  <c r="Q127" i="8" a="1"/>
  <c r="Q127" i="8" s="1"/>
  <c r="Q128" i="8" a="1"/>
  <c r="Q128" i="8" s="1"/>
  <c r="Q129" i="8" a="1"/>
  <c r="Q129" i="8" s="1"/>
  <c r="Q130" i="8" a="1"/>
  <c r="Q130" i="8" s="1"/>
  <c r="Q131" i="8" a="1"/>
  <c r="Q131" i="8" s="1"/>
  <c r="Q132" i="8" a="1"/>
  <c r="Q132" i="8" s="1"/>
  <c r="Q133" i="8" a="1"/>
  <c r="Q133" i="8" s="1"/>
  <c r="Q134" i="8" a="1"/>
  <c r="Q134" i="8" s="1"/>
  <c r="Q135" i="8" a="1"/>
  <c r="Q135" i="8" s="1"/>
  <c r="Q136" i="8" a="1"/>
  <c r="Q136" i="8" s="1"/>
  <c r="Q137" i="8" a="1"/>
  <c r="Q137" i="8" s="1"/>
  <c r="Q138" i="8" a="1"/>
  <c r="Q138" i="8" s="1"/>
  <c r="Q139" i="8" a="1"/>
  <c r="Q139" i="8" s="1"/>
  <c r="Q140" i="8" a="1"/>
  <c r="Q140" i="8" s="1"/>
  <c r="Q141" i="8" a="1"/>
  <c r="Q141" i="8" s="1"/>
  <c r="Q142" i="8" a="1"/>
  <c r="Q142" i="8" s="1"/>
  <c r="Q143" i="8" a="1"/>
  <c r="Q143" i="8" s="1"/>
  <c r="Q144" i="8" a="1"/>
  <c r="Q144" i="8" s="1"/>
  <c r="Q145" i="8" a="1"/>
  <c r="Q145" i="8" s="1"/>
  <c r="Q146" i="8" a="1"/>
  <c r="Q146" i="8" s="1"/>
  <c r="Q147" i="8" a="1"/>
  <c r="Q147" i="8" s="1"/>
  <c r="Q148" i="8" a="1"/>
  <c r="Q148" i="8" s="1"/>
  <c r="Q149" i="8" a="1"/>
  <c r="Q149" i="8" s="1"/>
  <c r="Q150" i="8" a="1"/>
  <c r="Q150" i="8" s="1"/>
  <c r="Q151" i="8" a="1"/>
  <c r="Q151" i="8" s="1"/>
  <c r="Q152" i="8" a="1"/>
  <c r="Q152" i="8" s="1"/>
  <c r="Q153" i="8" a="1"/>
  <c r="Q153" i="8" s="1"/>
  <c r="Q154" i="8" a="1"/>
  <c r="Q154" i="8" s="1"/>
  <c r="Q155" i="8" a="1"/>
  <c r="Q155" i="8" s="1"/>
  <c r="Q156" i="8" a="1"/>
  <c r="Q156" i="8" s="1"/>
  <c r="Q157" i="8" a="1"/>
  <c r="Q157" i="8" s="1"/>
  <c r="Q158" i="8" a="1"/>
  <c r="Q158" i="8" s="1"/>
  <c r="Q159" i="8" a="1"/>
  <c r="Q159" i="8" s="1"/>
  <c r="Q160" i="8" a="1"/>
  <c r="Q160" i="8" s="1"/>
  <c r="Q161" i="8" a="1"/>
  <c r="Q161" i="8" s="1"/>
  <c r="Q162" i="8" a="1"/>
  <c r="Q162" i="8" s="1"/>
  <c r="Q163" i="8" a="1"/>
  <c r="Q163" i="8" s="1"/>
  <c r="Q164" i="8" a="1"/>
  <c r="Q164" i="8" s="1"/>
  <c r="Q165" i="8" a="1"/>
  <c r="Q165" i="8" s="1"/>
  <c r="Q166" i="8" a="1"/>
  <c r="Q166" i="8" s="1"/>
  <c r="Q167" i="8" a="1"/>
  <c r="Q167" i="8" s="1"/>
  <c r="Q168" i="8" a="1"/>
  <c r="Q168" i="8" s="1"/>
  <c r="Q169" i="8" a="1"/>
  <c r="Q169" i="8" s="1"/>
  <c r="Q170" i="8" a="1"/>
  <c r="Q170" i="8" s="1"/>
  <c r="Q171" i="8" a="1"/>
  <c r="Q171" i="8" s="1"/>
  <c r="Q172" i="8" a="1"/>
  <c r="Q172" i="8" s="1"/>
  <c r="Q173" i="8" a="1"/>
  <c r="Q173" i="8" s="1"/>
  <c r="Q174" i="8" a="1"/>
  <c r="Q174" i="8" s="1"/>
  <c r="Q175" i="8" a="1"/>
  <c r="Q175" i="8" s="1"/>
  <c r="Q176" i="8" a="1"/>
  <c r="Q176" i="8" s="1"/>
  <c r="Q177" i="8" a="1"/>
  <c r="Q177" i="8" s="1"/>
  <c r="Q178" i="8" a="1"/>
  <c r="Q178" i="8" s="1"/>
  <c r="Q179" i="8" a="1"/>
  <c r="Q179" i="8" s="1"/>
  <c r="Q180" i="8" a="1"/>
  <c r="Q180" i="8" s="1"/>
  <c r="Q181" i="8" a="1"/>
  <c r="Q181" i="8" s="1"/>
  <c r="Q182" i="8" a="1"/>
  <c r="Q182" i="8" s="1"/>
  <c r="Q183" i="8" a="1"/>
  <c r="Q183" i="8" s="1"/>
  <c r="Q184" i="8" a="1"/>
  <c r="Q184" i="8" s="1"/>
  <c r="Q185" i="8" a="1"/>
  <c r="Q185" i="8" s="1"/>
  <c r="Q186" i="8" a="1"/>
  <c r="Q186" i="8" s="1"/>
  <c r="Q187" i="8" a="1"/>
  <c r="Q187" i="8" s="1"/>
  <c r="Q188" i="8" a="1"/>
  <c r="Q188" i="8" s="1"/>
  <c r="Q189" i="8" a="1"/>
  <c r="Q189" i="8" s="1"/>
  <c r="Q190" i="8" a="1"/>
  <c r="Q190" i="8" s="1"/>
  <c r="Q191" i="8" a="1"/>
  <c r="Q191" i="8" s="1"/>
  <c r="Q192" i="8" a="1"/>
  <c r="Q192" i="8" s="1"/>
  <c r="Q193" i="8" a="1"/>
  <c r="Q193" i="8" s="1"/>
  <c r="Q194" i="8" a="1"/>
  <c r="Q194" i="8" s="1"/>
  <c r="Q195" i="8" a="1"/>
  <c r="Q195" i="8" s="1"/>
  <c r="Q196" i="8" a="1"/>
  <c r="Q196" i="8" s="1"/>
  <c r="Q197" i="8" a="1"/>
  <c r="Q197" i="8" s="1"/>
  <c r="Q198" i="8" a="1"/>
  <c r="Q198" i="8" s="1"/>
  <c r="Q199" i="8" a="1"/>
  <c r="Q199" i="8" s="1"/>
  <c r="Q200" i="8" a="1"/>
  <c r="Q200" i="8" s="1"/>
  <c r="Q201" i="8" a="1"/>
  <c r="Q201" i="8" s="1"/>
  <c r="K15" i="8"/>
  <c r="L15" i="8"/>
  <c r="K17" i="8"/>
  <c r="Q17" i="8" s="1"/>
  <c r="L17" i="8"/>
  <c r="R17" i="8" s="1"/>
  <c r="A10" i="8"/>
  <c r="D18" i="8" s="1" a="1"/>
  <c r="Q107" i="8" s="1" a="1"/>
  <c r="Q107" i="8" s="1"/>
  <c r="A11" i="8"/>
  <c r="A8" i="8"/>
  <c r="I14" i="8" s="1"/>
  <c r="A9" i="8"/>
  <c r="C18" i="8" s="1" a="1"/>
  <c r="C18" i="8" s="1"/>
  <c r="A7" i="8"/>
  <c r="H14" i="8" s="1"/>
  <c r="D18" i="8" l="1"/>
  <c r="Q105" i="8" a="1"/>
  <c r="Q105" i="8" s="1"/>
  <c r="Q106" i="8" a="1"/>
  <c r="Q106" i="8" s="1"/>
  <c r="Q104" i="8" a="1"/>
  <c r="Q104" i="8" s="1"/>
  <c r="Q103" i="8" a="1"/>
  <c r="Q103" i="8" s="1"/>
  <c r="X24" i="8"/>
  <c r="X25" i="8"/>
  <c r="X26" i="8"/>
  <c r="X20" i="8"/>
  <c r="X22" i="8"/>
  <c r="X18" i="8"/>
  <c r="X23" i="8"/>
  <c r="X21" i="8"/>
  <c r="X19" i="8"/>
  <c r="W25" i="8"/>
  <c r="W26" i="8"/>
  <c r="J14" i="8"/>
  <c r="E18" i="8" a="1"/>
  <c r="R98" i="8" s="1" a="1"/>
  <c r="R98" i="8" s="1"/>
  <c r="L14" i="8"/>
  <c r="L166" i="8" s="1" a="1"/>
  <c r="L166" i="8" s="1"/>
  <c r="K14" i="8"/>
  <c r="K149" i="8" s="1" a="1"/>
  <c r="K149" i="8" s="1"/>
  <c r="A18" i="8" a="1"/>
  <c r="A18" i="8" s="1"/>
  <c r="B18" i="8" a="1"/>
  <c r="B18" i="8" s="1"/>
  <c r="L85" i="8" l="1" a="1"/>
  <c r="L86" i="8" a="1"/>
  <c r="K103" i="8" a="1"/>
  <c r="K103" i="8" s="1"/>
  <c r="K104" i="8" a="1"/>
  <c r="K104" i="8" s="1"/>
  <c r="R97" i="8" a="1"/>
  <c r="R97" i="8" s="1"/>
  <c r="E18" i="8"/>
  <c r="Y24" i="8" s="1"/>
  <c r="L191" i="8" a="1"/>
  <c r="L191" i="8" s="1"/>
  <c r="K36" i="8" a="1"/>
  <c r="K36" i="8" s="1"/>
  <c r="L47" i="8" a="1"/>
  <c r="L47" i="8" s="1"/>
  <c r="K44" i="8" a="1"/>
  <c r="K44" i="8" s="1"/>
  <c r="K52" i="8" a="1"/>
  <c r="K52" i="8" s="1"/>
  <c r="L113" i="8" a="1"/>
  <c r="L113" i="8" s="1"/>
  <c r="L143" i="8" a="1"/>
  <c r="L143" i="8" s="1"/>
  <c r="L37" i="8" a="1"/>
  <c r="L37" i="8" s="1"/>
  <c r="L151" i="8" a="1"/>
  <c r="L151" i="8" s="1"/>
  <c r="K166" i="8" a="1"/>
  <c r="K166" i="8" s="1"/>
  <c r="K69" i="8" a="1"/>
  <c r="K69" i="8" s="1"/>
  <c r="L108" i="8" a="1"/>
  <c r="L108" i="8" s="1"/>
  <c r="AG28" i="8"/>
  <c r="AG27" i="8"/>
  <c r="AG33" i="8"/>
  <c r="AG34" i="8"/>
  <c r="AG19" i="8"/>
  <c r="AG31" i="8"/>
  <c r="AG30" i="8"/>
  <c r="AG25" i="8"/>
  <c r="AG24" i="8"/>
  <c r="L127" i="8" a="1"/>
  <c r="L127" i="8" s="1"/>
  <c r="K68" i="8" a="1"/>
  <c r="K68" i="8" s="1"/>
  <c r="L128" i="8" a="1"/>
  <c r="L128" i="8" s="1"/>
  <c r="L24" i="8" a="1"/>
  <c r="L24" i="8" s="1"/>
  <c r="L135" i="8" a="1"/>
  <c r="L135" i="8" s="1"/>
  <c r="K126" i="8" a="1"/>
  <c r="K126" i="8" s="1"/>
  <c r="K29" i="8" a="1"/>
  <c r="K29" i="8" s="1"/>
  <c r="L107" i="8" a="1"/>
  <c r="L107" i="8" s="1"/>
  <c r="L45" i="8" a="1"/>
  <c r="L45" i="8" s="1"/>
  <c r="K174" i="8" a="1"/>
  <c r="K174" i="8" s="1"/>
  <c r="L61" i="8" a="1"/>
  <c r="L61" i="8" s="1"/>
  <c r="L103" i="8" a="1"/>
  <c r="L103" i="8" s="1"/>
  <c r="L104" i="8" a="1"/>
  <c r="L104" i="8" s="1"/>
  <c r="L111" i="8" a="1"/>
  <c r="L111" i="8" s="1"/>
  <c r="L120" i="8" a="1"/>
  <c r="L120" i="8" s="1"/>
  <c r="K150" i="8" a="1"/>
  <c r="K150" i="8" s="1"/>
  <c r="K37" i="8" a="1"/>
  <c r="K37" i="8" s="1"/>
  <c r="L92" i="8" a="1"/>
  <c r="L92" i="8" s="1"/>
  <c r="AG22" i="8"/>
  <c r="AG21" i="8"/>
  <c r="L77" i="8" a="1"/>
  <c r="L77" i="8" s="1"/>
  <c r="L167" i="8" a="1"/>
  <c r="L167" i="8" s="1"/>
  <c r="K92" i="8" a="1"/>
  <c r="K92" i="8" s="1"/>
  <c r="K182" i="8" a="1"/>
  <c r="K182" i="8" s="1"/>
  <c r="L152" i="8" a="1"/>
  <c r="L152" i="8" s="1"/>
  <c r="K127" i="8" a="1"/>
  <c r="K127" i="8" s="1"/>
  <c r="L72" i="8" a="1"/>
  <c r="L72" i="8" s="1"/>
  <c r="L126" i="8" a="1"/>
  <c r="L126" i="8" s="1"/>
  <c r="L175" i="8" a="1"/>
  <c r="L175" i="8" s="1"/>
  <c r="K190" i="8" a="1"/>
  <c r="K190" i="8" s="1"/>
  <c r="L184" i="8" a="1"/>
  <c r="L184" i="8" s="1"/>
  <c r="K143" i="8" a="1"/>
  <c r="K143" i="8" s="1"/>
  <c r="L106" i="8" a="1"/>
  <c r="L106" i="8" s="1"/>
  <c r="L142" i="8" a="1"/>
  <c r="L142" i="8" s="1"/>
  <c r="K110" i="8" a="1"/>
  <c r="K110" i="8" s="1"/>
  <c r="L22" i="8" a="1"/>
  <c r="L22" i="8" s="1"/>
  <c r="L192" i="8" a="1"/>
  <c r="L192" i="8" s="1"/>
  <c r="K151" i="8" a="1"/>
  <c r="K151" i="8" s="1"/>
  <c r="L41" i="8" a="1"/>
  <c r="L41" i="8" s="1"/>
  <c r="L150" i="8" a="1"/>
  <c r="L150" i="8" s="1"/>
  <c r="L69" i="8" a="1"/>
  <c r="L69" i="8" s="1"/>
  <c r="L29" i="8" a="1"/>
  <c r="L29" i="8" s="1"/>
  <c r="K28" i="8" a="1"/>
  <c r="K28" i="8" s="1"/>
  <c r="K118" i="8" a="1"/>
  <c r="K118" i="8" s="1"/>
  <c r="L54" i="8" a="1"/>
  <c r="L54" i="8" s="1"/>
  <c r="K21" i="8" a="1"/>
  <c r="K21" i="8" s="1"/>
  <c r="K175" i="8" a="1"/>
  <c r="K175" i="8" s="1"/>
  <c r="L65" i="8" a="1"/>
  <c r="L65" i="8" s="1"/>
  <c r="L174" i="8" a="1"/>
  <c r="L174" i="8" s="1"/>
  <c r="L26" i="8" a="1"/>
  <c r="L26" i="8" s="1"/>
  <c r="U26" i="8"/>
  <c r="U25" i="8"/>
  <c r="L87" i="8" a="1"/>
  <c r="L87" i="8" s="1"/>
  <c r="L159" i="8" a="1"/>
  <c r="L159" i="8" s="1"/>
  <c r="K60" i="8" a="1"/>
  <c r="K60" i="8" s="1"/>
  <c r="K134" i="8" a="1"/>
  <c r="K134" i="8" s="1"/>
  <c r="L38" i="8" a="1"/>
  <c r="L38" i="8" s="1"/>
  <c r="L144" i="8" a="1"/>
  <c r="L144" i="8" s="1"/>
  <c r="K53" i="8" a="1"/>
  <c r="K53" i="8" s="1"/>
  <c r="K167" i="8" a="1"/>
  <c r="K167" i="8" s="1"/>
  <c r="L121" i="8" a="1"/>
  <c r="L121" i="8" s="1"/>
  <c r="L81" i="8" a="1"/>
  <c r="L81" i="8" s="1"/>
  <c r="L116" i="8" a="1"/>
  <c r="L116" i="8" s="1"/>
  <c r="L190" i="8" a="1"/>
  <c r="L190" i="8" s="1"/>
  <c r="L59" i="8" a="1"/>
  <c r="L59" i="8" s="1"/>
  <c r="K43" i="8" a="1"/>
  <c r="K43" i="8" s="1"/>
  <c r="V25" i="8"/>
  <c r="V26" i="8"/>
  <c r="K84" i="8" a="1"/>
  <c r="K84" i="8" s="1"/>
  <c r="K158" i="8" a="1"/>
  <c r="K158" i="8" s="1"/>
  <c r="L62" i="8" a="1"/>
  <c r="L62" i="8" s="1"/>
  <c r="L168" i="8" a="1"/>
  <c r="L168" i="8" s="1"/>
  <c r="K77" i="8" a="1"/>
  <c r="K77" i="8" s="1"/>
  <c r="L23" i="8" a="1"/>
  <c r="L23" i="8" s="1"/>
  <c r="L40" i="8" a="1"/>
  <c r="L40" i="8" s="1"/>
  <c r="L123" i="8" a="1"/>
  <c r="L123" i="8" s="1"/>
  <c r="L44" i="8" a="1"/>
  <c r="L44" i="8" s="1"/>
  <c r="K59" i="8" a="1"/>
  <c r="K59" i="8" s="1"/>
  <c r="L78" i="8" a="1"/>
  <c r="L78" i="8" s="1"/>
  <c r="L39" i="8" a="1"/>
  <c r="L39" i="8" s="1"/>
  <c r="L64" i="8" a="1"/>
  <c r="L64" i="8" s="1"/>
  <c r="L139" i="8" a="1"/>
  <c r="L139" i="8" s="1"/>
  <c r="L76" i="8" a="1"/>
  <c r="L76" i="8" s="1"/>
  <c r="K173" i="8" a="1"/>
  <c r="K173" i="8" s="1"/>
  <c r="L79" i="8" a="1"/>
  <c r="L79" i="8" s="1"/>
  <c r="L58" i="8" a="1"/>
  <c r="L58" i="8" s="1"/>
  <c r="X27" i="8"/>
  <c r="Y19" i="8"/>
  <c r="K125" i="8" a="1"/>
  <c r="K125" i="8" s="1"/>
  <c r="L140" i="8" a="1"/>
  <c r="L140" i="8" s="1"/>
  <c r="L110" i="8" a="1"/>
  <c r="L110" i="8" s="1"/>
  <c r="L53" i="8" a="1"/>
  <c r="L53" i="8" s="1"/>
  <c r="L119" i="8" a="1"/>
  <c r="L119" i="8" s="1"/>
  <c r="L183" i="8" a="1"/>
  <c r="L183" i="8" s="1"/>
  <c r="K76" i="8" a="1"/>
  <c r="K76" i="8" s="1"/>
  <c r="K142" i="8" a="1"/>
  <c r="K142" i="8" s="1"/>
  <c r="L30" i="8" a="1"/>
  <c r="L30" i="8" s="1"/>
  <c r="L160" i="8" a="1"/>
  <c r="L160" i="8" s="1"/>
  <c r="K45" i="8" a="1"/>
  <c r="K45" i="8" s="1"/>
  <c r="K111" i="8" a="1"/>
  <c r="K111" i="8" s="1"/>
  <c r="K191" i="8" a="1"/>
  <c r="K191" i="8" s="1"/>
  <c r="L32" i="8" a="1"/>
  <c r="L32" i="8" s="1"/>
  <c r="L25" i="8" a="1"/>
  <c r="L25" i="8" s="1"/>
  <c r="L115" i="8" a="1"/>
  <c r="L115" i="8" s="1"/>
  <c r="L74" i="8" a="1"/>
  <c r="L74" i="8" s="1"/>
  <c r="L27" i="8" a="1"/>
  <c r="L27" i="8" s="1"/>
  <c r="L118" i="8" a="1"/>
  <c r="L118" i="8" s="1"/>
  <c r="L182" i="8" a="1"/>
  <c r="L182" i="8" s="1"/>
  <c r="K157" i="8" a="1"/>
  <c r="K157" i="8" s="1"/>
  <c r="L46" i="8" a="1"/>
  <c r="L46" i="8" s="1"/>
  <c r="L112" i="8" a="1"/>
  <c r="L112" i="8" s="1"/>
  <c r="L176" i="8" a="1"/>
  <c r="L176" i="8" s="1"/>
  <c r="K61" i="8" a="1"/>
  <c r="K61" i="8" s="1"/>
  <c r="K135" i="8" a="1"/>
  <c r="K135" i="8" s="1"/>
  <c r="L31" i="8" a="1"/>
  <c r="L31" i="8" s="1"/>
  <c r="L105" i="8" a="1"/>
  <c r="L105" i="8" s="1"/>
  <c r="L48" i="8" a="1"/>
  <c r="L48" i="8" s="1"/>
  <c r="L49" i="8" a="1"/>
  <c r="L49" i="8" s="1"/>
  <c r="L131" i="8" a="1"/>
  <c r="L131" i="8" s="1"/>
  <c r="L28" i="8" a="1"/>
  <c r="L28" i="8" s="1"/>
  <c r="L134" i="8" a="1"/>
  <c r="L134" i="8" s="1"/>
  <c r="K27" i="8" a="1"/>
  <c r="K27" i="8" s="1"/>
  <c r="K189" i="8" a="1"/>
  <c r="K189" i="8" s="1"/>
  <c r="L70" i="8" a="1"/>
  <c r="L70" i="8" s="1"/>
  <c r="L136" i="8" a="1"/>
  <c r="L136" i="8" s="1"/>
  <c r="K85" i="8" a="1"/>
  <c r="K85" i="8" s="1"/>
  <c r="K159" i="8" a="1"/>
  <c r="K159" i="8" s="1"/>
  <c r="L55" i="8" a="1"/>
  <c r="L55" i="8" s="1"/>
  <c r="L129" i="8" a="1"/>
  <c r="L129" i="8" s="1"/>
  <c r="L34" i="8" a="1"/>
  <c r="L34" i="8" s="1"/>
  <c r="L124" i="8" a="1"/>
  <c r="L124" i="8" s="1"/>
  <c r="L94" i="8" a="1"/>
  <c r="L94" i="8" s="1"/>
  <c r="L158" i="8" a="1"/>
  <c r="L158" i="8" s="1"/>
  <c r="K91" i="8" a="1"/>
  <c r="K91" i="8" s="1"/>
  <c r="L63" i="8" a="1"/>
  <c r="L63" i="8" s="1"/>
  <c r="L137" i="8" a="1"/>
  <c r="L137" i="8" s="1"/>
  <c r="L50" i="8" a="1"/>
  <c r="L50" i="8" s="1"/>
  <c r="L132" i="8" a="1"/>
  <c r="L132" i="8" s="1"/>
  <c r="L102" i="8" a="1"/>
  <c r="L102" i="8" s="1"/>
  <c r="L85" i="8"/>
  <c r="L86" i="8"/>
  <c r="L73" i="8" a="1"/>
  <c r="L73" i="8" s="1"/>
  <c r="L82" i="8" a="1"/>
  <c r="L82" i="8" s="1"/>
  <c r="L19" i="8" a="1"/>
  <c r="L19" i="8" s="1"/>
  <c r="L36" i="8" a="1"/>
  <c r="L36" i="8" s="1"/>
  <c r="K51" i="8" a="1"/>
  <c r="K51" i="8" s="1"/>
  <c r="K117" i="8" a="1"/>
  <c r="K117" i="8" s="1"/>
  <c r="K181" i="8" a="1"/>
  <c r="K181" i="8" s="1"/>
  <c r="L35" i="8" a="1"/>
  <c r="L35" i="8" s="1"/>
  <c r="L52" i="8" a="1"/>
  <c r="L52" i="8" s="1"/>
  <c r="K67" i="8" a="1"/>
  <c r="K67" i="8" s="1"/>
  <c r="K133" i="8" a="1"/>
  <c r="K133" i="8" s="1"/>
  <c r="L56" i="8" a="1"/>
  <c r="L56" i="8" s="1"/>
  <c r="L33" i="8" a="1"/>
  <c r="L33" i="8" s="1"/>
  <c r="L42" i="8" a="1"/>
  <c r="L42" i="8" s="1"/>
  <c r="L43" i="8" a="1"/>
  <c r="L43" i="8" s="1"/>
  <c r="L60" i="8" a="1"/>
  <c r="L60" i="8" s="1"/>
  <c r="K75" i="8" a="1"/>
  <c r="K75" i="8" s="1"/>
  <c r="K141" i="8" a="1"/>
  <c r="K141" i="8" s="1"/>
  <c r="K20" i="8" a="1"/>
  <c r="K20" i="8" s="1"/>
  <c r="L51" i="8" a="1"/>
  <c r="L51" i="8" s="1"/>
  <c r="L68" i="8" a="1"/>
  <c r="L68" i="8" s="1"/>
  <c r="K19" i="8" a="1"/>
  <c r="K19" i="8" s="1"/>
  <c r="K83" i="8" a="1"/>
  <c r="K83" i="8" s="1"/>
  <c r="L21" i="8" a="1"/>
  <c r="L21" i="8" s="1"/>
  <c r="K30" i="8" a="1"/>
  <c r="K30" i="8" s="1"/>
  <c r="K62" i="8" a="1"/>
  <c r="K62" i="8" s="1"/>
  <c r="K78" i="8" a="1"/>
  <c r="K78" i="8" s="1"/>
  <c r="K120" i="8" a="1"/>
  <c r="K120" i="8" s="1"/>
  <c r="K136" i="8" a="1"/>
  <c r="K136" i="8" s="1"/>
  <c r="K152" i="8" a="1"/>
  <c r="K152" i="8" s="1"/>
  <c r="K176" i="8" a="1"/>
  <c r="K176" i="8" s="1"/>
  <c r="K192" i="8" a="1"/>
  <c r="K192" i="8" s="1"/>
  <c r="K22" i="8" a="1"/>
  <c r="K22" i="8" s="1"/>
  <c r="K38" i="8" a="1"/>
  <c r="K38" i="8" s="1"/>
  <c r="K70" i="8" a="1"/>
  <c r="K70" i="8" s="1"/>
  <c r="K112" i="8" a="1"/>
  <c r="K112" i="8" s="1"/>
  <c r="K160" i="8" a="1"/>
  <c r="K160" i="8" s="1"/>
  <c r="K145" i="8" a="1"/>
  <c r="K145" i="8" s="1"/>
  <c r="K23" i="8" a="1"/>
  <c r="K23" i="8" s="1"/>
  <c r="K31" i="8" a="1"/>
  <c r="K31" i="8" s="1"/>
  <c r="K39" i="8" a="1"/>
  <c r="K39" i="8" s="1"/>
  <c r="K47" i="8" a="1"/>
  <c r="K47" i="8" s="1"/>
  <c r="K55" i="8" a="1"/>
  <c r="K55" i="8" s="1"/>
  <c r="K63" i="8" a="1"/>
  <c r="K63" i="8" s="1"/>
  <c r="K71" i="8" a="1"/>
  <c r="K71" i="8" s="1"/>
  <c r="K87" i="8" a="1"/>
  <c r="K87" i="8" s="1"/>
  <c r="K121" i="8" a="1"/>
  <c r="K121" i="8" s="1"/>
  <c r="K137" i="8" a="1"/>
  <c r="K137" i="8" s="1"/>
  <c r="K153" i="8" a="1"/>
  <c r="K153" i="8" s="1"/>
  <c r="K24" i="8" a="1"/>
  <c r="K24" i="8" s="1"/>
  <c r="K32" i="8" a="1"/>
  <c r="K32" i="8" s="1"/>
  <c r="K40" i="8" a="1"/>
  <c r="K40" i="8" s="1"/>
  <c r="K48" i="8" a="1"/>
  <c r="K48" i="8" s="1"/>
  <c r="K56" i="8" a="1"/>
  <c r="K56" i="8" s="1"/>
  <c r="K64" i="8" a="1"/>
  <c r="K64" i="8" s="1"/>
  <c r="K72" i="8" a="1"/>
  <c r="K72" i="8" s="1"/>
  <c r="K80" i="8" a="1"/>
  <c r="K80" i="8" s="1"/>
  <c r="K88" i="8" a="1"/>
  <c r="K88" i="8" s="1"/>
  <c r="K96" i="8" a="1"/>
  <c r="K96" i="8" s="1"/>
  <c r="K106" i="8" a="1"/>
  <c r="K106" i="8" s="1"/>
  <c r="K114" i="8" a="1"/>
  <c r="K114" i="8" s="1"/>
  <c r="K122" i="8" a="1"/>
  <c r="K122" i="8" s="1"/>
  <c r="K130" i="8" a="1"/>
  <c r="K130" i="8" s="1"/>
  <c r="K138" i="8" a="1"/>
  <c r="K138" i="8" s="1"/>
  <c r="K25" i="8" a="1"/>
  <c r="K25" i="8" s="1"/>
  <c r="K33" i="8" a="1"/>
  <c r="K33" i="8" s="1"/>
  <c r="K41" i="8" a="1"/>
  <c r="K41" i="8" s="1"/>
  <c r="K49" i="8" a="1"/>
  <c r="K49" i="8" s="1"/>
  <c r="K57" i="8" a="1"/>
  <c r="K57" i="8" s="1"/>
  <c r="K65" i="8" a="1"/>
  <c r="K65" i="8" s="1"/>
  <c r="K73" i="8" a="1"/>
  <c r="K73" i="8" s="1"/>
  <c r="K81" i="8" a="1"/>
  <c r="K81" i="8" s="1"/>
  <c r="K89" i="8" a="1"/>
  <c r="K89" i="8" s="1"/>
  <c r="K115" i="8" a="1"/>
  <c r="K115" i="8" s="1"/>
  <c r="K123" i="8" a="1"/>
  <c r="K123" i="8" s="1"/>
  <c r="K131" i="8" a="1"/>
  <c r="K131" i="8" s="1"/>
  <c r="K139" i="8" a="1"/>
  <c r="K139" i="8" s="1"/>
  <c r="K26" i="8" a="1"/>
  <c r="K26" i="8" s="1"/>
  <c r="K34" i="8" a="1"/>
  <c r="K34" i="8" s="1"/>
  <c r="K42" i="8" a="1"/>
  <c r="K42" i="8" s="1"/>
  <c r="K50" i="8" a="1"/>
  <c r="K50" i="8" s="1"/>
  <c r="K58" i="8" a="1"/>
  <c r="K58" i="8" s="1"/>
  <c r="K66" i="8" a="1"/>
  <c r="K66" i="8" s="1"/>
  <c r="K46" i="8" a="1"/>
  <c r="K46" i="8" s="1"/>
  <c r="K54" i="8" a="1"/>
  <c r="K54" i="8" s="1"/>
  <c r="K86" i="8" a="1"/>
  <c r="K86" i="8" s="1"/>
  <c r="K128" i="8" a="1"/>
  <c r="K128" i="8" s="1"/>
  <c r="K144" i="8" a="1"/>
  <c r="K144" i="8" s="1"/>
  <c r="K168" i="8" a="1"/>
  <c r="K168" i="8" s="1"/>
  <c r="K184" i="8" a="1"/>
  <c r="K184" i="8" s="1"/>
  <c r="K79" i="8" a="1"/>
  <c r="K79" i="8" s="1"/>
  <c r="K113" i="8" a="1"/>
  <c r="K113" i="8" s="1"/>
  <c r="K129" i="8" a="1"/>
  <c r="K129" i="8" s="1"/>
  <c r="K132" i="8" a="1"/>
  <c r="K132" i="8" s="1"/>
  <c r="K161" i="8" a="1"/>
  <c r="K161" i="8" s="1"/>
  <c r="K177" i="8" a="1"/>
  <c r="K177" i="8" s="1"/>
  <c r="K193" i="8" a="1"/>
  <c r="K193" i="8" s="1"/>
  <c r="K74" i="8" a="1"/>
  <c r="K74" i="8" s="1"/>
  <c r="K140" i="8" a="1"/>
  <c r="K140" i="8" s="1"/>
  <c r="K162" i="8" a="1"/>
  <c r="K162" i="8" s="1"/>
  <c r="K178" i="8" a="1"/>
  <c r="K178" i="8" s="1"/>
  <c r="K194" i="8" a="1"/>
  <c r="K194" i="8" s="1"/>
  <c r="K82" i="8" a="1"/>
  <c r="K82" i="8" s="1"/>
  <c r="K146" i="8" a="1"/>
  <c r="K146" i="8" s="1"/>
  <c r="K163" i="8" a="1"/>
  <c r="K163" i="8" s="1"/>
  <c r="K179" i="8" a="1"/>
  <c r="K179" i="8" s="1"/>
  <c r="K195" i="8" a="1"/>
  <c r="K195" i="8" s="1"/>
  <c r="K90" i="8" a="1"/>
  <c r="K90" i="8" s="1"/>
  <c r="K147" i="8" a="1"/>
  <c r="K147" i="8" s="1"/>
  <c r="K164" i="8" a="1"/>
  <c r="K164" i="8" s="1"/>
  <c r="K180" i="8" a="1"/>
  <c r="K180" i="8" s="1"/>
  <c r="K18" i="8" a="1"/>
  <c r="K18" i="8" s="1"/>
  <c r="K148" i="8" a="1"/>
  <c r="K148" i="8" s="1"/>
  <c r="K169" i="8" a="1"/>
  <c r="K169" i="8" s="1"/>
  <c r="K185" i="8" a="1"/>
  <c r="K185" i="8" s="1"/>
  <c r="K154" i="8" a="1"/>
  <c r="K154" i="8" s="1"/>
  <c r="K170" i="8" a="1"/>
  <c r="K170" i="8" s="1"/>
  <c r="K186" i="8" a="1"/>
  <c r="K186" i="8" s="1"/>
  <c r="K116" i="8" a="1"/>
  <c r="K116" i="8" s="1"/>
  <c r="K155" i="8" a="1"/>
  <c r="K155" i="8" s="1"/>
  <c r="K171" i="8" a="1"/>
  <c r="K171" i="8" s="1"/>
  <c r="K187" i="8" a="1"/>
  <c r="K187" i="8" s="1"/>
  <c r="K124" i="8" a="1"/>
  <c r="K124" i="8" s="1"/>
  <c r="K156" i="8" a="1"/>
  <c r="K156" i="8" s="1"/>
  <c r="K172" i="8" a="1"/>
  <c r="K172" i="8" s="1"/>
  <c r="K188" i="8" a="1"/>
  <c r="K188" i="8" s="1"/>
  <c r="K119" i="8" a="1"/>
  <c r="K119" i="8" s="1"/>
  <c r="K183" i="8" a="1"/>
  <c r="K183" i="8" s="1"/>
  <c r="L71" i="8" a="1"/>
  <c r="L71" i="8" s="1"/>
  <c r="L80" i="8" a="1"/>
  <c r="L80" i="8" s="1"/>
  <c r="L57" i="8" a="1"/>
  <c r="L57" i="8" s="1"/>
  <c r="L66" i="8" a="1"/>
  <c r="L66" i="8" s="1"/>
  <c r="L20" i="8" a="1"/>
  <c r="L20" i="8" s="1"/>
  <c r="L84" i="8" a="1"/>
  <c r="L84" i="8" s="1"/>
  <c r="K35" i="8" a="1"/>
  <c r="K35" i="8" s="1"/>
  <c r="K165" i="8" a="1"/>
  <c r="K165" i="8" s="1"/>
  <c r="L193" i="8" a="1"/>
  <c r="L193" i="8" s="1"/>
  <c r="L145" i="8" a="1"/>
  <c r="L145" i="8" s="1"/>
  <c r="L153" i="8" a="1"/>
  <c r="L153" i="8" s="1"/>
  <c r="L161" i="8" a="1"/>
  <c r="L161" i="8" s="1"/>
  <c r="L169" i="8" a="1"/>
  <c r="L169" i="8" s="1"/>
  <c r="L177" i="8" a="1"/>
  <c r="L177" i="8" s="1"/>
  <c r="L114" i="8" a="1"/>
  <c r="L114" i="8" s="1"/>
  <c r="L122" i="8" a="1"/>
  <c r="L122" i="8" s="1"/>
  <c r="L130" i="8" a="1"/>
  <c r="L130" i="8" s="1"/>
  <c r="L138" i="8" a="1"/>
  <c r="L138" i="8" s="1"/>
  <c r="L146" i="8" a="1"/>
  <c r="L146" i="8" s="1"/>
  <c r="L154" i="8" a="1"/>
  <c r="L154" i="8" s="1"/>
  <c r="L162" i="8" a="1"/>
  <c r="L162" i="8" s="1"/>
  <c r="L170" i="8" a="1"/>
  <c r="L170" i="8" s="1"/>
  <c r="L178" i="8" a="1"/>
  <c r="L178" i="8" s="1"/>
  <c r="L186" i="8" a="1"/>
  <c r="L186" i="8" s="1"/>
  <c r="L194" i="8" a="1"/>
  <c r="L194" i="8" s="1"/>
  <c r="L147" i="8" a="1"/>
  <c r="L147" i="8" s="1"/>
  <c r="L155" i="8" a="1"/>
  <c r="L155" i="8" s="1"/>
  <c r="L163" i="8" a="1"/>
  <c r="L163" i="8" s="1"/>
  <c r="L171" i="8" a="1"/>
  <c r="L171" i="8" s="1"/>
  <c r="L179" i="8" a="1"/>
  <c r="L179" i="8" s="1"/>
  <c r="L187" i="8" a="1"/>
  <c r="L187" i="8" s="1"/>
  <c r="L195" i="8" a="1"/>
  <c r="L195" i="8" s="1"/>
  <c r="L148" i="8" a="1"/>
  <c r="L148" i="8" s="1"/>
  <c r="L156" i="8" a="1"/>
  <c r="L156" i="8" s="1"/>
  <c r="L164" i="8" a="1"/>
  <c r="L164" i="8" s="1"/>
  <c r="L172" i="8" a="1"/>
  <c r="L172" i="8" s="1"/>
  <c r="L180" i="8" a="1"/>
  <c r="L180" i="8" s="1"/>
  <c r="L188" i="8" a="1"/>
  <c r="L188" i="8" s="1"/>
  <c r="L196" i="8" a="1"/>
  <c r="L196" i="8" s="1"/>
  <c r="L67" i="8" a="1"/>
  <c r="L67" i="8" s="1"/>
  <c r="L75" i="8" a="1"/>
  <c r="L75" i="8" s="1"/>
  <c r="L83" i="8" a="1"/>
  <c r="L83" i="8" s="1"/>
  <c r="L93" i="8" a="1"/>
  <c r="L93" i="8" s="1"/>
  <c r="L101" i="8" a="1"/>
  <c r="L101" i="8" s="1"/>
  <c r="L109" i="8" a="1"/>
  <c r="L109" i="8" s="1"/>
  <c r="L117" i="8" a="1"/>
  <c r="L117" i="8" s="1"/>
  <c r="L125" i="8" a="1"/>
  <c r="L125" i="8" s="1"/>
  <c r="L133" i="8" a="1"/>
  <c r="L133" i="8" s="1"/>
  <c r="L141" i="8" a="1"/>
  <c r="L141" i="8" s="1"/>
  <c r="L149" i="8" a="1"/>
  <c r="L149" i="8" s="1"/>
  <c r="L157" i="8" a="1"/>
  <c r="L157" i="8" s="1"/>
  <c r="L165" i="8" a="1"/>
  <c r="L165" i="8" s="1"/>
  <c r="L173" i="8" a="1"/>
  <c r="L173" i="8" s="1"/>
  <c r="L181" i="8" a="1"/>
  <c r="L181" i="8" s="1"/>
  <c r="L189" i="8" a="1"/>
  <c r="L189" i="8" s="1"/>
  <c r="L197" i="8" a="1"/>
  <c r="L197" i="8" s="1"/>
  <c r="L185" i="8" a="1"/>
  <c r="L185" i="8" s="1"/>
  <c r="A3" i="5"/>
  <c r="L100" i="8" a="1"/>
  <c r="K105" i="8" a="1"/>
  <c r="L99" i="8" a="1"/>
  <c r="K99" i="8" a="1"/>
  <c r="L88" i="8" a="1"/>
  <c r="K102" i="8" a="1"/>
  <c r="L91" i="8" a="1"/>
  <c r="K109" i="8" a="1"/>
  <c r="L89" i="8" a="1"/>
  <c r="L90" i="8" a="1"/>
  <c r="K108" i="8" a="1"/>
  <c r="K107" i="8" a="1"/>
  <c r="K93" i="8" a="1"/>
  <c r="K97" i="8" a="1"/>
  <c r="K98" i="8" a="1"/>
  <c r="K101" i="8" a="1"/>
  <c r="L98" i="8" a="1"/>
  <c r="L97" i="8" a="1"/>
  <c r="K100" i="8" a="1"/>
  <c r="L96" i="8" a="1"/>
  <c r="K95" i="8" a="1"/>
  <c r="K94" i="8" a="1"/>
  <c r="L95" i="8" a="1"/>
  <c r="K95" i="8" l="1"/>
  <c r="K94" i="8"/>
  <c r="K93" i="8"/>
  <c r="Q91" i="8" s="1" a="1"/>
  <c r="Q91" i="8" s="1"/>
  <c r="Y18" i="8"/>
  <c r="Y25" i="8"/>
  <c r="Y22" i="8"/>
  <c r="Y23" i="8"/>
  <c r="Y20" i="8"/>
  <c r="L18" i="8" a="1"/>
  <c r="L18" i="8" s="1"/>
  <c r="R18" i="8" s="1" a="1"/>
  <c r="R18" i="8" s="1"/>
  <c r="Y21" i="8"/>
  <c r="K98" i="8"/>
  <c r="Q96" i="8" s="1" a="1"/>
  <c r="Q96" i="8" s="1"/>
  <c r="K97" i="8"/>
  <c r="D8" i="5"/>
  <c r="D9" i="5"/>
  <c r="D5" i="5"/>
  <c r="D6" i="5"/>
  <c r="D4" i="5"/>
  <c r="D7" i="5"/>
  <c r="R43" i="8" a="1"/>
  <c r="R43" i="8" s="1"/>
  <c r="R21" i="8" a="1"/>
  <c r="R21" i="8" s="1"/>
  <c r="R75" i="8" a="1"/>
  <c r="R75" i="8" s="1"/>
  <c r="Q35" i="8" a="1"/>
  <c r="Q35" i="8" s="1"/>
  <c r="R35" i="8" a="1"/>
  <c r="R35" i="8" s="1"/>
  <c r="R57" i="8" a="1"/>
  <c r="R57" i="8" s="1"/>
  <c r="R71" i="8" a="1"/>
  <c r="R71" i="8" s="1"/>
  <c r="Q58" i="8" a="1"/>
  <c r="Q58" i="8" s="1"/>
  <c r="R85" i="8" a="1"/>
  <c r="R85" i="8" s="1"/>
  <c r="R27" i="8" a="1"/>
  <c r="R27" i="8" s="1"/>
  <c r="Q26" i="8" a="1"/>
  <c r="Q26" i="8" s="1"/>
  <c r="R60" i="8" a="1"/>
  <c r="R60" i="8" s="1"/>
  <c r="R80" i="8" a="1"/>
  <c r="R80" i="8" s="1"/>
  <c r="R46" i="8" a="1"/>
  <c r="R46" i="8" s="1"/>
  <c r="R76" i="8" a="1"/>
  <c r="R76" i="8" s="1"/>
  <c r="R51" i="8" a="1"/>
  <c r="R51" i="8" s="1"/>
  <c r="R50" i="8" a="1"/>
  <c r="R50" i="8" s="1"/>
  <c r="R34" i="8" a="1"/>
  <c r="R34" i="8" s="1"/>
  <c r="R20" i="8" a="1"/>
  <c r="R20" i="8" s="1"/>
  <c r="R63" i="8" a="1"/>
  <c r="R63" i="8" s="1"/>
  <c r="R28" i="8" a="1"/>
  <c r="R28" i="8" s="1"/>
  <c r="Q90" i="8" a="1"/>
  <c r="Q90" i="8" s="1"/>
  <c r="Q83" i="8" a="1"/>
  <c r="Q83" i="8" s="1"/>
  <c r="R25" i="8" a="1"/>
  <c r="R25" i="8" s="1"/>
  <c r="R44" i="8" a="1"/>
  <c r="R44" i="8" s="1"/>
  <c r="R54" i="8" a="1"/>
  <c r="R54" i="8" s="1"/>
  <c r="R83" i="8" a="1"/>
  <c r="R83" i="8" s="1"/>
  <c r="R49" i="8" a="1"/>
  <c r="R49" i="8" s="1"/>
  <c r="Q51" i="8" a="1"/>
  <c r="Q51" i="8" s="1"/>
  <c r="Q18" i="8" a="1"/>
  <c r="Q18" i="8" s="1"/>
  <c r="R19" i="8" a="1"/>
  <c r="R19" i="8" s="1"/>
  <c r="R31" i="8" a="1"/>
  <c r="R31" i="8" s="1"/>
  <c r="R39" i="8" a="1"/>
  <c r="R39" i="8" s="1"/>
  <c r="R59" i="8" a="1"/>
  <c r="R59" i="8" s="1"/>
  <c r="R69" i="8" a="1"/>
  <c r="R69" i="8" s="1"/>
  <c r="R45" i="8" a="1"/>
  <c r="R45" i="8" s="1"/>
  <c r="R84" i="8" a="1"/>
  <c r="R84" i="8" s="1"/>
  <c r="R82" i="8" a="1"/>
  <c r="R82" i="8" s="1"/>
  <c r="R65" i="8" a="1"/>
  <c r="R65" i="8" s="1"/>
  <c r="R52" i="8" a="1"/>
  <c r="R52" i="8" s="1"/>
  <c r="R73" i="8" a="1"/>
  <c r="R73" i="8" s="1"/>
  <c r="R74" i="8" a="1"/>
  <c r="R74" i="8" s="1"/>
  <c r="R30" i="8" a="1"/>
  <c r="R30" i="8" s="1"/>
  <c r="R58" i="8" a="1"/>
  <c r="R58" i="8" s="1"/>
  <c r="R78" i="8" a="1"/>
  <c r="R78" i="8" s="1"/>
  <c r="R62" i="8" a="1"/>
  <c r="R62" i="8" s="1"/>
  <c r="R41" i="8" a="1"/>
  <c r="R41" i="8" s="1"/>
  <c r="R66" i="8" a="1"/>
  <c r="R66" i="8" s="1"/>
  <c r="R55" i="8" a="1"/>
  <c r="R55" i="8" s="1"/>
  <c r="R79" i="8" a="1"/>
  <c r="R79" i="8" s="1"/>
  <c r="R81" i="8" a="1"/>
  <c r="R81" i="8" s="1"/>
  <c r="R77" i="8" a="1"/>
  <c r="R77" i="8" s="1"/>
  <c r="R47" i="8" a="1"/>
  <c r="R47" i="8" s="1"/>
  <c r="R42" i="8" a="1"/>
  <c r="R42" i="8" s="1"/>
  <c r="R32" i="8" a="1"/>
  <c r="R32" i="8" s="1"/>
  <c r="R22" i="8" a="1"/>
  <c r="R22" i="8" s="1"/>
  <c r="R24" i="8" a="1"/>
  <c r="R24" i="8" s="1"/>
  <c r="Q79" i="8" a="1"/>
  <c r="Q79" i="8" s="1"/>
  <c r="Q66" i="8" a="1"/>
  <c r="Q66" i="8" s="1"/>
  <c r="R68" i="8" a="1"/>
  <c r="R68" i="8" s="1"/>
  <c r="R33" i="8" a="1"/>
  <c r="R33" i="8" s="1"/>
  <c r="R48" i="8" a="1"/>
  <c r="R48" i="8" s="1"/>
  <c r="R40" i="8" a="1"/>
  <c r="R40" i="8" s="1"/>
  <c r="R72" i="8" a="1"/>
  <c r="R72" i="8" s="1"/>
  <c r="R61" i="8" a="1"/>
  <c r="R61" i="8" s="1"/>
  <c r="R67" i="8" a="1"/>
  <c r="R67" i="8" s="1"/>
  <c r="Q41" i="8" a="1"/>
  <c r="Q41" i="8" s="1"/>
  <c r="Q32" i="8" a="1"/>
  <c r="Q32" i="8" s="1"/>
  <c r="Q70" i="8" a="1"/>
  <c r="Q70" i="8" s="1"/>
  <c r="R56" i="8" a="1"/>
  <c r="R56" i="8" s="1"/>
  <c r="R36" i="8" a="1"/>
  <c r="R36" i="8" s="1"/>
  <c r="R70" i="8" a="1"/>
  <c r="R70" i="8" s="1"/>
  <c r="R53" i="8" a="1"/>
  <c r="R53" i="8" s="1"/>
  <c r="R64" i="8" a="1"/>
  <c r="R64" i="8" s="1"/>
  <c r="R23" i="8" a="1"/>
  <c r="R23" i="8" s="1"/>
  <c r="R26" i="8" a="1"/>
  <c r="R26" i="8" s="1"/>
  <c r="R29" i="8" a="1"/>
  <c r="R29" i="8" s="1"/>
  <c r="R92" i="8" a="1"/>
  <c r="R92" i="8" s="1"/>
  <c r="R37" i="8" a="1"/>
  <c r="R37" i="8" s="1"/>
  <c r="R38" i="8" a="1"/>
  <c r="R38" i="8" s="1"/>
  <c r="Q46" i="8" a="1"/>
  <c r="Q46" i="8" s="1"/>
  <c r="Q19" i="8" a="1"/>
  <c r="Q19" i="8" s="1"/>
  <c r="Q74" i="8" a="1"/>
  <c r="Q74" i="8" s="1"/>
  <c r="Q49" i="8" a="1"/>
  <c r="Q49" i="8" s="1"/>
  <c r="Q40" i="8" a="1"/>
  <c r="Q40" i="8" s="1"/>
  <c r="Q63" i="8" a="1"/>
  <c r="Q63" i="8" s="1"/>
  <c r="Q28" i="8" a="1"/>
  <c r="Q28" i="8" s="1"/>
  <c r="Q55" i="8" a="1"/>
  <c r="Q55" i="8" s="1"/>
  <c r="Q43" i="8" a="1"/>
  <c r="Q43" i="8" s="1"/>
  <c r="Q20" i="8" a="1"/>
  <c r="Q20" i="8" s="1"/>
  <c r="Q82" i="8" a="1"/>
  <c r="Q82" i="8" s="1"/>
  <c r="Q67" i="8" a="1"/>
  <c r="Q67" i="8" s="1"/>
  <c r="Q75" i="8" a="1"/>
  <c r="Q75" i="8" s="1"/>
  <c r="Q86" i="8" a="1"/>
  <c r="Q86" i="8" s="1"/>
  <c r="Q95" i="8" a="1"/>
  <c r="Q95" i="8" s="1"/>
  <c r="Q57" i="8" a="1"/>
  <c r="Q57" i="8" s="1"/>
  <c r="Q48" i="8" a="1"/>
  <c r="Q48" i="8" s="1"/>
  <c r="Q71" i="8" a="1"/>
  <c r="Q71" i="8" s="1"/>
  <c r="Q85" i="8" a="1"/>
  <c r="Q85" i="8" s="1"/>
  <c r="Q36" i="8" a="1"/>
  <c r="Q36" i="8" s="1"/>
  <c r="Q53" i="8" a="1"/>
  <c r="Q53" i="8" s="1"/>
  <c r="Q68" i="8" a="1"/>
  <c r="Q68" i="8" s="1"/>
  <c r="Q50" i="8" a="1"/>
  <c r="Q50" i="8" s="1"/>
  <c r="Q33" i="8" a="1"/>
  <c r="Q33" i="8" s="1"/>
  <c r="Q88" i="8" a="1"/>
  <c r="Q88" i="8" s="1"/>
  <c r="Q24" i="8" a="1"/>
  <c r="Q24" i="8" s="1"/>
  <c r="Q47" i="8" a="1"/>
  <c r="Q47" i="8" s="1"/>
  <c r="Q38" i="8" a="1"/>
  <c r="Q38" i="8" s="1"/>
  <c r="Q78" i="8" a="1"/>
  <c r="Q78" i="8" s="1"/>
  <c r="Q45" i="8" a="1"/>
  <c r="Q45" i="8" s="1"/>
  <c r="Q77" i="8" a="1"/>
  <c r="Q77" i="8" s="1"/>
  <c r="Q37" i="8" a="1"/>
  <c r="Q37" i="8" s="1"/>
  <c r="Q42" i="8" a="1"/>
  <c r="Q42" i="8" s="1"/>
  <c r="Q89" i="8" a="1"/>
  <c r="Q89" i="8" s="1"/>
  <c r="Q25" i="8" a="1"/>
  <c r="Q25" i="8" s="1"/>
  <c r="Q80" i="8" a="1"/>
  <c r="Q80" i="8" s="1"/>
  <c r="Q39" i="8" a="1"/>
  <c r="Q39" i="8" s="1"/>
  <c r="Q22" i="8" a="1"/>
  <c r="Q22" i="8" s="1"/>
  <c r="Q62" i="8" a="1"/>
  <c r="Q62" i="8" s="1"/>
  <c r="Q27" i="8" a="1"/>
  <c r="Q27" i="8" s="1"/>
  <c r="Q34" i="8" a="1"/>
  <c r="Q34" i="8" s="1"/>
  <c r="Q81" i="8" a="1"/>
  <c r="Q81" i="8" s="1"/>
  <c r="Q72" i="8" a="1"/>
  <c r="Q72" i="8" s="1"/>
  <c r="Q31" i="8" a="1"/>
  <c r="Q31" i="8" s="1"/>
  <c r="Q30" i="8" a="1"/>
  <c r="Q30" i="8" s="1"/>
  <c r="Q61" i="8" a="1"/>
  <c r="Q61" i="8" s="1"/>
  <c r="Q60" i="8" a="1"/>
  <c r="Q60" i="8" s="1"/>
  <c r="Q29" i="8" a="1"/>
  <c r="Q29" i="8" s="1"/>
  <c r="Q52" i="8" a="1"/>
  <c r="Q52" i="8" s="1"/>
  <c r="Q73" i="8" a="1"/>
  <c r="Q73" i="8" s="1"/>
  <c r="Q64" i="8" a="1"/>
  <c r="Q64" i="8" s="1"/>
  <c r="Q23" i="8" a="1"/>
  <c r="Q23" i="8" s="1"/>
  <c r="Q59" i="8" a="1"/>
  <c r="Q59" i="8" s="1"/>
  <c r="Q21" i="8" a="1"/>
  <c r="Q21" i="8" s="1"/>
  <c r="Q44" i="8" a="1"/>
  <c r="Q44" i="8" s="1"/>
  <c r="Q54" i="8" a="1"/>
  <c r="Q54" i="8" s="1"/>
  <c r="Q65" i="8" a="1"/>
  <c r="Q65" i="8" s="1"/>
  <c r="Q56" i="8" a="1"/>
  <c r="Q56" i="8" s="1"/>
  <c r="Q87" i="8" a="1"/>
  <c r="Q87" i="8" s="1"/>
  <c r="Q76" i="8" a="1"/>
  <c r="Q76" i="8" s="1"/>
  <c r="Q84" i="8" a="1"/>
  <c r="Q84" i="8" s="1"/>
  <c r="Q69" i="8" a="1"/>
  <c r="Q69" i="8" s="1"/>
  <c r="AH33" i="8"/>
  <c r="Y26" i="8"/>
  <c r="AD40" i="8" s="1"/>
  <c r="L100" i="8"/>
  <c r="K105" i="8"/>
  <c r="L99" i="8"/>
  <c r="L98" i="8"/>
  <c r="L97" i="8"/>
  <c r="L95" i="8"/>
  <c r="L96" i="8"/>
  <c r="K101" i="8"/>
  <c r="K100" i="8"/>
  <c r="K99" i="8"/>
  <c r="L88" i="8"/>
  <c r="K102" i="8"/>
  <c r="AH30" i="8"/>
  <c r="AH21" i="8"/>
  <c r="AH27" i="8"/>
  <c r="L91" i="8"/>
  <c r="R91" i="8" s="1" a="1"/>
  <c r="R91" i="8" s="1"/>
  <c r="K109" i="8"/>
  <c r="L90" i="8"/>
  <c r="L89" i="8"/>
  <c r="K107" i="8"/>
  <c r="K108" i="8"/>
  <c r="AG23" i="8"/>
  <c r="AG20" i="8"/>
  <c r="AG35" i="8"/>
  <c r="AG32" i="8"/>
  <c r="AG29" i="8"/>
  <c r="AG26" i="8"/>
  <c r="AA51" i="8"/>
  <c r="AB50" i="8"/>
  <c r="AC50" i="8" s="1"/>
  <c r="N101" i="8" a="1"/>
  <c r="N101" i="8" s="1"/>
  <c r="N102" i="8" a="1"/>
  <c r="N102" i="8" s="1"/>
  <c r="N103" i="8" a="1"/>
  <c r="N103" i="8" s="1"/>
  <c r="N104" i="8" a="1"/>
  <c r="N104" i="8" s="1"/>
  <c r="P104" i="8" a="1"/>
  <c r="P104" i="8" s="1"/>
  <c r="N105" i="8" a="1"/>
  <c r="N105" i="8" s="1"/>
  <c r="O105" i="8" a="1"/>
  <c r="O105" i="8" s="1"/>
  <c r="P105" i="8" a="1"/>
  <c r="P105" i="8" s="1"/>
  <c r="N106" i="8" a="1"/>
  <c r="N106" i="8" s="1"/>
  <c r="O106" i="8" a="1"/>
  <c r="O106" i="8" s="1"/>
  <c r="P106" i="8" a="1"/>
  <c r="P106" i="8" s="1"/>
  <c r="N107" i="8" a="1"/>
  <c r="N107" i="8" s="1"/>
  <c r="O107" i="8" a="1"/>
  <c r="O107" i="8" s="1"/>
  <c r="P107" i="8" a="1"/>
  <c r="P107" i="8" s="1"/>
  <c r="N108" i="8" a="1"/>
  <c r="N108" i="8" s="1"/>
  <c r="O108" i="8" a="1"/>
  <c r="O108" i="8" s="1"/>
  <c r="P108" i="8" a="1"/>
  <c r="P108" i="8" s="1"/>
  <c r="N109" i="8" a="1"/>
  <c r="N109" i="8" s="1"/>
  <c r="O109" i="8" a="1"/>
  <c r="O109" i="8" s="1"/>
  <c r="P109" i="8" a="1"/>
  <c r="P109" i="8" s="1"/>
  <c r="N110" i="8" a="1"/>
  <c r="N110" i="8" s="1"/>
  <c r="O110" i="8" a="1"/>
  <c r="O110" i="8" s="1"/>
  <c r="P110" i="8" a="1"/>
  <c r="P110" i="8" s="1"/>
  <c r="N111" i="8" a="1"/>
  <c r="N111" i="8" s="1"/>
  <c r="O111" i="8" a="1"/>
  <c r="O111" i="8" s="1"/>
  <c r="P111" i="8" a="1"/>
  <c r="P111" i="8" s="1"/>
  <c r="N112" i="8" a="1"/>
  <c r="N112" i="8" s="1"/>
  <c r="O112" i="8" a="1"/>
  <c r="O112" i="8" s="1"/>
  <c r="P112" i="8" a="1"/>
  <c r="P112" i="8" s="1"/>
  <c r="N113" i="8" a="1"/>
  <c r="N113" i="8" s="1"/>
  <c r="O113" i="8" a="1"/>
  <c r="O113" i="8" s="1"/>
  <c r="P113" i="8" a="1"/>
  <c r="P113" i="8" s="1"/>
  <c r="N114" i="8" a="1"/>
  <c r="N114" i="8" s="1"/>
  <c r="O114" i="8" a="1"/>
  <c r="O114" i="8" s="1"/>
  <c r="P114" i="8" a="1"/>
  <c r="P114" i="8" s="1"/>
  <c r="N115" i="8" a="1"/>
  <c r="N115" i="8" s="1"/>
  <c r="O115" i="8" a="1"/>
  <c r="O115" i="8" s="1"/>
  <c r="P115" i="8" a="1"/>
  <c r="P115" i="8" s="1"/>
  <c r="N116" i="8" a="1"/>
  <c r="N116" i="8" s="1"/>
  <c r="O116" i="8" a="1"/>
  <c r="O116" i="8" s="1"/>
  <c r="P116" i="8" a="1"/>
  <c r="P116" i="8" s="1"/>
  <c r="N117" i="8" a="1"/>
  <c r="N117" i="8" s="1"/>
  <c r="O117" i="8" a="1"/>
  <c r="O117" i="8" s="1"/>
  <c r="P117" i="8" a="1"/>
  <c r="P117" i="8" s="1"/>
  <c r="N118" i="8" a="1"/>
  <c r="N118" i="8" s="1"/>
  <c r="O118" i="8" a="1"/>
  <c r="O118" i="8" s="1"/>
  <c r="P118" i="8" a="1"/>
  <c r="P118" i="8" s="1"/>
  <c r="N119" i="8" a="1"/>
  <c r="N119" i="8" s="1"/>
  <c r="O119" i="8" a="1"/>
  <c r="O119" i="8" s="1"/>
  <c r="P119" i="8" a="1"/>
  <c r="P119" i="8" s="1"/>
  <c r="N120" i="8" a="1"/>
  <c r="N120" i="8" s="1"/>
  <c r="O120" i="8" a="1"/>
  <c r="O120" i="8" s="1"/>
  <c r="P120" i="8" a="1"/>
  <c r="P120" i="8" s="1"/>
  <c r="N121" i="8" a="1"/>
  <c r="N121" i="8" s="1"/>
  <c r="O121" i="8" a="1"/>
  <c r="O121" i="8" s="1"/>
  <c r="P121" i="8" a="1"/>
  <c r="P121" i="8" s="1"/>
  <c r="N122" i="8" a="1"/>
  <c r="N122" i="8" s="1"/>
  <c r="O122" i="8" a="1"/>
  <c r="O122" i="8" s="1"/>
  <c r="P122" i="8" a="1"/>
  <c r="P122" i="8" s="1"/>
  <c r="N123" i="8" a="1"/>
  <c r="N123" i="8" s="1"/>
  <c r="O123" i="8" a="1"/>
  <c r="O123" i="8" s="1"/>
  <c r="P123" i="8" a="1"/>
  <c r="P123" i="8" s="1"/>
  <c r="N124" i="8" a="1"/>
  <c r="N124" i="8" s="1"/>
  <c r="O124" i="8" a="1"/>
  <c r="O124" i="8" s="1"/>
  <c r="P124" i="8" a="1"/>
  <c r="P124" i="8" s="1"/>
  <c r="N125" i="8" a="1"/>
  <c r="N125" i="8" s="1"/>
  <c r="O125" i="8" a="1"/>
  <c r="O125" i="8" s="1"/>
  <c r="P125" i="8" a="1"/>
  <c r="P125" i="8" s="1"/>
  <c r="N126" i="8" a="1"/>
  <c r="N126" i="8" s="1"/>
  <c r="O126" i="8" a="1"/>
  <c r="O126" i="8" s="1"/>
  <c r="P126" i="8" a="1"/>
  <c r="P126" i="8" s="1"/>
  <c r="N127" i="8" a="1"/>
  <c r="N127" i="8" s="1"/>
  <c r="O127" i="8" a="1"/>
  <c r="O127" i="8" s="1"/>
  <c r="P127" i="8" a="1"/>
  <c r="P127" i="8" s="1"/>
  <c r="N128" i="8" a="1"/>
  <c r="N128" i="8" s="1"/>
  <c r="O128" i="8" a="1"/>
  <c r="O128" i="8" s="1"/>
  <c r="P128" i="8" a="1"/>
  <c r="P128" i="8" s="1"/>
  <c r="N129" i="8" a="1"/>
  <c r="N129" i="8" s="1"/>
  <c r="O129" i="8" a="1"/>
  <c r="O129" i="8" s="1"/>
  <c r="P129" i="8" a="1"/>
  <c r="P129" i="8" s="1"/>
  <c r="N130" i="8" a="1"/>
  <c r="N130" i="8" s="1"/>
  <c r="O130" i="8" a="1"/>
  <c r="O130" i="8" s="1"/>
  <c r="P130" i="8" a="1"/>
  <c r="P130" i="8" s="1"/>
  <c r="N131" i="8" a="1"/>
  <c r="N131" i="8" s="1"/>
  <c r="O131" i="8" a="1"/>
  <c r="O131" i="8" s="1"/>
  <c r="P131" i="8" a="1"/>
  <c r="P131" i="8" s="1"/>
  <c r="N132" i="8" a="1"/>
  <c r="N132" i="8" s="1"/>
  <c r="O132" i="8" a="1"/>
  <c r="O132" i="8" s="1"/>
  <c r="P132" i="8" a="1"/>
  <c r="P132" i="8" s="1"/>
  <c r="N133" i="8" a="1"/>
  <c r="N133" i="8" s="1"/>
  <c r="O133" i="8" a="1"/>
  <c r="O133" i="8" s="1"/>
  <c r="P133" i="8" a="1"/>
  <c r="P133" i="8" s="1"/>
  <c r="N134" i="8" a="1"/>
  <c r="N134" i="8" s="1"/>
  <c r="O134" i="8" a="1"/>
  <c r="O134" i="8" s="1"/>
  <c r="P134" i="8" a="1"/>
  <c r="P134" i="8" s="1"/>
  <c r="N135" i="8" a="1"/>
  <c r="N135" i="8" s="1"/>
  <c r="O135" i="8" a="1"/>
  <c r="O135" i="8" s="1"/>
  <c r="P135" i="8" a="1"/>
  <c r="P135" i="8" s="1"/>
  <c r="N136" i="8" a="1"/>
  <c r="N136" i="8" s="1"/>
  <c r="O136" i="8" a="1"/>
  <c r="O136" i="8" s="1"/>
  <c r="P136" i="8" a="1"/>
  <c r="P136" i="8" s="1"/>
  <c r="N137" i="8" a="1"/>
  <c r="N137" i="8" s="1"/>
  <c r="O137" i="8" a="1"/>
  <c r="O137" i="8" s="1"/>
  <c r="P137" i="8" a="1"/>
  <c r="P137" i="8" s="1"/>
  <c r="N138" i="8" a="1"/>
  <c r="N138" i="8" s="1"/>
  <c r="O138" i="8" a="1"/>
  <c r="O138" i="8" s="1"/>
  <c r="P138" i="8" a="1"/>
  <c r="P138" i="8" s="1"/>
  <c r="N139" i="8" a="1"/>
  <c r="N139" i="8" s="1"/>
  <c r="O139" i="8" a="1"/>
  <c r="O139" i="8" s="1"/>
  <c r="P139" i="8" a="1"/>
  <c r="P139" i="8" s="1"/>
  <c r="N140" i="8" a="1"/>
  <c r="N140" i="8" s="1"/>
  <c r="O140" i="8" a="1"/>
  <c r="O140" i="8" s="1"/>
  <c r="P140" i="8" a="1"/>
  <c r="P140" i="8" s="1"/>
  <c r="N141" i="8" a="1"/>
  <c r="N141" i="8" s="1"/>
  <c r="O141" i="8" a="1"/>
  <c r="O141" i="8" s="1"/>
  <c r="P141" i="8" a="1"/>
  <c r="P141" i="8" s="1"/>
  <c r="N142" i="8" a="1"/>
  <c r="N142" i="8" s="1"/>
  <c r="O142" i="8" a="1"/>
  <c r="O142" i="8" s="1"/>
  <c r="P142" i="8" a="1"/>
  <c r="P142" i="8" s="1"/>
  <c r="N143" i="8" a="1"/>
  <c r="N143" i="8" s="1"/>
  <c r="O143" i="8" a="1"/>
  <c r="O143" i="8" s="1"/>
  <c r="P143" i="8" a="1"/>
  <c r="P143" i="8" s="1"/>
  <c r="N144" i="8" a="1"/>
  <c r="N144" i="8" s="1"/>
  <c r="O144" i="8" a="1"/>
  <c r="O144" i="8" s="1"/>
  <c r="P144" i="8" a="1"/>
  <c r="P144" i="8" s="1"/>
  <c r="N145" i="8" a="1"/>
  <c r="N145" i="8" s="1"/>
  <c r="O145" i="8" a="1"/>
  <c r="O145" i="8" s="1"/>
  <c r="P145" i="8" a="1"/>
  <c r="P145" i="8" s="1"/>
  <c r="N146" i="8" a="1"/>
  <c r="N146" i="8" s="1"/>
  <c r="O146" i="8" a="1"/>
  <c r="O146" i="8" s="1"/>
  <c r="P146" i="8" a="1"/>
  <c r="P146" i="8" s="1"/>
  <c r="N147" i="8" a="1"/>
  <c r="N147" i="8" s="1"/>
  <c r="O147" i="8" a="1"/>
  <c r="O147" i="8" s="1"/>
  <c r="P147" i="8" a="1"/>
  <c r="P147" i="8" s="1"/>
  <c r="N148" i="8" a="1"/>
  <c r="N148" i="8" s="1"/>
  <c r="O148" i="8" a="1"/>
  <c r="O148" i="8" s="1"/>
  <c r="P148" i="8" a="1"/>
  <c r="P148" i="8" s="1"/>
  <c r="N149" i="8" a="1"/>
  <c r="N149" i="8" s="1"/>
  <c r="O149" i="8" a="1"/>
  <c r="O149" i="8" s="1"/>
  <c r="P149" i="8" a="1"/>
  <c r="P149" i="8" s="1"/>
  <c r="N150" i="8" a="1"/>
  <c r="N150" i="8" s="1"/>
  <c r="O150" i="8" a="1"/>
  <c r="O150" i="8" s="1"/>
  <c r="P150" i="8" a="1"/>
  <c r="P150" i="8" s="1"/>
  <c r="N151" i="8" a="1"/>
  <c r="N151" i="8" s="1"/>
  <c r="O151" i="8" a="1"/>
  <c r="O151" i="8" s="1"/>
  <c r="P151" i="8" a="1"/>
  <c r="P151" i="8" s="1"/>
  <c r="N152" i="8" a="1"/>
  <c r="N152" i="8" s="1"/>
  <c r="O152" i="8" a="1"/>
  <c r="O152" i="8" s="1"/>
  <c r="P152" i="8" a="1"/>
  <c r="P152" i="8" s="1"/>
  <c r="N153" i="8" a="1"/>
  <c r="N153" i="8" s="1"/>
  <c r="O153" i="8" a="1"/>
  <c r="O153" i="8" s="1"/>
  <c r="P153" i="8" a="1"/>
  <c r="P153" i="8" s="1"/>
  <c r="N154" i="8" a="1"/>
  <c r="N154" i="8" s="1"/>
  <c r="O154" i="8" a="1"/>
  <c r="O154" i="8" s="1"/>
  <c r="P154" i="8" a="1"/>
  <c r="P154" i="8" s="1"/>
  <c r="N155" i="8" a="1"/>
  <c r="N155" i="8" s="1"/>
  <c r="O155" i="8" a="1"/>
  <c r="O155" i="8" s="1"/>
  <c r="P155" i="8" a="1"/>
  <c r="P155" i="8" s="1"/>
  <c r="N156" i="8" a="1"/>
  <c r="N156" i="8" s="1"/>
  <c r="O156" i="8" a="1"/>
  <c r="O156" i="8" s="1"/>
  <c r="P156" i="8" a="1"/>
  <c r="P156" i="8" s="1"/>
  <c r="N157" i="8" a="1"/>
  <c r="N157" i="8" s="1"/>
  <c r="O157" i="8" a="1"/>
  <c r="O157" i="8" s="1"/>
  <c r="P157" i="8" a="1"/>
  <c r="P157" i="8" s="1"/>
  <c r="N158" i="8" a="1"/>
  <c r="N158" i="8" s="1"/>
  <c r="O158" i="8" a="1"/>
  <c r="O158" i="8" s="1"/>
  <c r="P158" i="8" a="1"/>
  <c r="P158" i="8" s="1"/>
  <c r="N159" i="8" a="1"/>
  <c r="N159" i="8" s="1"/>
  <c r="O159" i="8" a="1"/>
  <c r="O159" i="8" s="1"/>
  <c r="P159" i="8" a="1"/>
  <c r="P159" i="8" s="1"/>
  <c r="N160" i="8" a="1"/>
  <c r="N160" i="8" s="1"/>
  <c r="O160" i="8" a="1"/>
  <c r="O160" i="8" s="1"/>
  <c r="P160" i="8" a="1"/>
  <c r="P160" i="8" s="1"/>
  <c r="N161" i="8" a="1"/>
  <c r="N161" i="8" s="1"/>
  <c r="O161" i="8" a="1"/>
  <c r="O161" i="8" s="1"/>
  <c r="P161" i="8" a="1"/>
  <c r="P161" i="8" s="1"/>
  <c r="N162" i="8" a="1"/>
  <c r="N162" i="8" s="1"/>
  <c r="O162" i="8" a="1"/>
  <c r="O162" i="8" s="1"/>
  <c r="P162" i="8" a="1"/>
  <c r="P162" i="8" s="1"/>
  <c r="N163" i="8" a="1"/>
  <c r="N163" i="8" s="1"/>
  <c r="O163" i="8" a="1"/>
  <c r="O163" i="8" s="1"/>
  <c r="P163" i="8" a="1"/>
  <c r="P163" i="8" s="1"/>
  <c r="N164" i="8" a="1"/>
  <c r="N164" i="8" s="1"/>
  <c r="O164" i="8" a="1"/>
  <c r="O164" i="8" s="1"/>
  <c r="P164" i="8" a="1"/>
  <c r="P164" i="8" s="1"/>
  <c r="N165" i="8" a="1"/>
  <c r="N165" i="8" s="1"/>
  <c r="O165" i="8" a="1"/>
  <c r="O165" i="8" s="1"/>
  <c r="P165" i="8" a="1"/>
  <c r="P165" i="8" s="1"/>
  <c r="N166" i="8" a="1"/>
  <c r="N166" i="8" s="1"/>
  <c r="O166" i="8" a="1"/>
  <c r="O166" i="8" s="1"/>
  <c r="P166" i="8" a="1"/>
  <c r="P166" i="8" s="1"/>
  <c r="N167" i="8" a="1"/>
  <c r="N167" i="8" s="1"/>
  <c r="O167" i="8" a="1"/>
  <c r="O167" i="8" s="1"/>
  <c r="P167" i="8" a="1"/>
  <c r="P167" i="8" s="1"/>
  <c r="N168" i="8" a="1"/>
  <c r="N168" i="8" s="1"/>
  <c r="O168" i="8" a="1"/>
  <c r="O168" i="8" s="1"/>
  <c r="P168" i="8" a="1"/>
  <c r="P168" i="8" s="1"/>
  <c r="N169" i="8" a="1"/>
  <c r="N169" i="8" s="1"/>
  <c r="O169" i="8" a="1"/>
  <c r="O169" i="8" s="1"/>
  <c r="P169" i="8" a="1"/>
  <c r="P169" i="8" s="1"/>
  <c r="N170" i="8" a="1"/>
  <c r="N170" i="8" s="1"/>
  <c r="O170" i="8" a="1"/>
  <c r="O170" i="8" s="1"/>
  <c r="P170" i="8" a="1"/>
  <c r="P170" i="8" s="1"/>
  <c r="N171" i="8" a="1"/>
  <c r="N171" i="8" s="1"/>
  <c r="O171" i="8" a="1"/>
  <c r="O171" i="8" s="1"/>
  <c r="P171" i="8" a="1"/>
  <c r="P171" i="8" s="1"/>
  <c r="N172" i="8" a="1"/>
  <c r="N172" i="8" s="1"/>
  <c r="O172" i="8" a="1"/>
  <c r="O172" i="8" s="1"/>
  <c r="P172" i="8" a="1"/>
  <c r="P172" i="8" s="1"/>
  <c r="N173" i="8" a="1"/>
  <c r="N173" i="8" s="1"/>
  <c r="O173" i="8" a="1"/>
  <c r="O173" i="8" s="1"/>
  <c r="P173" i="8" a="1"/>
  <c r="P173" i="8" s="1"/>
  <c r="N174" i="8" a="1"/>
  <c r="N174" i="8" s="1"/>
  <c r="O174" i="8" a="1"/>
  <c r="O174" i="8" s="1"/>
  <c r="P174" i="8" a="1"/>
  <c r="P174" i="8" s="1"/>
  <c r="N175" i="8" a="1"/>
  <c r="N175" i="8" s="1"/>
  <c r="O175" i="8" a="1"/>
  <c r="O175" i="8" s="1"/>
  <c r="P175" i="8" a="1"/>
  <c r="P175" i="8" s="1"/>
  <c r="N176" i="8" a="1"/>
  <c r="N176" i="8" s="1"/>
  <c r="O176" i="8" a="1"/>
  <c r="O176" i="8" s="1"/>
  <c r="P176" i="8" a="1"/>
  <c r="P176" i="8" s="1"/>
  <c r="N177" i="8" a="1"/>
  <c r="N177" i="8" s="1"/>
  <c r="O177" i="8" a="1"/>
  <c r="O177" i="8" s="1"/>
  <c r="P177" i="8" a="1"/>
  <c r="P177" i="8" s="1"/>
  <c r="N178" i="8" a="1"/>
  <c r="N178" i="8" s="1"/>
  <c r="O178" i="8" a="1"/>
  <c r="O178" i="8" s="1"/>
  <c r="P178" i="8" a="1"/>
  <c r="P178" i="8" s="1"/>
  <c r="N179" i="8" a="1"/>
  <c r="N179" i="8" s="1"/>
  <c r="O179" i="8" a="1"/>
  <c r="O179" i="8" s="1"/>
  <c r="P179" i="8" a="1"/>
  <c r="P179" i="8" s="1"/>
  <c r="N180" i="8" a="1"/>
  <c r="N180" i="8" s="1"/>
  <c r="O180" i="8" a="1"/>
  <c r="O180" i="8" s="1"/>
  <c r="P180" i="8" a="1"/>
  <c r="P180" i="8" s="1"/>
  <c r="N181" i="8" a="1"/>
  <c r="N181" i="8" s="1"/>
  <c r="O181" i="8" a="1"/>
  <c r="O181" i="8" s="1"/>
  <c r="P181" i="8" a="1"/>
  <c r="P181" i="8" s="1"/>
  <c r="N182" i="8" a="1"/>
  <c r="N182" i="8" s="1"/>
  <c r="O182" i="8" a="1"/>
  <c r="O182" i="8" s="1"/>
  <c r="P182" i="8" a="1"/>
  <c r="P182" i="8" s="1"/>
  <c r="N183" i="8" a="1"/>
  <c r="N183" i="8" s="1"/>
  <c r="O183" i="8" a="1"/>
  <c r="O183" i="8" s="1"/>
  <c r="P183" i="8" a="1"/>
  <c r="P183" i="8" s="1"/>
  <c r="N184" i="8" a="1"/>
  <c r="N184" i="8" s="1"/>
  <c r="O184" i="8" a="1"/>
  <c r="O184" i="8" s="1"/>
  <c r="P184" i="8" a="1"/>
  <c r="P184" i="8" s="1"/>
  <c r="N185" i="8" a="1"/>
  <c r="N185" i="8" s="1"/>
  <c r="O185" i="8" a="1"/>
  <c r="O185" i="8" s="1"/>
  <c r="P185" i="8" a="1"/>
  <c r="P185" i="8" s="1"/>
  <c r="N186" i="8" a="1"/>
  <c r="N186" i="8" s="1"/>
  <c r="O186" i="8" a="1"/>
  <c r="O186" i="8" s="1"/>
  <c r="P186" i="8" a="1"/>
  <c r="P186" i="8" s="1"/>
  <c r="N187" i="8" a="1"/>
  <c r="N187" i="8" s="1"/>
  <c r="O187" i="8" a="1"/>
  <c r="O187" i="8" s="1"/>
  <c r="P187" i="8" a="1"/>
  <c r="P187" i="8" s="1"/>
  <c r="N188" i="8" a="1"/>
  <c r="N188" i="8" s="1"/>
  <c r="O188" i="8" a="1"/>
  <c r="O188" i="8" s="1"/>
  <c r="P188" i="8" a="1"/>
  <c r="P188" i="8" s="1"/>
  <c r="N189" i="8" a="1"/>
  <c r="N189" i="8" s="1"/>
  <c r="O189" i="8" a="1"/>
  <c r="O189" i="8" s="1"/>
  <c r="P189" i="8" a="1"/>
  <c r="P189" i="8" s="1"/>
  <c r="N190" i="8" a="1"/>
  <c r="N190" i="8" s="1"/>
  <c r="O190" i="8" a="1"/>
  <c r="O190" i="8" s="1"/>
  <c r="P190" i="8" a="1"/>
  <c r="P190" i="8" s="1"/>
  <c r="N191" i="8" a="1"/>
  <c r="N191" i="8" s="1"/>
  <c r="O191" i="8" a="1"/>
  <c r="O191" i="8" s="1"/>
  <c r="P191" i="8" a="1"/>
  <c r="P191" i="8" s="1"/>
  <c r="N192" i="8" a="1"/>
  <c r="N192" i="8" s="1"/>
  <c r="O192" i="8" a="1"/>
  <c r="O192" i="8" s="1"/>
  <c r="P192" i="8" a="1"/>
  <c r="P192" i="8" s="1"/>
  <c r="N193" i="8" a="1"/>
  <c r="N193" i="8" s="1"/>
  <c r="O193" i="8" a="1"/>
  <c r="O193" i="8" s="1"/>
  <c r="P193" i="8" a="1"/>
  <c r="P193" i="8" s="1"/>
  <c r="N194" i="8" a="1"/>
  <c r="N194" i="8" s="1"/>
  <c r="O194" i="8" a="1"/>
  <c r="O194" i="8" s="1"/>
  <c r="P194" i="8" a="1"/>
  <c r="P194" i="8" s="1"/>
  <c r="N195" i="8" a="1"/>
  <c r="N195" i="8" s="1"/>
  <c r="O195" i="8" a="1"/>
  <c r="O195" i="8" s="1"/>
  <c r="P195" i="8" a="1"/>
  <c r="P195" i="8" s="1"/>
  <c r="N196" i="8" a="1"/>
  <c r="N196" i="8" s="1"/>
  <c r="O196" i="8" a="1"/>
  <c r="O196" i="8" s="1"/>
  <c r="P196" i="8" a="1"/>
  <c r="P196" i="8" s="1"/>
  <c r="N197" i="8" a="1"/>
  <c r="N197" i="8" s="1"/>
  <c r="O197" i="8" a="1"/>
  <c r="O197" i="8" s="1"/>
  <c r="P197" i="8" a="1"/>
  <c r="P197" i="8" s="1"/>
  <c r="N198" i="8" a="1"/>
  <c r="N198" i="8" s="1"/>
  <c r="O198" i="8" a="1"/>
  <c r="O198" i="8" s="1"/>
  <c r="P198" i="8" a="1"/>
  <c r="P198" i="8" s="1"/>
  <c r="N199" i="8" a="1"/>
  <c r="N199" i="8" s="1"/>
  <c r="O199" i="8" a="1"/>
  <c r="O199" i="8" s="1"/>
  <c r="P199" i="8" a="1"/>
  <c r="P199" i="8" s="1"/>
  <c r="N200" i="8" a="1"/>
  <c r="N200" i="8" s="1"/>
  <c r="O200" i="8" a="1"/>
  <c r="O200" i="8" s="1"/>
  <c r="P200" i="8" a="1"/>
  <c r="P200" i="8" s="1"/>
  <c r="N201" i="8" a="1"/>
  <c r="N201" i="8" s="1"/>
  <c r="O201" i="8" a="1"/>
  <c r="O201" i="8" s="1"/>
  <c r="P201" i="8" a="1"/>
  <c r="P201" i="8" s="1"/>
  <c r="AH24" i="8" l="1"/>
  <c r="Q93" i="8" a="1"/>
  <c r="Q93" i="8" s="1"/>
  <c r="Q94" i="8" a="1"/>
  <c r="Q94" i="8" s="1"/>
  <c r="Q92" i="8" a="1"/>
  <c r="Q92" i="8" s="1"/>
  <c r="R94" i="8" a="1"/>
  <c r="R94" i="8" s="1"/>
  <c r="R90" i="8" a="1"/>
  <c r="R90" i="8" s="1"/>
  <c r="R87" i="8" a="1"/>
  <c r="R87" i="8" s="1"/>
  <c r="R96" i="8" a="1"/>
  <c r="R96" i="8" s="1"/>
  <c r="R86" i="8" a="1"/>
  <c r="R86" i="8" s="1"/>
  <c r="R95" i="8" a="1"/>
  <c r="R95" i="8" s="1"/>
  <c r="R89" i="8" a="1"/>
  <c r="R89" i="8" s="1"/>
  <c r="R88" i="8" a="1"/>
  <c r="R88" i="8" s="1"/>
  <c r="R93" i="8" a="1"/>
  <c r="R93" i="8" s="1"/>
  <c r="Q97" i="8" a="1"/>
  <c r="Q97" i="8" s="1"/>
  <c r="Q99" i="8" a="1"/>
  <c r="Q99" i="8" s="1"/>
  <c r="Q98" i="8" a="1"/>
  <c r="Q98" i="8" s="1"/>
  <c r="Y27" i="8"/>
  <c r="AH25" i="8" s="1"/>
  <c r="AI1082" i="8"/>
  <c r="AI1090" i="8"/>
  <c r="AI1098" i="8"/>
  <c r="AI1106" i="8"/>
  <c r="AI1114" i="8"/>
  <c r="AI1122" i="8"/>
  <c r="AI1130" i="8"/>
  <c r="AI1138" i="8"/>
  <c r="AI1146" i="8"/>
  <c r="AI1154" i="8"/>
  <c r="AI1162" i="8"/>
  <c r="AI1085" i="8"/>
  <c r="AI1117" i="8"/>
  <c r="AI1141" i="8"/>
  <c r="AI1083" i="8"/>
  <c r="AI1091" i="8"/>
  <c r="AI1099" i="8"/>
  <c r="AI1107" i="8"/>
  <c r="AI1115" i="8"/>
  <c r="AI1123" i="8"/>
  <c r="AI1131" i="8"/>
  <c r="AI1139" i="8"/>
  <c r="AI1147" i="8"/>
  <c r="AI1155" i="8"/>
  <c r="AI1163" i="8"/>
  <c r="AI1077" i="8"/>
  <c r="AI1109" i="8"/>
  <c r="AI1076" i="8"/>
  <c r="AI1084" i="8"/>
  <c r="AI1092" i="8"/>
  <c r="AI1100" i="8"/>
  <c r="AI1108" i="8"/>
  <c r="AI1116" i="8"/>
  <c r="AI1124" i="8"/>
  <c r="AI1132" i="8"/>
  <c r="AI1140" i="8"/>
  <c r="AI1148" i="8"/>
  <c r="AI1156" i="8"/>
  <c r="AI1164" i="8"/>
  <c r="AI1080" i="8"/>
  <c r="AI1088" i="8"/>
  <c r="AI1096" i="8"/>
  <c r="AI1104" i="8"/>
  <c r="AI1112" i="8"/>
  <c r="AI1120" i="8"/>
  <c r="AI1128" i="8"/>
  <c r="AI1136" i="8"/>
  <c r="AI1144" i="8"/>
  <c r="AI1152" i="8"/>
  <c r="AI1160" i="8"/>
  <c r="AI1168" i="8"/>
  <c r="AI1093" i="8"/>
  <c r="AI1125" i="8"/>
  <c r="AI1165" i="8"/>
  <c r="AI1081" i="8"/>
  <c r="AI1089" i="8"/>
  <c r="AI1097" i="8"/>
  <c r="AI1105" i="8"/>
  <c r="AI1113" i="8"/>
  <c r="AI1121" i="8"/>
  <c r="AI1129" i="8"/>
  <c r="AI1137" i="8"/>
  <c r="AI1145" i="8"/>
  <c r="AI1153" i="8"/>
  <c r="AI1161" i="8"/>
  <c r="AI1101" i="8"/>
  <c r="AI1133" i="8"/>
  <c r="AI1094" i="8"/>
  <c r="AI1126" i="8"/>
  <c r="AI1151" i="8"/>
  <c r="AI1103" i="8"/>
  <c r="AI1078" i="8"/>
  <c r="AI1111" i="8"/>
  <c r="AI1095" i="8"/>
  <c r="AI1127" i="8"/>
  <c r="AI1157" i="8"/>
  <c r="AI1135" i="8"/>
  <c r="AI1110" i="8"/>
  <c r="AI1143" i="8"/>
  <c r="AI1102" i="8"/>
  <c r="AI1134" i="8"/>
  <c r="AI1158" i="8"/>
  <c r="AI1086" i="8"/>
  <c r="AI1118" i="8"/>
  <c r="AI1149" i="8"/>
  <c r="AI1166" i="8"/>
  <c r="AI1079" i="8"/>
  <c r="AI1087" i="8"/>
  <c r="AI1119" i="8"/>
  <c r="AI1150" i="8"/>
  <c r="AI1159" i="8"/>
  <c r="AI1142" i="8"/>
  <c r="AI1167" i="8"/>
  <c r="AH34" i="8"/>
  <c r="AH23" i="8"/>
  <c r="AH31" i="8"/>
  <c r="AH35" i="8"/>
  <c r="AH32" i="8"/>
  <c r="AH29" i="8"/>
  <c r="AB56" i="8"/>
  <c r="AC59" i="8"/>
  <c r="AB64" i="8"/>
  <c r="AC67" i="8"/>
  <c r="AB72" i="8"/>
  <c r="AC75" i="8"/>
  <c r="AB80" i="8"/>
  <c r="AC83" i="8"/>
  <c r="AB88" i="8"/>
  <c r="AC91" i="8"/>
  <c r="AB96" i="8"/>
  <c r="AC99" i="8"/>
  <c r="AB104" i="8"/>
  <c r="AC107" i="8"/>
  <c r="AB112" i="8"/>
  <c r="AC115" i="8"/>
  <c r="AB120" i="8"/>
  <c r="AC123" i="8"/>
  <c r="AB128" i="8"/>
  <c r="AC131" i="8"/>
  <c r="AB136" i="8"/>
  <c r="AC139" i="8"/>
  <c r="AB144" i="8"/>
  <c r="AC147" i="8"/>
  <c r="AB152" i="8"/>
  <c r="AC155" i="8"/>
  <c r="AB160" i="8"/>
  <c r="AC163" i="8"/>
  <c r="AB168" i="8"/>
  <c r="AC171" i="8"/>
  <c r="AB176" i="8"/>
  <c r="AC179" i="8"/>
  <c r="AB184" i="8"/>
  <c r="AC187" i="8"/>
  <c r="AB192" i="8"/>
  <c r="AC195" i="8"/>
  <c r="AB200" i="8"/>
  <c r="AC203" i="8"/>
  <c r="AB208" i="8"/>
  <c r="AC211" i="8"/>
  <c r="AB216" i="8"/>
  <c r="AC219" i="8"/>
  <c r="AB224" i="8"/>
  <c r="AC227" i="8"/>
  <c r="AB232" i="8"/>
  <c r="AC235" i="8"/>
  <c r="AB240" i="8"/>
  <c r="AC243" i="8"/>
  <c r="AB53" i="8"/>
  <c r="AC56" i="8"/>
  <c r="AB61" i="8"/>
  <c r="AC64" i="8"/>
  <c r="AB69" i="8"/>
  <c r="AC72" i="8"/>
  <c r="AB77" i="8"/>
  <c r="AC80" i="8"/>
  <c r="AB85" i="8"/>
  <c r="AC88" i="8"/>
  <c r="AB93" i="8"/>
  <c r="AC96" i="8"/>
  <c r="AB101" i="8"/>
  <c r="AC104" i="8"/>
  <c r="AB109" i="8"/>
  <c r="AC112" i="8"/>
  <c r="AB117" i="8"/>
  <c r="AC120" i="8"/>
  <c r="AB125" i="8"/>
  <c r="AC128" i="8"/>
  <c r="AB133" i="8"/>
  <c r="AC136" i="8"/>
  <c r="AB141" i="8"/>
  <c r="AC144" i="8"/>
  <c r="AB149" i="8"/>
  <c r="AC152" i="8"/>
  <c r="AB157" i="8"/>
  <c r="AC160" i="8"/>
  <c r="AB165" i="8"/>
  <c r="AC168" i="8"/>
  <c r="AB173" i="8"/>
  <c r="AC176" i="8"/>
  <c r="AB181" i="8"/>
  <c r="AC184" i="8"/>
  <c r="AB189" i="8"/>
  <c r="AC192" i="8"/>
  <c r="AB197" i="8"/>
  <c r="AC200" i="8"/>
  <c r="AB205" i="8"/>
  <c r="AC208" i="8"/>
  <c r="AB213" i="8"/>
  <c r="AC216" i="8"/>
  <c r="AB221" i="8"/>
  <c r="AC224" i="8"/>
  <c r="AB229" i="8"/>
  <c r="AC232" i="8"/>
  <c r="AB237" i="8"/>
  <c r="AC240" i="8"/>
  <c r="AB245" i="8"/>
  <c r="AC248" i="8"/>
  <c r="AB253" i="8"/>
  <c r="AC53" i="8"/>
  <c r="AB58" i="8"/>
  <c r="AC61" i="8"/>
  <c r="AB66" i="8"/>
  <c r="AC69" i="8"/>
  <c r="AB74" i="8"/>
  <c r="AC77" i="8"/>
  <c r="AB82" i="8"/>
  <c r="AC85" i="8"/>
  <c r="AB90" i="8"/>
  <c r="AC93" i="8"/>
  <c r="AB98" i="8"/>
  <c r="AC101" i="8"/>
  <c r="AB106" i="8"/>
  <c r="AC109" i="8"/>
  <c r="AB114" i="8"/>
  <c r="AC117" i="8"/>
  <c r="AB122" i="8"/>
  <c r="AC125" i="8"/>
  <c r="AB130" i="8"/>
  <c r="AC133" i="8"/>
  <c r="AB138" i="8"/>
  <c r="AC141" i="8"/>
  <c r="AB146" i="8"/>
  <c r="AC149" i="8"/>
  <c r="AB154" i="8"/>
  <c r="AC157" i="8"/>
  <c r="AB162" i="8"/>
  <c r="AB55" i="8"/>
  <c r="AC58" i="8"/>
  <c r="AB63" i="8"/>
  <c r="AC66" i="8"/>
  <c r="AB71" i="8"/>
  <c r="AC74" i="8"/>
  <c r="AB79" i="8"/>
  <c r="AC82" i="8"/>
  <c r="AB87" i="8"/>
  <c r="AC90" i="8"/>
  <c r="AB95" i="8"/>
  <c r="AC98" i="8"/>
  <c r="AB103" i="8"/>
  <c r="AC106" i="8"/>
  <c r="AB111" i="8"/>
  <c r="AC114" i="8"/>
  <c r="AB119" i="8"/>
  <c r="AC122" i="8"/>
  <c r="AB127" i="8"/>
  <c r="AC130" i="8"/>
  <c r="AB135" i="8"/>
  <c r="AC138" i="8"/>
  <c r="AB143" i="8"/>
  <c r="AC146" i="8"/>
  <c r="AB151" i="8"/>
  <c r="AC154" i="8"/>
  <c r="AB159" i="8"/>
  <c r="AC162" i="8"/>
  <c r="AC55" i="8"/>
  <c r="AB60" i="8"/>
  <c r="AC63" i="8"/>
  <c r="AB68" i="8"/>
  <c r="AC71" i="8"/>
  <c r="AB76" i="8"/>
  <c r="AC79" i="8"/>
  <c r="AB84" i="8"/>
  <c r="AC87" i="8"/>
  <c r="AB92" i="8"/>
  <c r="AC95" i="8"/>
  <c r="AB100" i="8"/>
  <c r="AC103" i="8"/>
  <c r="AB108" i="8"/>
  <c r="AC111" i="8"/>
  <c r="AB116" i="8"/>
  <c r="AC119" i="8"/>
  <c r="AB124" i="8"/>
  <c r="AC127" i="8"/>
  <c r="AB132" i="8"/>
  <c r="AC135" i="8"/>
  <c r="AB140" i="8"/>
  <c r="AC143" i="8"/>
  <c r="AB148" i="8"/>
  <c r="AC151" i="8"/>
  <c r="AB156" i="8"/>
  <c r="AC159" i="8"/>
  <c r="AB57" i="8"/>
  <c r="AC60" i="8"/>
  <c r="AB65" i="8"/>
  <c r="AC68" i="8"/>
  <c r="AB73" i="8"/>
  <c r="AC76" i="8"/>
  <c r="AB81" i="8"/>
  <c r="AC84" i="8"/>
  <c r="AB89" i="8"/>
  <c r="AC92" i="8"/>
  <c r="AB97" i="8"/>
  <c r="AC100" i="8"/>
  <c r="AB105" i="8"/>
  <c r="AC108" i="8"/>
  <c r="AB113" i="8"/>
  <c r="AC116" i="8"/>
  <c r="AB121" i="8"/>
  <c r="AC124" i="8"/>
  <c r="AB129" i="8"/>
  <c r="AC132" i="8"/>
  <c r="AB137" i="8"/>
  <c r="AC140" i="8"/>
  <c r="AB145" i="8"/>
  <c r="AB54" i="8"/>
  <c r="AC57" i="8"/>
  <c r="AB62" i="8"/>
  <c r="AC65" i="8"/>
  <c r="AB70" i="8"/>
  <c r="AC73" i="8"/>
  <c r="AB78" i="8"/>
  <c r="AC81" i="8"/>
  <c r="AB86" i="8"/>
  <c r="AC89" i="8"/>
  <c r="AB94" i="8"/>
  <c r="AC97" i="8"/>
  <c r="AB102" i="8"/>
  <c r="AC105" i="8"/>
  <c r="AB110" i="8"/>
  <c r="AC113" i="8"/>
  <c r="AB118" i="8"/>
  <c r="AC121" i="8"/>
  <c r="AB126" i="8"/>
  <c r="AC129" i="8"/>
  <c r="AB134" i="8"/>
  <c r="AC137" i="8"/>
  <c r="AB142" i="8"/>
  <c r="AC145" i="8"/>
  <c r="AB150" i="8"/>
  <c r="AC153" i="8"/>
  <c r="AC54" i="8"/>
  <c r="AB59" i="8"/>
  <c r="AC62" i="8"/>
  <c r="AB67" i="8"/>
  <c r="AC70" i="8"/>
  <c r="AB75" i="8"/>
  <c r="AC78" i="8"/>
  <c r="AB83" i="8"/>
  <c r="AC86" i="8"/>
  <c r="AB91" i="8"/>
  <c r="AC94" i="8"/>
  <c r="AB99" i="8"/>
  <c r="AC102" i="8"/>
  <c r="AB107" i="8"/>
  <c r="AC110" i="8"/>
  <c r="AB115" i="8"/>
  <c r="AC118" i="8"/>
  <c r="AB123" i="8"/>
  <c r="AC126" i="8"/>
  <c r="AB131" i="8"/>
  <c r="AC134" i="8"/>
  <c r="AB139" i="8"/>
  <c r="AC142" i="8"/>
  <c r="AB147" i="8"/>
  <c r="AC150" i="8"/>
  <c r="AB155" i="8"/>
  <c r="AC158" i="8"/>
  <c r="AB163" i="8"/>
  <c r="AC166" i="8"/>
  <c r="AB171" i="8"/>
  <c r="AC174" i="8"/>
  <c r="AB179" i="8"/>
  <c r="AC182" i="8"/>
  <c r="AB187" i="8"/>
  <c r="AC190" i="8"/>
  <c r="AB195" i="8"/>
  <c r="AC198" i="8"/>
  <c r="AB203" i="8"/>
  <c r="AC206" i="8"/>
  <c r="AB211" i="8"/>
  <c r="AC214" i="8"/>
  <c r="AB219" i="8"/>
  <c r="AC222" i="8"/>
  <c r="AB227" i="8"/>
  <c r="AC230" i="8"/>
  <c r="AB235" i="8"/>
  <c r="AC238" i="8"/>
  <c r="AB243" i="8"/>
  <c r="AC246" i="8"/>
  <c r="AB251" i="8"/>
  <c r="AC254" i="8"/>
  <c r="AB166" i="8"/>
  <c r="AC197" i="8"/>
  <c r="AC202" i="8"/>
  <c r="AC207" i="8"/>
  <c r="AB210" i="8"/>
  <c r="AC212" i="8"/>
  <c r="AB215" i="8"/>
  <c r="AC217" i="8"/>
  <c r="AB220" i="8"/>
  <c r="AB225" i="8"/>
  <c r="AB230" i="8"/>
  <c r="AB256" i="8"/>
  <c r="AC259" i="8"/>
  <c r="AB264" i="8"/>
  <c r="AC267" i="8"/>
  <c r="AB272" i="8"/>
  <c r="AC275" i="8"/>
  <c r="AB280" i="8"/>
  <c r="AC283" i="8"/>
  <c r="AB288" i="8"/>
  <c r="AC291" i="8"/>
  <c r="AB296" i="8"/>
  <c r="AC299" i="8"/>
  <c r="AB304" i="8"/>
  <c r="AC307" i="8"/>
  <c r="AB312" i="8"/>
  <c r="AC315" i="8"/>
  <c r="AB320" i="8"/>
  <c r="AC323" i="8"/>
  <c r="AB328" i="8"/>
  <c r="AC331" i="8"/>
  <c r="AB336" i="8"/>
  <c r="AC339" i="8"/>
  <c r="AB344" i="8"/>
  <c r="AC347" i="8"/>
  <c r="AB352" i="8"/>
  <c r="AC355" i="8"/>
  <c r="AB360" i="8"/>
  <c r="AC363" i="8"/>
  <c r="AB368" i="8"/>
  <c r="AC371" i="8"/>
  <c r="AB376" i="8"/>
  <c r="AC379" i="8"/>
  <c r="AB384" i="8"/>
  <c r="AC387" i="8"/>
  <c r="AB392" i="8"/>
  <c r="AC395" i="8"/>
  <c r="AB400" i="8"/>
  <c r="AC403" i="8"/>
  <c r="AC148" i="8"/>
  <c r="AB158" i="8"/>
  <c r="AB164" i="8"/>
  <c r="AB169" i="8"/>
  <c r="AB174" i="8"/>
  <c r="AC205" i="8"/>
  <c r="AC210" i="8"/>
  <c r="AC215" i="8"/>
  <c r="AB218" i="8"/>
  <c r="AC220" i="8"/>
  <c r="AB223" i="8"/>
  <c r="AC225" i="8"/>
  <c r="AB228" i="8"/>
  <c r="AB233" i="8"/>
  <c r="AB238" i="8"/>
  <c r="AB250" i="8"/>
  <c r="AB252" i="8"/>
  <c r="AB254" i="8"/>
  <c r="AC256" i="8"/>
  <c r="AB261" i="8"/>
  <c r="AC264" i="8"/>
  <c r="AB269" i="8"/>
  <c r="AC272" i="8"/>
  <c r="AB277" i="8"/>
  <c r="AC280" i="8"/>
  <c r="AB285" i="8"/>
  <c r="AC288" i="8"/>
  <c r="AB293" i="8"/>
  <c r="AC296" i="8"/>
  <c r="AB301" i="8"/>
  <c r="AC304" i="8"/>
  <c r="AB309" i="8"/>
  <c r="AC312" i="8"/>
  <c r="AB317" i="8"/>
  <c r="AC320" i="8"/>
  <c r="AB325" i="8"/>
  <c r="AC328" i="8"/>
  <c r="AB333" i="8"/>
  <c r="AC336" i="8"/>
  <c r="AB341" i="8"/>
  <c r="AC344" i="8"/>
  <c r="AB349" i="8"/>
  <c r="AC352" i="8"/>
  <c r="AB357" i="8"/>
  <c r="AC360" i="8"/>
  <c r="AB365" i="8"/>
  <c r="AC368" i="8"/>
  <c r="AB373" i="8"/>
  <c r="AC376" i="8"/>
  <c r="AB381" i="8"/>
  <c r="AC384" i="8"/>
  <c r="AB389" i="8"/>
  <c r="AC392" i="8"/>
  <c r="AB397" i="8"/>
  <c r="AC400" i="8"/>
  <c r="AC164" i="8"/>
  <c r="AB167" i="8"/>
  <c r="AC169" i="8"/>
  <c r="AB172" i="8"/>
  <c r="AB177" i="8"/>
  <c r="AB182" i="8"/>
  <c r="AC213" i="8"/>
  <c r="AC218" i="8"/>
  <c r="AC223" i="8"/>
  <c r="AB226" i="8"/>
  <c r="AC228" i="8"/>
  <c r="AB231" i="8"/>
  <c r="AC233" i="8"/>
  <c r="AB236" i="8"/>
  <c r="AB241" i="8"/>
  <c r="AB248" i="8"/>
  <c r="AC250" i="8"/>
  <c r="AC252" i="8"/>
  <c r="AB258" i="8"/>
  <c r="AC261" i="8"/>
  <c r="AB266" i="8"/>
  <c r="AC269" i="8"/>
  <c r="AB274" i="8"/>
  <c r="AC277" i="8"/>
  <c r="AB282" i="8"/>
  <c r="AC285" i="8"/>
  <c r="AB290" i="8"/>
  <c r="AC293" i="8"/>
  <c r="AB298" i="8"/>
  <c r="AC301" i="8"/>
  <c r="AB306" i="8"/>
  <c r="AC309" i="8"/>
  <c r="AB314" i="8"/>
  <c r="AC317" i="8"/>
  <c r="AB322" i="8"/>
  <c r="AC325" i="8"/>
  <c r="AB330" i="8"/>
  <c r="AC333" i="8"/>
  <c r="AB338" i="8"/>
  <c r="AC341" i="8"/>
  <c r="AB346" i="8"/>
  <c r="AC167" i="8"/>
  <c r="AB170" i="8"/>
  <c r="AC172" i="8"/>
  <c r="AB175" i="8"/>
  <c r="AC177" i="8"/>
  <c r="AB180" i="8"/>
  <c r="AB185" i="8"/>
  <c r="AB190" i="8"/>
  <c r="AC221" i="8"/>
  <c r="AC226" i="8"/>
  <c r="AC231" i="8"/>
  <c r="AB234" i="8"/>
  <c r="AC236" i="8"/>
  <c r="AB239" i="8"/>
  <c r="AC241" i="8"/>
  <c r="AB244" i="8"/>
  <c r="AB246" i="8"/>
  <c r="AC258" i="8"/>
  <c r="AB263" i="8"/>
  <c r="AC266" i="8"/>
  <c r="AB271" i="8"/>
  <c r="AC274" i="8"/>
  <c r="AB279" i="8"/>
  <c r="AC282" i="8"/>
  <c r="AB287" i="8"/>
  <c r="AC290" i="8"/>
  <c r="AB295" i="8"/>
  <c r="AC298" i="8"/>
  <c r="AB303" i="8"/>
  <c r="AC306" i="8"/>
  <c r="AB311" i="8"/>
  <c r="AC314" i="8"/>
  <c r="AB319" i="8"/>
  <c r="AC322" i="8"/>
  <c r="AB327" i="8"/>
  <c r="AC330" i="8"/>
  <c r="AB335" i="8"/>
  <c r="AC338" i="8"/>
  <c r="AB343" i="8"/>
  <c r="AB153" i="8"/>
  <c r="AB161" i="8"/>
  <c r="AC165" i="8"/>
  <c r="AC170" i="8"/>
  <c r="AC175" i="8"/>
  <c r="AB178" i="8"/>
  <c r="AC180" i="8"/>
  <c r="AB183" i="8"/>
  <c r="AC185" i="8"/>
  <c r="AB188" i="8"/>
  <c r="AB193" i="8"/>
  <c r="AB198" i="8"/>
  <c r="AC229" i="8"/>
  <c r="AC234" i="8"/>
  <c r="AC239" i="8"/>
  <c r="AB242" i="8"/>
  <c r="AC244" i="8"/>
  <c r="AB255" i="8"/>
  <c r="AB260" i="8"/>
  <c r="AC263" i="8"/>
  <c r="AB268" i="8"/>
  <c r="AC271" i="8"/>
  <c r="AB276" i="8"/>
  <c r="AC279" i="8"/>
  <c r="AB284" i="8"/>
  <c r="AC287" i="8"/>
  <c r="AB292" i="8"/>
  <c r="AC295" i="8"/>
  <c r="AB300" i="8"/>
  <c r="AC303" i="8"/>
  <c r="AB308" i="8"/>
  <c r="AC311" i="8"/>
  <c r="AB316" i="8"/>
  <c r="AC319" i="8"/>
  <c r="AB324" i="8"/>
  <c r="AC327" i="8"/>
  <c r="AB332" i="8"/>
  <c r="AC335" i="8"/>
  <c r="AB340" i="8"/>
  <c r="AC161" i="8"/>
  <c r="AC173" i="8"/>
  <c r="AC178" i="8"/>
  <c r="AC183" i="8"/>
  <c r="AB186" i="8"/>
  <c r="AC188" i="8"/>
  <c r="AB191" i="8"/>
  <c r="AC193" i="8"/>
  <c r="AB196" i="8"/>
  <c r="AB201" i="8"/>
  <c r="AB206" i="8"/>
  <c r="AC237" i="8"/>
  <c r="AC242" i="8"/>
  <c r="AC253" i="8"/>
  <c r="AC255" i="8"/>
  <c r="AB257" i="8"/>
  <c r="AC260" i="8"/>
  <c r="AB265" i="8"/>
  <c r="AC268" i="8"/>
  <c r="AB273" i="8"/>
  <c r="AC276" i="8"/>
  <c r="AB281" i="8"/>
  <c r="AC284" i="8"/>
  <c r="AB289" i="8"/>
  <c r="AC292" i="8"/>
  <c r="AB297" i="8"/>
  <c r="AC300" i="8"/>
  <c r="AB305" i="8"/>
  <c r="AC308" i="8"/>
  <c r="AC156" i="8"/>
  <c r="AC181" i="8"/>
  <c r="AC186" i="8"/>
  <c r="AC191" i="8"/>
  <c r="AB194" i="8"/>
  <c r="AC196" i="8"/>
  <c r="AB199" i="8"/>
  <c r="AC201" i="8"/>
  <c r="AB204" i="8"/>
  <c r="AB209" i="8"/>
  <c r="AB214" i="8"/>
  <c r="AB247" i="8"/>
  <c r="AB249" i="8"/>
  <c r="AC251" i="8"/>
  <c r="AC257" i="8"/>
  <c r="AB262" i="8"/>
  <c r="AC265" i="8"/>
  <c r="AB270" i="8"/>
  <c r="AC273" i="8"/>
  <c r="AB278" i="8"/>
  <c r="AC281" i="8"/>
  <c r="AB286" i="8"/>
  <c r="AC289" i="8"/>
  <c r="AB294" i="8"/>
  <c r="AC297" i="8"/>
  <c r="AB302" i="8"/>
  <c r="AC305" i="8"/>
  <c r="AC189" i="8"/>
  <c r="AC194" i="8"/>
  <c r="AC199" i="8"/>
  <c r="AB202" i="8"/>
  <c r="AC204" i="8"/>
  <c r="AB207" i="8"/>
  <c r="AC209" i="8"/>
  <c r="AB212" i="8"/>
  <c r="AB217" i="8"/>
  <c r="AB222" i="8"/>
  <c r="AC245" i="8"/>
  <c r="AC247" i="8"/>
  <c r="AC249" i="8"/>
  <c r="AB259" i="8"/>
  <c r="AC262" i="8"/>
  <c r="AB267" i="8"/>
  <c r="AC270" i="8"/>
  <c r="AB275" i="8"/>
  <c r="AC278" i="8"/>
  <c r="AB283" i="8"/>
  <c r="AC286" i="8"/>
  <c r="AB291" i="8"/>
  <c r="AC294" i="8"/>
  <c r="AB299" i="8"/>
  <c r="AC302" i="8"/>
  <c r="AB307" i="8"/>
  <c r="AC310" i="8"/>
  <c r="AB315" i="8"/>
  <c r="AC318" i="8"/>
  <c r="AB323" i="8"/>
  <c r="AC326" i="8"/>
  <c r="AB331" i="8"/>
  <c r="AC334" i="8"/>
  <c r="AB339" i="8"/>
  <c r="AC342" i="8"/>
  <c r="AB347" i="8"/>
  <c r="AC350" i="8"/>
  <c r="AB355" i="8"/>
  <c r="AC358" i="8"/>
  <c r="AB363" i="8"/>
  <c r="AC366" i="8"/>
  <c r="AB371" i="8"/>
  <c r="AC374" i="8"/>
  <c r="AB379" i="8"/>
  <c r="AC382" i="8"/>
  <c r="AB387" i="8"/>
  <c r="AC390" i="8"/>
  <c r="AB395" i="8"/>
  <c r="AC398" i="8"/>
  <c r="AB403" i="8"/>
  <c r="AC406" i="8"/>
  <c r="AB411" i="8"/>
  <c r="AC414" i="8"/>
  <c r="AB419" i="8"/>
  <c r="AC422" i="8"/>
  <c r="AB427" i="8"/>
  <c r="AC430" i="8"/>
  <c r="AB435" i="8"/>
  <c r="AC438" i="8"/>
  <c r="AB443" i="8"/>
  <c r="AC446" i="8"/>
  <c r="AB451" i="8"/>
  <c r="AC454" i="8"/>
  <c r="AB459" i="8"/>
  <c r="AC462" i="8"/>
  <c r="AC316" i="8"/>
  <c r="AB329" i="8"/>
  <c r="AC345" i="8"/>
  <c r="AC348" i="8"/>
  <c r="AB351" i="8"/>
  <c r="AC353" i="8"/>
  <c r="AB356" i="8"/>
  <c r="AB361" i="8"/>
  <c r="AB366" i="8"/>
  <c r="AC397" i="8"/>
  <c r="AC402" i="8"/>
  <c r="AC408" i="8"/>
  <c r="AB410" i="8"/>
  <c r="AC417" i="8"/>
  <c r="AC419" i="8"/>
  <c r="AB421" i="8"/>
  <c r="AC428" i="8"/>
  <c r="AB430" i="8"/>
  <c r="AB432" i="8"/>
  <c r="AC439" i="8"/>
  <c r="AB441" i="8"/>
  <c r="AC450" i="8"/>
  <c r="AB452" i="8"/>
  <c r="AC461" i="8"/>
  <c r="AB463" i="8"/>
  <c r="AC468" i="8"/>
  <c r="AB473" i="8"/>
  <c r="AC476" i="8"/>
  <c r="AB481" i="8"/>
  <c r="AC484" i="8"/>
  <c r="AB489" i="8"/>
  <c r="AC492" i="8"/>
  <c r="AB497" i="8"/>
  <c r="AC500" i="8"/>
  <c r="AB505" i="8"/>
  <c r="AC508" i="8"/>
  <c r="AB513" i="8"/>
  <c r="AC516" i="8"/>
  <c r="AB521" i="8"/>
  <c r="AC524" i="8"/>
  <c r="AB529" i="8"/>
  <c r="AC532" i="8"/>
  <c r="AB537" i="8"/>
  <c r="AC540" i="8"/>
  <c r="AB545" i="8"/>
  <c r="AC548" i="8"/>
  <c r="AB553" i="8"/>
  <c r="AC556" i="8"/>
  <c r="AB561" i="8"/>
  <c r="AC564" i="8"/>
  <c r="AB569" i="8"/>
  <c r="AC572" i="8"/>
  <c r="AB577" i="8"/>
  <c r="AC580" i="8"/>
  <c r="AB585" i="8"/>
  <c r="AC588" i="8"/>
  <c r="AB593" i="8"/>
  <c r="AC596" i="8"/>
  <c r="AB601" i="8"/>
  <c r="AC604" i="8"/>
  <c r="AB609" i="8"/>
  <c r="AC612" i="8"/>
  <c r="AB617" i="8"/>
  <c r="AC620" i="8"/>
  <c r="AB310" i="8"/>
  <c r="AC329" i="8"/>
  <c r="AC346" i="8"/>
  <c r="AC351" i="8"/>
  <c r="AB354" i="8"/>
  <c r="AC356" i="8"/>
  <c r="AB359" i="8"/>
  <c r="AC361" i="8"/>
  <c r="AB364" i="8"/>
  <c r="AB369" i="8"/>
  <c r="AB374" i="8"/>
  <c r="AC410" i="8"/>
  <c r="AB412" i="8"/>
  <c r="AC421" i="8"/>
  <c r="AB423" i="8"/>
  <c r="AC432" i="8"/>
  <c r="AB434" i="8"/>
  <c r="AC441" i="8"/>
  <c r="AC443" i="8"/>
  <c r="AB445" i="8"/>
  <c r="AC452" i="8"/>
  <c r="AB454" i="8"/>
  <c r="AB456" i="8"/>
  <c r="AC463" i="8"/>
  <c r="AB465" i="8"/>
  <c r="AB470" i="8"/>
  <c r="AC473" i="8"/>
  <c r="AB478" i="8"/>
  <c r="AC481" i="8"/>
  <c r="AB486" i="8"/>
  <c r="AC489" i="8"/>
  <c r="AB494" i="8"/>
  <c r="AC497" i="8"/>
  <c r="AB502" i="8"/>
  <c r="AC505" i="8"/>
  <c r="AB510" i="8"/>
  <c r="AC513" i="8"/>
  <c r="AB518" i="8"/>
  <c r="AC521" i="8"/>
  <c r="AB526" i="8"/>
  <c r="AC529" i="8"/>
  <c r="AB534" i="8"/>
  <c r="AC537" i="8"/>
  <c r="AB542" i="8"/>
  <c r="AC545" i="8"/>
  <c r="AB550" i="8"/>
  <c r="AC553" i="8"/>
  <c r="AB558" i="8"/>
  <c r="AC561" i="8"/>
  <c r="AB566" i="8"/>
  <c r="AC569" i="8"/>
  <c r="AB574" i="8"/>
  <c r="AC577" i="8"/>
  <c r="AB582" i="8"/>
  <c r="AC585" i="8"/>
  <c r="AB590" i="8"/>
  <c r="AC593" i="8"/>
  <c r="AB598" i="8"/>
  <c r="AC601" i="8"/>
  <c r="AB606" i="8"/>
  <c r="AC609" i="8"/>
  <c r="AB614" i="8"/>
  <c r="AC617" i="8"/>
  <c r="AC324" i="8"/>
  <c r="AB337" i="8"/>
  <c r="AB342" i="8"/>
  <c r="AC349" i="8"/>
  <c r="AC354" i="8"/>
  <c r="AC359" i="8"/>
  <c r="AB362" i="8"/>
  <c r="AC364" i="8"/>
  <c r="AB367" i="8"/>
  <c r="AC369" i="8"/>
  <c r="AB372" i="8"/>
  <c r="AB377" i="8"/>
  <c r="AB382" i="8"/>
  <c r="AB405" i="8"/>
  <c r="AC412" i="8"/>
  <c r="AB414" i="8"/>
  <c r="AB416" i="8"/>
  <c r="AC423" i="8"/>
  <c r="AB425" i="8"/>
  <c r="AC434" i="8"/>
  <c r="AB436" i="8"/>
  <c r="AC445" i="8"/>
  <c r="AB447" i="8"/>
  <c r="AC456" i="8"/>
  <c r="AB458" i="8"/>
  <c r="AC465" i="8"/>
  <c r="AB467" i="8"/>
  <c r="AC470" i="8"/>
  <c r="AB475" i="8"/>
  <c r="AC478" i="8"/>
  <c r="AB483" i="8"/>
  <c r="AC486" i="8"/>
  <c r="AB491" i="8"/>
  <c r="AC494" i="8"/>
  <c r="AB499" i="8"/>
  <c r="AC502" i="8"/>
  <c r="AB507" i="8"/>
  <c r="AC510" i="8"/>
  <c r="AB515" i="8"/>
  <c r="AC518" i="8"/>
  <c r="AB523" i="8"/>
  <c r="AC526" i="8"/>
  <c r="AB531" i="8"/>
  <c r="AC534" i="8"/>
  <c r="AB539" i="8"/>
  <c r="AC542" i="8"/>
  <c r="AB547" i="8"/>
  <c r="AC550" i="8"/>
  <c r="AB555" i="8"/>
  <c r="AC558" i="8"/>
  <c r="AB563" i="8"/>
  <c r="AC566" i="8"/>
  <c r="AB571" i="8"/>
  <c r="AC574" i="8"/>
  <c r="AB579" i="8"/>
  <c r="AC582" i="8"/>
  <c r="AB587" i="8"/>
  <c r="AC590" i="8"/>
  <c r="AB318" i="8"/>
  <c r="AC337" i="8"/>
  <c r="AC343" i="8"/>
  <c r="AC357" i="8"/>
  <c r="AC362" i="8"/>
  <c r="AC367" i="8"/>
  <c r="AB370" i="8"/>
  <c r="AC372" i="8"/>
  <c r="AB375" i="8"/>
  <c r="AC377" i="8"/>
  <c r="AB380" i="8"/>
  <c r="AB385" i="8"/>
  <c r="AB390" i="8"/>
  <c r="AC405" i="8"/>
  <c r="AB407" i="8"/>
  <c r="AC416" i="8"/>
  <c r="AB418" i="8"/>
  <c r="AC425" i="8"/>
  <c r="AC427" i="8"/>
  <c r="AB429" i="8"/>
  <c r="AC436" i="8"/>
  <c r="AB438" i="8"/>
  <c r="AB440" i="8"/>
  <c r="AC447" i="8"/>
  <c r="AB449" i="8"/>
  <c r="AC458" i="8"/>
  <c r="AB460" i="8"/>
  <c r="AC467" i="8"/>
  <c r="AB472" i="8"/>
  <c r="AC475" i="8"/>
  <c r="AB480" i="8"/>
  <c r="AC483" i="8"/>
  <c r="AB488" i="8"/>
  <c r="AC491" i="8"/>
  <c r="AB496" i="8"/>
  <c r="AC499" i="8"/>
  <c r="AB504" i="8"/>
  <c r="AC507" i="8"/>
  <c r="AB512" i="8"/>
  <c r="AC515" i="8"/>
  <c r="AB520" i="8"/>
  <c r="AC523" i="8"/>
  <c r="AB528" i="8"/>
  <c r="AC531" i="8"/>
  <c r="AB536" i="8"/>
  <c r="AC539" i="8"/>
  <c r="AB544" i="8"/>
  <c r="AC547" i="8"/>
  <c r="AB552" i="8"/>
  <c r="AC555" i="8"/>
  <c r="AB560" i="8"/>
  <c r="AC563" i="8"/>
  <c r="AB568" i="8"/>
  <c r="AC571" i="8"/>
  <c r="AB576" i="8"/>
  <c r="AC579" i="8"/>
  <c r="AB584" i="8"/>
  <c r="AC587" i="8"/>
  <c r="AB592" i="8"/>
  <c r="AC595" i="8"/>
  <c r="AB600" i="8"/>
  <c r="AC603" i="8"/>
  <c r="AB608" i="8"/>
  <c r="AC611" i="8"/>
  <c r="AB616" i="8"/>
  <c r="AC619" i="8"/>
  <c r="AB624" i="8"/>
  <c r="AC627" i="8"/>
  <c r="AB632" i="8"/>
  <c r="AC635" i="8"/>
  <c r="AB313" i="8"/>
  <c r="AC332" i="8"/>
  <c r="AC365" i="8"/>
  <c r="AC370" i="8"/>
  <c r="AC375" i="8"/>
  <c r="AB378" i="8"/>
  <c r="AC380" i="8"/>
  <c r="AB383" i="8"/>
  <c r="AC385" i="8"/>
  <c r="AB388" i="8"/>
  <c r="AB393" i="8"/>
  <c r="AB398" i="8"/>
  <c r="AC407" i="8"/>
  <c r="AB409" i="8"/>
  <c r="AC418" i="8"/>
  <c r="AB420" i="8"/>
  <c r="AC429" i="8"/>
  <c r="AB431" i="8"/>
  <c r="AC440" i="8"/>
  <c r="AB442" i="8"/>
  <c r="AC449" i="8"/>
  <c r="AC451" i="8"/>
  <c r="AB453" i="8"/>
  <c r="AC460" i="8"/>
  <c r="AB462" i="8"/>
  <c r="AB464" i="8"/>
  <c r="AB469" i="8"/>
  <c r="AC472" i="8"/>
  <c r="AB477" i="8"/>
  <c r="AC480" i="8"/>
  <c r="AB485" i="8"/>
  <c r="AC488" i="8"/>
  <c r="AB493" i="8"/>
  <c r="AC496" i="8"/>
  <c r="AB501" i="8"/>
  <c r="AC504" i="8"/>
  <c r="AB509" i="8"/>
  <c r="AC512" i="8"/>
  <c r="AB517" i="8"/>
  <c r="AC520" i="8"/>
  <c r="AB525" i="8"/>
  <c r="AC528" i="8"/>
  <c r="AB533" i="8"/>
  <c r="AC536" i="8"/>
  <c r="AB541" i="8"/>
  <c r="AC544" i="8"/>
  <c r="AB549" i="8"/>
  <c r="AC552" i="8"/>
  <c r="AB557" i="8"/>
  <c r="AC560" i="8"/>
  <c r="AB565" i="8"/>
  <c r="AC568" i="8"/>
  <c r="AB573" i="8"/>
  <c r="AC576" i="8"/>
  <c r="AB581" i="8"/>
  <c r="AC313" i="8"/>
  <c r="AB326" i="8"/>
  <c r="AC373" i="8"/>
  <c r="AC378" i="8"/>
  <c r="AC383" i="8"/>
  <c r="AB386" i="8"/>
  <c r="AC388" i="8"/>
  <c r="AB391" i="8"/>
  <c r="AC393" i="8"/>
  <c r="AB396" i="8"/>
  <c r="AB401" i="8"/>
  <c r="AC409" i="8"/>
  <c r="AC411" i="8"/>
  <c r="AB413" i="8"/>
  <c r="AC420" i="8"/>
  <c r="AB422" i="8"/>
  <c r="AB424" i="8"/>
  <c r="AC431" i="8"/>
  <c r="AB433" i="8"/>
  <c r="AC442" i="8"/>
  <c r="AB444" i="8"/>
  <c r="AC453" i="8"/>
  <c r="AB455" i="8"/>
  <c r="AC464" i="8"/>
  <c r="AB466" i="8"/>
  <c r="AC469" i="8"/>
  <c r="AB474" i="8"/>
  <c r="AC477" i="8"/>
  <c r="AB482" i="8"/>
  <c r="AC485" i="8"/>
  <c r="AB490" i="8"/>
  <c r="AC493" i="8"/>
  <c r="AB498" i="8"/>
  <c r="AC501" i="8"/>
  <c r="AB506" i="8"/>
  <c r="AC509" i="8"/>
  <c r="AB514" i="8"/>
  <c r="AC517" i="8"/>
  <c r="AB522" i="8"/>
  <c r="AC525" i="8"/>
  <c r="AB530" i="8"/>
  <c r="AC533" i="8"/>
  <c r="AB538" i="8"/>
  <c r="AC541" i="8"/>
  <c r="AB546" i="8"/>
  <c r="AB321" i="8"/>
  <c r="AC340" i="8"/>
  <c r="AB350" i="8"/>
  <c r="AC381" i="8"/>
  <c r="AC386" i="8"/>
  <c r="AC391" i="8"/>
  <c r="AB394" i="8"/>
  <c r="AC396" i="8"/>
  <c r="AB399" i="8"/>
  <c r="AC401" i="8"/>
  <c r="AB404" i="8"/>
  <c r="AC413" i="8"/>
  <c r="AB415" i="8"/>
  <c r="AC424" i="8"/>
  <c r="AB426" i="8"/>
  <c r="AC433" i="8"/>
  <c r="AC435" i="8"/>
  <c r="AB437" i="8"/>
  <c r="AC444" i="8"/>
  <c r="AB446" i="8"/>
  <c r="AB448" i="8"/>
  <c r="AC455" i="8"/>
  <c r="AB457" i="8"/>
  <c r="AC466" i="8"/>
  <c r="AB471" i="8"/>
  <c r="AC474" i="8"/>
  <c r="AB479" i="8"/>
  <c r="AC482" i="8"/>
  <c r="AB487" i="8"/>
  <c r="AC490" i="8"/>
  <c r="AB495" i="8"/>
  <c r="AC498" i="8"/>
  <c r="AB503" i="8"/>
  <c r="AC506" i="8"/>
  <c r="AB511" i="8"/>
  <c r="AC514" i="8"/>
  <c r="AB519" i="8"/>
  <c r="AC522" i="8"/>
  <c r="AB527" i="8"/>
  <c r="AC530" i="8"/>
  <c r="AB535" i="8"/>
  <c r="AC538" i="8"/>
  <c r="AB543" i="8"/>
  <c r="AC546" i="8"/>
  <c r="AC321" i="8"/>
  <c r="AB334" i="8"/>
  <c r="AB345" i="8"/>
  <c r="AB348" i="8"/>
  <c r="AB353" i="8"/>
  <c r="AB358" i="8"/>
  <c r="AC389" i="8"/>
  <c r="AC394" i="8"/>
  <c r="AC399" i="8"/>
  <c r="AB402" i="8"/>
  <c r="AC404" i="8"/>
  <c r="AB406" i="8"/>
  <c r="AB408" i="8"/>
  <c r="AC415" i="8"/>
  <c r="AB417" i="8"/>
  <c r="AC426" i="8"/>
  <c r="AB428" i="8"/>
  <c r="AC437" i="8"/>
  <c r="AB439" i="8"/>
  <c r="AC448" i="8"/>
  <c r="AB450" i="8"/>
  <c r="AC457" i="8"/>
  <c r="AC459" i="8"/>
  <c r="AB461" i="8"/>
  <c r="AB468" i="8"/>
  <c r="AC471" i="8"/>
  <c r="AB476" i="8"/>
  <c r="AC479" i="8"/>
  <c r="AB484" i="8"/>
  <c r="AC487" i="8"/>
  <c r="AB492" i="8"/>
  <c r="AC495" i="8"/>
  <c r="AB500" i="8"/>
  <c r="AC503" i="8"/>
  <c r="AB508" i="8"/>
  <c r="AC511" i="8"/>
  <c r="AB516" i="8"/>
  <c r="AC519" i="8"/>
  <c r="AB524" i="8"/>
  <c r="AC527" i="8"/>
  <c r="AB532" i="8"/>
  <c r="AC535" i="8"/>
  <c r="AB540" i="8"/>
  <c r="AC543" i="8"/>
  <c r="AB548" i="8"/>
  <c r="AC551" i="8"/>
  <c r="AB556" i="8"/>
  <c r="AC559" i="8"/>
  <c r="AB564" i="8"/>
  <c r="AC567" i="8"/>
  <c r="AB572" i="8"/>
  <c r="AC575" i="8"/>
  <c r="AB580" i="8"/>
  <c r="AC583" i="8"/>
  <c r="AB588" i="8"/>
  <c r="AC591" i="8"/>
  <c r="AB596" i="8"/>
  <c r="AC599" i="8"/>
  <c r="AB604" i="8"/>
  <c r="AC607" i="8"/>
  <c r="AB612" i="8"/>
  <c r="AC615" i="8"/>
  <c r="AB620" i="8"/>
  <c r="AC623" i="8"/>
  <c r="AB628" i="8"/>
  <c r="AC631" i="8"/>
  <c r="AB636" i="8"/>
  <c r="AC639" i="8"/>
  <c r="AB644" i="8"/>
  <c r="AC647" i="8"/>
  <c r="AB652" i="8"/>
  <c r="AC655" i="8"/>
  <c r="AB660" i="8"/>
  <c r="AC663" i="8"/>
  <c r="AB668" i="8"/>
  <c r="AC671" i="8"/>
  <c r="AB676" i="8"/>
  <c r="AC679" i="8"/>
  <c r="AB684" i="8"/>
  <c r="AC687" i="8"/>
  <c r="AB692" i="8"/>
  <c r="AC695" i="8"/>
  <c r="AB700" i="8"/>
  <c r="AC703" i="8"/>
  <c r="AB708" i="8"/>
  <c r="AC711" i="8"/>
  <c r="AB716" i="8"/>
  <c r="AC719" i="8"/>
  <c r="AB554" i="8"/>
  <c r="AC573" i="8"/>
  <c r="AC589" i="8"/>
  <c r="AB597" i="8"/>
  <c r="AC600" i="8"/>
  <c r="AB613" i="8"/>
  <c r="AC616" i="8"/>
  <c r="AB626" i="8"/>
  <c r="AC628" i="8"/>
  <c r="AC630" i="8"/>
  <c r="AC642" i="8"/>
  <c r="AC644" i="8"/>
  <c r="AB646" i="8"/>
  <c r="AC653" i="8"/>
  <c r="AB655" i="8"/>
  <c r="AB657" i="8"/>
  <c r="AC664" i="8"/>
  <c r="AB666" i="8"/>
  <c r="AC675" i="8"/>
  <c r="AB677" i="8"/>
  <c r="AC686" i="8"/>
  <c r="AB688" i="8"/>
  <c r="AC697" i="8"/>
  <c r="AB699" i="8"/>
  <c r="AC706" i="8"/>
  <c r="AC708" i="8"/>
  <c r="AB710" i="8"/>
  <c r="AC717" i="8"/>
  <c r="AB719" i="8"/>
  <c r="AB721" i="8"/>
  <c r="AC724" i="8"/>
  <c r="AB729" i="8"/>
  <c r="AC732" i="8"/>
  <c r="AB737" i="8"/>
  <c r="AC740" i="8"/>
  <c r="AB745" i="8"/>
  <c r="AC748" i="8"/>
  <c r="AB753" i="8"/>
  <c r="AC756" i="8"/>
  <c r="AB761" i="8"/>
  <c r="AC764" i="8"/>
  <c r="AB769" i="8"/>
  <c r="AC772" i="8"/>
  <c r="AB777" i="8"/>
  <c r="AC780" i="8"/>
  <c r="AB785" i="8"/>
  <c r="AC788" i="8"/>
  <c r="AB793" i="8"/>
  <c r="AC796" i="8"/>
  <c r="AB801" i="8"/>
  <c r="AC804" i="8"/>
  <c r="AB809" i="8"/>
  <c r="AC812" i="8"/>
  <c r="AB817" i="8"/>
  <c r="AC820" i="8"/>
  <c r="AB825" i="8"/>
  <c r="AC828" i="8"/>
  <c r="AB833" i="8"/>
  <c r="AC836" i="8"/>
  <c r="AB841" i="8"/>
  <c r="AC844" i="8"/>
  <c r="AB849" i="8"/>
  <c r="AC852" i="8"/>
  <c r="AB857" i="8"/>
  <c r="AC860" i="8"/>
  <c r="AB865" i="8"/>
  <c r="AC868" i="8"/>
  <c r="AB873" i="8"/>
  <c r="AC876" i="8"/>
  <c r="AB881" i="8"/>
  <c r="AC554" i="8"/>
  <c r="AB567" i="8"/>
  <c r="AB594" i="8"/>
  <c r="AC597" i="8"/>
  <c r="AB610" i="8"/>
  <c r="AC613" i="8"/>
  <c r="AB622" i="8"/>
  <c r="AC624" i="8"/>
  <c r="AC626" i="8"/>
  <c r="AB637" i="8"/>
  <c r="AC646" i="8"/>
  <c r="AB648" i="8"/>
  <c r="AC657" i="8"/>
  <c r="AB659" i="8"/>
  <c r="AC666" i="8"/>
  <c r="AC668" i="8"/>
  <c r="AB670" i="8"/>
  <c r="AC677" i="8"/>
  <c r="AB679" i="8"/>
  <c r="AB681" i="8"/>
  <c r="AC688" i="8"/>
  <c r="AB690" i="8"/>
  <c r="AC699" i="8"/>
  <c r="AB701" i="8"/>
  <c r="AC710" i="8"/>
  <c r="AB712" i="8"/>
  <c r="AC721" i="8"/>
  <c r="AB726" i="8"/>
  <c r="AC729" i="8"/>
  <c r="AB734" i="8"/>
  <c r="AC737" i="8"/>
  <c r="AB742" i="8"/>
  <c r="AC745" i="8"/>
  <c r="AB750" i="8"/>
  <c r="AC753" i="8"/>
  <c r="AB758" i="8"/>
  <c r="AC761" i="8"/>
  <c r="AB766" i="8"/>
  <c r="AC769" i="8"/>
  <c r="AB774" i="8"/>
  <c r="AC777" i="8"/>
  <c r="AB782" i="8"/>
  <c r="AC785" i="8"/>
  <c r="AB790" i="8"/>
  <c r="AC793" i="8"/>
  <c r="AB798" i="8"/>
  <c r="AC801" i="8"/>
  <c r="AB806" i="8"/>
  <c r="AC809" i="8"/>
  <c r="AB814" i="8"/>
  <c r="AC817" i="8"/>
  <c r="AB822" i="8"/>
  <c r="AC825" i="8"/>
  <c r="AB830" i="8"/>
  <c r="AC833" i="8"/>
  <c r="AB838" i="8"/>
  <c r="AC841" i="8"/>
  <c r="AB846" i="8"/>
  <c r="AC849" i="8"/>
  <c r="AB854" i="8"/>
  <c r="AC857" i="8"/>
  <c r="AB862" i="8"/>
  <c r="AC865" i="8"/>
  <c r="AB870" i="8"/>
  <c r="AC873" i="8"/>
  <c r="AB878" i="8"/>
  <c r="AC881" i="8"/>
  <c r="AB886" i="8"/>
  <c r="AC889" i="8"/>
  <c r="AB894" i="8"/>
  <c r="AC897" i="8"/>
  <c r="AB902" i="8"/>
  <c r="AC905" i="8"/>
  <c r="AB910" i="8"/>
  <c r="AC913" i="8"/>
  <c r="AB918" i="8"/>
  <c r="AC921" i="8"/>
  <c r="AB926" i="8"/>
  <c r="AC929" i="8"/>
  <c r="AB934" i="8"/>
  <c r="AC937" i="8"/>
  <c r="AC549" i="8"/>
  <c r="AB562" i="8"/>
  <c r="AC581" i="8"/>
  <c r="AB586" i="8"/>
  <c r="AC594" i="8"/>
  <c r="AB607" i="8"/>
  <c r="AC610" i="8"/>
  <c r="AC622" i="8"/>
  <c r="AB633" i="8"/>
  <c r="AB635" i="8"/>
  <c r="AC637" i="8"/>
  <c r="AB639" i="8"/>
  <c r="AB641" i="8"/>
  <c r="AC648" i="8"/>
  <c r="AB650" i="8"/>
  <c r="AC659" i="8"/>
  <c r="AB661" i="8"/>
  <c r="AC670" i="8"/>
  <c r="AB672" i="8"/>
  <c r="AC681" i="8"/>
  <c r="AB683" i="8"/>
  <c r="AC690" i="8"/>
  <c r="AC692" i="8"/>
  <c r="AB694" i="8"/>
  <c r="AC701" i="8"/>
  <c r="AB703" i="8"/>
  <c r="AB705" i="8"/>
  <c r="AC712" i="8"/>
  <c r="AB714" i="8"/>
  <c r="AB723" i="8"/>
  <c r="AC726" i="8"/>
  <c r="AB731" i="8"/>
  <c r="AC734" i="8"/>
  <c r="AB739" i="8"/>
  <c r="AC742" i="8"/>
  <c r="AB747" i="8"/>
  <c r="AC750" i="8"/>
  <c r="AB755" i="8"/>
  <c r="AC758" i="8"/>
  <c r="AB763" i="8"/>
  <c r="AC766" i="8"/>
  <c r="AB771" i="8"/>
  <c r="AC774" i="8"/>
  <c r="AB779" i="8"/>
  <c r="AC782" i="8"/>
  <c r="AC562" i="8"/>
  <c r="AB575" i="8"/>
  <c r="AC586" i="8"/>
  <c r="AB595" i="8"/>
  <c r="AC598" i="8"/>
  <c r="AB611" i="8"/>
  <c r="AC614" i="8"/>
  <c r="AB629" i="8"/>
  <c r="AB631" i="8"/>
  <c r="AC633" i="8"/>
  <c r="AC641" i="8"/>
  <c r="AB643" i="8"/>
  <c r="AC650" i="8"/>
  <c r="AC652" i="8"/>
  <c r="AB654" i="8"/>
  <c r="AC661" i="8"/>
  <c r="AB663" i="8"/>
  <c r="AB665" i="8"/>
  <c r="AC672" i="8"/>
  <c r="AB674" i="8"/>
  <c r="AC683" i="8"/>
  <c r="AB685" i="8"/>
  <c r="AC694" i="8"/>
  <c r="AB696" i="8"/>
  <c r="AC705" i="8"/>
  <c r="AB707" i="8"/>
  <c r="AC714" i="8"/>
  <c r="AC716" i="8"/>
  <c r="AB718" i="8"/>
  <c r="AC723" i="8"/>
  <c r="AB728" i="8"/>
  <c r="AC731" i="8"/>
  <c r="AB736" i="8"/>
  <c r="AC739" i="8"/>
  <c r="AB744" i="8"/>
  <c r="AC747" i="8"/>
  <c r="AB752" i="8"/>
  <c r="AC755" i="8"/>
  <c r="AB760" i="8"/>
  <c r="AC763" i="8"/>
  <c r="AB768" i="8"/>
  <c r="AC771" i="8"/>
  <c r="AB776" i="8"/>
  <c r="AC779" i="8"/>
  <c r="AC557" i="8"/>
  <c r="AB570" i="8"/>
  <c r="AB591" i="8"/>
  <c r="AB605" i="8"/>
  <c r="AC608" i="8"/>
  <c r="AB625" i="8"/>
  <c r="AB627" i="8"/>
  <c r="AC629" i="8"/>
  <c r="AC643" i="8"/>
  <c r="AB645" i="8"/>
  <c r="AC654" i="8"/>
  <c r="AB656" i="8"/>
  <c r="AC665" i="8"/>
  <c r="AB667" i="8"/>
  <c r="AC674" i="8"/>
  <c r="AC676" i="8"/>
  <c r="AB678" i="8"/>
  <c r="AC685" i="8"/>
  <c r="AB687" i="8"/>
  <c r="AB689" i="8"/>
  <c r="AC696" i="8"/>
  <c r="AB698" i="8"/>
  <c r="AC707" i="8"/>
  <c r="AB709" i="8"/>
  <c r="AC718" i="8"/>
  <c r="AB720" i="8"/>
  <c r="AB725" i="8"/>
  <c r="AC728" i="8"/>
  <c r="AB733" i="8"/>
  <c r="AC736" i="8"/>
  <c r="AB741" i="8"/>
  <c r="AC744" i="8"/>
  <c r="AB749" i="8"/>
  <c r="AC752" i="8"/>
  <c r="AB757" i="8"/>
  <c r="AC760" i="8"/>
  <c r="AB765" i="8"/>
  <c r="AC768" i="8"/>
  <c r="AB773" i="8"/>
  <c r="AC776" i="8"/>
  <c r="AB551" i="8"/>
  <c r="AC570" i="8"/>
  <c r="AB583" i="8"/>
  <c r="AC592" i="8"/>
  <c r="AB602" i="8"/>
  <c r="AC605" i="8"/>
  <c r="AB618" i="8"/>
  <c r="AB621" i="8"/>
  <c r="AB623" i="8"/>
  <c r="AC625" i="8"/>
  <c r="AB638" i="8"/>
  <c r="AC645" i="8"/>
  <c r="AB647" i="8"/>
  <c r="AB649" i="8"/>
  <c r="AC656" i="8"/>
  <c r="AB658" i="8"/>
  <c r="AC667" i="8"/>
  <c r="AB669" i="8"/>
  <c r="AC678" i="8"/>
  <c r="AB680" i="8"/>
  <c r="AC689" i="8"/>
  <c r="AB691" i="8"/>
  <c r="AC698" i="8"/>
  <c r="AC700" i="8"/>
  <c r="AB702" i="8"/>
  <c r="AC709" i="8"/>
  <c r="AB711" i="8"/>
  <c r="AB713" i="8"/>
  <c r="AC720" i="8"/>
  <c r="AB722" i="8"/>
  <c r="AC725" i="8"/>
  <c r="AB730" i="8"/>
  <c r="AC733" i="8"/>
  <c r="AB738" i="8"/>
  <c r="AC741" i="8"/>
  <c r="AB746" i="8"/>
  <c r="AC749" i="8"/>
  <c r="AB754" i="8"/>
  <c r="AC757" i="8"/>
  <c r="AC565" i="8"/>
  <c r="AB578" i="8"/>
  <c r="AC584" i="8"/>
  <c r="AB599" i="8"/>
  <c r="AC602" i="8"/>
  <c r="AB615" i="8"/>
  <c r="AC618" i="8"/>
  <c r="AC621" i="8"/>
  <c r="AB634" i="8"/>
  <c r="AC636" i="8"/>
  <c r="AC638" i="8"/>
  <c r="AB640" i="8"/>
  <c r="AC649" i="8"/>
  <c r="AB651" i="8"/>
  <c r="AC658" i="8"/>
  <c r="AC660" i="8"/>
  <c r="AB662" i="8"/>
  <c r="AC669" i="8"/>
  <c r="AB671" i="8"/>
  <c r="AB673" i="8"/>
  <c r="AC680" i="8"/>
  <c r="AB682" i="8"/>
  <c r="AC691" i="8"/>
  <c r="AB693" i="8"/>
  <c r="AC702" i="8"/>
  <c r="AB704" i="8"/>
  <c r="AC713" i="8"/>
  <c r="AB715" i="8"/>
  <c r="AC722" i="8"/>
  <c r="AB727" i="8"/>
  <c r="AC730" i="8"/>
  <c r="AB735" i="8"/>
  <c r="AC738" i="8"/>
  <c r="AB743" i="8"/>
  <c r="AC746" i="8"/>
  <c r="AB751" i="8"/>
  <c r="AC754" i="8"/>
  <c r="AB559" i="8"/>
  <c r="AC578" i="8"/>
  <c r="AB589" i="8"/>
  <c r="AB603" i="8"/>
  <c r="AC606" i="8"/>
  <c r="AB619" i="8"/>
  <c r="AB630" i="8"/>
  <c r="AC632" i="8"/>
  <c r="AC634" i="8"/>
  <c r="AC640" i="8"/>
  <c r="AB642" i="8"/>
  <c r="AC651" i="8"/>
  <c r="AB653" i="8"/>
  <c r="AC662" i="8"/>
  <c r="AB664" i="8"/>
  <c r="AC673" i="8"/>
  <c r="AB675" i="8"/>
  <c r="AC682" i="8"/>
  <c r="AC684" i="8"/>
  <c r="AB686" i="8"/>
  <c r="AC693" i="8"/>
  <c r="AB695" i="8"/>
  <c r="AB697" i="8"/>
  <c r="AC704" i="8"/>
  <c r="AB706" i="8"/>
  <c r="AC715" i="8"/>
  <c r="AB717" i="8"/>
  <c r="AB724" i="8"/>
  <c r="AC727" i="8"/>
  <c r="AB732" i="8"/>
  <c r="AC735" i="8"/>
  <c r="AB740" i="8"/>
  <c r="AC743" i="8"/>
  <c r="AB748" i="8"/>
  <c r="AC751" i="8"/>
  <c r="AB756" i="8"/>
  <c r="AC759" i="8"/>
  <c r="AB764" i="8"/>
  <c r="AC767" i="8"/>
  <c r="AB772" i="8"/>
  <c r="AC775" i="8"/>
  <c r="AB780" i="8"/>
  <c r="AC783" i="8"/>
  <c r="AB788" i="8"/>
  <c r="AC791" i="8"/>
  <c r="AB796" i="8"/>
  <c r="AC799" i="8"/>
  <c r="AB804" i="8"/>
  <c r="AC807" i="8"/>
  <c r="AB812" i="8"/>
  <c r="AC815" i="8"/>
  <c r="AB820" i="8"/>
  <c r="AC823" i="8"/>
  <c r="AB828" i="8"/>
  <c r="AC831" i="8"/>
  <c r="AB836" i="8"/>
  <c r="AC839" i="8"/>
  <c r="AB844" i="8"/>
  <c r="AC847" i="8"/>
  <c r="AB852" i="8"/>
  <c r="AC855" i="8"/>
  <c r="AB860" i="8"/>
  <c r="AC863" i="8"/>
  <c r="AB868" i="8"/>
  <c r="AC871" i="8"/>
  <c r="AB876" i="8"/>
  <c r="AC879" i="8"/>
  <c r="AB884" i="8"/>
  <c r="AC887" i="8"/>
  <c r="AB892" i="8"/>
  <c r="AC895" i="8"/>
  <c r="AB900" i="8"/>
  <c r="AC903" i="8"/>
  <c r="AB908" i="8"/>
  <c r="AC911" i="8"/>
  <c r="AB916" i="8"/>
  <c r="AC919" i="8"/>
  <c r="AC765" i="8"/>
  <c r="AB778" i="8"/>
  <c r="AC806" i="8"/>
  <c r="AC811" i="8"/>
  <c r="AC816" i="8"/>
  <c r="AB819" i="8"/>
  <c r="AC821" i="8"/>
  <c r="AB824" i="8"/>
  <c r="AC826" i="8"/>
  <c r="AB829" i="8"/>
  <c r="AB834" i="8"/>
  <c r="AB839" i="8"/>
  <c r="AC870" i="8"/>
  <c r="AC875" i="8"/>
  <c r="AC880" i="8"/>
  <c r="AB889" i="8"/>
  <c r="AC891" i="8"/>
  <c r="AC893" i="8"/>
  <c r="AB904" i="8"/>
  <c r="AB906" i="8"/>
  <c r="AC908" i="8"/>
  <c r="AC928" i="8"/>
  <c r="AB930" i="8"/>
  <c r="AC939" i="8"/>
  <c r="AB944" i="8"/>
  <c r="AC947" i="8"/>
  <c r="AB952" i="8"/>
  <c r="AC955" i="8"/>
  <c r="AB960" i="8"/>
  <c r="AC963" i="8"/>
  <c r="AB968" i="8"/>
  <c r="AC971" i="8"/>
  <c r="AB976" i="8"/>
  <c r="AC979" i="8"/>
  <c r="AB984" i="8"/>
  <c r="AC987" i="8"/>
  <c r="AB992" i="8"/>
  <c r="AC995" i="8"/>
  <c r="AB1000" i="8"/>
  <c r="AC1003" i="8"/>
  <c r="AB1008" i="8"/>
  <c r="AC1011" i="8"/>
  <c r="AB1016" i="8"/>
  <c r="AC1019" i="8"/>
  <c r="AB1024" i="8"/>
  <c r="AC1027" i="8"/>
  <c r="AB1032" i="8"/>
  <c r="AC1035" i="8"/>
  <c r="AB1040" i="8"/>
  <c r="AC1043" i="8"/>
  <c r="AB1048" i="8"/>
  <c r="AC1051" i="8"/>
  <c r="AB1056" i="8"/>
  <c r="AC1059" i="8"/>
  <c r="AB1064" i="8"/>
  <c r="AC1067" i="8"/>
  <c r="AB1072" i="8"/>
  <c r="AC1075" i="8"/>
  <c r="AF1076" i="8"/>
  <c r="AD1078" i="8"/>
  <c r="AB1080" i="8"/>
  <c r="AE1081" i="8"/>
  <c r="AC1083" i="8"/>
  <c r="AF1084" i="8"/>
  <c r="AD1086" i="8"/>
  <c r="AB1088" i="8"/>
  <c r="AE1089" i="8"/>
  <c r="AC1091" i="8"/>
  <c r="AF1092" i="8"/>
  <c r="AD1094" i="8"/>
  <c r="AB1096" i="8"/>
  <c r="AE1097" i="8"/>
  <c r="AC1099" i="8"/>
  <c r="AF1100" i="8"/>
  <c r="AD1102" i="8"/>
  <c r="AB1104" i="8"/>
  <c r="AE1105" i="8"/>
  <c r="AC1107" i="8"/>
  <c r="AF1108" i="8"/>
  <c r="AD1110" i="8"/>
  <c r="AB1112" i="8"/>
  <c r="AE1113" i="8"/>
  <c r="AC1115" i="8"/>
  <c r="AF1116" i="8"/>
  <c r="AD1118" i="8"/>
  <c r="AB1120" i="8"/>
  <c r="AE1121" i="8"/>
  <c r="AC1123" i="8"/>
  <c r="AF1124" i="8"/>
  <c r="AD1126" i="8"/>
  <c r="AB1128" i="8"/>
  <c r="AE1129" i="8"/>
  <c r="AC1131" i="8"/>
  <c r="AF1132" i="8"/>
  <c r="AD1134" i="8"/>
  <c r="AB1136" i="8"/>
  <c r="AE1137" i="8"/>
  <c r="AC1139" i="8"/>
  <c r="AF1140" i="8"/>
  <c r="AD1142" i="8"/>
  <c r="AB1144" i="8"/>
  <c r="AE1145" i="8"/>
  <c r="AC1147" i="8"/>
  <c r="AF1148" i="8"/>
  <c r="AD1150" i="8"/>
  <c r="AB1152" i="8"/>
  <c r="AE1153" i="8"/>
  <c r="AC1155" i="8"/>
  <c r="AF1156" i="8"/>
  <c r="AD1158" i="8"/>
  <c r="AB1160" i="8"/>
  <c r="AE1161" i="8"/>
  <c r="AC1163" i="8"/>
  <c r="AF1164" i="8"/>
  <c r="AD1166" i="8"/>
  <c r="AB1168" i="8"/>
  <c r="AE1169" i="8"/>
  <c r="AC1171" i="8"/>
  <c r="AF1172" i="8"/>
  <c r="AD1174" i="8"/>
  <c r="AB1176" i="8"/>
  <c r="AE1177" i="8"/>
  <c r="AC1179" i="8"/>
  <c r="AF1180" i="8"/>
  <c r="AD1182" i="8"/>
  <c r="AB1184" i="8"/>
  <c r="AE1185" i="8"/>
  <c r="AC1187" i="8"/>
  <c r="AF1188" i="8"/>
  <c r="AD1190" i="8"/>
  <c r="AB1192" i="8"/>
  <c r="AE1193" i="8"/>
  <c r="AC1195" i="8"/>
  <c r="AF1196" i="8"/>
  <c r="AD1198" i="8"/>
  <c r="AB1200" i="8"/>
  <c r="AE1201" i="8"/>
  <c r="AC1203" i="8"/>
  <c r="AF1204" i="8"/>
  <c r="AD1206" i="8"/>
  <c r="AB1208" i="8"/>
  <c r="AE1209" i="8"/>
  <c r="AC1211" i="8"/>
  <c r="AF1212" i="8"/>
  <c r="AD1214" i="8"/>
  <c r="AB1216" i="8"/>
  <c r="AE1217" i="8"/>
  <c r="AC1219" i="8"/>
  <c r="AF1220" i="8"/>
  <c r="AD1222" i="8"/>
  <c r="AB1224" i="8"/>
  <c r="AE1225" i="8"/>
  <c r="AC1227" i="8"/>
  <c r="AF1228" i="8"/>
  <c r="AC778" i="8"/>
  <c r="AC814" i="8"/>
  <c r="AC819" i="8"/>
  <c r="AC824" i="8"/>
  <c r="AB827" i="8"/>
  <c r="AC829" i="8"/>
  <c r="AB832" i="8"/>
  <c r="AC834" i="8"/>
  <c r="AB837" i="8"/>
  <c r="AB842" i="8"/>
  <c r="AB847" i="8"/>
  <c r="AC878" i="8"/>
  <c r="AB883" i="8"/>
  <c r="AB885" i="8"/>
  <c r="AB887" i="8"/>
  <c r="AC902" i="8"/>
  <c r="AC904" i="8"/>
  <c r="AC906" i="8"/>
  <c r="AB915" i="8"/>
  <c r="AB917" i="8"/>
  <c r="AB919" i="8"/>
  <c r="AB921" i="8"/>
  <c r="AB923" i="8"/>
  <c r="AC930" i="8"/>
  <c r="AB932" i="8"/>
  <c r="AB941" i="8"/>
  <c r="AC944" i="8"/>
  <c r="AB949" i="8"/>
  <c r="AC952" i="8"/>
  <c r="AB957" i="8"/>
  <c r="AC960" i="8"/>
  <c r="AB965" i="8"/>
  <c r="AC968" i="8"/>
  <c r="AB973" i="8"/>
  <c r="AC976" i="8"/>
  <c r="AB981" i="8"/>
  <c r="AC984" i="8"/>
  <c r="AB989" i="8"/>
  <c r="AC992" i="8"/>
  <c r="AB997" i="8"/>
  <c r="AC1000" i="8"/>
  <c r="AB1005" i="8"/>
  <c r="AC1008" i="8"/>
  <c r="AB1013" i="8"/>
  <c r="AC1016" i="8"/>
  <c r="AB1021" i="8"/>
  <c r="AC1024" i="8"/>
  <c r="AB1029" i="8"/>
  <c r="AC1032" i="8"/>
  <c r="AB1037" i="8"/>
  <c r="AC1040" i="8"/>
  <c r="AB1045" i="8"/>
  <c r="AC1048" i="8"/>
  <c r="AB1053" i="8"/>
  <c r="AC1056" i="8"/>
  <c r="AB1061" i="8"/>
  <c r="AC1064" i="8"/>
  <c r="AB1069" i="8"/>
  <c r="AC1072" i="8"/>
  <c r="AB1077" i="8"/>
  <c r="AE1078" i="8"/>
  <c r="AC1080" i="8"/>
  <c r="AF1081" i="8"/>
  <c r="AD1083" i="8"/>
  <c r="AB1085" i="8"/>
  <c r="AE1086" i="8"/>
  <c r="AC1088" i="8"/>
  <c r="AF1089" i="8"/>
  <c r="AD1091" i="8"/>
  <c r="AB1093" i="8"/>
  <c r="AE1094" i="8"/>
  <c r="AC1096" i="8"/>
  <c r="AF1097" i="8"/>
  <c r="AD1099" i="8"/>
  <c r="AB1101" i="8"/>
  <c r="AE1102" i="8"/>
  <c r="AC1104" i="8"/>
  <c r="AF1105" i="8"/>
  <c r="AD1107" i="8"/>
  <c r="AB1109" i="8"/>
  <c r="AE1110" i="8"/>
  <c r="AC1112" i="8"/>
  <c r="AF1113" i="8"/>
  <c r="AD1115" i="8"/>
  <c r="AB1117" i="8"/>
  <c r="AE1118" i="8"/>
  <c r="AC1120" i="8"/>
  <c r="AF1121" i="8"/>
  <c r="AD1123" i="8"/>
  <c r="AB1125" i="8"/>
  <c r="AE1126" i="8"/>
  <c r="AC1128" i="8"/>
  <c r="AF1129" i="8"/>
  <c r="AD1131" i="8"/>
  <c r="AB1133" i="8"/>
  <c r="AE1134" i="8"/>
  <c r="AC1136" i="8"/>
  <c r="AF1137" i="8"/>
  <c r="AD1139" i="8"/>
  <c r="AB1141" i="8"/>
  <c r="AE1142" i="8"/>
  <c r="AC1144" i="8"/>
  <c r="AF1145" i="8"/>
  <c r="AD1147" i="8"/>
  <c r="AB1149" i="8"/>
  <c r="AE1150" i="8"/>
  <c r="AC1152" i="8"/>
  <c r="AF1153" i="8"/>
  <c r="AD1155" i="8"/>
  <c r="AB1157" i="8"/>
  <c r="AE1158" i="8"/>
  <c r="AC1160" i="8"/>
  <c r="AF1161" i="8"/>
  <c r="AD1163" i="8"/>
  <c r="AB1165" i="8"/>
  <c r="AE1166" i="8"/>
  <c r="AC1168" i="8"/>
  <c r="AF1169" i="8"/>
  <c r="AD1171" i="8"/>
  <c r="AB1173" i="8"/>
  <c r="AE1174" i="8"/>
  <c r="AC1176" i="8"/>
  <c r="AF1177" i="8"/>
  <c r="AD1179" i="8"/>
  <c r="AB1181" i="8"/>
  <c r="AE1182" i="8"/>
  <c r="AC1184" i="8"/>
  <c r="AF1185" i="8"/>
  <c r="AD1187" i="8"/>
  <c r="AB1189" i="8"/>
  <c r="AE1190" i="8"/>
  <c r="AC1192" i="8"/>
  <c r="AF1193" i="8"/>
  <c r="AD1195" i="8"/>
  <c r="AB1197" i="8"/>
  <c r="AE1198" i="8"/>
  <c r="AC1200" i="8"/>
  <c r="AF1201" i="8"/>
  <c r="AD1203" i="8"/>
  <c r="AB1205" i="8"/>
  <c r="AE1206" i="8"/>
  <c r="AC1208" i="8"/>
  <c r="AF1209" i="8"/>
  <c r="AD1211" i="8"/>
  <c r="AB1213" i="8"/>
  <c r="AE1214" i="8"/>
  <c r="AC1216" i="8"/>
  <c r="AB759" i="8"/>
  <c r="AC773" i="8"/>
  <c r="AB786" i="8"/>
  <c r="AB791" i="8"/>
  <c r="AC822" i="8"/>
  <c r="AC827" i="8"/>
  <c r="AC832" i="8"/>
  <c r="AB835" i="8"/>
  <c r="AC837" i="8"/>
  <c r="AB840" i="8"/>
  <c r="AC842" i="8"/>
  <c r="AB845" i="8"/>
  <c r="AB850" i="8"/>
  <c r="AB855" i="8"/>
  <c r="AC883" i="8"/>
  <c r="AC885" i="8"/>
  <c r="AB896" i="8"/>
  <c r="AB898" i="8"/>
  <c r="AC900" i="8"/>
  <c r="AB913" i="8"/>
  <c r="AC915" i="8"/>
  <c r="AC917" i="8"/>
  <c r="AC923" i="8"/>
  <c r="AB925" i="8"/>
  <c r="AC932" i="8"/>
  <c r="AC934" i="8"/>
  <c r="AB936" i="8"/>
  <c r="AC941" i="8"/>
  <c r="AB946" i="8"/>
  <c r="AC949" i="8"/>
  <c r="AB954" i="8"/>
  <c r="AC957" i="8"/>
  <c r="AB962" i="8"/>
  <c r="AC965" i="8"/>
  <c r="AB970" i="8"/>
  <c r="AC973" i="8"/>
  <c r="AB978" i="8"/>
  <c r="AC981" i="8"/>
  <c r="AB986" i="8"/>
  <c r="AC989" i="8"/>
  <c r="AB994" i="8"/>
  <c r="AC997" i="8"/>
  <c r="AB1002" i="8"/>
  <c r="AC1005" i="8"/>
  <c r="AB1010" i="8"/>
  <c r="AC1013" i="8"/>
  <c r="AB1018" i="8"/>
  <c r="AC1021" i="8"/>
  <c r="AB1026" i="8"/>
  <c r="AC1029" i="8"/>
  <c r="AB1034" i="8"/>
  <c r="AC1037" i="8"/>
  <c r="AB1042" i="8"/>
  <c r="AC1045" i="8"/>
  <c r="AB1050" i="8"/>
  <c r="AC1053" i="8"/>
  <c r="AB1058" i="8"/>
  <c r="AC1061" i="8"/>
  <c r="AB1066" i="8"/>
  <c r="AC1069" i="8"/>
  <c r="AB1074" i="8"/>
  <c r="AC1077" i="8"/>
  <c r="AF1078" i="8"/>
  <c r="AD1080" i="8"/>
  <c r="AB1082" i="8"/>
  <c r="AE1083" i="8"/>
  <c r="AC1085" i="8"/>
  <c r="AF1086" i="8"/>
  <c r="AD1088" i="8"/>
  <c r="AB1090" i="8"/>
  <c r="AE1091" i="8"/>
  <c r="AC1093" i="8"/>
  <c r="AF1094" i="8"/>
  <c r="AD1096" i="8"/>
  <c r="AB767" i="8"/>
  <c r="AB783" i="8"/>
  <c r="AC786" i="8"/>
  <c r="AB789" i="8"/>
  <c r="AB794" i="8"/>
  <c r="AB799" i="8"/>
  <c r="AC830" i="8"/>
  <c r="AC835" i="8"/>
  <c r="AC840" i="8"/>
  <c r="AB843" i="8"/>
  <c r="AC845" i="8"/>
  <c r="AB848" i="8"/>
  <c r="AC850" i="8"/>
  <c r="AB853" i="8"/>
  <c r="AB858" i="8"/>
  <c r="AB863" i="8"/>
  <c r="AC894" i="8"/>
  <c r="AC896" i="8"/>
  <c r="AC898" i="8"/>
  <c r="AB907" i="8"/>
  <c r="AB909" i="8"/>
  <c r="AB911" i="8"/>
  <c r="AC925" i="8"/>
  <c r="AB927" i="8"/>
  <c r="AC936" i="8"/>
  <c r="AB938" i="8"/>
  <c r="AB943" i="8"/>
  <c r="AC946" i="8"/>
  <c r="AB951" i="8"/>
  <c r="AC954" i="8"/>
  <c r="AB959" i="8"/>
  <c r="AC962" i="8"/>
  <c r="AB967" i="8"/>
  <c r="AC970" i="8"/>
  <c r="AB975" i="8"/>
  <c r="AC978" i="8"/>
  <c r="AB983" i="8"/>
  <c r="AC986" i="8"/>
  <c r="AB991" i="8"/>
  <c r="AC994" i="8"/>
  <c r="AB999" i="8"/>
  <c r="AC1002" i="8"/>
  <c r="AB1007" i="8"/>
  <c r="AC1010" i="8"/>
  <c r="AB1015" i="8"/>
  <c r="AC1018" i="8"/>
  <c r="AB1023" i="8"/>
  <c r="AC1026" i="8"/>
  <c r="AB1031" i="8"/>
  <c r="AC1034" i="8"/>
  <c r="AB1039" i="8"/>
  <c r="AC1042" i="8"/>
  <c r="AB1047" i="8"/>
  <c r="AC1050" i="8"/>
  <c r="AB1055" i="8"/>
  <c r="AC1058" i="8"/>
  <c r="AB1063" i="8"/>
  <c r="AC1066" i="8"/>
  <c r="AB1071" i="8"/>
  <c r="AC1074" i="8"/>
  <c r="AD1077" i="8"/>
  <c r="AB1079" i="8"/>
  <c r="AE1080" i="8"/>
  <c r="AC1082" i="8"/>
  <c r="AF1083" i="8"/>
  <c r="AD1085" i="8"/>
  <c r="AB1087" i="8"/>
  <c r="AE1088" i="8"/>
  <c r="AC1090" i="8"/>
  <c r="AF1091" i="8"/>
  <c r="AD1093" i="8"/>
  <c r="AB762" i="8"/>
  <c r="AB784" i="8"/>
  <c r="AB787" i="8"/>
  <c r="AC789" i="8"/>
  <c r="AB792" i="8"/>
  <c r="AC794" i="8"/>
  <c r="AB797" i="8"/>
  <c r="AB802" i="8"/>
  <c r="AB807" i="8"/>
  <c r="AC838" i="8"/>
  <c r="AC843" i="8"/>
  <c r="AC848" i="8"/>
  <c r="AB851" i="8"/>
  <c r="AC853" i="8"/>
  <c r="AB856" i="8"/>
  <c r="AC858" i="8"/>
  <c r="AB861" i="8"/>
  <c r="AB866" i="8"/>
  <c r="AB871" i="8"/>
  <c r="AB888" i="8"/>
  <c r="AB890" i="8"/>
  <c r="AC892" i="8"/>
  <c r="AB905" i="8"/>
  <c r="AC907" i="8"/>
  <c r="AC909" i="8"/>
  <c r="AB920" i="8"/>
  <c r="AC927" i="8"/>
  <c r="AB929" i="8"/>
  <c r="AB931" i="8"/>
  <c r="AC938" i="8"/>
  <c r="AB940" i="8"/>
  <c r="AC943" i="8"/>
  <c r="AB948" i="8"/>
  <c r="AC951" i="8"/>
  <c r="AB956" i="8"/>
  <c r="AC959" i="8"/>
  <c r="AB964" i="8"/>
  <c r="AC967" i="8"/>
  <c r="AB972" i="8"/>
  <c r="AC975" i="8"/>
  <c r="AB980" i="8"/>
  <c r="AC983" i="8"/>
  <c r="AB988" i="8"/>
  <c r="AC991" i="8"/>
  <c r="AB996" i="8"/>
  <c r="AC999" i="8"/>
  <c r="AB1004" i="8"/>
  <c r="AC1007" i="8"/>
  <c r="AB1012" i="8"/>
  <c r="AC1015" i="8"/>
  <c r="AB1020" i="8"/>
  <c r="AC1023" i="8"/>
  <c r="AB1028" i="8"/>
  <c r="AC1031" i="8"/>
  <c r="AB1036" i="8"/>
  <c r="AC1039" i="8"/>
  <c r="AB1044" i="8"/>
  <c r="AC1047" i="8"/>
  <c r="AB1052" i="8"/>
  <c r="AC1055" i="8"/>
  <c r="AB1060" i="8"/>
  <c r="AC1063" i="8"/>
  <c r="AB1068" i="8"/>
  <c r="AC1071" i="8"/>
  <c r="AB1076" i="8"/>
  <c r="AE1077" i="8"/>
  <c r="AC1079" i="8"/>
  <c r="AF1080" i="8"/>
  <c r="AD1082" i="8"/>
  <c r="AB1084" i="8"/>
  <c r="AE1085" i="8"/>
  <c r="AC1087" i="8"/>
  <c r="AF1088" i="8"/>
  <c r="AD1090" i="8"/>
  <c r="AB1092" i="8"/>
  <c r="AC762" i="8"/>
  <c r="AB775" i="8"/>
  <c r="AB781" i="8"/>
  <c r="AC784" i="8"/>
  <c r="AC787" i="8"/>
  <c r="AC792" i="8"/>
  <c r="AB795" i="8"/>
  <c r="AC797" i="8"/>
  <c r="AB800" i="8"/>
  <c r="AC802" i="8"/>
  <c r="AB805" i="8"/>
  <c r="AB810" i="8"/>
  <c r="AB815" i="8"/>
  <c r="AC846" i="8"/>
  <c r="AC851" i="8"/>
  <c r="AC856" i="8"/>
  <c r="AB859" i="8"/>
  <c r="AC861" i="8"/>
  <c r="AB864" i="8"/>
  <c r="AC866" i="8"/>
  <c r="AB869" i="8"/>
  <c r="AB874" i="8"/>
  <c r="AB879" i="8"/>
  <c r="AC886" i="8"/>
  <c r="AC888" i="8"/>
  <c r="AC890" i="8"/>
  <c r="AB899" i="8"/>
  <c r="AB901" i="8"/>
  <c r="AB903" i="8"/>
  <c r="AC918" i="8"/>
  <c r="AC920" i="8"/>
  <c r="AB922" i="8"/>
  <c r="AC931" i="8"/>
  <c r="AB933" i="8"/>
  <c r="AC940" i="8"/>
  <c r="AB945" i="8"/>
  <c r="AC948" i="8"/>
  <c r="AB953" i="8"/>
  <c r="AC956" i="8"/>
  <c r="AB961" i="8"/>
  <c r="AC964" i="8"/>
  <c r="AB969" i="8"/>
  <c r="AC972" i="8"/>
  <c r="AB977" i="8"/>
  <c r="AC980" i="8"/>
  <c r="AB985" i="8"/>
  <c r="AC988" i="8"/>
  <c r="AB993" i="8"/>
  <c r="AC996" i="8"/>
  <c r="AB1001" i="8"/>
  <c r="AC1004" i="8"/>
  <c r="AB1009" i="8"/>
  <c r="AC1012" i="8"/>
  <c r="AB1017" i="8"/>
  <c r="AC1020" i="8"/>
  <c r="AB1025" i="8"/>
  <c r="AC1028" i="8"/>
  <c r="AB1033" i="8"/>
  <c r="AC1036" i="8"/>
  <c r="AB1041" i="8"/>
  <c r="AC1044" i="8"/>
  <c r="AB1049" i="8"/>
  <c r="AC1052" i="8"/>
  <c r="AB1057" i="8"/>
  <c r="AC1060" i="8"/>
  <c r="AB1065" i="8"/>
  <c r="AC1068" i="8"/>
  <c r="AB1073" i="8"/>
  <c r="AC1076" i="8"/>
  <c r="AF1077" i="8"/>
  <c r="AD1079" i="8"/>
  <c r="AB1081" i="8"/>
  <c r="AE1082" i="8"/>
  <c r="AC1084" i="8"/>
  <c r="AF1085" i="8"/>
  <c r="AD1087" i="8"/>
  <c r="AB1089" i="8"/>
  <c r="AE1090" i="8"/>
  <c r="AC1092" i="8"/>
  <c r="AB770" i="8"/>
  <c r="AC781" i="8"/>
  <c r="AC790" i="8"/>
  <c r="AC795" i="8"/>
  <c r="AC800" i="8"/>
  <c r="AB803" i="8"/>
  <c r="AC805" i="8"/>
  <c r="AB808" i="8"/>
  <c r="AC810" i="8"/>
  <c r="AB813" i="8"/>
  <c r="AB818" i="8"/>
  <c r="AB823" i="8"/>
  <c r="AC854" i="8"/>
  <c r="AC859" i="8"/>
  <c r="AC864" i="8"/>
  <c r="AB867" i="8"/>
  <c r="AC869" i="8"/>
  <c r="AB872" i="8"/>
  <c r="AC874" i="8"/>
  <c r="AB877" i="8"/>
  <c r="AB882" i="8"/>
  <c r="AC884" i="8"/>
  <c r="AB897" i="8"/>
  <c r="AC899" i="8"/>
  <c r="AC901" i="8"/>
  <c r="AB912" i="8"/>
  <c r="AB914" i="8"/>
  <c r="AC916" i="8"/>
  <c r="AC922" i="8"/>
  <c r="AB924" i="8"/>
  <c r="AC933" i="8"/>
  <c r="AB935" i="8"/>
  <c r="AB942" i="8"/>
  <c r="AC945" i="8"/>
  <c r="AB950" i="8"/>
  <c r="AC953" i="8"/>
  <c r="AB958" i="8"/>
  <c r="AC961" i="8"/>
  <c r="AB966" i="8"/>
  <c r="AC969" i="8"/>
  <c r="AB974" i="8"/>
  <c r="AC977" i="8"/>
  <c r="AB982" i="8"/>
  <c r="AC985" i="8"/>
  <c r="AB990" i="8"/>
  <c r="AC993" i="8"/>
  <c r="AB998" i="8"/>
  <c r="AC1001" i="8"/>
  <c r="AB1006" i="8"/>
  <c r="AC1009" i="8"/>
  <c r="AB1014" i="8"/>
  <c r="AC1017" i="8"/>
  <c r="AB1022" i="8"/>
  <c r="AC1025" i="8"/>
  <c r="AB1030" i="8"/>
  <c r="AC1033" i="8"/>
  <c r="AB1038" i="8"/>
  <c r="AC1041" i="8"/>
  <c r="AB1046" i="8"/>
  <c r="AC1049" i="8"/>
  <c r="AB1054" i="8"/>
  <c r="AC1057" i="8"/>
  <c r="AB1062" i="8"/>
  <c r="AC1065" i="8"/>
  <c r="AB1070" i="8"/>
  <c r="AC1073" i="8"/>
  <c r="AD1076" i="8"/>
  <c r="AB1078" i="8"/>
  <c r="AE1079" i="8"/>
  <c r="AC1081" i="8"/>
  <c r="AF1082" i="8"/>
  <c r="AD1084" i="8"/>
  <c r="AB1086" i="8"/>
  <c r="AE1087" i="8"/>
  <c r="AC1089" i="8"/>
  <c r="AF1090" i="8"/>
  <c r="AD1092" i="8"/>
  <c r="AC770" i="8"/>
  <c r="AC798" i="8"/>
  <c r="AC803" i="8"/>
  <c r="AC808" i="8"/>
  <c r="AB811" i="8"/>
  <c r="AC813" i="8"/>
  <c r="AB816" i="8"/>
  <c r="AC818" i="8"/>
  <c r="AB821" i="8"/>
  <c r="AB826" i="8"/>
  <c r="AB831" i="8"/>
  <c r="AC862" i="8"/>
  <c r="AC867" i="8"/>
  <c r="AC872" i="8"/>
  <c r="AB875" i="8"/>
  <c r="AC877" i="8"/>
  <c r="AB880" i="8"/>
  <c r="AC882" i="8"/>
  <c r="AB891" i="8"/>
  <c r="AB893" i="8"/>
  <c r="AB895" i="8"/>
  <c r="AC910" i="8"/>
  <c r="AC912" i="8"/>
  <c r="AC914" i="8"/>
  <c r="AC924" i="8"/>
  <c r="AC926" i="8"/>
  <c r="AB928" i="8"/>
  <c r="AC935" i="8"/>
  <c r="AB937" i="8"/>
  <c r="AB939" i="8"/>
  <c r="AC942" i="8"/>
  <c r="AB947" i="8"/>
  <c r="AC950" i="8"/>
  <c r="AB955" i="8"/>
  <c r="AC958" i="8"/>
  <c r="AB963" i="8"/>
  <c r="AC966" i="8"/>
  <c r="AB971" i="8"/>
  <c r="AC974" i="8"/>
  <c r="AB979" i="8"/>
  <c r="AC982" i="8"/>
  <c r="AB987" i="8"/>
  <c r="AC990" i="8"/>
  <c r="AB995" i="8"/>
  <c r="AC998" i="8"/>
  <c r="AB1003" i="8"/>
  <c r="AC1006" i="8"/>
  <c r="AB1011" i="8"/>
  <c r="AC1014" i="8"/>
  <c r="AB1019" i="8"/>
  <c r="AC1022" i="8"/>
  <c r="AB1027" i="8"/>
  <c r="AC1030" i="8"/>
  <c r="AB1035" i="8"/>
  <c r="AC1038" i="8"/>
  <c r="AB1043" i="8"/>
  <c r="AC1046" i="8"/>
  <c r="AB1051" i="8"/>
  <c r="AC1054" i="8"/>
  <c r="AB1059" i="8"/>
  <c r="AC1062" i="8"/>
  <c r="AB1067" i="8"/>
  <c r="AC1070" i="8"/>
  <c r="AB1075" i="8"/>
  <c r="AE1076" i="8"/>
  <c r="AC1078" i="8"/>
  <c r="AF1079" i="8"/>
  <c r="AD1081" i="8"/>
  <c r="AB1083" i="8"/>
  <c r="AE1084" i="8"/>
  <c r="AC1086" i="8"/>
  <c r="AF1087" i="8"/>
  <c r="AD1089" i="8"/>
  <c r="AB1091" i="8"/>
  <c r="AE1092" i="8"/>
  <c r="AC1094" i="8"/>
  <c r="AF1095" i="8"/>
  <c r="AD1097" i="8"/>
  <c r="AB1099" i="8"/>
  <c r="AE1100" i="8"/>
  <c r="AC1102" i="8"/>
  <c r="AF1103" i="8"/>
  <c r="AD1105" i="8"/>
  <c r="AB1107" i="8"/>
  <c r="AE1108" i="8"/>
  <c r="AC1110" i="8"/>
  <c r="AF1111" i="8"/>
  <c r="AD1113" i="8"/>
  <c r="AB1115" i="8"/>
  <c r="AE1116" i="8"/>
  <c r="AC1118" i="8"/>
  <c r="AF1119" i="8"/>
  <c r="AD1121" i="8"/>
  <c r="AB1123" i="8"/>
  <c r="AE1124" i="8"/>
  <c r="AC1126" i="8"/>
  <c r="AF1127" i="8"/>
  <c r="AD1129" i="8"/>
  <c r="AB1131" i="8"/>
  <c r="AE1132" i="8"/>
  <c r="AC1134" i="8"/>
  <c r="AF1135" i="8"/>
  <c r="AD1137" i="8"/>
  <c r="AB1139" i="8"/>
  <c r="AE1140" i="8"/>
  <c r="AC1142" i="8"/>
  <c r="AF1143" i="8"/>
  <c r="AD1145" i="8"/>
  <c r="AB1147" i="8"/>
  <c r="AE1148" i="8"/>
  <c r="AC1150" i="8"/>
  <c r="AF1151" i="8"/>
  <c r="AD1153" i="8"/>
  <c r="AB1155" i="8"/>
  <c r="AE1156" i="8"/>
  <c r="AC1158" i="8"/>
  <c r="AF1159" i="8"/>
  <c r="AD1161" i="8"/>
  <c r="AB1163" i="8"/>
  <c r="AE1164" i="8"/>
  <c r="AC1166" i="8"/>
  <c r="AF1167" i="8"/>
  <c r="AD1169" i="8"/>
  <c r="AB1171" i="8"/>
  <c r="AE1172" i="8"/>
  <c r="AC1174" i="8"/>
  <c r="AF1175" i="8"/>
  <c r="AD1177" i="8"/>
  <c r="AB1179" i="8"/>
  <c r="AE1180" i="8"/>
  <c r="AC1182" i="8"/>
  <c r="AF1183" i="8"/>
  <c r="AD1185" i="8"/>
  <c r="AB1187" i="8"/>
  <c r="AE1188" i="8"/>
  <c r="AC1190" i="8"/>
  <c r="AF1191" i="8"/>
  <c r="AD1193" i="8"/>
  <c r="AB1195" i="8"/>
  <c r="AE1196" i="8"/>
  <c r="AC1198" i="8"/>
  <c r="AF1199" i="8"/>
  <c r="AD1201" i="8"/>
  <c r="AB1203" i="8"/>
  <c r="AE1204" i="8"/>
  <c r="AC1206" i="8"/>
  <c r="AF1207" i="8"/>
  <c r="AD1209" i="8"/>
  <c r="AB1211" i="8"/>
  <c r="AE1212" i="8"/>
  <c r="AC1214" i="8"/>
  <c r="AF1215" i="8"/>
  <c r="AD1217" i="8"/>
  <c r="AB1219" i="8"/>
  <c r="AE1220" i="8"/>
  <c r="AC1222" i="8"/>
  <c r="AF1223" i="8"/>
  <c r="AD1225" i="8"/>
  <c r="AB1227" i="8"/>
  <c r="AE1228" i="8"/>
  <c r="AC1230" i="8"/>
  <c r="AF1231" i="8"/>
  <c r="AD1233" i="8"/>
  <c r="AB1235" i="8"/>
  <c r="AE1236" i="8"/>
  <c r="AC1238" i="8"/>
  <c r="AF1239" i="8"/>
  <c r="AD1241" i="8"/>
  <c r="AB1243" i="8"/>
  <c r="AE1244" i="8"/>
  <c r="AC1246" i="8"/>
  <c r="AF1247" i="8"/>
  <c r="AD1249" i="8"/>
  <c r="AB1251" i="8"/>
  <c r="AE1252" i="8"/>
  <c r="AC1254" i="8"/>
  <c r="AF1255" i="8"/>
  <c r="AD1257" i="8"/>
  <c r="AB1259" i="8"/>
  <c r="AE1260" i="8"/>
  <c r="AC1262" i="8"/>
  <c r="AF1263" i="8"/>
  <c r="AD1265" i="8"/>
  <c r="AB1267" i="8"/>
  <c r="AE1096" i="8"/>
  <c r="AF1098" i="8"/>
  <c r="AE1101" i="8"/>
  <c r="AD1104" i="8"/>
  <c r="AE1106" i="8"/>
  <c r="AD1109" i="8"/>
  <c r="AE1111" i="8"/>
  <c r="AD1114" i="8"/>
  <c r="AC1117" i="8"/>
  <c r="AD1119" i="8"/>
  <c r="AC1122" i="8"/>
  <c r="AD1124" i="8"/>
  <c r="AC1127" i="8"/>
  <c r="AB1130" i="8"/>
  <c r="AC1132" i="8"/>
  <c r="AB1135" i="8"/>
  <c r="AC1137" i="8"/>
  <c r="AB1140" i="8"/>
  <c r="AF1142" i="8"/>
  <c r="AB1145" i="8"/>
  <c r="AF1147" i="8"/>
  <c r="AB1150" i="8"/>
  <c r="AF1152" i="8"/>
  <c r="AE1155" i="8"/>
  <c r="AF1157" i="8"/>
  <c r="AE1160" i="8"/>
  <c r="AF1162" i="8"/>
  <c r="AE1165" i="8"/>
  <c r="AD1168" i="8"/>
  <c r="AE1170" i="8"/>
  <c r="AD1173" i="8"/>
  <c r="AE1175" i="8"/>
  <c r="AD1178" i="8"/>
  <c r="AC1181" i="8"/>
  <c r="AD1183" i="8"/>
  <c r="AC1186" i="8"/>
  <c r="AD1188" i="8"/>
  <c r="AC1191" i="8"/>
  <c r="AB1194" i="8"/>
  <c r="AC1196" i="8"/>
  <c r="AB1199" i="8"/>
  <c r="AC1201" i="8"/>
  <c r="AB1204" i="8"/>
  <c r="AF1206" i="8"/>
  <c r="AB1209" i="8"/>
  <c r="AF1211" i="8"/>
  <c r="AB1214" i="8"/>
  <c r="AF1216" i="8"/>
  <c r="AF1218" i="8"/>
  <c r="AC1221" i="8"/>
  <c r="AC1223" i="8"/>
  <c r="AC1225" i="8"/>
  <c r="AE1227" i="8"/>
  <c r="AE1229" i="8"/>
  <c r="AD1231" i="8"/>
  <c r="AC1233" i="8"/>
  <c r="AC1235" i="8"/>
  <c r="AB1237" i="8"/>
  <c r="AF1238" i="8"/>
  <c r="AE1240" i="8"/>
  <c r="AD1242" i="8"/>
  <c r="AC1244" i="8"/>
  <c r="AB1246" i="8"/>
  <c r="AB1248" i="8"/>
  <c r="AF1249" i="8"/>
  <c r="AE1251" i="8"/>
  <c r="AD1253" i="8"/>
  <c r="AC1255" i="8"/>
  <c r="AB1257" i="8"/>
  <c r="AF1258" i="8"/>
  <c r="AF1260" i="8"/>
  <c r="AE1262" i="8"/>
  <c r="AD1264" i="8"/>
  <c r="AC1266" i="8"/>
  <c r="AB1268" i="8"/>
  <c r="AE1269" i="8"/>
  <c r="AC1271" i="8"/>
  <c r="AF1272" i="8"/>
  <c r="AD1274" i="8"/>
  <c r="AB1276" i="8"/>
  <c r="AE1277" i="8"/>
  <c r="AC1279" i="8"/>
  <c r="AF1280" i="8"/>
  <c r="AD1282" i="8"/>
  <c r="AB1284" i="8"/>
  <c r="AE1285" i="8"/>
  <c r="AC1287" i="8"/>
  <c r="AF1288" i="8"/>
  <c r="AD1290" i="8"/>
  <c r="AB1292" i="8"/>
  <c r="AE1293" i="8"/>
  <c r="AC1295" i="8"/>
  <c r="AF1296" i="8"/>
  <c r="AD1298" i="8"/>
  <c r="AB1300" i="8"/>
  <c r="AE1301" i="8"/>
  <c r="AC1303" i="8"/>
  <c r="AF1304" i="8"/>
  <c r="AD1306" i="8"/>
  <c r="AB1308" i="8"/>
  <c r="AE1309" i="8"/>
  <c r="AC1311" i="8"/>
  <c r="AF1312" i="8"/>
  <c r="AD1314" i="8"/>
  <c r="AB1316" i="8"/>
  <c r="AE1317" i="8"/>
  <c r="AC1319" i="8"/>
  <c r="AF1320" i="8"/>
  <c r="AD1322" i="8"/>
  <c r="AB1324" i="8"/>
  <c r="AE1325" i="8"/>
  <c r="AC1327" i="8"/>
  <c r="AF1328" i="8"/>
  <c r="AD1330" i="8"/>
  <c r="AB1332" i="8"/>
  <c r="AE1333" i="8"/>
  <c r="AC1335" i="8"/>
  <c r="AF1336" i="8"/>
  <c r="AD1338" i="8"/>
  <c r="AB1340" i="8"/>
  <c r="AE1341" i="8"/>
  <c r="AC1343" i="8"/>
  <c r="AF1344" i="8"/>
  <c r="AD1346" i="8"/>
  <c r="AB1357" i="8"/>
  <c r="AE1358" i="8"/>
  <c r="AC1360" i="8"/>
  <c r="AF1361" i="8"/>
  <c r="AE1093" i="8"/>
  <c r="AF1096" i="8"/>
  <c r="AE1099" i="8"/>
  <c r="AF1101" i="8"/>
  <c r="AE1104" i="8"/>
  <c r="AF1106" i="8"/>
  <c r="AE1109" i="8"/>
  <c r="AD1112" i="8"/>
  <c r="AE1114" i="8"/>
  <c r="AD1117" i="8"/>
  <c r="AE1119" i="8"/>
  <c r="AD1122" i="8"/>
  <c r="AC1125" i="8"/>
  <c r="AD1127" i="8"/>
  <c r="AC1130" i="8"/>
  <c r="AD1132" i="8"/>
  <c r="AC1135" i="8"/>
  <c r="AB1138" i="8"/>
  <c r="AC1140" i="8"/>
  <c r="AB1143" i="8"/>
  <c r="AC1145" i="8"/>
  <c r="AB1148" i="8"/>
  <c r="AF1150" i="8"/>
  <c r="AB1153" i="8"/>
  <c r="AF1155" i="8"/>
  <c r="AB1158" i="8"/>
  <c r="AF1160" i="8"/>
  <c r="AE1163" i="8"/>
  <c r="AF1165" i="8"/>
  <c r="AE1168" i="8"/>
  <c r="AF1170" i="8"/>
  <c r="AE1173" i="8"/>
  <c r="AD1176" i="8"/>
  <c r="AE1178" i="8"/>
  <c r="AD1181" i="8"/>
  <c r="AE1183" i="8"/>
  <c r="AD1186" i="8"/>
  <c r="AC1189" i="8"/>
  <c r="AD1191" i="8"/>
  <c r="AC1194" i="8"/>
  <c r="AD1196" i="8"/>
  <c r="AC1199" i="8"/>
  <c r="AB1202" i="8"/>
  <c r="AC1204" i="8"/>
  <c r="AB1207" i="8"/>
  <c r="AC1209" i="8"/>
  <c r="AB1212" i="8"/>
  <c r="AF1214" i="8"/>
  <c r="AB1217" i="8"/>
  <c r="AD1219" i="8"/>
  <c r="AD1221" i="8"/>
  <c r="AD1223" i="8"/>
  <c r="AF1225" i="8"/>
  <c r="AF1227" i="8"/>
  <c r="AF1229" i="8"/>
  <c r="AE1231" i="8"/>
  <c r="AE1233" i="8"/>
  <c r="AD1235" i="8"/>
  <c r="AC1237" i="8"/>
  <c r="AB1239" i="8"/>
  <c r="AF1240" i="8"/>
  <c r="AE1242" i="8"/>
  <c r="AD1244" i="8"/>
  <c r="AD1246" i="8"/>
  <c r="AC1248" i="8"/>
  <c r="AB1250" i="8"/>
  <c r="AF1251" i="8"/>
  <c r="AE1253" i="8"/>
  <c r="AD1255" i="8"/>
  <c r="AC1257" i="8"/>
  <c r="AC1259" i="8"/>
  <c r="AB1261" i="8"/>
  <c r="AF1262" i="8"/>
  <c r="AE1264" i="8"/>
  <c r="AD1266" i="8"/>
  <c r="AC1268" i="8"/>
  <c r="AF1269" i="8"/>
  <c r="AD1271" i="8"/>
  <c r="AB1273" i="8"/>
  <c r="AE1274" i="8"/>
  <c r="AC1276" i="8"/>
  <c r="AF1277" i="8"/>
  <c r="AD1279" i="8"/>
  <c r="AB1281" i="8"/>
  <c r="AE1282" i="8"/>
  <c r="AC1284" i="8"/>
  <c r="AF1285" i="8"/>
  <c r="AD1287" i="8"/>
  <c r="AB1289" i="8"/>
  <c r="AE1290" i="8"/>
  <c r="AC1292" i="8"/>
  <c r="AF1293" i="8"/>
  <c r="AD1295" i="8"/>
  <c r="AB1297" i="8"/>
  <c r="AE1298" i="8"/>
  <c r="AC1300" i="8"/>
  <c r="AF1301" i="8"/>
  <c r="AD1303" i="8"/>
  <c r="AB1305" i="8"/>
  <c r="AE1306" i="8"/>
  <c r="AC1308" i="8"/>
  <c r="AF1309" i="8"/>
  <c r="AD1311" i="8"/>
  <c r="AB1313" i="8"/>
  <c r="AE1314" i="8"/>
  <c r="AC1316" i="8"/>
  <c r="AF1317" i="8"/>
  <c r="AD1319" i="8"/>
  <c r="AB1321" i="8"/>
  <c r="AE1322" i="8"/>
  <c r="AC1324" i="8"/>
  <c r="AF1325" i="8"/>
  <c r="AD1327" i="8"/>
  <c r="AB1329" i="8"/>
  <c r="AE1330" i="8"/>
  <c r="AC1332" i="8"/>
  <c r="AF1333" i="8"/>
  <c r="AD1335" i="8"/>
  <c r="AB1337" i="8"/>
  <c r="AE1338" i="8"/>
  <c r="AC1340" i="8"/>
  <c r="AF1341" i="8"/>
  <c r="AD1343" i="8"/>
  <c r="AB1345" i="8"/>
  <c r="AE1346" i="8"/>
  <c r="AC1357" i="8"/>
  <c r="AF1358" i="8"/>
  <c r="AD1360" i="8"/>
  <c r="AF1093" i="8"/>
  <c r="AB1097" i="8"/>
  <c r="AF1099" i="8"/>
  <c r="AB1102" i="8"/>
  <c r="AF1104" i="8"/>
  <c r="AE1107" i="8"/>
  <c r="AF1109" i="8"/>
  <c r="AE1112" i="8"/>
  <c r="AF1114" i="8"/>
  <c r="AE1117" i="8"/>
  <c r="AD1120" i="8"/>
  <c r="AE1122" i="8"/>
  <c r="AD1125" i="8"/>
  <c r="AE1127" i="8"/>
  <c r="AD1130" i="8"/>
  <c r="AC1133" i="8"/>
  <c r="AD1135" i="8"/>
  <c r="AC1138" i="8"/>
  <c r="AD1140" i="8"/>
  <c r="AC1143" i="8"/>
  <c r="AB1146" i="8"/>
  <c r="AC1148" i="8"/>
  <c r="AB1151" i="8"/>
  <c r="AC1153" i="8"/>
  <c r="AB1156" i="8"/>
  <c r="AF1158" i="8"/>
  <c r="AB1161" i="8"/>
  <c r="AF1163" i="8"/>
  <c r="AB1166" i="8"/>
  <c r="AF1168" i="8"/>
  <c r="AE1171" i="8"/>
  <c r="AF1173" i="8"/>
  <c r="AE1176" i="8"/>
  <c r="AF1178" i="8"/>
  <c r="AE1181" i="8"/>
  <c r="AD1184" i="8"/>
  <c r="AE1186" i="8"/>
  <c r="AD1189" i="8"/>
  <c r="AE1191" i="8"/>
  <c r="AD1194" i="8"/>
  <c r="AC1197" i="8"/>
  <c r="AD1199" i="8"/>
  <c r="AC1202" i="8"/>
  <c r="AD1204" i="8"/>
  <c r="AC1207" i="8"/>
  <c r="AB1210" i="8"/>
  <c r="AC1212" i="8"/>
  <c r="AB1215" i="8"/>
  <c r="AC1217" i="8"/>
  <c r="AE1219" i="8"/>
  <c r="AE1221" i="8"/>
  <c r="AE1223" i="8"/>
  <c r="AB1226" i="8"/>
  <c r="AB1228" i="8"/>
  <c r="AB1230" i="8"/>
  <c r="AB1232" i="8"/>
  <c r="AF1233" i="8"/>
  <c r="AE1235" i="8"/>
  <c r="AD1237" i="8"/>
  <c r="AC1239" i="8"/>
  <c r="AB1241" i="8"/>
  <c r="AF1242" i="8"/>
  <c r="AF1244" i="8"/>
  <c r="AE1246" i="8"/>
  <c r="AD1248" i="8"/>
  <c r="AC1250" i="8"/>
  <c r="AB1252" i="8"/>
  <c r="AF1253" i="8"/>
  <c r="AE1255" i="8"/>
  <c r="AE1257" i="8"/>
  <c r="AD1259" i="8"/>
  <c r="AC1261" i="8"/>
  <c r="AB1263" i="8"/>
  <c r="AF1264" i="8"/>
  <c r="AE1266" i="8"/>
  <c r="AD1268" i="8"/>
  <c r="AB1270" i="8"/>
  <c r="AE1271" i="8"/>
  <c r="AC1273" i="8"/>
  <c r="AF1274" i="8"/>
  <c r="AD1276" i="8"/>
  <c r="AB1278" i="8"/>
  <c r="AE1279" i="8"/>
  <c r="AC1281" i="8"/>
  <c r="AF1282" i="8"/>
  <c r="AD1284" i="8"/>
  <c r="AB1286" i="8"/>
  <c r="AE1287" i="8"/>
  <c r="AC1289" i="8"/>
  <c r="AF1290" i="8"/>
  <c r="AD1292" i="8"/>
  <c r="AB1294" i="8"/>
  <c r="AE1295" i="8"/>
  <c r="AC1297" i="8"/>
  <c r="AF1298" i="8"/>
  <c r="AD1300" i="8"/>
  <c r="AB1302" i="8"/>
  <c r="AE1303" i="8"/>
  <c r="AC1305" i="8"/>
  <c r="AF1306" i="8"/>
  <c r="AD1308" i="8"/>
  <c r="AB1310" i="8"/>
  <c r="AE1311" i="8"/>
  <c r="AC1313" i="8"/>
  <c r="AF1314" i="8"/>
  <c r="AD1316" i="8"/>
  <c r="AB1318" i="8"/>
  <c r="AE1319" i="8"/>
  <c r="AC1321" i="8"/>
  <c r="AF1322" i="8"/>
  <c r="AD1324" i="8"/>
  <c r="AB1326" i="8"/>
  <c r="AE1327" i="8"/>
  <c r="AC1329" i="8"/>
  <c r="AF1330" i="8"/>
  <c r="AD1332" i="8"/>
  <c r="AB1334" i="8"/>
  <c r="AE1335" i="8"/>
  <c r="AC1337" i="8"/>
  <c r="AF1338" i="8"/>
  <c r="AD1340" i="8"/>
  <c r="AB1342" i="8"/>
  <c r="AE1343" i="8"/>
  <c r="AC1345" i="8"/>
  <c r="AF1346" i="8"/>
  <c r="AD1357" i="8"/>
  <c r="AB1359" i="8"/>
  <c r="AE1360" i="8"/>
  <c r="AB1094" i="8"/>
  <c r="AC1097" i="8"/>
  <c r="AB1100" i="8"/>
  <c r="AF1102" i="8"/>
  <c r="AB1105" i="8"/>
  <c r="AF1107" i="8"/>
  <c r="AB1110" i="8"/>
  <c r="AF1112" i="8"/>
  <c r="AE1115" i="8"/>
  <c r="AF1117" i="8"/>
  <c r="AE1120" i="8"/>
  <c r="AF1122" i="8"/>
  <c r="AE1125" i="8"/>
  <c r="AD1128" i="8"/>
  <c r="AE1130" i="8"/>
  <c r="AD1133" i="8"/>
  <c r="AE1135" i="8"/>
  <c r="AD1138" i="8"/>
  <c r="AC1141" i="8"/>
  <c r="AD1143" i="8"/>
  <c r="AC1146" i="8"/>
  <c r="AD1148" i="8"/>
  <c r="AC1151" i="8"/>
  <c r="AB1154" i="8"/>
  <c r="AC1156" i="8"/>
  <c r="AB1159" i="8"/>
  <c r="AC1161" i="8"/>
  <c r="AB1164" i="8"/>
  <c r="AF1166" i="8"/>
  <c r="AB1169" i="8"/>
  <c r="AF1171" i="8"/>
  <c r="AB1174" i="8"/>
  <c r="AF1176" i="8"/>
  <c r="AE1179" i="8"/>
  <c r="AF1181" i="8"/>
  <c r="AE1184" i="8"/>
  <c r="AF1186" i="8"/>
  <c r="AE1189" i="8"/>
  <c r="AD1192" i="8"/>
  <c r="AE1194" i="8"/>
  <c r="AD1197" i="8"/>
  <c r="AE1199" i="8"/>
  <c r="AD1202" i="8"/>
  <c r="AC1205" i="8"/>
  <c r="AD1207" i="8"/>
  <c r="AC1210" i="8"/>
  <c r="AD1212" i="8"/>
  <c r="AC1215" i="8"/>
  <c r="AF1217" i="8"/>
  <c r="AF1219" i="8"/>
  <c r="AF1221" i="8"/>
  <c r="AC1224" i="8"/>
  <c r="AC1226" i="8"/>
  <c r="AC1228" i="8"/>
  <c r="AD1230" i="8"/>
  <c r="AC1232" i="8"/>
  <c r="AB1234" i="8"/>
  <c r="AF1235" i="8"/>
  <c r="AE1237" i="8"/>
  <c r="AD1239" i="8"/>
  <c r="AC1241" i="8"/>
  <c r="AC1243" i="8"/>
  <c r="AB1245" i="8"/>
  <c r="AF1246" i="8"/>
  <c r="AE1248" i="8"/>
  <c r="AD1250" i="8"/>
  <c r="AC1252" i="8"/>
  <c r="AB1254" i="8"/>
  <c r="AB1256" i="8"/>
  <c r="AF1257" i="8"/>
  <c r="AE1259" i="8"/>
  <c r="AD1261" i="8"/>
  <c r="AC1263" i="8"/>
  <c r="AB1265" i="8"/>
  <c r="AF1266" i="8"/>
  <c r="AE1268" i="8"/>
  <c r="AC1270" i="8"/>
  <c r="AF1271" i="8"/>
  <c r="AD1273" i="8"/>
  <c r="AB1275" i="8"/>
  <c r="AE1276" i="8"/>
  <c r="AC1278" i="8"/>
  <c r="AF1279" i="8"/>
  <c r="AD1281" i="8"/>
  <c r="AB1283" i="8"/>
  <c r="AE1284" i="8"/>
  <c r="AC1286" i="8"/>
  <c r="AF1287" i="8"/>
  <c r="AD1289" i="8"/>
  <c r="AB1291" i="8"/>
  <c r="AE1292" i="8"/>
  <c r="AC1294" i="8"/>
  <c r="AF1295" i="8"/>
  <c r="AD1297" i="8"/>
  <c r="AB1299" i="8"/>
  <c r="AE1300" i="8"/>
  <c r="AC1302" i="8"/>
  <c r="AF1303" i="8"/>
  <c r="AD1305" i="8"/>
  <c r="AB1307" i="8"/>
  <c r="AE1308" i="8"/>
  <c r="AC1310" i="8"/>
  <c r="AF1311" i="8"/>
  <c r="AD1313" i="8"/>
  <c r="AB1315" i="8"/>
  <c r="AE1316" i="8"/>
  <c r="AC1318" i="8"/>
  <c r="AF1319" i="8"/>
  <c r="AD1321" i="8"/>
  <c r="AB1323" i="8"/>
  <c r="AE1324" i="8"/>
  <c r="AC1326" i="8"/>
  <c r="AF1327" i="8"/>
  <c r="AD1329" i="8"/>
  <c r="AB1331" i="8"/>
  <c r="AE1332" i="8"/>
  <c r="AC1334" i="8"/>
  <c r="AF1335" i="8"/>
  <c r="AD1337" i="8"/>
  <c r="AB1339" i="8"/>
  <c r="AE1340" i="8"/>
  <c r="AC1342" i="8"/>
  <c r="AF1343" i="8"/>
  <c r="AD1345" i="8"/>
  <c r="AB1356" i="8"/>
  <c r="AE1357" i="8"/>
  <c r="AC1359" i="8"/>
  <c r="AF1360" i="8"/>
  <c r="AB52" i="8"/>
  <c r="AB1095" i="8"/>
  <c r="AB1098" i="8"/>
  <c r="AC1100" i="8"/>
  <c r="AB1103" i="8"/>
  <c r="AC1105" i="8"/>
  <c r="AB1108" i="8"/>
  <c r="AF1110" i="8"/>
  <c r="AB1113" i="8"/>
  <c r="AF1115" i="8"/>
  <c r="AB1118" i="8"/>
  <c r="AF1120" i="8"/>
  <c r="AE1123" i="8"/>
  <c r="AF1125" i="8"/>
  <c r="AE1128" i="8"/>
  <c r="AF1130" i="8"/>
  <c r="AE1133" i="8"/>
  <c r="AD1136" i="8"/>
  <c r="AE1138" i="8"/>
  <c r="AD1141" i="8"/>
  <c r="AE1143" i="8"/>
  <c r="AD1146" i="8"/>
  <c r="AC1149" i="8"/>
  <c r="AD1151" i="8"/>
  <c r="AC1154" i="8"/>
  <c r="AD1156" i="8"/>
  <c r="AC1159" i="8"/>
  <c r="AB1162" i="8"/>
  <c r="AC1164" i="8"/>
  <c r="AB1167" i="8"/>
  <c r="AC1169" i="8"/>
  <c r="AB1172" i="8"/>
  <c r="AF1174" i="8"/>
  <c r="AB1177" i="8"/>
  <c r="AF1179" i="8"/>
  <c r="AB1182" i="8"/>
  <c r="AF1184" i="8"/>
  <c r="AE1187" i="8"/>
  <c r="AF1189" i="8"/>
  <c r="AE1192" i="8"/>
  <c r="AF1194" i="8"/>
  <c r="AE1197" i="8"/>
  <c r="AD1200" i="8"/>
  <c r="AE1202" i="8"/>
  <c r="AD1205" i="8"/>
  <c r="AE1207" i="8"/>
  <c r="AD1210" i="8"/>
  <c r="AC1213" i="8"/>
  <c r="AD1215" i="8"/>
  <c r="AB1218" i="8"/>
  <c r="AB1220" i="8"/>
  <c r="AB1222" i="8"/>
  <c r="AD1224" i="8"/>
  <c r="AD1226" i="8"/>
  <c r="AD1228" i="8"/>
  <c r="AE1230" i="8"/>
  <c r="AD1232" i="8"/>
  <c r="AC1234" i="8"/>
  <c r="AB1236" i="8"/>
  <c r="AF1237" i="8"/>
  <c r="AE1239" i="8"/>
  <c r="AE1241" i="8"/>
  <c r="AD1243" i="8"/>
  <c r="AC1245" i="8"/>
  <c r="AB1247" i="8"/>
  <c r="AF1248" i="8"/>
  <c r="AE1250" i="8"/>
  <c r="AD1252" i="8"/>
  <c r="AD1254" i="8"/>
  <c r="AC1256" i="8"/>
  <c r="AB1258" i="8"/>
  <c r="AF1259" i="8"/>
  <c r="AE1261" i="8"/>
  <c r="AD1263" i="8"/>
  <c r="AC1265" i="8"/>
  <c r="AC1267" i="8"/>
  <c r="AF1268" i="8"/>
  <c r="AD1270" i="8"/>
  <c r="AB1272" i="8"/>
  <c r="AE1273" i="8"/>
  <c r="AC1275" i="8"/>
  <c r="AF1276" i="8"/>
  <c r="AD1278" i="8"/>
  <c r="AB1280" i="8"/>
  <c r="AE1281" i="8"/>
  <c r="AC1283" i="8"/>
  <c r="AF1284" i="8"/>
  <c r="AD1286" i="8"/>
  <c r="AB1288" i="8"/>
  <c r="AE1289" i="8"/>
  <c r="AC1291" i="8"/>
  <c r="AF1292" i="8"/>
  <c r="AD1294" i="8"/>
  <c r="AB1296" i="8"/>
  <c r="AE1297" i="8"/>
  <c r="AC1299" i="8"/>
  <c r="AF1300" i="8"/>
  <c r="AD1302" i="8"/>
  <c r="AB1304" i="8"/>
  <c r="AE1305" i="8"/>
  <c r="AC1307" i="8"/>
  <c r="AF1308" i="8"/>
  <c r="AD1310" i="8"/>
  <c r="AB1312" i="8"/>
  <c r="AE1313" i="8"/>
  <c r="AC1315" i="8"/>
  <c r="AF1316" i="8"/>
  <c r="AD1318" i="8"/>
  <c r="AB1320" i="8"/>
  <c r="AE1321" i="8"/>
  <c r="AC1323" i="8"/>
  <c r="AF1324" i="8"/>
  <c r="AD1326" i="8"/>
  <c r="AB1328" i="8"/>
  <c r="AE1329" i="8"/>
  <c r="AC1331" i="8"/>
  <c r="AF1332" i="8"/>
  <c r="AD1334" i="8"/>
  <c r="AB1336" i="8"/>
  <c r="AE1337" i="8"/>
  <c r="AC1339" i="8"/>
  <c r="AF1340" i="8"/>
  <c r="AD1342" i="8"/>
  <c r="AB1344" i="8"/>
  <c r="AE1345" i="8"/>
  <c r="AC1356" i="8"/>
  <c r="AF1357" i="8"/>
  <c r="AD1359" i="8"/>
  <c r="AB1361" i="8"/>
  <c r="AC1095" i="8"/>
  <c r="AC1098" i="8"/>
  <c r="AD1100" i="8"/>
  <c r="AC1103" i="8"/>
  <c r="AB1106" i="8"/>
  <c r="AC1108" i="8"/>
  <c r="AB1111" i="8"/>
  <c r="AC1113" i="8"/>
  <c r="AB1116" i="8"/>
  <c r="AF1118" i="8"/>
  <c r="AB1121" i="8"/>
  <c r="AF1123" i="8"/>
  <c r="AB1126" i="8"/>
  <c r="AF1128" i="8"/>
  <c r="AE1131" i="8"/>
  <c r="AF1133" i="8"/>
  <c r="AE1136" i="8"/>
  <c r="AF1138" i="8"/>
  <c r="AE1141" i="8"/>
  <c r="AD1144" i="8"/>
  <c r="AE1146" i="8"/>
  <c r="AD1149" i="8"/>
  <c r="AE1151" i="8"/>
  <c r="AD1154" i="8"/>
  <c r="AC1157" i="8"/>
  <c r="AD1159" i="8"/>
  <c r="AC1162" i="8"/>
  <c r="AD1164" i="8"/>
  <c r="AC1167" i="8"/>
  <c r="AB1170" i="8"/>
  <c r="AC1172" i="8"/>
  <c r="AB1175" i="8"/>
  <c r="AC1177" i="8"/>
  <c r="AB1180" i="8"/>
  <c r="AF1182" i="8"/>
  <c r="AB1185" i="8"/>
  <c r="AF1187" i="8"/>
  <c r="AB1190" i="8"/>
  <c r="AF1192" i="8"/>
  <c r="AE1195" i="8"/>
  <c r="AF1197" i="8"/>
  <c r="AE1200" i="8"/>
  <c r="AF1202" i="8"/>
  <c r="AE1205" i="8"/>
  <c r="AD1208" i="8"/>
  <c r="AE1210" i="8"/>
  <c r="AD1213" i="8"/>
  <c r="AE1215" i="8"/>
  <c r="AC1218" i="8"/>
  <c r="AC1220" i="8"/>
  <c r="AE1222" i="8"/>
  <c r="AE1224" i="8"/>
  <c r="AE1226" i="8"/>
  <c r="AB1229" i="8"/>
  <c r="AF1230" i="8"/>
  <c r="AE1232" i="8"/>
  <c r="AD1234" i="8"/>
  <c r="AC1236" i="8"/>
  <c r="AB1238" i="8"/>
  <c r="AB1240" i="8"/>
  <c r="AF1241" i="8"/>
  <c r="AE1243" i="8"/>
  <c r="AD1245" i="8"/>
  <c r="AC1247" i="8"/>
  <c r="AB1249" i="8"/>
  <c r="AF1250" i="8"/>
  <c r="AF1252" i="8"/>
  <c r="AE1254" i="8"/>
  <c r="AD1256" i="8"/>
  <c r="AC1258" i="8"/>
  <c r="AB1260" i="8"/>
  <c r="AF1261" i="8"/>
  <c r="AE1263" i="8"/>
  <c r="AE1265" i="8"/>
  <c r="AD1267" i="8"/>
  <c r="AB1269" i="8"/>
  <c r="AE1270" i="8"/>
  <c r="AC1272" i="8"/>
  <c r="AF1273" i="8"/>
  <c r="AD1275" i="8"/>
  <c r="AB1277" i="8"/>
  <c r="AE1278" i="8"/>
  <c r="AC1280" i="8"/>
  <c r="AF1281" i="8"/>
  <c r="AD1283" i="8"/>
  <c r="AB1285" i="8"/>
  <c r="AE1286" i="8"/>
  <c r="AC1288" i="8"/>
  <c r="AF1289" i="8"/>
  <c r="AD1291" i="8"/>
  <c r="AB1293" i="8"/>
  <c r="AE1294" i="8"/>
  <c r="AC1296" i="8"/>
  <c r="AF1297" i="8"/>
  <c r="AD1299" i="8"/>
  <c r="AB1301" i="8"/>
  <c r="AE1302" i="8"/>
  <c r="AC1304" i="8"/>
  <c r="AF1305" i="8"/>
  <c r="AD1307" i="8"/>
  <c r="AB1309" i="8"/>
  <c r="AE1310" i="8"/>
  <c r="AC1312" i="8"/>
  <c r="AF1313" i="8"/>
  <c r="AD1315" i="8"/>
  <c r="AB1317" i="8"/>
  <c r="AE1318" i="8"/>
  <c r="AC1320" i="8"/>
  <c r="AF1321" i="8"/>
  <c r="AD1323" i="8"/>
  <c r="AB1325" i="8"/>
  <c r="AE1326" i="8"/>
  <c r="AC1328" i="8"/>
  <c r="AF1329" i="8"/>
  <c r="AD1331" i="8"/>
  <c r="AB1333" i="8"/>
  <c r="AE1334" i="8"/>
  <c r="AC1336" i="8"/>
  <c r="AF1337" i="8"/>
  <c r="AD1339" i="8"/>
  <c r="AB1341" i="8"/>
  <c r="AE1342" i="8"/>
  <c r="AC1344" i="8"/>
  <c r="AF1345" i="8"/>
  <c r="AD1356" i="8"/>
  <c r="AB1358" i="8"/>
  <c r="AE1359" i="8"/>
  <c r="AC1361" i="8"/>
  <c r="AD1095" i="8"/>
  <c r="AD1098" i="8"/>
  <c r="AC1101" i="8"/>
  <c r="AD1103" i="8"/>
  <c r="AC1106" i="8"/>
  <c r="AD1108" i="8"/>
  <c r="AC1111" i="8"/>
  <c r="AB1114" i="8"/>
  <c r="AC1116" i="8"/>
  <c r="AB1119" i="8"/>
  <c r="AC1121" i="8"/>
  <c r="AB1124" i="8"/>
  <c r="AF1126" i="8"/>
  <c r="AB1129" i="8"/>
  <c r="AF1131" i="8"/>
  <c r="AB1134" i="8"/>
  <c r="AF1136" i="8"/>
  <c r="AE1139" i="8"/>
  <c r="AF1141" i="8"/>
  <c r="AE1144" i="8"/>
  <c r="AF1146" i="8"/>
  <c r="AE1149" i="8"/>
  <c r="AD1152" i="8"/>
  <c r="AE1154" i="8"/>
  <c r="AD1157" i="8"/>
  <c r="AE1159" i="8"/>
  <c r="AD1162" i="8"/>
  <c r="AC1165" i="8"/>
  <c r="AD1167" i="8"/>
  <c r="AC1170" i="8"/>
  <c r="AD1172" i="8"/>
  <c r="AC1175" i="8"/>
  <c r="AB1178" i="8"/>
  <c r="AC1180" i="8"/>
  <c r="AB1183" i="8"/>
  <c r="AC1185" i="8"/>
  <c r="AB1188" i="8"/>
  <c r="AF1190" i="8"/>
  <c r="AB1193" i="8"/>
  <c r="AF1195" i="8"/>
  <c r="AB1198" i="8"/>
  <c r="AF1200" i="8"/>
  <c r="AE1203" i="8"/>
  <c r="AF1205" i="8"/>
  <c r="AE1208" i="8"/>
  <c r="AF1210" i="8"/>
  <c r="AE1213" i="8"/>
  <c r="AD1216" i="8"/>
  <c r="AD1218" i="8"/>
  <c r="AD1220" i="8"/>
  <c r="AF1222" i="8"/>
  <c r="AF1224" i="8"/>
  <c r="AF1226" i="8"/>
  <c r="AC1229" i="8"/>
  <c r="AB1231" i="8"/>
  <c r="AF1232" i="8"/>
  <c r="AE1234" i="8"/>
  <c r="AD1236" i="8"/>
  <c r="AD1238" i="8"/>
  <c r="AC1240" i="8"/>
  <c r="AB1242" i="8"/>
  <c r="AF1243" i="8"/>
  <c r="AE1245" i="8"/>
  <c r="AD1247" i="8"/>
  <c r="AC1249" i="8"/>
  <c r="AC1251" i="8"/>
  <c r="AB1253" i="8"/>
  <c r="AF1254" i="8"/>
  <c r="AE1256" i="8"/>
  <c r="AD1258" i="8"/>
  <c r="AC1260" i="8"/>
  <c r="AB1262" i="8"/>
  <c r="AB1264" i="8"/>
  <c r="AF1265" i="8"/>
  <c r="AE1267" i="8"/>
  <c r="AC1269" i="8"/>
  <c r="AF1270" i="8"/>
  <c r="AD1272" i="8"/>
  <c r="AB1274" i="8"/>
  <c r="AE1275" i="8"/>
  <c r="AC1277" i="8"/>
  <c r="AF1278" i="8"/>
  <c r="AD1280" i="8"/>
  <c r="AB1282" i="8"/>
  <c r="AE1283" i="8"/>
  <c r="AC1285" i="8"/>
  <c r="AF1286" i="8"/>
  <c r="AD1288" i="8"/>
  <c r="AB1290" i="8"/>
  <c r="AE1291" i="8"/>
  <c r="AC1293" i="8"/>
  <c r="AF1294" i="8"/>
  <c r="AD1296" i="8"/>
  <c r="AB1298" i="8"/>
  <c r="AE1299" i="8"/>
  <c r="AC1301" i="8"/>
  <c r="AF1302" i="8"/>
  <c r="AD1304" i="8"/>
  <c r="AB1306" i="8"/>
  <c r="AE1307" i="8"/>
  <c r="AC1309" i="8"/>
  <c r="AF1310" i="8"/>
  <c r="AD1312" i="8"/>
  <c r="AB1314" i="8"/>
  <c r="AE1315" i="8"/>
  <c r="AC1317" i="8"/>
  <c r="AF1318" i="8"/>
  <c r="AD1320" i="8"/>
  <c r="AB1322" i="8"/>
  <c r="AE1323" i="8"/>
  <c r="AC1325" i="8"/>
  <c r="AF1326" i="8"/>
  <c r="AD1328" i="8"/>
  <c r="AB1330" i="8"/>
  <c r="AE1331" i="8"/>
  <c r="AC1333" i="8"/>
  <c r="AF1334" i="8"/>
  <c r="AD1336" i="8"/>
  <c r="AB1338" i="8"/>
  <c r="AE1339" i="8"/>
  <c r="AC1341" i="8"/>
  <c r="AF1342" i="8"/>
  <c r="AD1344" i="8"/>
  <c r="AB1346" i="8"/>
  <c r="AE1356" i="8"/>
  <c r="AC1358" i="8"/>
  <c r="AF1359" i="8"/>
  <c r="AD1361" i="8"/>
  <c r="AE1095" i="8"/>
  <c r="AE1098" i="8"/>
  <c r="AD1101" i="8"/>
  <c r="AE1103" i="8"/>
  <c r="AD1106" i="8"/>
  <c r="AC1109" i="8"/>
  <c r="AD1111" i="8"/>
  <c r="AC1114" i="8"/>
  <c r="AD1116" i="8"/>
  <c r="AC1119" i="8"/>
  <c r="AB1122" i="8"/>
  <c r="AC1124" i="8"/>
  <c r="AB1127" i="8"/>
  <c r="AC1129" i="8"/>
  <c r="AB1132" i="8"/>
  <c r="AF1134" i="8"/>
  <c r="AB1137" i="8"/>
  <c r="AF1139" i="8"/>
  <c r="AB1142" i="8"/>
  <c r="AF1144" i="8"/>
  <c r="AE1147" i="8"/>
  <c r="AF1149" i="8"/>
  <c r="AE1152" i="8"/>
  <c r="AF1154" i="8"/>
  <c r="AE1157" i="8"/>
  <c r="AD1160" i="8"/>
  <c r="AE1162" i="8"/>
  <c r="AD1165" i="8"/>
  <c r="AE1167" i="8"/>
  <c r="AD1170" i="8"/>
  <c r="AC1173" i="8"/>
  <c r="AD1175" i="8"/>
  <c r="AC1178" i="8"/>
  <c r="AD1180" i="8"/>
  <c r="AC1183" i="8"/>
  <c r="AB1186" i="8"/>
  <c r="AC1188" i="8"/>
  <c r="AB1191" i="8"/>
  <c r="AC1193" i="8"/>
  <c r="AB1196" i="8"/>
  <c r="AF1198" i="8"/>
  <c r="AB1201" i="8"/>
  <c r="AF1203" i="8"/>
  <c r="AB1206" i="8"/>
  <c r="AF1208" i="8"/>
  <c r="AE1211" i="8"/>
  <c r="AF1213" i="8"/>
  <c r="AE1216" i="8"/>
  <c r="AE1218" i="8"/>
  <c r="AB1221" i="8"/>
  <c r="AB1223" i="8"/>
  <c r="AB1225" i="8"/>
  <c r="AD1227" i="8"/>
  <c r="AD1229" i="8"/>
  <c r="AC1231" i="8"/>
  <c r="AB1233" i="8"/>
  <c r="AF1234" i="8"/>
  <c r="AF1236" i="8"/>
  <c r="AE1238" i="8"/>
  <c r="AD1240" i="8"/>
  <c r="AC1242" i="8"/>
  <c r="AB1244" i="8"/>
  <c r="AF1245" i="8"/>
  <c r="AE1247" i="8"/>
  <c r="AE1249" i="8"/>
  <c r="AD1251" i="8"/>
  <c r="AC1253" i="8"/>
  <c r="AB1255" i="8"/>
  <c r="AF1256" i="8"/>
  <c r="AE1258" i="8"/>
  <c r="AD1260" i="8"/>
  <c r="AD1262" i="8"/>
  <c r="AC1264" i="8"/>
  <c r="AB1266" i="8"/>
  <c r="AF1267" i="8"/>
  <c r="AD1269" i="8"/>
  <c r="AB1271" i="8"/>
  <c r="AE1272" i="8"/>
  <c r="AC1274" i="8"/>
  <c r="AF1275" i="8"/>
  <c r="AD1277" i="8"/>
  <c r="AB1279" i="8"/>
  <c r="AE1280" i="8"/>
  <c r="AC1282" i="8"/>
  <c r="AF1283" i="8"/>
  <c r="AD1285" i="8"/>
  <c r="AB1287" i="8"/>
  <c r="AE1288" i="8"/>
  <c r="AC1290" i="8"/>
  <c r="AF1291" i="8"/>
  <c r="AD1293" i="8"/>
  <c r="AB1295" i="8"/>
  <c r="AE1296" i="8"/>
  <c r="AC1298" i="8"/>
  <c r="AF1299" i="8"/>
  <c r="AD1301" i="8"/>
  <c r="AB1303" i="8"/>
  <c r="AE1304" i="8"/>
  <c r="AC1306" i="8"/>
  <c r="AF1307" i="8"/>
  <c r="AD1309" i="8"/>
  <c r="AB1311" i="8"/>
  <c r="AE1312" i="8"/>
  <c r="AC1314" i="8"/>
  <c r="AF1315" i="8"/>
  <c r="AD1317" i="8"/>
  <c r="AB1319" i="8"/>
  <c r="AE1320" i="8"/>
  <c r="AC1322" i="8"/>
  <c r="AF1323" i="8"/>
  <c r="AD1325" i="8"/>
  <c r="AB1327" i="8"/>
  <c r="AE1328" i="8"/>
  <c r="AC1330" i="8"/>
  <c r="AF1331" i="8"/>
  <c r="AD1333" i="8"/>
  <c r="AB1335" i="8"/>
  <c r="AE1336" i="8"/>
  <c r="AC1338" i="8"/>
  <c r="AF1339" i="8"/>
  <c r="AD1341" i="8"/>
  <c r="AB1343" i="8"/>
  <c r="AE1344" i="8"/>
  <c r="AC1346" i="8"/>
  <c r="AF1356" i="8"/>
  <c r="AD1358" i="8"/>
  <c r="AB1360" i="8"/>
  <c r="AE1361" i="8"/>
  <c r="AC52" i="8"/>
  <c r="AD50" i="8"/>
  <c r="AD486" i="8" s="1"/>
  <c r="AH20" i="8" l="1"/>
  <c r="AH28" i="8"/>
  <c r="AH19" i="8"/>
  <c r="AH26" i="8"/>
  <c r="AH22" i="8"/>
  <c r="AD52" i="8"/>
  <c r="AD1017" i="8"/>
  <c r="AD953" i="8"/>
  <c r="AD854" i="8"/>
  <c r="AD1028" i="8"/>
  <c r="AD964" i="8"/>
  <c r="AD851" i="8"/>
  <c r="AD1039" i="8"/>
  <c r="AD975" i="8"/>
  <c r="AD905" i="8"/>
  <c r="AD848" i="8"/>
  <c r="AD1050" i="8"/>
  <c r="AD986" i="8"/>
  <c r="AD845" i="8"/>
  <c r="AD825" i="8"/>
  <c r="AD1037" i="8"/>
  <c r="AD973" i="8"/>
  <c r="AD934" i="8"/>
  <c r="AD885" i="8"/>
  <c r="AD1040" i="8"/>
  <c r="AD976" i="8"/>
  <c r="AD829" i="8"/>
  <c r="AD809" i="8"/>
  <c r="AD1035" i="8"/>
  <c r="AD971" i="8"/>
  <c r="AD821" i="8"/>
  <c r="AD801" i="8"/>
  <c r="AD1030" i="8"/>
  <c r="AD966" i="8"/>
  <c r="AD926" i="8"/>
  <c r="AD910" i="8"/>
  <c r="AD813" i="8"/>
  <c r="AD793" i="8"/>
  <c r="AD906" i="8"/>
  <c r="AD842" i="8"/>
  <c r="AD778" i="8"/>
  <c r="AD713" i="8"/>
  <c r="AD669" i="8"/>
  <c r="AD733" i="8"/>
  <c r="AD720" i="8"/>
  <c r="AD647" i="8"/>
  <c r="AD744" i="8"/>
  <c r="AD718" i="8"/>
  <c r="AD629" i="8"/>
  <c r="AD608" i="8"/>
  <c r="AD723" i="8"/>
  <c r="AD694" i="8"/>
  <c r="AD766" i="8"/>
  <c r="AD670" i="8"/>
  <c r="AD601" i="8"/>
  <c r="AD777" i="8"/>
  <c r="AD668" i="8"/>
  <c r="AD597" i="8"/>
  <c r="AD916" i="8"/>
  <c r="AD852" i="8"/>
  <c r="AD788" i="8"/>
  <c r="AD724" i="8"/>
  <c r="AD831" i="8"/>
  <c r="AD767" i="8"/>
  <c r="AD715" i="8"/>
  <c r="AD603" i="8"/>
  <c r="AD674" i="8"/>
  <c r="AD610" i="8"/>
  <c r="AD546" i="8"/>
  <c r="AD482" i="8"/>
  <c r="AD455" i="8"/>
  <c r="AD509" i="8"/>
  <c r="AD442" i="8"/>
  <c r="AD512" i="8"/>
  <c r="AD460" i="8"/>
  <c r="AD380" i="8"/>
  <c r="AD360" i="8"/>
  <c r="AD332" i="8"/>
  <c r="AD563" i="8"/>
  <c r="AD499" i="8"/>
  <c r="AD416" i="8"/>
  <c r="AD319" i="8"/>
  <c r="AD510" i="8"/>
  <c r="AD494" i="8"/>
  <c r="AD434" i="8"/>
  <c r="AD545" i="8"/>
  <c r="AD497" i="8"/>
  <c r="AD454" i="8"/>
  <c r="AD1041" i="8"/>
  <c r="AD977" i="8"/>
  <c r="AD790" i="8"/>
  <c r="AD1052" i="8"/>
  <c r="AD988" i="8"/>
  <c r="AD888" i="8"/>
  <c r="AD787" i="8"/>
  <c r="AD1063" i="8"/>
  <c r="AD999" i="8"/>
  <c r="AD1074" i="8"/>
  <c r="AD1010" i="8"/>
  <c r="AD946" i="8"/>
  <c r="AD1061" i="8"/>
  <c r="AD997" i="8"/>
  <c r="AD917" i="8"/>
  <c r="AD883" i="8"/>
  <c r="AD822" i="8"/>
  <c r="AD1064" i="8"/>
  <c r="AD1000" i="8"/>
  <c r="AD921" i="8"/>
  <c r="AD904" i="8"/>
  <c r="AD887" i="8"/>
  <c r="AD1059" i="8"/>
  <c r="AD995" i="8"/>
  <c r="AD880" i="8"/>
  <c r="AD1054" i="8"/>
  <c r="AD990" i="8"/>
  <c r="AD872" i="8"/>
  <c r="AD866" i="8"/>
  <c r="AD802" i="8"/>
  <c r="AD738" i="8"/>
  <c r="AD638" i="8"/>
  <c r="AD621" i="8"/>
  <c r="AD689" i="8"/>
  <c r="AD645" i="8"/>
  <c r="AD687" i="8"/>
  <c r="AD643" i="8"/>
  <c r="AD627" i="8"/>
  <c r="AD747" i="8"/>
  <c r="AD663" i="8"/>
  <c r="AD633" i="8"/>
  <c r="AD587" i="8"/>
  <c r="AD726" i="8"/>
  <c r="AD712" i="8"/>
  <c r="AD639" i="8"/>
  <c r="AD737" i="8"/>
  <c r="AD710" i="8"/>
  <c r="AD876" i="8"/>
  <c r="AD812" i="8"/>
  <c r="AD748" i="8"/>
  <c r="AD708" i="8"/>
  <c r="AD664" i="8"/>
  <c r="AD616" i="8"/>
  <c r="AD589" i="8"/>
  <c r="AD855" i="8"/>
  <c r="AD791" i="8"/>
  <c r="AD727" i="8"/>
  <c r="AD684" i="8"/>
  <c r="AD640" i="8"/>
  <c r="AD560" i="8"/>
  <c r="AD698" i="8"/>
  <c r="AD634" i="8"/>
  <c r="AD570" i="8"/>
  <c r="AD506" i="8"/>
  <c r="AD424" i="8"/>
  <c r="AD391" i="8"/>
  <c r="AD533" i="8"/>
  <c r="AD469" i="8"/>
  <c r="AD411" i="8"/>
  <c r="AD373" i="8"/>
  <c r="AD536" i="8"/>
  <c r="AD472" i="8"/>
  <c r="AD429" i="8"/>
  <c r="AD523" i="8"/>
  <c r="AD458" i="8"/>
  <c r="AD598" i="8"/>
  <c r="AD478" i="8"/>
  <c r="AD414" i="8"/>
  <c r="AD561" i="8"/>
  <c r="AD1065" i="8"/>
  <c r="AD1001" i="8"/>
  <c r="AD922" i="8"/>
  <c r="AD869" i="8"/>
  <c r="AD849" i="8"/>
  <c r="AD1012" i="8"/>
  <c r="AD948" i="8"/>
  <c r="AD920" i="8"/>
  <c r="AD903" i="8"/>
  <c r="AD886" i="8"/>
  <c r="AD846" i="8"/>
  <c r="AD784" i="8"/>
  <c r="AD1023" i="8"/>
  <c r="AD959" i="8"/>
  <c r="AD843" i="8"/>
  <c r="AD1034" i="8"/>
  <c r="AD970" i="8"/>
  <c r="AD840" i="8"/>
  <c r="AD1021" i="8"/>
  <c r="AD957" i="8"/>
  <c r="AD915" i="8"/>
  <c r="AD881" i="8"/>
  <c r="AD773" i="8"/>
  <c r="AD1024" i="8"/>
  <c r="AD960" i="8"/>
  <c r="AD919" i="8"/>
  <c r="AD902" i="8"/>
  <c r="AD824" i="8"/>
  <c r="AD1019" i="8"/>
  <c r="AD955" i="8"/>
  <c r="AD928" i="8"/>
  <c r="AD816" i="8"/>
  <c r="AD765" i="8"/>
  <c r="AD1014" i="8"/>
  <c r="AD950" i="8"/>
  <c r="AD937" i="8"/>
  <c r="AD808" i="8"/>
  <c r="AD890" i="8"/>
  <c r="AD826" i="8"/>
  <c r="AD762" i="8"/>
  <c r="AD680" i="8"/>
  <c r="AD636" i="8"/>
  <c r="AD605" i="8"/>
  <c r="AD728" i="8"/>
  <c r="AD685" i="8"/>
  <c r="AD771" i="8"/>
  <c r="AD705" i="8"/>
  <c r="AD661" i="8"/>
  <c r="AD631" i="8"/>
  <c r="AD611" i="8"/>
  <c r="AD750" i="8"/>
  <c r="AD681" i="8"/>
  <c r="AD637" i="8"/>
  <c r="AD620" i="8"/>
  <c r="AD549" i="8"/>
  <c r="AD761" i="8"/>
  <c r="AD679" i="8"/>
  <c r="AD900" i="8"/>
  <c r="AD836" i="8"/>
  <c r="AD772" i="8"/>
  <c r="AD879" i="8"/>
  <c r="AD815" i="8"/>
  <c r="AD751" i="8"/>
  <c r="AD658" i="8"/>
  <c r="AD594" i="8"/>
  <c r="AD530" i="8"/>
  <c r="AD466" i="8"/>
  <c r="AD493" i="8"/>
  <c r="AD453" i="8"/>
  <c r="AD496" i="8"/>
  <c r="AD375" i="8"/>
  <c r="AD547" i="8"/>
  <c r="AD483" i="8"/>
  <c r="AD427" i="8"/>
  <c r="AD352" i="8"/>
  <c r="AD622" i="8"/>
  <c r="AD582" i="8"/>
  <c r="AD566" i="8"/>
  <c r="AD550" i="8"/>
  <c r="AD445" i="8"/>
  <c r="AD412" i="8"/>
  <c r="AD1025" i="8"/>
  <c r="AD961" i="8"/>
  <c r="AD805" i="8"/>
  <c r="AD1036" i="8"/>
  <c r="AD972" i="8"/>
  <c r="AD918" i="8"/>
  <c r="AD1047" i="8"/>
  <c r="AD983" i="8"/>
  <c r="AD1058" i="8"/>
  <c r="AD994" i="8"/>
  <c r="AD896" i="8"/>
  <c r="AD768" i="8"/>
  <c r="AD1045" i="8"/>
  <c r="AD981" i="8"/>
  <c r="AD913" i="8"/>
  <c r="AD837" i="8"/>
  <c r="AD817" i="8"/>
  <c r="AD1048" i="8"/>
  <c r="AD984" i="8"/>
  <c r="AD1043" i="8"/>
  <c r="AD979" i="8"/>
  <c r="AD893" i="8"/>
  <c r="AD875" i="8"/>
  <c r="AD757" i="8"/>
  <c r="AD1038" i="8"/>
  <c r="AD974" i="8"/>
  <c r="AD935" i="8"/>
  <c r="AD867" i="8"/>
  <c r="AD914" i="8"/>
  <c r="AD850" i="8"/>
  <c r="AD786" i="8"/>
  <c r="AD722" i="8"/>
  <c r="AD649" i="8"/>
  <c r="AD741" i="8"/>
  <c r="AD700" i="8"/>
  <c r="AD656" i="8"/>
  <c r="AD625" i="8"/>
  <c r="AD752" i="8"/>
  <c r="AD654" i="8"/>
  <c r="AD557" i="8"/>
  <c r="AD731" i="8"/>
  <c r="AD576" i="8"/>
  <c r="AD774" i="8"/>
  <c r="AD635" i="8"/>
  <c r="AD617" i="8"/>
  <c r="AD785" i="8"/>
  <c r="AD721" i="8"/>
  <c r="AD677" i="8"/>
  <c r="AD613" i="8"/>
  <c r="AD924" i="8"/>
  <c r="AD860" i="8"/>
  <c r="AD796" i="8"/>
  <c r="AD732" i="8"/>
  <c r="AD719" i="8"/>
  <c r="AD675" i="8"/>
  <c r="AD839" i="8"/>
  <c r="AD775" i="8"/>
  <c r="AD695" i="8"/>
  <c r="AD651" i="8"/>
  <c r="AD619" i="8"/>
  <c r="AD682" i="8"/>
  <c r="AD618" i="8"/>
  <c r="AD554" i="8"/>
  <c r="AD490" i="8"/>
  <c r="AD435" i="8"/>
  <c r="AD386" i="8"/>
  <c r="AD517" i="8"/>
  <c r="AD422" i="8"/>
  <c r="AD388" i="8"/>
  <c r="AD368" i="8"/>
  <c r="AD520" i="8"/>
  <c r="AD440" i="8"/>
  <c r="AD571" i="8"/>
  <c r="AD507" i="8"/>
  <c r="AD372" i="8"/>
  <c r="AD364" i="8"/>
  <c r="AD577" i="8"/>
  <c r="AD443" i="8"/>
  <c r="AD1049" i="8"/>
  <c r="AD985" i="8"/>
  <c r="AD933" i="8"/>
  <c r="AD901" i="8"/>
  <c r="AD864" i="8"/>
  <c r="AD781" i="8"/>
  <c r="AD1060" i="8"/>
  <c r="AD996" i="8"/>
  <c r="AD931" i="8"/>
  <c r="AD861" i="8"/>
  <c r="AD841" i="8"/>
  <c r="AD776" i="8"/>
  <c r="AD1071" i="8"/>
  <c r="AD1007" i="8"/>
  <c r="AD943" i="8"/>
  <c r="AD929" i="8"/>
  <c r="AD838" i="8"/>
  <c r="AD1018" i="8"/>
  <c r="AD954" i="8"/>
  <c r="AD911" i="8"/>
  <c r="AD894" i="8"/>
  <c r="AD835" i="8"/>
  <c r="AD1069" i="8"/>
  <c r="AD1005" i="8"/>
  <c r="AD941" i="8"/>
  <c r="AD1072" i="8"/>
  <c r="AD1008" i="8"/>
  <c r="AD944" i="8"/>
  <c r="AD930" i="8"/>
  <c r="AD819" i="8"/>
  <c r="AD1067" i="8"/>
  <c r="AD1003" i="8"/>
  <c r="AD939" i="8"/>
  <c r="AD891" i="8"/>
  <c r="AD811" i="8"/>
  <c r="AD1062" i="8"/>
  <c r="AD998" i="8"/>
  <c r="AD803" i="8"/>
  <c r="AD782" i="8"/>
  <c r="AD874" i="8"/>
  <c r="AD810" i="8"/>
  <c r="AD746" i="8"/>
  <c r="AD691" i="8"/>
  <c r="AD584" i="8"/>
  <c r="AD623" i="8"/>
  <c r="AD696" i="8"/>
  <c r="AD755" i="8"/>
  <c r="AD716" i="8"/>
  <c r="AD672" i="8"/>
  <c r="AD734" i="8"/>
  <c r="AD692" i="8"/>
  <c r="AD648" i="8"/>
  <c r="AD745" i="8"/>
  <c r="AD646" i="8"/>
  <c r="AD884" i="8"/>
  <c r="AD820" i="8"/>
  <c r="AD756" i="8"/>
  <c r="AD717" i="8"/>
  <c r="AD644" i="8"/>
  <c r="AD628" i="8"/>
  <c r="AD573" i="8"/>
  <c r="AD863" i="8"/>
  <c r="AD799" i="8"/>
  <c r="AD735" i="8"/>
  <c r="AD693" i="8"/>
  <c r="AD706" i="8"/>
  <c r="AD642" i="8"/>
  <c r="AD578" i="8"/>
  <c r="AD514" i="8"/>
  <c r="AD340" i="8"/>
  <c r="AD541" i="8"/>
  <c r="AD477" i="8"/>
  <c r="AD464" i="8"/>
  <c r="AD420" i="8"/>
  <c r="AD544" i="8"/>
  <c r="AD480" i="8"/>
  <c r="AD370" i="8"/>
  <c r="AD531" i="8"/>
  <c r="AD467" i="8"/>
  <c r="AD438" i="8"/>
  <c r="AD606" i="8"/>
  <c r="AD534" i="8"/>
  <c r="AD502" i="8"/>
  <c r="AE50" i="8"/>
  <c r="AD86" i="8"/>
  <c r="AD150" i="8"/>
  <c r="AD214" i="8"/>
  <c r="AD107" i="8"/>
  <c r="AD171" i="8"/>
  <c r="AD235" i="8"/>
  <c r="AD104" i="8"/>
  <c r="AD77" i="8"/>
  <c r="AD141" i="8"/>
  <c r="AD114" i="8"/>
  <c r="AD62" i="8"/>
  <c r="AD126" i="8"/>
  <c r="AD190" i="8"/>
  <c r="AD83" i="8"/>
  <c r="AD147" i="8"/>
  <c r="AD211" i="8"/>
  <c r="AD80" i="8"/>
  <c r="AD144" i="8"/>
  <c r="AD53" i="8"/>
  <c r="AD117" i="8"/>
  <c r="AD90" i="8"/>
  <c r="AD154" i="8"/>
  <c r="AD79" i="8"/>
  <c r="AD143" i="8"/>
  <c r="AD108" i="8"/>
  <c r="AD65" i="8"/>
  <c r="AD129" i="8"/>
  <c r="AD193" i="8"/>
  <c r="AD102" i="8"/>
  <c r="AD166" i="8"/>
  <c r="AD230" i="8"/>
  <c r="AD59" i="8"/>
  <c r="AD123" i="8"/>
  <c r="AD187" i="8"/>
  <c r="AD251" i="8"/>
  <c r="AD56" i="8"/>
  <c r="AD120" i="8"/>
  <c r="AD93" i="8"/>
  <c r="AD157" i="8"/>
  <c r="AD66" i="8"/>
  <c r="AD130" i="8"/>
  <c r="AD55" i="8"/>
  <c r="AD119" i="8"/>
  <c r="AD78" i="8"/>
  <c r="AD142" i="8"/>
  <c r="AD206" i="8"/>
  <c r="AD99" i="8"/>
  <c r="AD163" i="8"/>
  <c r="AD227" i="8"/>
  <c r="AD96" i="8"/>
  <c r="AD160" i="8"/>
  <c r="AD69" i="8"/>
  <c r="AD133" i="8"/>
  <c r="AD106" i="8"/>
  <c r="AD54" i="8"/>
  <c r="AD118" i="8"/>
  <c r="AD182" i="8"/>
  <c r="AD75" i="8"/>
  <c r="AD139" i="8"/>
  <c r="AD203" i="8"/>
  <c r="AD72" i="8"/>
  <c r="AD136" i="8"/>
  <c r="AD109" i="8"/>
  <c r="AD82" i="8"/>
  <c r="AD146" i="8"/>
  <c r="AD71" i="8"/>
  <c r="AD135" i="8"/>
  <c r="AD94" i="8"/>
  <c r="AD158" i="8"/>
  <c r="AD222" i="8"/>
  <c r="AD115" i="8"/>
  <c r="AD179" i="8"/>
  <c r="AD243" i="8"/>
  <c r="AD112" i="8"/>
  <c r="AD85" i="8"/>
  <c r="AD149" i="8"/>
  <c r="AD58" i="8"/>
  <c r="AD122" i="8"/>
  <c r="AD70" i="8"/>
  <c r="AD134" i="8"/>
  <c r="AD198" i="8"/>
  <c r="AD91" i="8"/>
  <c r="AD155" i="8"/>
  <c r="AD219" i="8"/>
  <c r="AD88" i="8"/>
  <c r="AD152" i="8"/>
  <c r="AD61" i="8"/>
  <c r="AD125" i="8"/>
  <c r="AD98" i="8"/>
  <c r="AD87" i="8"/>
  <c r="AD116" i="8"/>
  <c r="AD110" i="8"/>
  <c r="AD174" i="8"/>
  <c r="AD238" i="8"/>
  <c r="AD67" i="8"/>
  <c r="AD131" i="8"/>
  <c r="AD195" i="8"/>
  <c r="AD64" i="8"/>
  <c r="AD128" i="8"/>
  <c r="AD101" i="8"/>
  <c r="AD74" i="8"/>
  <c r="AD138" i="8"/>
  <c r="AD63" i="8"/>
  <c r="AD127" i="8"/>
  <c r="AD92" i="8"/>
  <c r="AD124" i="8"/>
  <c r="AD185" i="8"/>
  <c r="AD225" i="8"/>
  <c r="AD310" i="8"/>
  <c r="AD374" i="8"/>
  <c r="AD192" i="8"/>
  <c r="AD212" i="8"/>
  <c r="AD291" i="8"/>
  <c r="AD355" i="8"/>
  <c r="AD159" i="8"/>
  <c r="AD272" i="8"/>
  <c r="AD336" i="8"/>
  <c r="AD223" i="8"/>
  <c r="AD285" i="8"/>
  <c r="AD226" i="8"/>
  <c r="AD246" i="8"/>
  <c r="AD274" i="8"/>
  <c r="AD338" i="8"/>
  <c r="AD175" i="8"/>
  <c r="AD173" i="8"/>
  <c r="AD253" i="8"/>
  <c r="AD292" i="8"/>
  <c r="AD305" i="8"/>
  <c r="AD369" i="8"/>
  <c r="AD433" i="8"/>
  <c r="AD335" i="8"/>
  <c r="AD487" i="8"/>
  <c r="AD551" i="8"/>
  <c r="AD615" i="8"/>
  <c r="AD402" i="8"/>
  <c r="AD461" i="8"/>
  <c r="AD500" i="8"/>
  <c r="AD564" i="8"/>
  <c r="AD463" i="8"/>
  <c r="AD489" i="8"/>
  <c r="AD553" i="8"/>
  <c r="AD60" i="8"/>
  <c r="AD140" i="8"/>
  <c r="AD89" i="8"/>
  <c r="AD145" i="8"/>
  <c r="AD201" i="8"/>
  <c r="AD241" i="8"/>
  <c r="AD184" i="8"/>
  <c r="AD204" i="8"/>
  <c r="AD245" i="8"/>
  <c r="AD286" i="8"/>
  <c r="AD350" i="8"/>
  <c r="AD267" i="8"/>
  <c r="AD331" i="8"/>
  <c r="AD395" i="8"/>
  <c r="AD205" i="8"/>
  <c r="AD312" i="8"/>
  <c r="AD164" i="8"/>
  <c r="AD261" i="8"/>
  <c r="AD325" i="8"/>
  <c r="AD167" i="8"/>
  <c r="AD314" i="8"/>
  <c r="AD239" i="8"/>
  <c r="AD295" i="8"/>
  <c r="AD237" i="8"/>
  <c r="AD255" i="8"/>
  <c r="AD268" i="8"/>
  <c r="AD176" i="8"/>
  <c r="AD196" i="8"/>
  <c r="AD281" i="8"/>
  <c r="AD345" i="8"/>
  <c r="AD409" i="8"/>
  <c r="AD384" i="8"/>
  <c r="AD404" i="8"/>
  <c r="AD448" i="8"/>
  <c r="AD527" i="8"/>
  <c r="AD591" i="8"/>
  <c r="AD419" i="8"/>
  <c r="AD476" i="8"/>
  <c r="AD540" i="8"/>
  <c r="AD604" i="8"/>
  <c r="AD346" i="8"/>
  <c r="AD421" i="8"/>
  <c r="AD529" i="8"/>
  <c r="AD593" i="8"/>
  <c r="AD349" i="8"/>
  <c r="AD423" i="8"/>
  <c r="AD518" i="8"/>
  <c r="AD76" i="8"/>
  <c r="AD105" i="8"/>
  <c r="AD247" i="8"/>
  <c r="AD262" i="8"/>
  <c r="AD326" i="8"/>
  <c r="AD390" i="8"/>
  <c r="AD197" i="8"/>
  <c r="AD307" i="8"/>
  <c r="AD371" i="8"/>
  <c r="AD288" i="8"/>
  <c r="AD208" i="8"/>
  <c r="AD228" i="8"/>
  <c r="AD248" i="8"/>
  <c r="AD301" i="8"/>
  <c r="AD231" i="8"/>
  <c r="AD290" i="8"/>
  <c r="AD180" i="8"/>
  <c r="AD271" i="8"/>
  <c r="AD178" i="8"/>
  <c r="AD308" i="8"/>
  <c r="AD240" i="8"/>
  <c r="AD257" i="8"/>
  <c r="AD321" i="8"/>
  <c r="AD385" i="8"/>
  <c r="AD449" i="8"/>
  <c r="AD406" i="8"/>
  <c r="AD503" i="8"/>
  <c r="AD567" i="8"/>
  <c r="AD450" i="8"/>
  <c r="AD516" i="8"/>
  <c r="AD580" i="8"/>
  <c r="AD452" i="8"/>
  <c r="AD505" i="8"/>
  <c r="AD569" i="8"/>
  <c r="AD103" i="8"/>
  <c r="AD121" i="8"/>
  <c r="AD161" i="8"/>
  <c r="AD217" i="8"/>
  <c r="AD189" i="8"/>
  <c r="AD302" i="8"/>
  <c r="AD366" i="8"/>
  <c r="AD283" i="8"/>
  <c r="AD347" i="8"/>
  <c r="AD210" i="8"/>
  <c r="AD264" i="8"/>
  <c r="AD328" i="8"/>
  <c r="AD250" i="8"/>
  <c r="AD277" i="8"/>
  <c r="AD341" i="8"/>
  <c r="AD172" i="8"/>
  <c r="AD266" i="8"/>
  <c r="AD330" i="8"/>
  <c r="AD224" i="8"/>
  <c r="AD244" i="8"/>
  <c r="AD242" i="8"/>
  <c r="AD284" i="8"/>
  <c r="AD156" i="8"/>
  <c r="AD181" i="8"/>
  <c r="AD297" i="8"/>
  <c r="AD361" i="8"/>
  <c r="AD425" i="8"/>
  <c r="AD389" i="8"/>
  <c r="AD437" i="8"/>
  <c r="AD479" i="8"/>
  <c r="AD543" i="8"/>
  <c r="AD607" i="8"/>
  <c r="AD348" i="8"/>
  <c r="AD408" i="8"/>
  <c r="AD492" i="8"/>
  <c r="AD556" i="8"/>
  <c r="AD311" i="8"/>
  <c r="AD351" i="8"/>
  <c r="AD100" i="8"/>
  <c r="AD132" i="8"/>
  <c r="AD148" i="8"/>
  <c r="AD81" i="8"/>
  <c r="AD137" i="8"/>
  <c r="AD177" i="8"/>
  <c r="AD233" i="8"/>
  <c r="AD278" i="8"/>
  <c r="AD342" i="8"/>
  <c r="AD202" i="8"/>
  <c r="AD259" i="8"/>
  <c r="AD323" i="8"/>
  <c r="AD387" i="8"/>
  <c r="AD304" i="8"/>
  <c r="AD213" i="8"/>
  <c r="AD252" i="8"/>
  <c r="AD317" i="8"/>
  <c r="AD216" i="8"/>
  <c r="AD236" i="8"/>
  <c r="AD306" i="8"/>
  <c r="AD165" i="8"/>
  <c r="AD287" i="8"/>
  <c r="AD162" i="8"/>
  <c r="AD183" i="8"/>
  <c r="AD260" i="8"/>
  <c r="AD273" i="8"/>
  <c r="AD337" i="8"/>
  <c r="AD401" i="8"/>
  <c r="AD465" i="8"/>
  <c r="AD519" i="8"/>
  <c r="AD583" i="8"/>
  <c r="AD392" i="8"/>
  <c r="AD439" i="8"/>
  <c r="AD468" i="8"/>
  <c r="AD532" i="8"/>
  <c r="AD596" i="8"/>
  <c r="AD521" i="8"/>
  <c r="AD585" i="8"/>
  <c r="AD324" i="8"/>
  <c r="AD68" i="8"/>
  <c r="AD84" i="8"/>
  <c r="AD249" i="8"/>
  <c r="AD194" i="8"/>
  <c r="AD318" i="8"/>
  <c r="AD382" i="8"/>
  <c r="AD299" i="8"/>
  <c r="AD363" i="8"/>
  <c r="AD215" i="8"/>
  <c r="AD254" i="8"/>
  <c r="AD280" i="8"/>
  <c r="AD344" i="8"/>
  <c r="AD293" i="8"/>
  <c r="AD282" i="8"/>
  <c r="AD229" i="8"/>
  <c r="AD263" i="8"/>
  <c r="AD300" i="8"/>
  <c r="AD186" i="8"/>
  <c r="AD313" i="8"/>
  <c r="AD377" i="8"/>
  <c r="AD441" i="8"/>
  <c r="AD394" i="8"/>
  <c r="AD426" i="8"/>
  <c r="AD495" i="8"/>
  <c r="AD559" i="8"/>
  <c r="AD316" i="8"/>
  <c r="AD508" i="8"/>
  <c r="AD572" i="8"/>
  <c r="AD356" i="8"/>
  <c r="AD111" i="8"/>
  <c r="AD57" i="8"/>
  <c r="AD97" i="8"/>
  <c r="AD153" i="8"/>
  <c r="AD209" i="8"/>
  <c r="AD294" i="8"/>
  <c r="AD358" i="8"/>
  <c r="AD207" i="8"/>
  <c r="AD275" i="8"/>
  <c r="AD339" i="8"/>
  <c r="AD403" i="8"/>
  <c r="AD256" i="8"/>
  <c r="AD320" i="8"/>
  <c r="AD218" i="8"/>
  <c r="AD269" i="8"/>
  <c r="AD333" i="8"/>
  <c r="AD221" i="8"/>
  <c r="AD258" i="8"/>
  <c r="AD322" i="8"/>
  <c r="AD170" i="8"/>
  <c r="AD303" i="8"/>
  <c r="AD168" i="8"/>
  <c r="AD188" i="8"/>
  <c r="AD276" i="8"/>
  <c r="AD289" i="8"/>
  <c r="AD353" i="8"/>
  <c r="AD417" i="8"/>
  <c r="AD471" i="8"/>
  <c r="AD535" i="8"/>
  <c r="AD599" i="8"/>
  <c r="AD397" i="8"/>
  <c r="AD428" i="8"/>
  <c r="AD484" i="8"/>
  <c r="AD548" i="8"/>
  <c r="AD612" i="8"/>
  <c r="AD400" i="8"/>
  <c r="AD473" i="8"/>
  <c r="AD537" i="8"/>
  <c r="AD526" i="8"/>
  <c r="AD590" i="8"/>
  <c r="AD357" i="8"/>
  <c r="AD95" i="8"/>
  <c r="AD73" i="8"/>
  <c r="AD113" i="8"/>
  <c r="AD169" i="8"/>
  <c r="AD199" i="8"/>
  <c r="AD270" i="8"/>
  <c r="AD334" i="8"/>
  <c r="AD398" i="8"/>
  <c r="AD315" i="8"/>
  <c r="AD379" i="8"/>
  <c r="AD200" i="8"/>
  <c r="AD220" i="8"/>
  <c r="AD296" i="8"/>
  <c r="AD151" i="8"/>
  <c r="AD309" i="8"/>
  <c r="AD298" i="8"/>
  <c r="AD234" i="8"/>
  <c r="AD279" i="8"/>
  <c r="AD232" i="8"/>
  <c r="AD191" i="8"/>
  <c r="AD265" i="8"/>
  <c r="AD329" i="8"/>
  <c r="AD393" i="8"/>
  <c r="AD457" i="8"/>
  <c r="AD399" i="8"/>
  <c r="AD415" i="8"/>
  <c r="AD459" i="8"/>
  <c r="AD511" i="8"/>
  <c r="AD575" i="8"/>
  <c r="AD430" i="8"/>
  <c r="AD524" i="8"/>
  <c r="AD588" i="8"/>
  <c r="AD432" i="8"/>
  <c r="AD513" i="8"/>
  <c r="AD1073" i="8"/>
  <c r="AD1009" i="8"/>
  <c r="AD945" i="8"/>
  <c r="AD899" i="8"/>
  <c r="AD800" i="8"/>
  <c r="AD1020" i="8"/>
  <c r="AD956" i="8"/>
  <c r="AD797" i="8"/>
  <c r="AD1031" i="8"/>
  <c r="AD967" i="8"/>
  <c r="AD927" i="8"/>
  <c r="AD1042" i="8"/>
  <c r="AD978" i="8"/>
  <c r="AD925" i="8"/>
  <c r="AD1029" i="8"/>
  <c r="AD965" i="8"/>
  <c r="AD832" i="8"/>
  <c r="AD1032" i="8"/>
  <c r="AD968" i="8"/>
  <c r="AD878" i="8"/>
  <c r="AD1027" i="8"/>
  <c r="AD963" i="8"/>
  <c r="AD889" i="8"/>
  <c r="AD870" i="8"/>
  <c r="AD1022" i="8"/>
  <c r="AD958" i="8"/>
  <c r="AD862" i="8"/>
  <c r="AD898" i="8"/>
  <c r="AD834" i="8"/>
  <c r="AD770" i="8"/>
  <c r="AD660" i="8"/>
  <c r="AD609" i="8"/>
  <c r="AD725" i="8"/>
  <c r="AD711" i="8"/>
  <c r="AD667" i="8"/>
  <c r="AD552" i="8"/>
  <c r="AD736" i="8"/>
  <c r="AD665" i="8"/>
  <c r="AD779" i="8"/>
  <c r="AD641" i="8"/>
  <c r="AD758" i="8"/>
  <c r="AD581" i="8"/>
  <c r="AD769" i="8"/>
  <c r="AD688" i="8"/>
  <c r="AD908" i="8"/>
  <c r="AD844" i="8"/>
  <c r="AD780" i="8"/>
  <c r="AD686" i="8"/>
  <c r="AD823" i="8"/>
  <c r="AD759" i="8"/>
  <c r="AD662" i="8"/>
  <c r="AD632" i="8"/>
  <c r="AD666" i="8"/>
  <c r="AD602" i="8"/>
  <c r="AD538" i="8"/>
  <c r="AD474" i="8"/>
  <c r="AD446" i="8"/>
  <c r="AD381" i="8"/>
  <c r="AD501" i="8"/>
  <c r="AD383" i="8"/>
  <c r="AD504" i="8"/>
  <c r="AD451" i="8"/>
  <c r="AD407" i="8"/>
  <c r="AD555" i="8"/>
  <c r="AD491" i="8"/>
  <c r="AD436" i="8"/>
  <c r="AD367" i="8"/>
  <c r="AD343" i="8"/>
  <c r="AD456" i="8"/>
  <c r="AD359" i="8"/>
  <c r="AD410" i="8"/>
  <c r="AD1033" i="8"/>
  <c r="AD969" i="8"/>
  <c r="AD897" i="8"/>
  <c r="AD859" i="8"/>
  <c r="AD1044" i="8"/>
  <c r="AD980" i="8"/>
  <c r="AD856" i="8"/>
  <c r="AD1055" i="8"/>
  <c r="AD991" i="8"/>
  <c r="AD909" i="8"/>
  <c r="AD853" i="8"/>
  <c r="AD833" i="8"/>
  <c r="AD1066" i="8"/>
  <c r="AD1002" i="8"/>
  <c r="AD830" i="8"/>
  <c r="AD1053" i="8"/>
  <c r="AD989" i="8"/>
  <c r="AD923" i="8"/>
  <c r="AD1056" i="8"/>
  <c r="AD992" i="8"/>
  <c r="AD814" i="8"/>
  <c r="AD1051" i="8"/>
  <c r="AD987" i="8"/>
  <c r="AD806" i="8"/>
  <c r="AD1046" i="8"/>
  <c r="AD982" i="8"/>
  <c r="AD798" i="8"/>
  <c r="AD858" i="8"/>
  <c r="AD794" i="8"/>
  <c r="AD730" i="8"/>
  <c r="AD702" i="8"/>
  <c r="AD749" i="8"/>
  <c r="AD709" i="8"/>
  <c r="AD592" i="8"/>
  <c r="AD760" i="8"/>
  <c r="AD707" i="8"/>
  <c r="AD739" i="8"/>
  <c r="AD683" i="8"/>
  <c r="AD703" i="8"/>
  <c r="AD659" i="8"/>
  <c r="AD729" i="8"/>
  <c r="AD657" i="8"/>
  <c r="AD568" i="8"/>
  <c r="AD932" i="8"/>
  <c r="AD868" i="8"/>
  <c r="AD804" i="8"/>
  <c r="AD740" i="8"/>
  <c r="AD655" i="8"/>
  <c r="AD600" i="8"/>
  <c r="AD847" i="8"/>
  <c r="AD783" i="8"/>
  <c r="AD704" i="8"/>
  <c r="AD690" i="8"/>
  <c r="AD626" i="8"/>
  <c r="AD562" i="8"/>
  <c r="AD498" i="8"/>
  <c r="AD444" i="8"/>
  <c r="AD525" i="8"/>
  <c r="AD431" i="8"/>
  <c r="AD528" i="8"/>
  <c r="AD365" i="8"/>
  <c r="AD579" i="8"/>
  <c r="AD515" i="8"/>
  <c r="AD405" i="8"/>
  <c r="AD630" i="8"/>
  <c r="AD574" i="8"/>
  <c r="AD558" i="8"/>
  <c r="AD470" i="8"/>
  <c r="AD481" i="8"/>
  <c r="AD1057" i="8"/>
  <c r="AD993" i="8"/>
  <c r="AD795" i="8"/>
  <c r="AD1068" i="8"/>
  <c r="AD1004" i="8"/>
  <c r="AD940" i="8"/>
  <c r="AD792" i="8"/>
  <c r="AD1015" i="8"/>
  <c r="AD951" i="8"/>
  <c r="AD938" i="8"/>
  <c r="AD907" i="8"/>
  <c r="AD789" i="8"/>
  <c r="AD1026" i="8"/>
  <c r="AD962" i="8"/>
  <c r="AD936" i="8"/>
  <c r="AD1013" i="8"/>
  <c r="AD949" i="8"/>
  <c r="AD827" i="8"/>
  <c r="AD1016" i="8"/>
  <c r="AD952" i="8"/>
  <c r="AD873" i="8"/>
  <c r="AD1075" i="8"/>
  <c r="AD1011" i="8"/>
  <c r="AD947" i="8"/>
  <c r="AD865" i="8"/>
  <c r="AD1070" i="8"/>
  <c r="AD1006" i="8"/>
  <c r="AD942" i="8"/>
  <c r="AD912" i="8"/>
  <c r="AD895" i="8"/>
  <c r="AD877" i="8"/>
  <c r="AD857" i="8"/>
  <c r="AD882" i="8"/>
  <c r="AD818" i="8"/>
  <c r="AD754" i="8"/>
  <c r="AD671" i="8"/>
  <c r="AD565" i="8"/>
  <c r="AD678" i="8"/>
  <c r="AD676" i="8"/>
  <c r="AD763" i="8"/>
  <c r="AD652" i="8"/>
  <c r="AD595" i="8"/>
  <c r="AD742" i="8"/>
  <c r="AD701" i="8"/>
  <c r="AD753" i="8"/>
  <c r="AD699" i="8"/>
  <c r="AD624" i="8"/>
  <c r="AD892" i="8"/>
  <c r="AD828" i="8"/>
  <c r="AD764" i="8"/>
  <c r="AD697" i="8"/>
  <c r="AD653" i="8"/>
  <c r="AD871" i="8"/>
  <c r="AD807" i="8"/>
  <c r="AD743" i="8"/>
  <c r="AD673" i="8"/>
  <c r="AD714" i="8"/>
  <c r="AD650" i="8"/>
  <c r="AD586" i="8"/>
  <c r="AD522" i="8"/>
  <c r="AD413" i="8"/>
  <c r="AD396" i="8"/>
  <c r="AD376" i="8"/>
  <c r="AD485" i="8"/>
  <c r="AD378" i="8"/>
  <c r="AD327" i="8"/>
  <c r="AD488" i="8"/>
  <c r="AD462" i="8"/>
  <c r="AD418" i="8"/>
  <c r="AD539" i="8"/>
  <c r="AD475" i="8"/>
  <c r="AD447" i="8"/>
  <c r="AD362" i="8"/>
  <c r="AD614" i="8"/>
  <c r="AD542" i="8"/>
  <c r="AD354" i="8"/>
  <c r="AF50" i="8" l="1"/>
  <c r="AE73" i="8"/>
  <c r="AE137" i="8"/>
  <c r="AE201" i="8"/>
  <c r="AE94" i="8"/>
  <c r="AE158" i="8"/>
  <c r="AE222" i="8"/>
  <c r="AE91" i="8"/>
  <c r="AE155" i="8"/>
  <c r="AE64" i="8"/>
  <c r="AE128" i="8"/>
  <c r="AE101" i="8"/>
  <c r="AE113" i="8"/>
  <c r="AE177" i="8"/>
  <c r="AE241" i="8"/>
  <c r="AE70" i="8"/>
  <c r="AE134" i="8"/>
  <c r="AE198" i="8"/>
  <c r="AE67" i="8"/>
  <c r="AE131" i="8"/>
  <c r="AE104" i="8"/>
  <c r="AE77" i="8"/>
  <c r="AE141" i="8"/>
  <c r="AE66" i="8"/>
  <c r="AE130" i="8"/>
  <c r="AE95" i="8"/>
  <c r="AE116" i="8"/>
  <c r="AE180" i="8"/>
  <c r="AE244" i="8"/>
  <c r="AE181" i="8"/>
  <c r="AE89" i="8"/>
  <c r="AE153" i="8"/>
  <c r="AE217" i="8"/>
  <c r="AE110" i="8"/>
  <c r="AE174" i="8"/>
  <c r="AE238" i="8"/>
  <c r="AE107" i="8"/>
  <c r="AE80" i="8"/>
  <c r="AE144" i="8"/>
  <c r="AE53" i="8"/>
  <c r="AE117" i="8"/>
  <c r="AE106" i="8"/>
  <c r="AE65" i="8"/>
  <c r="AE129" i="8"/>
  <c r="AE193" i="8"/>
  <c r="AE86" i="8"/>
  <c r="AE150" i="8"/>
  <c r="AE214" i="8"/>
  <c r="AE83" i="8"/>
  <c r="AE147" i="8"/>
  <c r="AE56" i="8"/>
  <c r="AE120" i="8"/>
  <c r="AE93" i="8"/>
  <c r="AE157" i="8"/>
  <c r="AE105" i="8"/>
  <c r="AE169" i="8"/>
  <c r="AE233" i="8"/>
  <c r="AE62" i="8"/>
  <c r="AE126" i="8"/>
  <c r="AE190" i="8"/>
  <c r="AE254" i="8"/>
  <c r="AE59" i="8"/>
  <c r="AE123" i="8"/>
  <c r="AE96" i="8"/>
  <c r="AE160" i="8"/>
  <c r="AE69" i="8"/>
  <c r="AE133" i="8"/>
  <c r="AE58" i="8"/>
  <c r="AE122" i="8"/>
  <c r="AE81" i="8"/>
  <c r="AE145" i="8"/>
  <c r="AE209" i="8"/>
  <c r="AE102" i="8"/>
  <c r="AE166" i="8"/>
  <c r="AE230" i="8"/>
  <c r="AE99" i="8"/>
  <c r="AE163" i="8"/>
  <c r="AE72" i="8"/>
  <c r="AE136" i="8"/>
  <c r="AE109" i="8"/>
  <c r="AE57" i="8"/>
  <c r="AE121" i="8"/>
  <c r="AE185" i="8"/>
  <c r="AE78" i="8"/>
  <c r="AE142" i="8"/>
  <c r="AE206" i="8"/>
  <c r="AE75" i="8"/>
  <c r="AE139" i="8"/>
  <c r="AE112" i="8"/>
  <c r="AE85" i="8"/>
  <c r="AE149" i="8"/>
  <c r="AE74" i="8"/>
  <c r="AE138" i="8"/>
  <c r="AE103" i="8"/>
  <c r="AE97" i="8"/>
  <c r="AE161" i="8"/>
  <c r="AE225" i="8"/>
  <c r="AE54" i="8"/>
  <c r="AE118" i="8"/>
  <c r="AE182" i="8"/>
  <c r="AE246" i="8"/>
  <c r="AE115" i="8"/>
  <c r="AE88" i="8"/>
  <c r="AE152" i="8"/>
  <c r="AE61" i="8"/>
  <c r="AE125" i="8"/>
  <c r="AE114" i="8"/>
  <c r="AE79" i="8"/>
  <c r="AE143" i="8"/>
  <c r="AE60" i="8"/>
  <c r="AE100" i="8"/>
  <c r="AE156" i="8"/>
  <c r="AE212" i="8"/>
  <c r="AE297" i="8"/>
  <c r="AE361" i="8"/>
  <c r="AE278" i="8"/>
  <c r="AE342" i="8"/>
  <c r="AE202" i="8"/>
  <c r="AE259" i="8"/>
  <c r="AE323" i="8"/>
  <c r="AE159" i="8"/>
  <c r="AE272" i="8"/>
  <c r="AE336" i="8"/>
  <c r="AE261" i="8"/>
  <c r="AE325" i="8"/>
  <c r="AE216" i="8"/>
  <c r="AE306" i="8"/>
  <c r="AE234" i="8"/>
  <c r="AE279" i="8"/>
  <c r="AE173" i="8"/>
  <c r="AE253" i="8"/>
  <c r="AE292" i="8"/>
  <c r="AE356" i="8"/>
  <c r="AE420" i="8"/>
  <c r="AE381" i="8"/>
  <c r="AE446" i="8"/>
  <c r="AE474" i="8"/>
  <c r="AE538" i="8"/>
  <c r="AE602" i="8"/>
  <c r="AE335" i="8"/>
  <c r="AE417" i="8"/>
  <c r="AE487" i="8"/>
  <c r="AE551" i="8"/>
  <c r="AE615" i="8"/>
  <c r="AE419" i="8"/>
  <c r="AE476" i="8"/>
  <c r="AE540" i="8"/>
  <c r="AE82" i="8"/>
  <c r="AE98" i="8"/>
  <c r="AE111" i="8"/>
  <c r="AE76" i="8"/>
  <c r="AE132" i="8"/>
  <c r="AE172" i="8"/>
  <c r="AE273" i="8"/>
  <c r="AE337" i="8"/>
  <c r="AE401" i="8"/>
  <c r="AE194" i="8"/>
  <c r="AE318" i="8"/>
  <c r="AE382" i="8"/>
  <c r="AE299" i="8"/>
  <c r="AE205" i="8"/>
  <c r="AE312" i="8"/>
  <c r="AE208" i="8"/>
  <c r="AE248" i="8"/>
  <c r="AE301" i="8"/>
  <c r="AE282" i="8"/>
  <c r="AE175" i="8"/>
  <c r="AE237" i="8"/>
  <c r="AE255" i="8"/>
  <c r="AE268" i="8"/>
  <c r="AE332" i="8"/>
  <c r="AE396" i="8"/>
  <c r="AE460" i="8"/>
  <c r="AE341" i="8"/>
  <c r="AE514" i="8"/>
  <c r="AE578" i="8"/>
  <c r="AE384" i="8"/>
  <c r="AE448" i="8"/>
  <c r="AE527" i="8"/>
  <c r="AE591" i="8"/>
  <c r="AE387" i="8"/>
  <c r="AE450" i="8"/>
  <c r="AE516" i="8"/>
  <c r="AE580" i="8"/>
  <c r="AE505" i="8"/>
  <c r="AE569" i="8"/>
  <c r="AE146" i="8"/>
  <c r="AE127" i="8"/>
  <c r="AE188" i="8"/>
  <c r="AE228" i="8"/>
  <c r="AE186" i="8"/>
  <c r="AE313" i="8"/>
  <c r="AE377" i="8"/>
  <c r="AE294" i="8"/>
  <c r="AE358" i="8"/>
  <c r="AE187" i="8"/>
  <c r="AE207" i="8"/>
  <c r="AE275" i="8"/>
  <c r="AE339" i="8"/>
  <c r="AE288" i="8"/>
  <c r="AE250" i="8"/>
  <c r="AE277" i="8"/>
  <c r="AE154" i="8"/>
  <c r="AE221" i="8"/>
  <c r="AE258" i="8"/>
  <c r="AE219" i="8"/>
  <c r="AE239" i="8"/>
  <c r="AE295" i="8"/>
  <c r="AE178" i="8"/>
  <c r="AE308" i="8"/>
  <c r="AE372" i="8"/>
  <c r="AE436" i="8"/>
  <c r="AE386" i="8"/>
  <c r="AE435" i="8"/>
  <c r="AE490" i="8"/>
  <c r="AE554" i="8"/>
  <c r="AE618" i="8"/>
  <c r="AE406" i="8"/>
  <c r="AE503" i="8"/>
  <c r="AE567" i="8"/>
  <c r="AE408" i="8"/>
  <c r="AE492" i="8"/>
  <c r="AE556" i="8"/>
  <c r="AE311" i="8"/>
  <c r="AE351" i="8"/>
  <c r="AE63" i="8"/>
  <c r="AE92" i="8"/>
  <c r="AE148" i="8"/>
  <c r="AE204" i="8"/>
  <c r="AE249" i="8"/>
  <c r="AE289" i="8"/>
  <c r="AE353" i="8"/>
  <c r="AE179" i="8"/>
  <c r="AE199" i="8"/>
  <c r="AE270" i="8"/>
  <c r="AE334" i="8"/>
  <c r="AE398" i="8"/>
  <c r="AE315" i="8"/>
  <c r="AE210" i="8"/>
  <c r="AE264" i="8"/>
  <c r="AE328" i="8"/>
  <c r="AE213" i="8"/>
  <c r="AE317" i="8"/>
  <c r="AE298" i="8"/>
  <c r="AE271" i="8"/>
  <c r="AE242" i="8"/>
  <c r="AE284" i="8"/>
  <c r="AE348" i="8"/>
  <c r="AE412" i="8"/>
  <c r="AE466" i="8"/>
  <c r="AE530" i="8"/>
  <c r="AE594" i="8"/>
  <c r="AE389" i="8"/>
  <c r="AE437" i="8"/>
  <c r="AE479" i="8"/>
  <c r="AE543" i="8"/>
  <c r="AE607" i="8"/>
  <c r="AE68" i="8"/>
  <c r="AE108" i="8"/>
  <c r="AE191" i="8"/>
  <c r="AE265" i="8"/>
  <c r="AE329" i="8"/>
  <c r="AE393" i="8"/>
  <c r="AE243" i="8"/>
  <c r="AE310" i="8"/>
  <c r="AE374" i="8"/>
  <c r="AE192" i="8"/>
  <c r="AE291" i="8"/>
  <c r="AE304" i="8"/>
  <c r="AE293" i="8"/>
  <c r="AE226" i="8"/>
  <c r="AE274" i="8"/>
  <c r="AE224" i="8"/>
  <c r="AE162" i="8"/>
  <c r="AE183" i="8"/>
  <c r="AE260" i="8"/>
  <c r="AE324" i="8"/>
  <c r="AE388" i="8"/>
  <c r="AE452" i="8"/>
  <c r="AE371" i="8"/>
  <c r="AE391" i="8"/>
  <c r="AE424" i="8"/>
  <c r="AE506" i="8"/>
  <c r="AE570" i="8"/>
  <c r="AE519" i="8"/>
  <c r="AE583" i="8"/>
  <c r="AE441" i="8"/>
  <c r="AE508" i="8"/>
  <c r="AE572" i="8"/>
  <c r="AE90" i="8"/>
  <c r="AE119" i="8"/>
  <c r="AE124" i="8"/>
  <c r="AE164" i="8"/>
  <c r="AE220" i="8"/>
  <c r="AE171" i="8"/>
  <c r="AE235" i="8"/>
  <c r="AE305" i="8"/>
  <c r="AE369" i="8"/>
  <c r="AE184" i="8"/>
  <c r="AE245" i="8"/>
  <c r="AE286" i="8"/>
  <c r="AE350" i="8"/>
  <c r="AE267" i="8"/>
  <c r="AE331" i="8"/>
  <c r="AE195" i="8"/>
  <c r="AE215" i="8"/>
  <c r="AE280" i="8"/>
  <c r="AE344" i="8"/>
  <c r="AE218" i="8"/>
  <c r="AE269" i="8"/>
  <c r="AE333" i="8"/>
  <c r="AE167" i="8"/>
  <c r="AE165" i="8"/>
  <c r="AE287" i="8"/>
  <c r="AE227" i="8"/>
  <c r="AE300" i="8"/>
  <c r="AE364" i="8"/>
  <c r="AE428" i="8"/>
  <c r="AE455" i="8"/>
  <c r="AE482" i="8"/>
  <c r="AE546" i="8"/>
  <c r="AE610" i="8"/>
  <c r="AE394" i="8"/>
  <c r="AE426" i="8"/>
  <c r="AE495" i="8"/>
  <c r="AE559" i="8"/>
  <c r="AE55" i="8"/>
  <c r="AE135" i="8"/>
  <c r="AE151" i="8"/>
  <c r="AE84" i="8"/>
  <c r="AE140" i="8"/>
  <c r="AE196" i="8"/>
  <c r="AE236" i="8"/>
  <c r="AE281" i="8"/>
  <c r="AE345" i="8"/>
  <c r="AE247" i="8"/>
  <c r="AE262" i="8"/>
  <c r="AE326" i="8"/>
  <c r="AE390" i="8"/>
  <c r="AE197" i="8"/>
  <c r="AE307" i="8"/>
  <c r="AE256" i="8"/>
  <c r="AE320" i="8"/>
  <c r="AE309" i="8"/>
  <c r="AE211" i="8"/>
  <c r="AE231" i="8"/>
  <c r="AE290" i="8"/>
  <c r="AE229" i="8"/>
  <c r="AE263" i="8"/>
  <c r="AE168" i="8"/>
  <c r="AE276" i="8"/>
  <c r="AE340" i="8"/>
  <c r="AE404" i="8"/>
  <c r="AE322" i="8"/>
  <c r="AE376" i="8"/>
  <c r="AE413" i="8"/>
  <c r="AE457" i="8"/>
  <c r="AE522" i="8"/>
  <c r="AE586" i="8"/>
  <c r="AE471" i="8"/>
  <c r="AE535" i="8"/>
  <c r="AE599" i="8"/>
  <c r="AE330" i="8"/>
  <c r="AE430" i="8"/>
  <c r="AE524" i="8"/>
  <c r="AE588" i="8"/>
  <c r="AE432" i="8"/>
  <c r="AE513" i="8"/>
  <c r="AE577" i="8"/>
  <c r="AE71" i="8"/>
  <c r="AE87" i="8"/>
  <c r="AE252" i="8"/>
  <c r="AE176" i="8"/>
  <c r="AE240" i="8"/>
  <c r="AE257" i="8"/>
  <c r="AE321" i="8"/>
  <c r="AE385" i="8"/>
  <c r="AE189" i="8"/>
  <c r="AE302" i="8"/>
  <c r="AE366" i="8"/>
  <c r="AE283" i="8"/>
  <c r="AE200" i="8"/>
  <c r="AE296" i="8"/>
  <c r="AE203" i="8"/>
  <c r="AE223" i="8"/>
  <c r="AE285" i="8"/>
  <c r="AE266" i="8"/>
  <c r="AE170" i="8"/>
  <c r="AE303" i="8"/>
  <c r="AE232" i="8"/>
  <c r="AE251" i="8"/>
  <c r="AE316" i="8"/>
  <c r="AE380" i="8"/>
  <c r="AE444" i="8"/>
  <c r="AE498" i="8"/>
  <c r="AE562" i="8"/>
  <c r="AE379" i="8"/>
  <c r="AE399" i="8"/>
  <c r="AE415" i="8"/>
  <c r="AE459" i="8"/>
  <c r="AE511" i="8"/>
  <c r="AE575" i="8"/>
  <c r="AE402" i="8"/>
  <c r="AE461" i="8"/>
  <c r="AE500" i="8"/>
  <c r="AE397" i="8"/>
  <c r="AE564" i="8"/>
  <c r="AE481" i="8"/>
  <c r="AE529" i="8"/>
  <c r="AE601" i="8"/>
  <c r="AE403" i="8"/>
  <c r="AE526" i="8"/>
  <c r="AE362" i="8"/>
  <c r="AE447" i="8"/>
  <c r="AE475" i="8"/>
  <c r="AE539" i="8"/>
  <c r="AE429" i="8"/>
  <c r="AE472" i="8"/>
  <c r="AE536" i="8"/>
  <c r="AE442" i="8"/>
  <c r="AE509" i="8"/>
  <c r="AE573" i="8"/>
  <c r="AE637" i="8"/>
  <c r="AE701" i="8"/>
  <c r="AE606" i="8"/>
  <c r="AE702" i="8"/>
  <c r="AE730" i="8"/>
  <c r="AE794" i="8"/>
  <c r="AE858" i="8"/>
  <c r="AE751" i="8"/>
  <c r="AE815" i="8"/>
  <c r="AE879" i="8"/>
  <c r="AE600" i="8"/>
  <c r="AE655" i="8"/>
  <c r="AE740" i="8"/>
  <c r="AE568" i="8"/>
  <c r="AE604" i="8"/>
  <c r="AE657" i="8"/>
  <c r="AE729" i="8"/>
  <c r="AE620" i="8"/>
  <c r="AE681" i="8"/>
  <c r="AE750" i="8"/>
  <c r="AE611" i="8"/>
  <c r="AE631" i="8"/>
  <c r="AE705" i="8"/>
  <c r="AE707" i="8"/>
  <c r="AE656" i="8"/>
  <c r="AE700" i="8"/>
  <c r="AE741" i="8"/>
  <c r="AE805" i="8"/>
  <c r="AE869" i="8"/>
  <c r="AE795" i="8"/>
  <c r="AE993" i="8"/>
  <c r="AE1057" i="8"/>
  <c r="AE782" i="8"/>
  <c r="AE803" i="8"/>
  <c r="AE998" i="8"/>
  <c r="AE1062" i="8"/>
  <c r="AE811" i="8"/>
  <c r="AE891" i="8"/>
  <c r="AE939" i="8"/>
  <c r="AE1003" i="8"/>
  <c r="AE1067" i="8"/>
  <c r="AE868" i="8"/>
  <c r="AE904" i="8"/>
  <c r="AE921" i="8"/>
  <c r="AE1000" i="8"/>
  <c r="AE1064" i="8"/>
  <c r="AE827" i="8"/>
  <c r="AE949" i="8"/>
  <c r="AE1013" i="8"/>
  <c r="AE830" i="8"/>
  <c r="AE1002" i="8"/>
  <c r="AE1066" i="8"/>
  <c r="AE833" i="8"/>
  <c r="AE991" i="8"/>
  <c r="AE1055" i="8"/>
  <c r="AE836" i="8"/>
  <c r="AE856" i="8"/>
  <c r="AE980" i="8"/>
  <c r="AE1044" i="8"/>
  <c r="AE548" i="8"/>
  <c r="AE400" i="8"/>
  <c r="AE454" i="8"/>
  <c r="AE497" i="8"/>
  <c r="AE338" i="8"/>
  <c r="AE434" i="8"/>
  <c r="AE502" i="8"/>
  <c r="AE566" i="8"/>
  <c r="AE343" i="8"/>
  <c r="AE405" i="8"/>
  <c r="AE449" i="8"/>
  <c r="AE515" i="8"/>
  <c r="AE360" i="8"/>
  <c r="AE512" i="8"/>
  <c r="AE327" i="8"/>
  <c r="AE378" i="8"/>
  <c r="AE485" i="8"/>
  <c r="AE549" i="8"/>
  <c r="AE613" i="8"/>
  <c r="AE677" i="8"/>
  <c r="AE579" i="8"/>
  <c r="AE660" i="8"/>
  <c r="AE770" i="8"/>
  <c r="AE834" i="8"/>
  <c r="AE560" i="8"/>
  <c r="AE640" i="8"/>
  <c r="AE684" i="8"/>
  <c r="AE727" i="8"/>
  <c r="AE791" i="8"/>
  <c r="AE855" i="8"/>
  <c r="AE919" i="8"/>
  <c r="AE626" i="8"/>
  <c r="AE686" i="8"/>
  <c r="AE780" i="8"/>
  <c r="AE688" i="8"/>
  <c r="AE769" i="8"/>
  <c r="AE598" i="8"/>
  <c r="AE639" i="8"/>
  <c r="AE712" i="8"/>
  <c r="AE726" i="8"/>
  <c r="AE587" i="8"/>
  <c r="AE663" i="8"/>
  <c r="AE747" i="8"/>
  <c r="AE665" i="8"/>
  <c r="AE736" i="8"/>
  <c r="AE658" i="8"/>
  <c r="AE781" i="8"/>
  <c r="AE845" i="8"/>
  <c r="AE909" i="8"/>
  <c r="AE771" i="8"/>
  <c r="AE859" i="8"/>
  <c r="AE897" i="8"/>
  <c r="AE914" i="8"/>
  <c r="AE969" i="8"/>
  <c r="AE1033" i="8"/>
  <c r="AE867" i="8"/>
  <c r="AE974" i="8"/>
  <c r="AE1038" i="8"/>
  <c r="AE875" i="8"/>
  <c r="AE979" i="8"/>
  <c r="AE1043" i="8"/>
  <c r="AE809" i="8"/>
  <c r="AE976" i="8"/>
  <c r="AE1040" i="8"/>
  <c r="AE923" i="8"/>
  <c r="AE989" i="8"/>
  <c r="AE1053" i="8"/>
  <c r="AE892" i="8"/>
  <c r="AE925" i="8"/>
  <c r="AE978" i="8"/>
  <c r="AE1042" i="8"/>
  <c r="AE763" i="8"/>
  <c r="AE967" i="8"/>
  <c r="AE1031" i="8"/>
  <c r="AE956" i="8"/>
  <c r="AE1020" i="8"/>
  <c r="AE532" i="8"/>
  <c r="AE421" i="8"/>
  <c r="AE545" i="8"/>
  <c r="AE617" i="8"/>
  <c r="AE478" i="8"/>
  <c r="AE542" i="8"/>
  <c r="AE347" i="8"/>
  <c r="AE367" i="8"/>
  <c r="AE491" i="8"/>
  <c r="AE418" i="8"/>
  <c r="AE462" i="8"/>
  <c r="AE488" i="8"/>
  <c r="AE431" i="8"/>
  <c r="AE525" i="8"/>
  <c r="AE589" i="8"/>
  <c r="AE653" i="8"/>
  <c r="AE717" i="8"/>
  <c r="AE584" i="8"/>
  <c r="AE691" i="8"/>
  <c r="AE746" i="8"/>
  <c r="AE810" i="8"/>
  <c r="AE874" i="8"/>
  <c r="AE603" i="8"/>
  <c r="AE642" i="8"/>
  <c r="AE715" i="8"/>
  <c r="AE767" i="8"/>
  <c r="AE831" i="8"/>
  <c r="AE895" i="8"/>
  <c r="AE628" i="8"/>
  <c r="AE644" i="8"/>
  <c r="AE756" i="8"/>
  <c r="AE646" i="8"/>
  <c r="AE690" i="8"/>
  <c r="AE745" i="8"/>
  <c r="AE563" i="8"/>
  <c r="AE670" i="8"/>
  <c r="AE714" i="8"/>
  <c r="AE766" i="8"/>
  <c r="AE694" i="8"/>
  <c r="AE723" i="8"/>
  <c r="AE696" i="8"/>
  <c r="AE689" i="8"/>
  <c r="AE757" i="8"/>
  <c r="AE821" i="8"/>
  <c r="AE885" i="8"/>
  <c r="AE800" i="8"/>
  <c r="AE882" i="8"/>
  <c r="AE899" i="8"/>
  <c r="AE945" i="8"/>
  <c r="AE1009" i="8"/>
  <c r="AE1073" i="8"/>
  <c r="AE788" i="8"/>
  <c r="AE808" i="8"/>
  <c r="AE937" i="8"/>
  <c r="AE950" i="8"/>
  <c r="AE1014" i="8"/>
  <c r="AE796" i="8"/>
  <c r="AE816" i="8"/>
  <c r="AE928" i="8"/>
  <c r="AE955" i="8"/>
  <c r="AE1019" i="8"/>
  <c r="AE873" i="8"/>
  <c r="AE952" i="8"/>
  <c r="AE1016" i="8"/>
  <c r="AE812" i="8"/>
  <c r="AE832" i="8"/>
  <c r="AE965" i="8"/>
  <c r="AE1029" i="8"/>
  <c r="AE835" i="8"/>
  <c r="AE894" i="8"/>
  <c r="AE954" i="8"/>
  <c r="AE1018" i="8"/>
  <c r="AE838" i="8"/>
  <c r="AE929" i="8"/>
  <c r="AE943" i="8"/>
  <c r="AE1007" i="8"/>
  <c r="AE1071" i="8"/>
  <c r="AE776" i="8"/>
  <c r="AE841" i="8"/>
  <c r="AE916" i="8"/>
  <c r="AE931" i="8"/>
  <c r="AE996" i="8"/>
  <c r="AE1060" i="8"/>
  <c r="AE439" i="8"/>
  <c r="AE484" i="8"/>
  <c r="AE473" i="8"/>
  <c r="AE561" i="8"/>
  <c r="AE593" i="8"/>
  <c r="AE633" i="8"/>
  <c r="AE423" i="8"/>
  <c r="AE518" i="8"/>
  <c r="AE582" i="8"/>
  <c r="AE438" i="8"/>
  <c r="AE467" i="8"/>
  <c r="AE531" i="8"/>
  <c r="AE365" i="8"/>
  <c r="AE528" i="8"/>
  <c r="AE363" i="8"/>
  <c r="AE383" i="8"/>
  <c r="AE433" i="8"/>
  <c r="AE501" i="8"/>
  <c r="AE565" i="8"/>
  <c r="AE629" i="8"/>
  <c r="AE693" i="8"/>
  <c r="AE634" i="8"/>
  <c r="AE649" i="8"/>
  <c r="AE722" i="8"/>
  <c r="AE786" i="8"/>
  <c r="AE850" i="8"/>
  <c r="AE673" i="8"/>
  <c r="AE743" i="8"/>
  <c r="AE807" i="8"/>
  <c r="AE871" i="8"/>
  <c r="AE935" i="8"/>
  <c r="AE675" i="8"/>
  <c r="AE719" i="8"/>
  <c r="AE732" i="8"/>
  <c r="AE721" i="8"/>
  <c r="AE742" i="8"/>
  <c r="AE595" i="8"/>
  <c r="AE652" i="8"/>
  <c r="AE654" i="8"/>
  <c r="AE698" i="8"/>
  <c r="AE752" i="8"/>
  <c r="AE612" i="8"/>
  <c r="AE647" i="8"/>
  <c r="AE720" i="8"/>
  <c r="AE733" i="8"/>
  <c r="AE797" i="8"/>
  <c r="AE861" i="8"/>
  <c r="AE844" i="8"/>
  <c r="AE864" i="8"/>
  <c r="AE933" i="8"/>
  <c r="AE985" i="8"/>
  <c r="AE1049" i="8"/>
  <c r="AE852" i="8"/>
  <c r="AE872" i="8"/>
  <c r="AE908" i="8"/>
  <c r="AE990" i="8"/>
  <c r="AE1054" i="8"/>
  <c r="AE860" i="8"/>
  <c r="AE880" i="8"/>
  <c r="AE995" i="8"/>
  <c r="AE1059" i="8"/>
  <c r="AE760" i="8"/>
  <c r="AE814" i="8"/>
  <c r="AE992" i="8"/>
  <c r="AE1056" i="8"/>
  <c r="AE876" i="8"/>
  <c r="AE941" i="8"/>
  <c r="AE1005" i="8"/>
  <c r="AE1069" i="8"/>
  <c r="AE768" i="8"/>
  <c r="AE896" i="8"/>
  <c r="AE994" i="8"/>
  <c r="AE1058" i="8"/>
  <c r="AE983" i="8"/>
  <c r="AE1047" i="8"/>
  <c r="AE884" i="8"/>
  <c r="AE918" i="8"/>
  <c r="AE972" i="8"/>
  <c r="AE1036" i="8"/>
  <c r="AE468" i="8"/>
  <c r="AE410" i="8"/>
  <c r="AE443" i="8"/>
  <c r="AE521" i="8"/>
  <c r="AE349" i="8"/>
  <c r="AE425" i="8"/>
  <c r="AE494" i="8"/>
  <c r="AE558" i="8"/>
  <c r="AE352" i="8"/>
  <c r="AE507" i="8"/>
  <c r="AE407" i="8"/>
  <c r="AE451" i="8"/>
  <c r="AE504" i="8"/>
  <c r="AE464" i="8"/>
  <c r="AE477" i="8"/>
  <c r="AE541" i="8"/>
  <c r="AE605" i="8"/>
  <c r="AE669" i="8"/>
  <c r="AE636" i="8"/>
  <c r="AE680" i="8"/>
  <c r="AE762" i="8"/>
  <c r="AE826" i="8"/>
  <c r="AE630" i="8"/>
  <c r="AE704" i="8"/>
  <c r="AE783" i="8"/>
  <c r="AE847" i="8"/>
  <c r="AE911" i="8"/>
  <c r="AE772" i="8"/>
  <c r="AE679" i="8"/>
  <c r="AE761" i="8"/>
  <c r="AE659" i="8"/>
  <c r="AE703" i="8"/>
  <c r="AE683" i="8"/>
  <c r="AE739" i="8"/>
  <c r="AE728" i="8"/>
  <c r="AE678" i="8"/>
  <c r="AE773" i="8"/>
  <c r="AE837" i="8"/>
  <c r="AE901" i="8"/>
  <c r="AE785" i="8"/>
  <c r="AE961" i="8"/>
  <c r="AE1025" i="8"/>
  <c r="AE793" i="8"/>
  <c r="AE910" i="8"/>
  <c r="AE926" i="8"/>
  <c r="AE966" i="8"/>
  <c r="AE1030" i="8"/>
  <c r="AE779" i="8"/>
  <c r="AE801" i="8"/>
  <c r="AE971" i="8"/>
  <c r="AE1035" i="8"/>
  <c r="AE878" i="8"/>
  <c r="AE968" i="8"/>
  <c r="AE1032" i="8"/>
  <c r="AE817" i="8"/>
  <c r="AE913" i="8"/>
  <c r="AE981" i="8"/>
  <c r="AE1045" i="8"/>
  <c r="AE820" i="8"/>
  <c r="AE840" i="8"/>
  <c r="AE970" i="8"/>
  <c r="AE1034" i="8"/>
  <c r="AE843" i="8"/>
  <c r="AE959" i="8"/>
  <c r="AE1023" i="8"/>
  <c r="AE784" i="8"/>
  <c r="AE846" i="8"/>
  <c r="AE886" i="8"/>
  <c r="AE920" i="8"/>
  <c r="AE948" i="8"/>
  <c r="AE1012" i="8"/>
  <c r="AE52" i="8"/>
  <c r="AE463" i="8"/>
  <c r="AE489" i="8"/>
  <c r="AE537" i="8"/>
  <c r="AE609" i="8"/>
  <c r="AE456" i="8"/>
  <c r="AE470" i="8"/>
  <c r="AE534" i="8"/>
  <c r="AE319" i="8"/>
  <c r="AE427" i="8"/>
  <c r="AE483" i="8"/>
  <c r="AE547" i="8"/>
  <c r="AE370" i="8"/>
  <c r="AE409" i="8"/>
  <c r="AE480" i="8"/>
  <c r="AE544" i="8"/>
  <c r="AE368" i="8"/>
  <c r="AE422" i="8"/>
  <c r="AE517" i="8"/>
  <c r="AE581" i="8"/>
  <c r="AE645" i="8"/>
  <c r="AE709" i="8"/>
  <c r="AE638" i="8"/>
  <c r="AE682" i="8"/>
  <c r="AE738" i="8"/>
  <c r="AE802" i="8"/>
  <c r="AE866" i="8"/>
  <c r="AE632" i="8"/>
  <c r="AE662" i="8"/>
  <c r="AE706" i="8"/>
  <c r="AE759" i="8"/>
  <c r="AE823" i="8"/>
  <c r="AE887" i="8"/>
  <c r="AE590" i="8"/>
  <c r="AE616" i="8"/>
  <c r="AE664" i="8"/>
  <c r="AE708" i="8"/>
  <c r="AE748" i="8"/>
  <c r="AE710" i="8"/>
  <c r="AE737" i="8"/>
  <c r="AE758" i="8"/>
  <c r="AE641" i="8"/>
  <c r="AE571" i="8"/>
  <c r="AE627" i="8"/>
  <c r="AE643" i="8"/>
  <c r="AE687" i="8"/>
  <c r="AE592" i="8"/>
  <c r="AE749" i="8"/>
  <c r="AE813" i="8"/>
  <c r="AE877" i="8"/>
  <c r="AE849" i="8"/>
  <c r="AE922" i="8"/>
  <c r="AE1001" i="8"/>
  <c r="AE1065" i="8"/>
  <c r="AE857" i="8"/>
  <c r="AE912" i="8"/>
  <c r="AE942" i="8"/>
  <c r="AE1006" i="8"/>
  <c r="AE1070" i="8"/>
  <c r="AE865" i="8"/>
  <c r="AE947" i="8"/>
  <c r="AE1011" i="8"/>
  <c r="AE1075" i="8"/>
  <c r="AE819" i="8"/>
  <c r="AE930" i="8"/>
  <c r="AE944" i="8"/>
  <c r="AE1008" i="8"/>
  <c r="AE1072" i="8"/>
  <c r="AE881" i="8"/>
  <c r="AE898" i="8"/>
  <c r="AE915" i="8"/>
  <c r="AE957" i="8"/>
  <c r="AE1021" i="8"/>
  <c r="AE946" i="8"/>
  <c r="AE1010" i="8"/>
  <c r="AE1074" i="8"/>
  <c r="AE999" i="8"/>
  <c r="AE1063" i="8"/>
  <c r="AE787" i="8"/>
  <c r="AE888" i="8"/>
  <c r="AE988" i="8"/>
  <c r="AE1052" i="8"/>
  <c r="AE465" i="8"/>
  <c r="AE354" i="8"/>
  <c r="AE414" i="8"/>
  <c r="AE510" i="8"/>
  <c r="AE574" i="8"/>
  <c r="AE357" i="8"/>
  <c r="AE458" i="8"/>
  <c r="AE523" i="8"/>
  <c r="AE314" i="8"/>
  <c r="AE440" i="8"/>
  <c r="AE520" i="8"/>
  <c r="AE453" i="8"/>
  <c r="AE493" i="8"/>
  <c r="AE557" i="8"/>
  <c r="AE621" i="8"/>
  <c r="AE685" i="8"/>
  <c r="AE713" i="8"/>
  <c r="AE778" i="8"/>
  <c r="AE842" i="8"/>
  <c r="AE735" i="8"/>
  <c r="AE799" i="8"/>
  <c r="AE863" i="8"/>
  <c r="AE927" i="8"/>
  <c r="AE666" i="8"/>
  <c r="AE724" i="8"/>
  <c r="AE622" i="8"/>
  <c r="AE668" i="8"/>
  <c r="AE777" i="8"/>
  <c r="AE614" i="8"/>
  <c r="AE648" i="8"/>
  <c r="AE692" i="8"/>
  <c r="AE734" i="8"/>
  <c r="AE672" i="8"/>
  <c r="AE716" i="8"/>
  <c r="AE755" i="8"/>
  <c r="AE608" i="8"/>
  <c r="AE718" i="8"/>
  <c r="AE744" i="8"/>
  <c r="AE552" i="8"/>
  <c r="AE596" i="8"/>
  <c r="AE667" i="8"/>
  <c r="AE711" i="8"/>
  <c r="AE725" i="8"/>
  <c r="AE789" i="8"/>
  <c r="AE853" i="8"/>
  <c r="AE917" i="8"/>
  <c r="AE790" i="8"/>
  <c r="AE924" i="8"/>
  <c r="AE977" i="8"/>
  <c r="AE1041" i="8"/>
  <c r="AE798" i="8"/>
  <c r="AE982" i="8"/>
  <c r="AE1046" i="8"/>
  <c r="AE806" i="8"/>
  <c r="AE987" i="8"/>
  <c r="AE1051" i="8"/>
  <c r="AE900" i="8"/>
  <c r="AE932" i="8"/>
  <c r="AE984" i="8"/>
  <c r="AE1048" i="8"/>
  <c r="AE822" i="8"/>
  <c r="AE883" i="8"/>
  <c r="AE997" i="8"/>
  <c r="AE1061" i="8"/>
  <c r="AE825" i="8"/>
  <c r="AE986" i="8"/>
  <c r="AE1050" i="8"/>
  <c r="AE828" i="8"/>
  <c r="AE848" i="8"/>
  <c r="AE905" i="8"/>
  <c r="AE975" i="8"/>
  <c r="AE1039" i="8"/>
  <c r="AE851" i="8"/>
  <c r="AE964" i="8"/>
  <c r="AE1028" i="8"/>
  <c r="AE392" i="8"/>
  <c r="AE346" i="8"/>
  <c r="AE395" i="8"/>
  <c r="AE553" i="8"/>
  <c r="AE585" i="8"/>
  <c r="AE625" i="8"/>
  <c r="AE359" i="8"/>
  <c r="AE445" i="8"/>
  <c r="AE486" i="8"/>
  <c r="AE550" i="8"/>
  <c r="AE416" i="8"/>
  <c r="AE499" i="8"/>
  <c r="AE355" i="8"/>
  <c r="AE375" i="8"/>
  <c r="AE496" i="8"/>
  <c r="AE373" i="8"/>
  <c r="AE411" i="8"/>
  <c r="AE469" i="8"/>
  <c r="AE533" i="8"/>
  <c r="AE597" i="8"/>
  <c r="AE661" i="8"/>
  <c r="AE671" i="8"/>
  <c r="AE754" i="8"/>
  <c r="AE818" i="8"/>
  <c r="AE619" i="8"/>
  <c r="AE651" i="8"/>
  <c r="AE695" i="8"/>
  <c r="AE775" i="8"/>
  <c r="AE839" i="8"/>
  <c r="AE903" i="8"/>
  <c r="AE555" i="8"/>
  <c r="AE697" i="8"/>
  <c r="AE764" i="8"/>
  <c r="AE624" i="8"/>
  <c r="AE699" i="8"/>
  <c r="AE753" i="8"/>
  <c r="AE635" i="8"/>
  <c r="AE650" i="8"/>
  <c r="AE774" i="8"/>
  <c r="AE576" i="8"/>
  <c r="AE674" i="8"/>
  <c r="AE731" i="8"/>
  <c r="AE676" i="8"/>
  <c r="AE623" i="8"/>
  <c r="AE765" i="8"/>
  <c r="AE829" i="8"/>
  <c r="AE893" i="8"/>
  <c r="AE854" i="8"/>
  <c r="AE953" i="8"/>
  <c r="AE1017" i="8"/>
  <c r="AE862" i="8"/>
  <c r="AE958" i="8"/>
  <c r="AE1022" i="8"/>
  <c r="AE870" i="8"/>
  <c r="AE889" i="8"/>
  <c r="AE906" i="8"/>
  <c r="AE963" i="8"/>
  <c r="AE1027" i="8"/>
  <c r="AE804" i="8"/>
  <c r="AE824" i="8"/>
  <c r="AE902" i="8"/>
  <c r="AE960" i="8"/>
  <c r="AE1024" i="8"/>
  <c r="AE934" i="8"/>
  <c r="AE973" i="8"/>
  <c r="AE1037" i="8"/>
  <c r="AE936" i="8"/>
  <c r="AE962" i="8"/>
  <c r="AE1026" i="8"/>
  <c r="AE890" i="8"/>
  <c r="AE907" i="8"/>
  <c r="AE938" i="8"/>
  <c r="AE951" i="8"/>
  <c r="AE1015" i="8"/>
  <c r="AE792" i="8"/>
  <c r="AE940" i="8"/>
  <c r="AE1004" i="8"/>
  <c r="AE1068" i="8"/>
  <c r="AF60" i="8" l="1"/>
  <c r="AG60" i="8" s="1"/>
  <c r="AI60" i="8" s="1"/>
  <c r="AF124" i="8"/>
  <c r="AG124" i="8" s="1"/>
  <c r="AI124" i="8" s="1"/>
  <c r="AF188" i="8"/>
  <c r="AG188" i="8" s="1"/>
  <c r="AI188" i="8" s="1"/>
  <c r="AF81" i="8"/>
  <c r="AG81" i="8" s="1"/>
  <c r="AI81" i="8" s="1"/>
  <c r="AF145" i="8"/>
  <c r="AF209" i="8"/>
  <c r="AG209" i="8" s="1"/>
  <c r="AI209" i="8" s="1"/>
  <c r="AF78" i="8"/>
  <c r="AG78" i="8" s="1"/>
  <c r="AI78" i="8" s="1"/>
  <c r="AF142" i="8"/>
  <c r="AG142" i="8" s="1"/>
  <c r="AI142" i="8" s="1"/>
  <c r="AF115" i="8"/>
  <c r="AG115" i="8" s="1"/>
  <c r="AI115" i="8" s="1"/>
  <c r="AF88" i="8"/>
  <c r="AG88" i="8" s="1"/>
  <c r="AI88" i="8" s="1"/>
  <c r="AF152" i="8"/>
  <c r="AF100" i="8"/>
  <c r="AF164" i="8"/>
  <c r="AG164" i="8" s="1"/>
  <c r="AI164" i="8" s="1"/>
  <c r="AF228" i="8"/>
  <c r="AG228" i="8" s="1"/>
  <c r="AI228" i="8" s="1"/>
  <c r="AF57" i="8"/>
  <c r="AG57" i="8" s="1"/>
  <c r="AI57" i="8" s="1"/>
  <c r="AF121" i="8"/>
  <c r="AG121" i="8" s="1"/>
  <c r="AI121" i="8" s="1"/>
  <c r="AF185" i="8"/>
  <c r="AG185" i="8" s="1"/>
  <c r="AI185" i="8" s="1"/>
  <c r="AF249" i="8"/>
  <c r="AG249" i="8" s="1"/>
  <c r="AI249" i="8" s="1"/>
  <c r="AF54" i="8"/>
  <c r="AG54" i="8" s="1"/>
  <c r="AI54" i="8" s="1"/>
  <c r="AF118" i="8"/>
  <c r="AG118" i="8" s="1"/>
  <c r="AI118" i="8" s="1"/>
  <c r="AF91" i="8"/>
  <c r="AF155" i="8"/>
  <c r="AG155" i="8" s="1"/>
  <c r="AI155" i="8" s="1"/>
  <c r="AF64" i="8"/>
  <c r="AG64" i="8" s="1"/>
  <c r="AI64" i="8" s="1"/>
  <c r="AF128" i="8"/>
  <c r="AG128" i="8" s="1"/>
  <c r="AI128" i="8" s="1"/>
  <c r="AF53" i="8"/>
  <c r="AG53" i="8" s="1"/>
  <c r="AI53" i="8" s="1"/>
  <c r="AF117" i="8"/>
  <c r="AG117" i="8" s="1"/>
  <c r="AI117" i="8" s="1"/>
  <c r="AF82" i="8"/>
  <c r="AG82" i="8" s="1"/>
  <c r="AI82" i="8" s="1"/>
  <c r="AF146" i="8"/>
  <c r="AG146" i="8" s="1"/>
  <c r="AI146" i="8" s="1"/>
  <c r="AF103" i="8"/>
  <c r="AG103" i="8" s="1"/>
  <c r="AI103" i="8" s="1"/>
  <c r="AF167" i="8"/>
  <c r="AG167" i="8" s="1"/>
  <c r="AI167" i="8" s="1"/>
  <c r="AF231" i="8"/>
  <c r="AG231" i="8" s="1"/>
  <c r="AI231" i="8" s="1"/>
  <c r="AF157" i="8"/>
  <c r="AG157" i="8" s="1"/>
  <c r="AI157" i="8" s="1"/>
  <c r="AF76" i="8"/>
  <c r="AG76" i="8" s="1"/>
  <c r="AI76" i="8" s="1"/>
  <c r="AF140" i="8"/>
  <c r="AG140" i="8" s="1"/>
  <c r="AI140" i="8" s="1"/>
  <c r="AF204" i="8"/>
  <c r="AG204" i="8" s="1"/>
  <c r="AI204" i="8" s="1"/>
  <c r="AF97" i="8"/>
  <c r="AF161" i="8"/>
  <c r="AF225" i="8"/>
  <c r="AG225" i="8" s="1"/>
  <c r="AI225" i="8" s="1"/>
  <c r="AF94" i="8"/>
  <c r="AG94" i="8" s="1"/>
  <c r="AI94" i="8" s="1"/>
  <c r="AF158" i="8"/>
  <c r="AG158" i="8" s="1"/>
  <c r="AI158" i="8" s="1"/>
  <c r="AF67" i="8"/>
  <c r="AG67" i="8" s="1"/>
  <c r="AI67" i="8" s="1"/>
  <c r="AF131" i="8"/>
  <c r="AG131" i="8" s="1"/>
  <c r="AI131" i="8" s="1"/>
  <c r="AF104" i="8"/>
  <c r="AG104" i="8" s="1"/>
  <c r="AI104" i="8" s="1"/>
  <c r="AF93" i="8"/>
  <c r="AG93" i="8" s="1"/>
  <c r="AI93" i="8" s="1"/>
  <c r="AF116" i="8"/>
  <c r="AG116" i="8" s="1"/>
  <c r="AI116" i="8" s="1"/>
  <c r="AF180" i="8"/>
  <c r="AG180" i="8" s="1"/>
  <c r="AI180" i="8" s="1"/>
  <c r="AF73" i="8"/>
  <c r="AG73" i="8" s="1"/>
  <c r="AI73" i="8" s="1"/>
  <c r="AF137" i="8"/>
  <c r="AG137" i="8" s="1"/>
  <c r="AI137" i="8" s="1"/>
  <c r="AF201" i="8"/>
  <c r="AG201" i="8" s="1"/>
  <c r="AI201" i="8" s="1"/>
  <c r="AF70" i="8"/>
  <c r="AG70" i="8" s="1"/>
  <c r="AI70" i="8" s="1"/>
  <c r="AF134" i="8"/>
  <c r="AG134" i="8" s="1"/>
  <c r="AI134" i="8" s="1"/>
  <c r="AF107" i="8"/>
  <c r="AG107" i="8" s="1"/>
  <c r="AI107" i="8" s="1"/>
  <c r="AF80" i="8"/>
  <c r="AG80" i="8" s="1"/>
  <c r="AI80" i="8" s="1"/>
  <c r="AF144" i="8"/>
  <c r="AF92" i="8"/>
  <c r="AG92" i="8" s="1"/>
  <c r="AI92" i="8" s="1"/>
  <c r="AF156" i="8"/>
  <c r="AF220" i="8"/>
  <c r="AG220" i="8" s="1"/>
  <c r="AI220" i="8" s="1"/>
  <c r="AF113" i="8"/>
  <c r="AG113" i="8" s="1"/>
  <c r="AI113" i="8" s="1"/>
  <c r="AF177" i="8"/>
  <c r="AG177" i="8" s="1"/>
  <c r="AI177" i="8" s="1"/>
  <c r="AF241" i="8"/>
  <c r="AF110" i="8"/>
  <c r="AG110" i="8" s="1"/>
  <c r="AI110" i="8" s="1"/>
  <c r="AF83" i="8"/>
  <c r="AG83" i="8" s="1"/>
  <c r="AI83" i="8" s="1"/>
  <c r="AF147" i="8"/>
  <c r="AG147" i="8" s="1"/>
  <c r="AI147" i="8" s="1"/>
  <c r="AF56" i="8"/>
  <c r="AG56" i="8" s="1"/>
  <c r="AI56" i="8" s="1"/>
  <c r="AF120" i="8"/>
  <c r="AG120" i="8" s="1"/>
  <c r="AI120" i="8" s="1"/>
  <c r="AF109" i="8"/>
  <c r="AG109" i="8" s="1"/>
  <c r="AI109" i="8" s="1"/>
  <c r="AF68" i="8"/>
  <c r="AG68" i="8" s="1"/>
  <c r="AI68" i="8" s="1"/>
  <c r="AF132" i="8"/>
  <c r="AF196" i="8"/>
  <c r="AG196" i="8" s="1"/>
  <c r="AI196" i="8" s="1"/>
  <c r="AF89" i="8"/>
  <c r="AG89" i="8" s="1"/>
  <c r="AI89" i="8" s="1"/>
  <c r="AF153" i="8"/>
  <c r="AF217" i="8"/>
  <c r="AG217" i="8" s="1"/>
  <c r="AI217" i="8" s="1"/>
  <c r="AF86" i="8"/>
  <c r="AG86" i="8" s="1"/>
  <c r="AI86" i="8" s="1"/>
  <c r="AF150" i="8"/>
  <c r="AG150" i="8" s="1"/>
  <c r="AI150" i="8" s="1"/>
  <c r="AF59" i="8"/>
  <c r="AG59" i="8" s="1"/>
  <c r="AI59" i="8" s="1"/>
  <c r="AF123" i="8"/>
  <c r="AF96" i="8"/>
  <c r="AF160" i="8"/>
  <c r="AG160" i="8" s="1"/>
  <c r="AI160" i="8" s="1"/>
  <c r="AF108" i="8"/>
  <c r="AG108" i="8" s="1"/>
  <c r="AI108" i="8" s="1"/>
  <c r="AF172" i="8"/>
  <c r="AG172" i="8" s="1"/>
  <c r="AI172" i="8" s="1"/>
  <c r="AF236" i="8"/>
  <c r="AG236" i="8" s="1"/>
  <c r="AI236" i="8" s="1"/>
  <c r="AF65" i="8"/>
  <c r="AG65" i="8" s="1"/>
  <c r="AI65" i="8" s="1"/>
  <c r="AF129" i="8"/>
  <c r="AG129" i="8" s="1"/>
  <c r="AI129" i="8" s="1"/>
  <c r="AF193" i="8"/>
  <c r="AG193" i="8" s="1"/>
  <c r="AI193" i="8" s="1"/>
  <c r="AF62" i="8"/>
  <c r="AG62" i="8" s="1"/>
  <c r="AI62" i="8" s="1"/>
  <c r="AF126" i="8"/>
  <c r="AG126" i="8" s="1"/>
  <c r="AI126" i="8" s="1"/>
  <c r="AF99" i="8"/>
  <c r="AG99" i="8" s="1"/>
  <c r="AI99" i="8" s="1"/>
  <c r="AF163" i="8"/>
  <c r="AG163" i="8" s="1"/>
  <c r="AI163" i="8" s="1"/>
  <c r="AF72" i="8"/>
  <c r="AG72" i="8" s="1"/>
  <c r="AI72" i="8" s="1"/>
  <c r="AF136" i="8"/>
  <c r="AG136" i="8" s="1"/>
  <c r="AI136" i="8" s="1"/>
  <c r="AF61" i="8"/>
  <c r="AG61" i="8" s="1"/>
  <c r="AI61" i="8" s="1"/>
  <c r="AF125" i="8"/>
  <c r="AG125" i="8" s="1"/>
  <c r="AI125" i="8" s="1"/>
  <c r="AF90" i="8"/>
  <c r="AG90" i="8" s="1"/>
  <c r="AI90" i="8" s="1"/>
  <c r="AF154" i="8"/>
  <c r="AG154" i="8" s="1"/>
  <c r="AI154" i="8" s="1"/>
  <c r="AF84" i="8"/>
  <c r="AG84" i="8" s="1"/>
  <c r="AI84" i="8" s="1"/>
  <c r="AF148" i="8"/>
  <c r="AG148" i="8" s="1"/>
  <c r="AI148" i="8" s="1"/>
  <c r="AF212" i="8"/>
  <c r="AG212" i="8" s="1"/>
  <c r="AI212" i="8" s="1"/>
  <c r="AF105" i="8"/>
  <c r="AF169" i="8"/>
  <c r="AF233" i="8"/>
  <c r="AG233" i="8" s="1"/>
  <c r="AI233" i="8" s="1"/>
  <c r="AF102" i="8"/>
  <c r="AG102" i="8" s="1"/>
  <c r="AI102" i="8" s="1"/>
  <c r="AF75" i="8"/>
  <c r="AG75" i="8" s="1"/>
  <c r="AI75" i="8" s="1"/>
  <c r="AF139" i="8"/>
  <c r="AG139" i="8" s="1"/>
  <c r="AI139" i="8" s="1"/>
  <c r="AF112" i="8"/>
  <c r="AG112" i="8" s="1"/>
  <c r="AI112" i="8" s="1"/>
  <c r="AF101" i="8"/>
  <c r="AG101" i="8" s="1"/>
  <c r="AI101" i="8" s="1"/>
  <c r="AF66" i="8"/>
  <c r="AF130" i="8"/>
  <c r="AG130" i="8" s="1"/>
  <c r="AI130" i="8" s="1"/>
  <c r="AF141" i="8"/>
  <c r="AF58" i="8"/>
  <c r="AG58" i="8" s="1"/>
  <c r="AI58" i="8" s="1"/>
  <c r="AF138" i="8"/>
  <c r="AG138" i="8" s="1"/>
  <c r="AI138" i="8" s="1"/>
  <c r="AF87" i="8"/>
  <c r="AG87" i="8" s="1"/>
  <c r="AI87" i="8" s="1"/>
  <c r="AF143" i="8"/>
  <c r="AG143" i="8" s="1"/>
  <c r="AI143" i="8" s="1"/>
  <c r="AF199" i="8"/>
  <c r="AG199" i="8" s="1"/>
  <c r="AI199" i="8" s="1"/>
  <c r="AF239" i="8"/>
  <c r="AG239" i="8" s="1"/>
  <c r="AI239" i="8" s="1"/>
  <c r="AF178" i="8"/>
  <c r="AG178" i="8" s="1"/>
  <c r="AI178" i="8" s="1"/>
  <c r="AF222" i="8"/>
  <c r="AF242" i="8"/>
  <c r="AG242" i="8" s="1"/>
  <c r="AI242" i="8" s="1"/>
  <c r="AF284" i="8"/>
  <c r="AG284" i="8" s="1"/>
  <c r="AI284" i="8" s="1"/>
  <c r="AF348" i="8"/>
  <c r="AG348" i="8" s="1"/>
  <c r="AI348" i="8" s="1"/>
  <c r="AF171" i="8"/>
  <c r="AF265" i="8"/>
  <c r="AG265" i="8" s="1"/>
  <c r="AI265" i="8" s="1"/>
  <c r="AF329" i="8"/>
  <c r="AG329" i="8" s="1"/>
  <c r="AI329" i="8" s="1"/>
  <c r="AF393" i="8"/>
  <c r="AG393" i="8" s="1"/>
  <c r="AI393" i="8" s="1"/>
  <c r="AF243" i="8"/>
  <c r="AF310" i="8"/>
  <c r="AG310" i="8" s="1"/>
  <c r="AI310" i="8" s="1"/>
  <c r="AF182" i="8"/>
  <c r="AG182" i="8" s="1"/>
  <c r="AI182" i="8" s="1"/>
  <c r="AF202" i="8"/>
  <c r="AG202" i="8" s="1"/>
  <c r="AI202" i="8" s="1"/>
  <c r="AF259" i="8"/>
  <c r="AG259" i="8" s="1"/>
  <c r="AI259" i="8" s="1"/>
  <c r="AF323" i="8"/>
  <c r="AG323" i="8" s="1"/>
  <c r="AI323" i="8" s="1"/>
  <c r="AF205" i="8"/>
  <c r="AG205" i="8" s="1"/>
  <c r="AI205" i="8" s="1"/>
  <c r="AF312" i="8"/>
  <c r="AG312" i="8" s="1"/>
  <c r="AI312" i="8" s="1"/>
  <c r="AF293" i="8"/>
  <c r="AG293" i="8" s="1"/>
  <c r="AI293" i="8" s="1"/>
  <c r="AF266" i="8"/>
  <c r="AG266" i="8" s="1"/>
  <c r="AI266" i="8" s="1"/>
  <c r="AF214" i="8"/>
  <c r="AG214" i="8" s="1"/>
  <c r="AI214" i="8" s="1"/>
  <c r="AF234" i="8"/>
  <c r="AG234" i="8" s="1"/>
  <c r="AI234" i="8" s="1"/>
  <c r="AF279" i="8"/>
  <c r="AG279" i="8" s="1"/>
  <c r="AI279" i="8" s="1"/>
  <c r="AF343" i="8"/>
  <c r="AG343" i="8" s="1"/>
  <c r="AI343" i="8" s="1"/>
  <c r="AF407" i="8"/>
  <c r="AG407" i="8" s="1"/>
  <c r="AI407" i="8" s="1"/>
  <c r="AF525" i="8"/>
  <c r="AG525" i="8" s="1"/>
  <c r="AI525" i="8" s="1"/>
  <c r="AF589" i="8"/>
  <c r="AG589" i="8" s="1"/>
  <c r="AI589" i="8" s="1"/>
  <c r="AF381" i="8"/>
  <c r="AF446" i="8"/>
  <c r="AG446" i="8" s="1"/>
  <c r="AI446" i="8" s="1"/>
  <c r="AF474" i="8"/>
  <c r="AG474" i="8" s="1"/>
  <c r="AI474" i="8" s="1"/>
  <c r="AF538" i="8"/>
  <c r="AG538" i="8" s="1"/>
  <c r="AI538" i="8" s="1"/>
  <c r="AF602" i="8"/>
  <c r="AG602" i="8" s="1"/>
  <c r="AI602" i="8" s="1"/>
  <c r="AF384" i="8"/>
  <c r="AG384" i="8" s="1"/>
  <c r="AI384" i="8" s="1"/>
  <c r="AF448" i="8"/>
  <c r="AG448" i="8" s="1"/>
  <c r="AI448" i="8" s="1"/>
  <c r="AF527" i="8"/>
  <c r="AG527" i="8" s="1"/>
  <c r="AI527" i="8" s="1"/>
  <c r="AF74" i="8"/>
  <c r="AG74" i="8" s="1"/>
  <c r="AI74" i="8" s="1"/>
  <c r="AF255" i="8"/>
  <c r="AG255" i="8" s="1"/>
  <c r="AI255" i="8" s="1"/>
  <c r="AF260" i="8"/>
  <c r="AG260" i="8" s="1"/>
  <c r="AI260" i="8" s="1"/>
  <c r="AF324" i="8"/>
  <c r="AG324" i="8" s="1"/>
  <c r="AI324" i="8" s="1"/>
  <c r="AF388" i="8"/>
  <c r="AG388" i="8" s="1"/>
  <c r="AI388" i="8" s="1"/>
  <c r="AF235" i="8"/>
  <c r="AG235" i="8" s="1"/>
  <c r="AI235" i="8" s="1"/>
  <c r="AF305" i="8"/>
  <c r="AG305" i="8" s="1"/>
  <c r="AI305" i="8" s="1"/>
  <c r="AF369" i="8"/>
  <c r="AG369" i="8" s="1"/>
  <c r="AI369" i="8" s="1"/>
  <c r="AF184" i="8"/>
  <c r="AG184" i="8" s="1"/>
  <c r="AI184" i="8" s="1"/>
  <c r="AF245" i="8"/>
  <c r="AG245" i="8" s="1"/>
  <c r="AI245" i="8" s="1"/>
  <c r="AF286" i="8"/>
  <c r="AG286" i="8" s="1"/>
  <c r="AI286" i="8" s="1"/>
  <c r="AF299" i="8"/>
  <c r="AF288" i="8"/>
  <c r="AG288" i="8" s="1"/>
  <c r="AI288" i="8" s="1"/>
  <c r="AF198" i="8"/>
  <c r="AG198" i="8" s="1"/>
  <c r="AI198" i="8" s="1"/>
  <c r="AF218" i="8"/>
  <c r="AG218" i="8" s="1"/>
  <c r="AI218" i="8" s="1"/>
  <c r="AF269" i="8"/>
  <c r="AG269" i="8" s="1"/>
  <c r="AI269" i="8" s="1"/>
  <c r="AF216" i="8"/>
  <c r="AG216" i="8" s="1"/>
  <c r="AI216" i="8" s="1"/>
  <c r="AF306" i="8"/>
  <c r="AG306" i="8" s="1"/>
  <c r="AI306" i="8" s="1"/>
  <c r="AF319" i="8"/>
  <c r="AG319" i="8" s="1"/>
  <c r="AI319" i="8" s="1"/>
  <c r="AF383" i="8"/>
  <c r="AF447" i="8"/>
  <c r="AG447" i="8" s="1"/>
  <c r="AI447" i="8" s="1"/>
  <c r="AF363" i="8"/>
  <c r="AG363" i="8" s="1"/>
  <c r="AI363" i="8" s="1"/>
  <c r="AF433" i="8"/>
  <c r="AG433" i="8" s="1"/>
  <c r="AI433" i="8" s="1"/>
  <c r="AF501" i="8"/>
  <c r="AG501" i="8" s="1"/>
  <c r="AI501" i="8" s="1"/>
  <c r="AF565" i="8"/>
  <c r="AG565" i="8" s="1"/>
  <c r="AI565" i="8" s="1"/>
  <c r="AF341" i="8"/>
  <c r="AG341" i="8" s="1"/>
  <c r="AI341" i="8" s="1"/>
  <c r="AF404" i="8"/>
  <c r="AG404" i="8" s="1"/>
  <c r="AI404" i="8" s="1"/>
  <c r="AF514" i="8"/>
  <c r="AF578" i="8"/>
  <c r="AG578" i="8" s="1"/>
  <c r="AI578" i="8" s="1"/>
  <c r="AF406" i="8"/>
  <c r="AG406" i="8" s="1"/>
  <c r="AI406" i="8" s="1"/>
  <c r="AF503" i="8"/>
  <c r="AG503" i="8" s="1"/>
  <c r="AI503" i="8" s="1"/>
  <c r="AF567" i="8"/>
  <c r="AG567" i="8" s="1"/>
  <c r="AI567" i="8" s="1"/>
  <c r="AF408" i="8"/>
  <c r="AG408" i="8" s="1"/>
  <c r="AI408" i="8" s="1"/>
  <c r="AF452" i="8"/>
  <c r="AG452" i="8" s="1"/>
  <c r="AI452" i="8" s="1"/>
  <c r="AF492" i="8"/>
  <c r="AG492" i="8" s="1"/>
  <c r="AI492" i="8" s="1"/>
  <c r="AF556" i="8"/>
  <c r="AG556" i="8" s="1"/>
  <c r="AI556" i="8" s="1"/>
  <c r="AF63" i="8"/>
  <c r="AG63" i="8" s="1"/>
  <c r="AI63" i="8" s="1"/>
  <c r="AF119" i="8"/>
  <c r="AG119" i="8" s="1"/>
  <c r="AI119" i="8" s="1"/>
  <c r="AF159" i="8"/>
  <c r="AG159" i="8" s="1"/>
  <c r="AI159" i="8" s="1"/>
  <c r="AF215" i="8"/>
  <c r="AG215" i="8" s="1"/>
  <c r="AI215" i="8" s="1"/>
  <c r="AF162" i="8"/>
  <c r="AG162" i="8" s="1"/>
  <c r="AI162" i="8" s="1"/>
  <c r="AF227" i="8"/>
  <c r="AG227" i="8" s="1"/>
  <c r="AI227" i="8" s="1"/>
  <c r="AF300" i="8"/>
  <c r="AG300" i="8" s="1"/>
  <c r="AI300" i="8" s="1"/>
  <c r="AF364" i="8"/>
  <c r="AG364" i="8" s="1"/>
  <c r="AI364" i="8" s="1"/>
  <c r="AF176" i="8"/>
  <c r="AG176" i="8" s="1"/>
  <c r="AI176" i="8" s="1"/>
  <c r="AF281" i="8"/>
  <c r="AG281" i="8" s="1"/>
  <c r="AI281" i="8" s="1"/>
  <c r="AF345" i="8"/>
  <c r="AG345" i="8" s="1"/>
  <c r="AI345" i="8" s="1"/>
  <c r="AF262" i="8"/>
  <c r="AG262" i="8" s="1"/>
  <c r="AI262" i="8" s="1"/>
  <c r="AF326" i="8"/>
  <c r="AG326" i="8" s="1"/>
  <c r="AI326" i="8" s="1"/>
  <c r="AF187" i="8"/>
  <c r="AG187" i="8" s="1"/>
  <c r="AI187" i="8" s="1"/>
  <c r="AF275" i="8"/>
  <c r="AG275" i="8" s="1"/>
  <c r="AI275" i="8" s="1"/>
  <c r="AF339" i="8"/>
  <c r="AF190" i="8"/>
  <c r="AG190" i="8" s="1"/>
  <c r="AI190" i="8" s="1"/>
  <c r="AF210" i="8"/>
  <c r="AG210" i="8" s="1"/>
  <c r="AI210" i="8" s="1"/>
  <c r="AF264" i="8"/>
  <c r="AF328" i="8"/>
  <c r="AG328" i="8" s="1"/>
  <c r="AI328" i="8" s="1"/>
  <c r="AF309" i="8"/>
  <c r="AF282" i="8"/>
  <c r="AG282" i="8" s="1"/>
  <c r="AI282" i="8" s="1"/>
  <c r="AF219" i="8"/>
  <c r="AG219" i="8" s="1"/>
  <c r="AI219" i="8" s="1"/>
  <c r="AF295" i="8"/>
  <c r="AF359" i="8"/>
  <c r="AG359" i="8" s="1"/>
  <c r="AI359" i="8" s="1"/>
  <c r="AF423" i="8"/>
  <c r="AG423" i="8" s="1"/>
  <c r="AI423" i="8" s="1"/>
  <c r="AF464" i="8"/>
  <c r="AG464" i="8" s="1"/>
  <c r="AI464" i="8" s="1"/>
  <c r="AF477" i="8"/>
  <c r="AG477" i="8" s="1"/>
  <c r="AI477" i="8" s="1"/>
  <c r="AF541" i="8"/>
  <c r="AG541" i="8" s="1"/>
  <c r="AI541" i="8" s="1"/>
  <c r="AF605" i="8"/>
  <c r="AG605" i="8" s="1"/>
  <c r="AI605" i="8" s="1"/>
  <c r="AF366" i="8"/>
  <c r="AG366" i="8" s="1"/>
  <c r="AI366" i="8" s="1"/>
  <c r="AF386" i="8"/>
  <c r="AG386" i="8" s="1"/>
  <c r="AI386" i="8" s="1"/>
  <c r="AF435" i="8"/>
  <c r="AG435" i="8" s="1"/>
  <c r="AI435" i="8" s="1"/>
  <c r="AF490" i="8"/>
  <c r="AG490" i="8" s="1"/>
  <c r="AI490" i="8" s="1"/>
  <c r="AF554" i="8"/>
  <c r="AF618" i="8"/>
  <c r="AG618" i="8" s="1"/>
  <c r="AI618" i="8" s="1"/>
  <c r="AF389" i="8"/>
  <c r="AG389" i="8" s="1"/>
  <c r="AI389" i="8" s="1"/>
  <c r="AF437" i="8"/>
  <c r="AG437" i="8" s="1"/>
  <c r="AI437" i="8" s="1"/>
  <c r="AF479" i="8"/>
  <c r="AG479" i="8" s="1"/>
  <c r="AI479" i="8" s="1"/>
  <c r="AF543" i="8"/>
  <c r="AG543" i="8" s="1"/>
  <c r="AI543" i="8" s="1"/>
  <c r="AF85" i="8"/>
  <c r="AG85" i="8" s="1"/>
  <c r="AI85" i="8" s="1"/>
  <c r="AF98" i="8"/>
  <c r="AG98" i="8" s="1"/>
  <c r="AI98" i="8" s="1"/>
  <c r="AF114" i="8"/>
  <c r="AG114" i="8" s="1"/>
  <c r="AI114" i="8" s="1"/>
  <c r="AF79" i="8"/>
  <c r="AG79" i="8" s="1"/>
  <c r="AI79" i="8" s="1"/>
  <c r="AF135" i="8"/>
  <c r="AG135" i="8" s="1"/>
  <c r="AI135" i="8" s="1"/>
  <c r="AF175" i="8"/>
  <c r="AG175" i="8" s="1"/>
  <c r="AI175" i="8" s="1"/>
  <c r="AF276" i="8"/>
  <c r="AG276" i="8" s="1"/>
  <c r="AI276" i="8" s="1"/>
  <c r="AF340" i="8"/>
  <c r="AF240" i="8"/>
  <c r="AG240" i="8" s="1"/>
  <c r="AI240" i="8" s="1"/>
  <c r="AF257" i="8"/>
  <c r="AF321" i="8"/>
  <c r="AG321" i="8" s="1"/>
  <c r="AI321" i="8" s="1"/>
  <c r="AF385" i="8"/>
  <c r="AG385" i="8" s="1"/>
  <c r="AI385" i="8" s="1"/>
  <c r="AF189" i="8"/>
  <c r="AG189" i="8" s="1"/>
  <c r="AI189" i="8" s="1"/>
  <c r="AF302" i="8"/>
  <c r="AG302" i="8" s="1"/>
  <c r="AI302" i="8" s="1"/>
  <c r="AF315" i="8"/>
  <c r="AG315" i="8" s="1"/>
  <c r="AI315" i="8" s="1"/>
  <c r="AF252" i="8"/>
  <c r="AG252" i="8" s="1"/>
  <c r="AI252" i="8" s="1"/>
  <c r="AF304" i="8"/>
  <c r="AG304" i="8" s="1"/>
  <c r="AI304" i="8" s="1"/>
  <c r="AF203" i="8"/>
  <c r="AG203" i="8" s="1"/>
  <c r="AI203" i="8" s="1"/>
  <c r="AF285" i="8"/>
  <c r="AG285" i="8" s="1"/>
  <c r="AI285" i="8" s="1"/>
  <c r="AF221" i="8"/>
  <c r="AG221" i="8" s="1"/>
  <c r="AI221" i="8" s="1"/>
  <c r="AF258" i="8"/>
  <c r="AG258" i="8" s="1"/>
  <c r="AI258" i="8" s="1"/>
  <c r="AF271" i="8"/>
  <c r="AG271" i="8" s="1"/>
  <c r="AI271" i="8" s="1"/>
  <c r="AF335" i="8"/>
  <c r="AG335" i="8" s="1"/>
  <c r="AI335" i="8" s="1"/>
  <c r="AF399" i="8"/>
  <c r="AG399" i="8" s="1"/>
  <c r="AI399" i="8" s="1"/>
  <c r="AF463" i="8"/>
  <c r="AG463" i="8" s="1"/>
  <c r="AI463" i="8" s="1"/>
  <c r="AF368" i="8"/>
  <c r="AG368" i="8" s="1"/>
  <c r="AI368" i="8" s="1"/>
  <c r="AF422" i="8"/>
  <c r="AF517" i="8"/>
  <c r="AG517" i="8" s="1"/>
  <c r="AI517" i="8" s="1"/>
  <c r="AF581" i="8"/>
  <c r="AG581" i="8" s="1"/>
  <c r="AI581" i="8" s="1"/>
  <c r="AF466" i="8"/>
  <c r="AG466" i="8" s="1"/>
  <c r="AI466" i="8" s="1"/>
  <c r="AF530" i="8"/>
  <c r="AG530" i="8" s="1"/>
  <c r="AI530" i="8" s="1"/>
  <c r="AF594" i="8"/>
  <c r="AG594" i="8" s="1"/>
  <c r="AI594" i="8" s="1"/>
  <c r="AF69" i="8"/>
  <c r="AG69" i="8" s="1"/>
  <c r="AI69" i="8" s="1"/>
  <c r="AF191" i="8"/>
  <c r="AG191" i="8" s="1"/>
  <c r="AI191" i="8" s="1"/>
  <c r="AF247" i="8"/>
  <c r="AF168" i="8"/>
  <c r="AG168" i="8" s="1"/>
  <c r="AI168" i="8" s="1"/>
  <c r="AF232" i="8"/>
  <c r="AG232" i="8" s="1"/>
  <c r="AI232" i="8" s="1"/>
  <c r="AF251" i="8"/>
  <c r="AG251" i="8" s="1"/>
  <c r="AI251" i="8" s="1"/>
  <c r="AF316" i="8"/>
  <c r="AG316" i="8" s="1"/>
  <c r="AI316" i="8" s="1"/>
  <c r="AF380" i="8"/>
  <c r="AG380" i="8" s="1"/>
  <c r="AI380" i="8" s="1"/>
  <c r="AF181" i="8"/>
  <c r="AG181" i="8" s="1"/>
  <c r="AI181" i="8" s="1"/>
  <c r="AF297" i="8"/>
  <c r="AG297" i="8" s="1"/>
  <c r="AI297" i="8" s="1"/>
  <c r="AF361" i="8"/>
  <c r="AG361" i="8" s="1"/>
  <c r="AI361" i="8" s="1"/>
  <c r="AF278" i="8"/>
  <c r="AG278" i="8" s="1"/>
  <c r="AI278" i="8" s="1"/>
  <c r="AF342" i="8"/>
  <c r="AG342" i="8" s="1"/>
  <c r="AI342" i="8" s="1"/>
  <c r="AF192" i="8"/>
  <c r="AG192" i="8" s="1"/>
  <c r="AI192" i="8" s="1"/>
  <c r="AF291" i="8"/>
  <c r="AG291" i="8" s="1"/>
  <c r="AI291" i="8" s="1"/>
  <c r="AF195" i="8"/>
  <c r="AG195" i="8" s="1"/>
  <c r="AI195" i="8" s="1"/>
  <c r="AF280" i="8"/>
  <c r="AG280" i="8" s="1"/>
  <c r="AI280" i="8" s="1"/>
  <c r="AF246" i="8"/>
  <c r="AG246" i="8" s="1"/>
  <c r="AI246" i="8" s="1"/>
  <c r="AF261" i="8"/>
  <c r="AG261" i="8" s="1"/>
  <c r="AI261" i="8" s="1"/>
  <c r="AF244" i="8"/>
  <c r="AG244" i="8" s="1"/>
  <c r="AI244" i="8" s="1"/>
  <c r="AF298" i="8"/>
  <c r="AG298" i="8" s="1"/>
  <c r="AI298" i="8" s="1"/>
  <c r="AF224" i="8"/>
  <c r="AG224" i="8" s="1"/>
  <c r="AI224" i="8" s="1"/>
  <c r="AF311" i="8"/>
  <c r="AG311" i="8" s="1"/>
  <c r="AI311" i="8" s="1"/>
  <c r="AF375" i="8"/>
  <c r="AG375" i="8" s="1"/>
  <c r="AI375" i="8" s="1"/>
  <c r="AF439" i="8"/>
  <c r="AG439" i="8" s="1"/>
  <c r="AI439" i="8" s="1"/>
  <c r="AF453" i="8"/>
  <c r="AG453" i="8" s="1"/>
  <c r="AI453" i="8" s="1"/>
  <c r="AF493" i="8"/>
  <c r="AG493" i="8" s="1"/>
  <c r="AI493" i="8" s="1"/>
  <c r="AF557" i="8"/>
  <c r="AG557" i="8" s="1"/>
  <c r="AI557" i="8" s="1"/>
  <c r="AF371" i="8"/>
  <c r="AF424" i="8"/>
  <c r="AG424" i="8" s="1"/>
  <c r="AI424" i="8" s="1"/>
  <c r="AF506" i="8"/>
  <c r="AG506" i="8" s="1"/>
  <c r="AI506" i="8" s="1"/>
  <c r="AF570" i="8"/>
  <c r="AG570" i="8" s="1"/>
  <c r="AI570" i="8" s="1"/>
  <c r="AF317" i="8"/>
  <c r="AG317" i="8" s="1"/>
  <c r="AI317" i="8" s="1"/>
  <c r="AF374" i="8"/>
  <c r="AG374" i="8" s="1"/>
  <c r="AI374" i="8" s="1"/>
  <c r="AF394" i="8"/>
  <c r="AG394" i="8" s="1"/>
  <c r="AI394" i="8" s="1"/>
  <c r="AF426" i="8"/>
  <c r="AG426" i="8" s="1"/>
  <c r="AI426" i="8" s="1"/>
  <c r="AF495" i="8"/>
  <c r="AG495" i="8" s="1"/>
  <c r="AI495" i="8" s="1"/>
  <c r="AF559" i="8"/>
  <c r="AG559" i="8" s="1"/>
  <c r="AI559" i="8" s="1"/>
  <c r="AF133" i="8"/>
  <c r="AG133" i="8" s="1"/>
  <c r="AI133" i="8" s="1"/>
  <c r="AF55" i="8"/>
  <c r="AF95" i="8"/>
  <c r="AG95" i="8" s="1"/>
  <c r="AI95" i="8" s="1"/>
  <c r="AF151" i="8"/>
  <c r="AG151" i="8" s="1"/>
  <c r="AI151" i="8" s="1"/>
  <c r="AF207" i="8"/>
  <c r="AG207" i="8" s="1"/>
  <c r="AI207" i="8" s="1"/>
  <c r="AF253" i="8"/>
  <c r="AG253" i="8" s="1"/>
  <c r="AI253" i="8" s="1"/>
  <c r="AF292" i="8"/>
  <c r="AG292" i="8" s="1"/>
  <c r="AI292" i="8" s="1"/>
  <c r="AF356" i="8"/>
  <c r="AG356" i="8" s="1"/>
  <c r="AI356" i="8" s="1"/>
  <c r="AF273" i="8"/>
  <c r="AG273" i="8" s="1"/>
  <c r="AI273" i="8" s="1"/>
  <c r="AF337" i="8"/>
  <c r="AG337" i="8" s="1"/>
  <c r="AI337" i="8" s="1"/>
  <c r="AF401" i="8"/>
  <c r="AG401" i="8" s="1"/>
  <c r="AI401" i="8" s="1"/>
  <c r="AF174" i="8"/>
  <c r="AG174" i="8" s="1"/>
  <c r="AI174" i="8" s="1"/>
  <c r="AF194" i="8"/>
  <c r="AG194" i="8" s="1"/>
  <c r="AI194" i="8" s="1"/>
  <c r="AF318" i="8"/>
  <c r="AG318" i="8" s="1"/>
  <c r="AI318" i="8" s="1"/>
  <c r="AF254" i="8"/>
  <c r="AG254" i="8" s="1"/>
  <c r="AI254" i="8" s="1"/>
  <c r="AF267" i="8"/>
  <c r="AG267" i="8" s="1"/>
  <c r="AI267" i="8" s="1"/>
  <c r="AF331" i="8"/>
  <c r="AG331" i="8" s="1"/>
  <c r="AI331" i="8" s="1"/>
  <c r="AF256" i="8"/>
  <c r="AG256" i="8" s="1"/>
  <c r="AI256" i="8" s="1"/>
  <c r="AF320" i="8"/>
  <c r="AG320" i="8" s="1"/>
  <c r="AI320" i="8" s="1"/>
  <c r="AF208" i="8"/>
  <c r="AG208" i="8" s="1"/>
  <c r="AI208" i="8" s="1"/>
  <c r="AF248" i="8"/>
  <c r="AG248" i="8" s="1"/>
  <c r="AI248" i="8" s="1"/>
  <c r="AF301" i="8"/>
  <c r="AG301" i="8" s="1"/>
  <c r="AI301" i="8" s="1"/>
  <c r="AF206" i="8"/>
  <c r="AG206" i="8" s="1"/>
  <c r="AI206" i="8" s="1"/>
  <c r="AF226" i="8"/>
  <c r="AG226" i="8" s="1"/>
  <c r="AI226" i="8" s="1"/>
  <c r="AF274" i="8"/>
  <c r="AF165" i="8"/>
  <c r="AG165" i="8" s="1"/>
  <c r="AI165" i="8" s="1"/>
  <c r="AF287" i="8"/>
  <c r="AG287" i="8" s="1"/>
  <c r="AI287" i="8" s="1"/>
  <c r="AF351" i="8"/>
  <c r="AG351" i="8" s="1"/>
  <c r="AI351" i="8" s="1"/>
  <c r="AF415" i="8"/>
  <c r="AG415" i="8" s="1"/>
  <c r="AI415" i="8" s="1"/>
  <c r="AF373" i="8"/>
  <c r="AG373" i="8" s="1"/>
  <c r="AI373" i="8" s="1"/>
  <c r="AF411" i="8"/>
  <c r="AG411" i="8" s="1"/>
  <c r="AI411" i="8" s="1"/>
  <c r="AF469" i="8"/>
  <c r="AG469" i="8" s="1"/>
  <c r="AI469" i="8" s="1"/>
  <c r="AF533" i="8"/>
  <c r="AG533" i="8" s="1"/>
  <c r="AI533" i="8" s="1"/>
  <c r="AF597" i="8"/>
  <c r="AG597" i="8" s="1"/>
  <c r="AI597" i="8" s="1"/>
  <c r="AF482" i="8"/>
  <c r="AG482" i="8" s="1"/>
  <c r="AI482" i="8" s="1"/>
  <c r="AF546" i="8"/>
  <c r="AG546" i="8" s="1"/>
  <c r="AI546" i="8" s="1"/>
  <c r="AF610" i="8"/>
  <c r="AG610" i="8" s="1"/>
  <c r="AI610" i="8" s="1"/>
  <c r="AF71" i="8"/>
  <c r="AG71" i="8" s="1"/>
  <c r="AI71" i="8" s="1"/>
  <c r="AF111" i="8"/>
  <c r="AG111" i="8" s="1"/>
  <c r="AI111" i="8" s="1"/>
  <c r="AF173" i="8"/>
  <c r="AG173" i="8" s="1"/>
  <c r="AI173" i="8" s="1"/>
  <c r="AF237" i="8"/>
  <c r="AG237" i="8" s="1"/>
  <c r="AI237" i="8" s="1"/>
  <c r="AF268" i="8"/>
  <c r="AG268" i="8" s="1"/>
  <c r="AI268" i="8" s="1"/>
  <c r="AF332" i="8"/>
  <c r="AG332" i="8" s="1"/>
  <c r="AI332" i="8" s="1"/>
  <c r="AF396" i="8"/>
  <c r="AG396" i="8" s="1"/>
  <c r="AI396" i="8" s="1"/>
  <c r="AF166" i="8"/>
  <c r="AG166" i="8" s="1"/>
  <c r="AI166" i="8" s="1"/>
  <c r="AF186" i="8"/>
  <c r="AF313" i="8"/>
  <c r="AG313" i="8" s="1"/>
  <c r="AI313" i="8" s="1"/>
  <c r="AF377" i="8"/>
  <c r="AG377" i="8" s="1"/>
  <c r="AI377" i="8" s="1"/>
  <c r="AF238" i="8"/>
  <c r="AG238" i="8" s="1"/>
  <c r="AI238" i="8" s="1"/>
  <c r="AF294" i="8"/>
  <c r="AG294" i="8" s="1"/>
  <c r="AI294" i="8" s="1"/>
  <c r="AF197" i="8"/>
  <c r="AG197" i="8" s="1"/>
  <c r="AI197" i="8" s="1"/>
  <c r="AF307" i="8"/>
  <c r="AG307" i="8" s="1"/>
  <c r="AI307" i="8" s="1"/>
  <c r="AF200" i="8"/>
  <c r="AG200" i="8" s="1"/>
  <c r="AI200" i="8" s="1"/>
  <c r="AF296" i="8"/>
  <c r="AF250" i="8"/>
  <c r="AG250" i="8" s="1"/>
  <c r="AI250" i="8" s="1"/>
  <c r="AF277" i="8"/>
  <c r="AG277" i="8" s="1"/>
  <c r="AI277" i="8" s="1"/>
  <c r="AF229" i="8"/>
  <c r="AG229" i="8" s="1"/>
  <c r="AI229" i="8" s="1"/>
  <c r="AF263" i="8"/>
  <c r="AG263" i="8" s="1"/>
  <c r="AI263" i="8" s="1"/>
  <c r="AF327" i="8"/>
  <c r="AG327" i="8" s="1"/>
  <c r="AI327" i="8" s="1"/>
  <c r="AF391" i="8"/>
  <c r="AG391" i="8" s="1"/>
  <c r="AI391" i="8" s="1"/>
  <c r="AF455" i="8"/>
  <c r="AG455" i="8" s="1"/>
  <c r="AI455" i="8" s="1"/>
  <c r="AF442" i="8"/>
  <c r="AG442" i="8" s="1"/>
  <c r="AI442" i="8" s="1"/>
  <c r="AF509" i="8"/>
  <c r="AG509" i="8" s="1"/>
  <c r="AI509" i="8" s="1"/>
  <c r="AF573" i="8"/>
  <c r="AG573" i="8" s="1"/>
  <c r="AI573" i="8" s="1"/>
  <c r="AF322" i="8"/>
  <c r="AG322" i="8" s="1"/>
  <c r="AI322" i="8" s="1"/>
  <c r="AF376" i="8"/>
  <c r="AG376" i="8" s="1"/>
  <c r="AI376" i="8" s="1"/>
  <c r="AF413" i="8"/>
  <c r="AG413" i="8" s="1"/>
  <c r="AI413" i="8" s="1"/>
  <c r="AF457" i="8"/>
  <c r="AG457" i="8" s="1"/>
  <c r="AI457" i="8" s="1"/>
  <c r="AF522" i="8"/>
  <c r="AG522" i="8" s="1"/>
  <c r="AI522" i="8" s="1"/>
  <c r="AF586" i="8"/>
  <c r="AG586" i="8" s="1"/>
  <c r="AI586" i="8" s="1"/>
  <c r="AF379" i="8"/>
  <c r="AG379" i="8" s="1"/>
  <c r="AI379" i="8" s="1"/>
  <c r="AF459" i="8"/>
  <c r="AG459" i="8" s="1"/>
  <c r="AI459" i="8" s="1"/>
  <c r="AF511" i="8"/>
  <c r="AG511" i="8" s="1"/>
  <c r="AI511" i="8" s="1"/>
  <c r="AF575" i="8"/>
  <c r="AG575" i="8" s="1"/>
  <c r="AI575" i="8" s="1"/>
  <c r="AF382" i="8"/>
  <c r="AG382" i="8" s="1"/>
  <c r="AI382" i="8" s="1"/>
  <c r="AF402" i="8"/>
  <c r="AG402" i="8" s="1"/>
  <c r="AI402" i="8" s="1"/>
  <c r="AF461" i="8"/>
  <c r="AG461" i="8" s="1"/>
  <c r="AI461" i="8" s="1"/>
  <c r="AF500" i="8"/>
  <c r="AG500" i="8" s="1"/>
  <c r="AI500" i="8" s="1"/>
  <c r="AF564" i="8"/>
  <c r="AF628" i="8"/>
  <c r="AG628" i="8" s="1"/>
  <c r="AI628" i="8" s="1"/>
  <c r="AF325" i="8"/>
  <c r="AG325" i="8" s="1"/>
  <c r="AI325" i="8" s="1"/>
  <c r="AF77" i="8"/>
  <c r="AG77" i="8" s="1"/>
  <c r="AI77" i="8" s="1"/>
  <c r="AF106" i="8"/>
  <c r="AG106" i="8" s="1"/>
  <c r="AI106" i="8" s="1"/>
  <c r="AF122" i="8"/>
  <c r="AG122" i="8" s="1"/>
  <c r="AI122" i="8" s="1"/>
  <c r="AF127" i="8"/>
  <c r="AG127" i="8" s="1"/>
  <c r="AI127" i="8" s="1"/>
  <c r="AF183" i="8"/>
  <c r="AG183" i="8" s="1"/>
  <c r="AI183" i="8" s="1"/>
  <c r="AF223" i="8"/>
  <c r="AG223" i="8" s="1"/>
  <c r="AI223" i="8" s="1"/>
  <c r="AF308" i="8"/>
  <c r="AG308" i="8" s="1"/>
  <c r="AI308" i="8" s="1"/>
  <c r="AF372" i="8"/>
  <c r="AG372" i="8" s="1"/>
  <c r="AI372" i="8" s="1"/>
  <c r="AF230" i="8"/>
  <c r="AG230" i="8" s="1"/>
  <c r="AI230" i="8" s="1"/>
  <c r="AF289" i="8"/>
  <c r="AG289" i="8" s="1"/>
  <c r="AI289" i="8" s="1"/>
  <c r="AF353" i="8"/>
  <c r="AG353" i="8" s="1"/>
  <c r="AI353" i="8" s="1"/>
  <c r="AF149" i="8"/>
  <c r="AG149" i="8" s="1"/>
  <c r="AI149" i="8" s="1"/>
  <c r="AF179" i="8"/>
  <c r="AG179" i="8" s="1"/>
  <c r="AI179" i="8" s="1"/>
  <c r="AF270" i="8"/>
  <c r="AG270" i="8" s="1"/>
  <c r="AI270" i="8" s="1"/>
  <c r="AF334" i="8"/>
  <c r="AG334" i="8" s="1"/>
  <c r="AI334" i="8" s="1"/>
  <c r="AF283" i="8"/>
  <c r="AG283" i="8" s="1"/>
  <c r="AI283" i="8" s="1"/>
  <c r="AF272" i="8"/>
  <c r="AG272" i="8" s="1"/>
  <c r="AI272" i="8" s="1"/>
  <c r="AF336" i="8"/>
  <c r="AG336" i="8" s="1"/>
  <c r="AI336" i="8" s="1"/>
  <c r="AF213" i="8"/>
  <c r="AG213" i="8" s="1"/>
  <c r="AI213" i="8" s="1"/>
  <c r="AF211" i="8"/>
  <c r="AG211" i="8" s="1"/>
  <c r="AI211" i="8" s="1"/>
  <c r="AF290" i="8"/>
  <c r="AG290" i="8" s="1"/>
  <c r="AI290" i="8" s="1"/>
  <c r="AF170" i="8"/>
  <c r="AG170" i="8" s="1"/>
  <c r="AI170" i="8" s="1"/>
  <c r="AF303" i="8"/>
  <c r="AG303" i="8" s="1"/>
  <c r="AI303" i="8" s="1"/>
  <c r="AF367" i="8"/>
  <c r="AG367" i="8" s="1"/>
  <c r="AI367" i="8" s="1"/>
  <c r="AF431" i="8"/>
  <c r="AG431" i="8" s="1"/>
  <c r="AI431" i="8" s="1"/>
  <c r="AF358" i="8"/>
  <c r="AG358" i="8" s="1"/>
  <c r="AI358" i="8" s="1"/>
  <c r="AF378" i="8"/>
  <c r="AG378" i="8" s="1"/>
  <c r="AI378" i="8" s="1"/>
  <c r="AF444" i="8"/>
  <c r="AG444" i="8" s="1"/>
  <c r="AI444" i="8" s="1"/>
  <c r="AF485" i="8"/>
  <c r="AG485" i="8" s="1"/>
  <c r="AI485" i="8" s="1"/>
  <c r="AF549" i="8"/>
  <c r="AG549" i="8" s="1"/>
  <c r="AI549" i="8" s="1"/>
  <c r="AF613" i="8"/>
  <c r="AG613" i="8" s="1"/>
  <c r="AI613" i="8" s="1"/>
  <c r="AF498" i="8"/>
  <c r="AG498" i="8" s="1"/>
  <c r="AI498" i="8" s="1"/>
  <c r="AF562" i="8"/>
  <c r="AG562" i="8" s="1"/>
  <c r="AI562" i="8" s="1"/>
  <c r="AF417" i="8"/>
  <c r="AG417" i="8" s="1"/>
  <c r="AI417" i="8" s="1"/>
  <c r="AF487" i="8"/>
  <c r="AG487" i="8" s="1"/>
  <c r="AI487" i="8" s="1"/>
  <c r="AF428" i="8"/>
  <c r="AG428" i="8" s="1"/>
  <c r="AI428" i="8" s="1"/>
  <c r="AF397" i="8"/>
  <c r="AG397" i="8" s="1"/>
  <c r="AI397" i="8" s="1"/>
  <c r="AF450" i="8"/>
  <c r="AG450" i="8" s="1"/>
  <c r="AI450" i="8" s="1"/>
  <c r="AF468" i="8"/>
  <c r="AG468" i="8" s="1"/>
  <c r="AI468" i="8" s="1"/>
  <c r="AF572" i="8"/>
  <c r="AG572" i="8" s="1"/>
  <c r="AI572" i="8" s="1"/>
  <c r="AF432" i="8"/>
  <c r="AF513" i="8"/>
  <c r="AG513" i="8" s="1"/>
  <c r="AI513" i="8" s="1"/>
  <c r="AF577" i="8"/>
  <c r="AG577" i="8" s="1"/>
  <c r="AI577" i="8" s="1"/>
  <c r="AF338" i="8"/>
  <c r="AG338" i="8" s="1"/>
  <c r="AI338" i="8" s="1"/>
  <c r="AF403" i="8"/>
  <c r="AG403" i="8" s="1"/>
  <c r="AI403" i="8" s="1"/>
  <c r="AF526" i="8"/>
  <c r="AG526" i="8" s="1"/>
  <c r="AI526" i="8" s="1"/>
  <c r="AF357" i="8"/>
  <c r="AG357" i="8" s="1"/>
  <c r="AI357" i="8" s="1"/>
  <c r="AF458" i="8"/>
  <c r="AG458" i="8" s="1"/>
  <c r="AI458" i="8" s="1"/>
  <c r="AF523" i="8"/>
  <c r="AG523" i="8" s="1"/>
  <c r="AI523" i="8" s="1"/>
  <c r="AF355" i="8"/>
  <c r="AG355" i="8" s="1"/>
  <c r="AI355" i="8" s="1"/>
  <c r="AF496" i="8"/>
  <c r="AG496" i="8" s="1"/>
  <c r="AI496" i="8" s="1"/>
  <c r="AF560" i="8"/>
  <c r="AG560" i="8" s="1"/>
  <c r="AI560" i="8" s="1"/>
  <c r="AF624" i="8"/>
  <c r="AG624" i="8" s="1"/>
  <c r="AI624" i="8" s="1"/>
  <c r="AF688" i="8"/>
  <c r="AG688" i="8" s="1"/>
  <c r="AI688" i="8" s="1"/>
  <c r="AF658" i="8"/>
  <c r="AG658" i="8" s="1"/>
  <c r="AI658" i="8" s="1"/>
  <c r="AF781" i="8"/>
  <c r="AG781" i="8" s="1"/>
  <c r="AI781" i="8" s="1"/>
  <c r="AF845" i="8"/>
  <c r="AG845" i="8" s="1"/>
  <c r="AI845" i="8" s="1"/>
  <c r="AF638" i="8"/>
  <c r="AG638" i="8" s="1"/>
  <c r="AI638" i="8" s="1"/>
  <c r="AF682" i="8"/>
  <c r="AG682" i="8" s="1"/>
  <c r="AI682" i="8" s="1"/>
  <c r="AF738" i="8"/>
  <c r="AG738" i="8" s="1"/>
  <c r="AI738" i="8" s="1"/>
  <c r="AF802" i="8"/>
  <c r="AG802" i="8" s="1"/>
  <c r="AI802" i="8" s="1"/>
  <c r="AF866" i="8"/>
  <c r="AG866" i="8" s="1"/>
  <c r="AI866" i="8" s="1"/>
  <c r="AF930" i="8"/>
  <c r="AG930" i="8" s="1"/>
  <c r="AI930" i="8" s="1"/>
  <c r="AF684" i="8"/>
  <c r="AG684" i="8" s="1"/>
  <c r="AI684" i="8" s="1"/>
  <c r="AF727" i="8"/>
  <c r="AG727" i="8" s="1"/>
  <c r="AI727" i="8" s="1"/>
  <c r="AF626" i="8"/>
  <c r="AG626" i="8" s="1"/>
  <c r="AI626" i="8" s="1"/>
  <c r="AF686" i="8"/>
  <c r="AG686" i="8" s="1"/>
  <c r="AI686" i="8" s="1"/>
  <c r="AF550" i="8"/>
  <c r="AG550" i="8" s="1"/>
  <c r="AI550" i="8" s="1"/>
  <c r="AF637" i="8"/>
  <c r="AG637" i="8" s="1"/>
  <c r="AI637" i="8" s="1"/>
  <c r="AF710" i="8"/>
  <c r="AG710" i="8" s="1"/>
  <c r="AI710" i="8" s="1"/>
  <c r="AF737" i="8"/>
  <c r="AG737" i="8" s="1"/>
  <c r="AI737" i="8" s="1"/>
  <c r="AF661" i="8"/>
  <c r="AG661" i="8" s="1"/>
  <c r="AI661" i="8" s="1"/>
  <c r="AF758" i="8"/>
  <c r="AG758" i="8" s="1"/>
  <c r="AI758" i="8" s="1"/>
  <c r="AF587" i="8"/>
  <c r="AG587" i="8" s="1"/>
  <c r="AI587" i="8" s="1"/>
  <c r="AF663" i="8"/>
  <c r="AG663" i="8" s="1"/>
  <c r="AI663" i="8" s="1"/>
  <c r="AF747" i="8"/>
  <c r="AG747" i="8" s="1"/>
  <c r="AI747" i="8" s="1"/>
  <c r="AF625" i="8"/>
  <c r="AG625" i="8" s="1"/>
  <c r="AI625" i="8" s="1"/>
  <c r="AF728" i="8"/>
  <c r="AG728" i="8" s="1"/>
  <c r="AI728" i="8" s="1"/>
  <c r="AF792" i="8"/>
  <c r="AG792" i="8" s="1"/>
  <c r="AI792" i="8" s="1"/>
  <c r="AF856" i="8"/>
  <c r="AG856" i="8" s="1"/>
  <c r="AI856" i="8" s="1"/>
  <c r="AF836" i="8"/>
  <c r="AG836" i="8" s="1"/>
  <c r="AI836" i="8" s="1"/>
  <c r="AF980" i="8"/>
  <c r="AG980" i="8" s="1"/>
  <c r="AI980" i="8" s="1"/>
  <c r="AF1044" i="8"/>
  <c r="AG1044" i="8" s="1"/>
  <c r="AI1044" i="8" s="1"/>
  <c r="AF844" i="8"/>
  <c r="AG844" i="8" s="1"/>
  <c r="AI844" i="8" s="1"/>
  <c r="AF933" i="8"/>
  <c r="AG933" i="8" s="1"/>
  <c r="AI933" i="8" s="1"/>
  <c r="AF985" i="8"/>
  <c r="AG985" i="8" s="1"/>
  <c r="AI985" i="8" s="1"/>
  <c r="AF1049" i="8"/>
  <c r="AG1049" i="8" s="1"/>
  <c r="AI1049" i="8" s="1"/>
  <c r="AF852" i="8"/>
  <c r="AG852" i="8" s="1"/>
  <c r="AI852" i="8" s="1"/>
  <c r="AF908" i="8"/>
  <c r="AG908" i="8" s="1"/>
  <c r="AI908" i="8" s="1"/>
  <c r="AF990" i="8"/>
  <c r="AG990" i="8" s="1"/>
  <c r="AI990" i="8" s="1"/>
  <c r="AF1054" i="8"/>
  <c r="AG1054" i="8" s="1"/>
  <c r="AI1054" i="8" s="1"/>
  <c r="AF806" i="8"/>
  <c r="AG806" i="8" s="1"/>
  <c r="AI806" i="8" s="1"/>
  <c r="AF887" i="8"/>
  <c r="AF987" i="8"/>
  <c r="AG987" i="8" s="1"/>
  <c r="AI987" i="8" s="1"/>
  <c r="AF1051" i="8"/>
  <c r="AG1051" i="8" s="1"/>
  <c r="AI1051" i="8" s="1"/>
  <c r="AF868" i="8"/>
  <c r="AG868" i="8" s="1"/>
  <c r="AI868" i="8" s="1"/>
  <c r="AF921" i="8"/>
  <c r="AG921" i="8" s="1"/>
  <c r="AI921" i="8" s="1"/>
  <c r="AF1000" i="8"/>
  <c r="AG1000" i="8" s="1"/>
  <c r="AI1000" i="8" s="1"/>
  <c r="AF1064" i="8"/>
  <c r="AG1064" i="8" s="1"/>
  <c r="AI1064" i="8" s="1"/>
  <c r="AF871" i="8"/>
  <c r="AG871" i="8" s="1"/>
  <c r="AI871" i="8" s="1"/>
  <c r="AF923" i="8"/>
  <c r="AG923" i="8" s="1"/>
  <c r="AI923" i="8" s="1"/>
  <c r="AF989" i="8"/>
  <c r="AG989" i="8" s="1"/>
  <c r="AI989" i="8" s="1"/>
  <c r="AF1053" i="8"/>
  <c r="AG1053" i="8" s="1"/>
  <c r="AI1053" i="8" s="1"/>
  <c r="AF892" i="8"/>
  <c r="AG892" i="8" s="1"/>
  <c r="AI892" i="8" s="1"/>
  <c r="AF909" i="8"/>
  <c r="AG909" i="8" s="1"/>
  <c r="AI909" i="8" s="1"/>
  <c r="AF925" i="8"/>
  <c r="AG925" i="8" s="1"/>
  <c r="AI925" i="8" s="1"/>
  <c r="AF978" i="8"/>
  <c r="AG978" i="8" s="1"/>
  <c r="AI978" i="8" s="1"/>
  <c r="AF1042" i="8"/>
  <c r="AF763" i="8"/>
  <c r="AG763" i="8" s="1"/>
  <c r="AI763" i="8" s="1"/>
  <c r="AF967" i="8"/>
  <c r="AG967" i="8" s="1"/>
  <c r="AI967" i="8" s="1"/>
  <c r="AF1031" i="8"/>
  <c r="AG1031" i="8" s="1"/>
  <c r="AI1031" i="8" s="1"/>
  <c r="AF419" i="8"/>
  <c r="AG419" i="8" s="1"/>
  <c r="AI419" i="8" s="1"/>
  <c r="AF588" i="8"/>
  <c r="AG588" i="8" s="1"/>
  <c r="AI588" i="8" s="1"/>
  <c r="AF489" i="8"/>
  <c r="AG489" i="8" s="1"/>
  <c r="AI489" i="8" s="1"/>
  <c r="AF553" i="8"/>
  <c r="AG553" i="8" s="1"/>
  <c r="AI553" i="8" s="1"/>
  <c r="AF434" i="8"/>
  <c r="AF502" i="8"/>
  <c r="AF333" i="8"/>
  <c r="AF416" i="8"/>
  <c r="AG416" i="8" s="1"/>
  <c r="AI416" i="8" s="1"/>
  <c r="AF460" i="8"/>
  <c r="AG460" i="8" s="1"/>
  <c r="AI460" i="8" s="1"/>
  <c r="AF499" i="8"/>
  <c r="AF429" i="8"/>
  <c r="AG429" i="8" s="1"/>
  <c r="AI429" i="8" s="1"/>
  <c r="AF472" i="8"/>
  <c r="AG472" i="8" s="1"/>
  <c r="AI472" i="8" s="1"/>
  <c r="AF536" i="8"/>
  <c r="AG536" i="8" s="1"/>
  <c r="AI536" i="8" s="1"/>
  <c r="AF600" i="8"/>
  <c r="AG600" i="8" s="1"/>
  <c r="AI600" i="8" s="1"/>
  <c r="AF664" i="8"/>
  <c r="AG664" i="8" s="1"/>
  <c r="AI664" i="8" s="1"/>
  <c r="AF609" i="8"/>
  <c r="AG609" i="8" s="1"/>
  <c r="AI609" i="8" s="1"/>
  <c r="AF689" i="8"/>
  <c r="AG689" i="8" s="1"/>
  <c r="AI689" i="8" s="1"/>
  <c r="AF757" i="8"/>
  <c r="AF821" i="8"/>
  <c r="AG821" i="8" s="1"/>
  <c r="AI821" i="8" s="1"/>
  <c r="AF713" i="8"/>
  <c r="AG713" i="8" s="1"/>
  <c r="AI713" i="8" s="1"/>
  <c r="AF778" i="8"/>
  <c r="AG778" i="8" s="1"/>
  <c r="AI778" i="8" s="1"/>
  <c r="AF842" i="8"/>
  <c r="AG842" i="8" s="1"/>
  <c r="AI842" i="8" s="1"/>
  <c r="AF906" i="8"/>
  <c r="AG906" i="8" s="1"/>
  <c r="AI906" i="8" s="1"/>
  <c r="AF603" i="8"/>
  <c r="AG603" i="8" s="1"/>
  <c r="AI603" i="8" s="1"/>
  <c r="AF642" i="8"/>
  <c r="AG642" i="8" s="1"/>
  <c r="AI642" i="8" s="1"/>
  <c r="AF715" i="8"/>
  <c r="AG715" i="8" s="1"/>
  <c r="AI715" i="8" s="1"/>
  <c r="AF767" i="8"/>
  <c r="AG767" i="8" s="1"/>
  <c r="AI767" i="8" s="1"/>
  <c r="AF607" i="8"/>
  <c r="AG607" i="8" s="1"/>
  <c r="AI607" i="8" s="1"/>
  <c r="AF644" i="8"/>
  <c r="AG644" i="8" s="1"/>
  <c r="AI644" i="8" s="1"/>
  <c r="AF756" i="8"/>
  <c r="AG756" i="8" s="1"/>
  <c r="AI756" i="8" s="1"/>
  <c r="AF622" i="8"/>
  <c r="AG622" i="8" s="1"/>
  <c r="AI622" i="8" s="1"/>
  <c r="AF668" i="8"/>
  <c r="AG668" i="8" s="1"/>
  <c r="AI668" i="8" s="1"/>
  <c r="AF777" i="8"/>
  <c r="AG777" i="8" s="1"/>
  <c r="AI777" i="8" s="1"/>
  <c r="AF614" i="8"/>
  <c r="AG614" i="8" s="1"/>
  <c r="AI614" i="8" s="1"/>
  <c r="AF633" i="8"/>
  <c r="AG633" i="8" s="1"/>
  <c r="AI633" i="8" s="1"/>
  <c r="AF692" i="8"/>
  <c r="AG692" i="8" s="1"/>
  <c r="AI692" i="8" s="1"/>
  <c r="AF734" i="8"/>
  <c r="AG734" i="8" s="1"/>
  <c r="AI734" i="8" s="1"/>
  <c r="AF694" i="8"/>
  <c r="AG694" i="8" s="1"/>
  <c r="AI694" i="8" s="1"/>
  <c r="AF723" i="8"/>
  <c r="AG723" i="8" s="1"/>
  <c r="AI723" i="8" s="1"/>
  <c r="AF571" i="8"/>
  <c r="AG571" i="8" s="1"/>
  <c r="AI571" i="8" s="1"/>
  <c r="AF627" i="8"/>
  <c r="AG627" i="8" s="1"/>
  <c r="AI627" i="8" s="1"/>
  <c r="AF643" i="8"/>
  <c r="AG643" i="8" s="1"/>
  <c r="AI643" i="8" s="1"/>
  <c r="AF687" i="8"/>
  <c r="AG687" i="8" s="1"/>
  <c r="AI687" i="8" s="1"/>
  <c r="AF768" i="8"/>
  <c r="AG768" i="8" s="1"/>
  <c r="AI768" i="8" s="1"/>
  <c r="AF832" i="8"/>
  <c r="AF896" i="8"/>
  <c r="AF956" i="8"/>
  <c r="AG956" i="8" s="1"/>
  <c r="AI956" i="8" s="1"/>
  <c r="AF1020" i="8"/>
  <c r="AG1020" i="8" s="1"/>
  <c r="AI1020" i="8" s="1"/>
  <c r="AF785" i="8"/>
  <c r="AG785" i="8" s="1"/>
  <c r="AI785" i="8" s="1"/>
  <c r="AF935" i="8"/>
  <c r="AG935" i="8" s="1"/>
  <c r="AI935" i="8" s="1"/>
  <c r="AF961" i="8"/>
  <c r="AG961" i="8" s="1"/>
  <c r="AI961" i="8" s="1"/>
  <c r="AF1025" i="8"/>
  <c r="AG1025" i="8" s="1"/>
  <c r="AI1025" i="8" s="1"/>
  <c r="AF793" i="8"/>
  <c r="AG793" i="8" s="1"/>
  <c r="AI793" i="8" s="1"/>
  <c r="AF893" i="8"/>
  <c r="AG893" i="8" s="1"/>
  <c r="AI893" i="8" s="1"/>
  <c r="AF910" i="8"/>
  <c r="AG910" i="8" s="1"/>
  <c r="AI910" i="8" s="1"/>
  <c r="AF926" i="8"/>
  <c r="AG926" i="8" s="1"/>
  <c r="AI926" i="8" s="1"/>
  <c r="AF966" i="8"/>
  <c r="AG966" i="8" s="1"/>
  <c r="AI966" i="8" s="1"/>
  <c r="AF1030" i="8"/>
  <c r="AG1030" i="8" s="1"/>
  <c r="AI1030" i="8" s="1"/>
  <c r="AF870" i="8"/>
  <c r="AG870" i="8" s="1"/>
  <c r="AI870" i="8" s="1"/>
  <c r="AF889" i="8"/>
  <c r="AG889" i="8" s="1"/>
  <c r="AI889" i="8" s="1"/>
  <c r="AF963" i="8"/>
  <c r="AG963" i="8" s="1"/>
  <c r="AI963" i="8" s="1"/>
  <c r="AF1027" i="8"/>
  <c r="AG1027" i="8" s="1"/>
  <c r="AI1027" i="8" s="1"/>
  <c r="AF809" i="8"/>
  <c r="AF976" i="8"/>
  <c r="AF1040" i="8"/>
  <c r="AG1040" i="8" s="1"/>
  <c r="AI1040" i="8" s="1"/>
  <c r="AF812" i="8"/>
  <c r="AG812" i="8" s="1"/>
  <c r="AI812" i="8" s="1"/>
  <c r="AF965" i="8"/>
  <c r="AG965" i="8" s="1"/>
  <c r="AI965" i="8" s="1"/>
  <c r="AF1029" i="8"/>
  <c r="AG1029" i="8" s="1"/>
  <c r="AI1029" i="8" s="1"/>
  <c r="AF815" i="8"/>
  <c r="AF835" i="8"/>
  <c r="AG835" i="8" s="1"/>
  <c r="AI835" i="8" s="1"/>
  <c r="AF894" i="8"/>
  <c r="AG894" i="8" s="1"/>
  <c r="AI894" i="8" s="1"/>
  <c r="AF927" i="8"/>
  <c r="AG927" i="8" s="1"/>
  <c r="AI927" i="8" s="1"/>
  <c r="AF954" i="8"/>
  <c r="AG954" i="8" s="1"/>
  <c r="AI954" i="8" s="1"/>
  <c r="AF1018" i="8"/>
  <c r="AG1018" i="8" s="1"/>
  <c r="AI1018" i="8" s="1"/>
  <c r="AF838" i="8"/>
  <c r="AG838" i="8" s="1"/>
  <c r="AI838" i="8" s="1"/>
  <c r="AF929" i="8"/>
  <c r="AG929" i="8" s="1"/>
  <c r="AI929" i="8" s="1"/>
  <c r="AF943" i="8"/>
  <c r="AF1007" i="8"/>
  <c r="AG1007" i="8" s="1"/>
  <c r="AI1007" i="8" s="1"/>
  <c r="AF1071" i="8"/>
  <c r="AG1071" i="8" s="1"/>
  <c r="AI1071" i="8" s="1"/>
  <c r="AF52" i="8"/>
  <c r="AG52" i="8" s="1"/>
  <c r="AI52" i="8" s="1"/>
  <c r="AF591" i="8"/>
  <c r="AG591" i="8" s="1"/>
  <c r="AI591" i="8" s="1"/>
  <c r="AF484" i="8"/>
  <c r="AG484" i="8" s="1"/>
  <c r="AI484" i="8" s="1"/>
  <c r="AF516" i="8"/>
  <c r="AF532" i="8"/>
  <c r="AG532" i="8" s="1"/>
  <c r="AI532" i="8" s="1"/>
  <c r="AF604" i="8"/>
  <c r="AG604" i="8" s="1"/>
  <c r="AI604" i="8" s="1"/>
  <c r="AF421" i="8"/>
  <c r="AG421" i="8" s="1"/>
  <c r="AI421" i="8" s="1"/>
  <c r="AF465" i="8"/>
  <c r="AG465" i="8" s="1"/>
  <c r="AI465" i="8" s="1"/>
  <c r="AF529" i="8"/>
  <c r="AG529" i="8" s="1"/>
  <c r="AI529" i="8" s="1"/>
  <c r="AF436" i="8"/>
  <c r="AG436" i="8" s="1"/>
  <c r="AI436" i="8" s="1"/>
  <c r="AF478" i="8"/>
  <c r="AG478" i="8" s="1"/>
  <c r="AI478" i="8" s="1"/>
  <c r="AF542" i="8"/>
  <c r="AG542" i="8" s="1"/>
  <c r="AI542" i="8" s="1"/>
  <c r="AF362" i="8"/>
  <c r="AG362" i="8" s="1"/>
  <c r="AI362" i="8" s="1"/>
  <c r="AF475" i="8"/>
  <c r="AG475" i="8" s="1"/>
  <c r="AI475" i="8" s="1"/>
  <c r="AF539" i="8"/>
  <c r="AG539" i="8" s="1"/>
  <c r="AI539" i="8" s="1"/>
  <c r="AF360" i="8"/>
  <c r="AG360" i="8" s="1"/>
  <c r="AI360" i="8" s="1"/>
  <c r="AF512" i="8"/>
  <c r="AG512" i="8" s="1"/>
  <c r="AI512" i="8" s="1"/>
  <c r="AF576" i="8"/>
  <c r="AG576" i="8" s="1"/>
  <c r="AI576" i="8" s="1"/>
  <c r="AF640" i="8"/>
  <c r="AG640" i="8" s="1"/>
  <c r="AI640" i="8" s="1"/>
  <c r="AF704" i="8"/>
  <c r="AG704" i="8" s="1"/>
  <c r="AI704" i="8" s="1"/>
  <c r="AF647" i="8"/>
  <c r="AG647" i="8" s="1"/>
  <c r="AI647" i="8" s="1"/>
  <c r="AF733" i="8"/>
  <c r="AG733" i="8" s="1"/>
  <c r="AI733" i="8" s="1"/>
  <c r="AF797" i="8"/>
  <c r="AG797" i="8" s="1"/>
  <c r="AI797" i="8" s="1"/>
  <c r="AF861" i="8"/>
  <c r="AG861" i="8" s="1"/>
  <c r="AI861" i="8" s="1"/>
  <c r="AF671" i="8"/>
  <c r="AG671" i="8" s="1"/>
  <c r="AI671" i="8" s="1"/>
  <c r="AF754" i="8"/>
  <c r="AG754" i="8" s="1"/>
  <c r="AI754" i="8" s="1"/>
  <c r="AF818" i="8"/>
  <c r="AG818" i="8" s="1"/>
  <c r="AI818" i="8" s="1"/>
  <c r="AF882" i="8"/>
  <c r="AG882" i="8" s="1"/>
  <c r="AI882" i="8" s="1"/>
  <c r="AF574" i="8"/>
  <c r="AG574" i="8" s="1"/>
  <c r="AI574" i="8" s="1"/>
  <c r="AF673" i="8"/>
  <c r="AG673" i="8" s="1"/>
  <c r="AI673" i="8" s="1"/>
  <c r="AF717" i="8"/>
  <c r="AG717" i="8" s="1"/>
  <c r="AI717" i="8" s="1"/>
  <c r="AF743" i="8"/>
  <c r="AG743" i="8" s="1"/>
  <c r="AI743" i="8" s="1"/>
  <c r="AF675" i="8"/>
  <c r="AF719" i="8"/>
  <c r="AG719" i="8" s="1"/>
  <c r="AI719" i="8" s="1"/>
  <c r="AF732" i="8"/>
  <c r="AG732" i="8" s="1"/>
  <c r="AI732" i="8" s="1"/>
  <c r="AF601" i="8"/>
  <c r="AG601" i="8" s="1"/>
  <c r="AI601" i="8" s="1"/>
  <c r="AF699" i="8"/>
  <c r="AG699" i="8" s="1"/>
  <c r="AI699" i="8" s="1"/>
  <c r="AF753" i="8"/>
  <c r="AG753" i="8" s="1"/>
  <c r="AI753" i="8" s="1"/>
  <c r="AF635" i="8"/>
  <c r="AG635" i="8" s="1"/>
  <c r="AI635" i="8" s="1"/>
  <c r="AF650" i="8"/>
  <c r="AG650" i="8" s="1"/>
  <c r="AI650" i="8" s="1"/>
  <c r="AF595" i="8"/>
  <c r="AG595" i="8" s="1"/>
  <c r="AI595" i="8" s="1"/>
  <c r="AF652" i="8"/>
  <c r="AG652" i="8" s="1"/>
  <c r="AI652" i="8" s="1"/>
  <c r="AF645" i="8"/>
  <c r="AG645" i="8" s="1"/>
  <c r="AI645" i="8" s="1"/>
  <c r="AF718" i="8"/>
  <c r="AG718" i="8" s="1"/>
  <c r="AI718" i="8" s="1"/>
  <c r="AF744" i="8"/>
  <c r="AG744" i="8" s="1"/>
  <c r="AI744" i="8" s="1"/>
  <c r="AF808" i="8"/>
  <c r="AG808" i="8" s="1"/>
  <c r="AI808" i="8" s="1"/>
  <c r="AF872" i="8"/>
  <c r="AG872" i="8" s="1"/>
  <c r="AI872" i="8" s="1"/>
  <c r="AF841" i="8"/>
  <c r="AG841" i="8" s="1"/>
  <c r="AI841" i="8" s="1"/>
  <c r="AF916" i="8"/>
  <c r="AG916" i="8" s="1"/>
  <c r="AI916" i="8" s="1"/>
  <c r="AF931" i="8"/>
  <c r="AG931" i="8" s="1"/>
  <c r="AI931" i="8" s="1"/>
  <c r="AF996" i="8"/>
  <c r="AG996" i="8" s="1"/>
  <c r="AI996" i="8" s="1"/>
  <c r="AF1060" i="8"/>
  <c r="AG1060" i="8" s="1"/>
  <c r="AI1060" i="8" s="1"/>
  <c r="AF849" i="8"/>
  <c r="AG849" i="8" s="1"/>
  <c r="AI849" i="8" s="1"/>
  <c r="AF1001" i="8"/>
  <c r="AG1001" i="8" s="1"/>
  <c r="AI1001" i="8" s="1"/>
  <c r="AF1065" i="8"/>
  <c r="AG1065" i="8" s="1"/>
  <c r="AI1065" i="8" s="1"/>
  <c r="AF766" i="8"/>
  <c r="AG766" i="8" s="1"/>
  <c r="AI766" i="8" s="1"/>
  <c r="AF857" i="8"/>
  <c r="AG857" i="8" s="1"/>
  <c r="AI857" i="8" s="1"/>
  <c r="AF942" i="8"/>
  <c r="AG942" i="8" s="1"/>
  <c r="AI942" i="8" s="1"/>
  <c r="AF1006" i="8"/>
  <c r="AG1006" i="8" s="1"/>
  <c r="AI1006" i="8" s="1"/>
  <c r="AF1070" i="8"/>
  <c r="AG1070" i="8" s="1"/>
  <c r="AI1070" i="8" s="1"/>
  <c r="AF791" i="8"/>
  <c r="AG791" i="8" s="1"/>
  <c r="AI791" i="8" s="1"/>
  <c r="AF811" i="8"/>
  <c r="AG811" i="8" s="1"/>
  <c r="AI811" i="8" s="1"/>
  <c r="AF891" i="8"/>
  <c r="AG891" i="8" s="1"/>
  <c r="AI891" i="8" s="1"/>
  <c r="AF939" i="8"/>
  <c r="AG939" i="8" s="1"/>
  <c r="AI939" i="8" s="1"/>
  <c r="AF1003" i="8"/>
  <c r="AG1003" i="8" s="1"/>
  <c r="AI1003" i="8" s="1"/>
  <c r="AF1067" i="8"/>
  <c r="AG1067" i="8" s="1"/>
  <c r="AI1067" i="8" s="1"/>
  <c r="AF873" i="8"/>
  <c r="AG873" i="8" s="1"/>
  <c r="AI873" i="8" s="1"/>
  <c r="AF952" i="8"/>
  <c r="AG952" i="8" s="1"/>
  <c r="AI952" i="8" s="1"/>
  <c r="AF1016" i="8"/>
  <c r="AG1016" i="8" s="1"/>
  <c r="AI1016" i="8" s="1"/>
  <c r="AF876" i="8"/>
  <c r="AG876" i="8" s="1"/>
  <c r="AI876" i="8" s="1"/>
  <c r="AF911" i="8"/>
  <c r="AG911" i="8" s="1"/>
  <c r="AI911" i="8" s="1"/>
  <c r="AF941" i="8"/>
  <c r="AG941" i="8" s="1"/>
  <c r="AI941" i="8" s="1"/>
  <c r="AF1005" i="8"/>
  <c r="AG1005" i="8" s="1"/>
  <c r="AI1005" i="8" s="1"/>
  <c r="AF1069" i="8"/>
  <c r="AG1069" i="8" s="1"/>
  <c r="AI1069" i="8" s="1"/>
  <c r="AF879" i="8"/>
  <c r="AG879" i="8" s="1"/>
  <c r="AI879" i="8" s="1"/>
  <c r="AF994" i="8"/>
  <c r="AG994" i="8" s="1"/>
  <c r="AI994" i="8" s="1"/>
  <c r="AF1058" i="8"/>
  <c r="AG1058" i="8" s="1"/>
  <c r="AI1058" i="8" s="1"/>
  <c r="AF983" i="8"/>
  <c r="AG983" i="8" s="1"/>
  <c r="AI983" i="8" s="1"/>
  <c r="AF1047" i="8"/>
  <c r="AG1047" i="8" s="1"/>
  <c r="AI1047" i="8" s="1"/>
  <c r="AF551" i="8"/>
  <c r="AG551" i="8" s="1"/>
  <c r="AI551" i="8" s="1"/>
  <c r="AF441" i="8"/>
  <c r="AG441" i="8" s="1"/>
  <c r="AI441" i="8" s="1"/>
  <c r="AF346" i="8"/>
  <c r="AG346" i="8" s="1"/>
  <c r="AI346" i="8" s="1"/>
  <c r="AF390" i="8"/>
  <c r="AG390" i="8" s="1"/>
  <c r="AI390" i="8" s="1"/>
  <c r="AF505" i="8"/>
  <c r="AG505" i="8" s="1"/>
  <c r="AI505" i="8" s="1"/>
  <c r="AF569" i="8"/>
  <c r="AG569" i="8" s="1"/>
  <c r="AI569" i="8" s="1"/>
  <c r="AF349" i="8"/>
  <c r="AG349" i="8" s="1"/>
  <c r="AI349" i="8" s="1"/>
  <c r="AF518" i="8"/>
  <c r="AF344" i="8"/>
  <c r="AG344" i="8" s="1"/>
  <c r="AI344" i="8" s="1"/>
  <c r="AF405" i="8"/>
  <c r="AG405" i="8" s="1"/>
  <c r="AI405" i="8" s="1"/>
  <c r="AF449" i="8"/>
  <c r="AG449" i="8" s="1"/>
  <c r="AI449" i="8" s="1"/>
  <c r="AF515" i="8"/>
  <c r="AG515" i="8" s="1"/>
  <c r="AI515" i="8" s="1"/>
  <c r="AF418" i="8"/>
  <c r="AG418" i="8" s="1"/>
  <c r="AI418" i="8" s="1"/>
  <c r="AF462" i="8"/>
  <c r="AG462" i="8" s="1"/>
  <c r="AI462" i="8" s="1"/>
  <c r="AF488" i="8"/>
  <c r="AG488" i="8" s="1"/>
  <c r="AI488" i="8" s="1"/>
  <c r="AF552" i="8"/>
  <c r="AF616" i="8"/>
  <c r="AG616" i="8" s="1"/>
  <c r="AI616" i="8" s="1"/>
  <c r="AF680" i="8"/>
  <c r="AG680" i="8" s="1"/>
  <c r="AI680" i="8" s="1"/>
  <c r="AF678" i="8"/>
  <c r="AG678" i="8" s="1"/>
  <c r="AI678" i="8" s="1"/>
  <c r="AF773" i="8"/>
  <c r="AG773" i="8" s="1"/>
  <c r="AI773" i="8" s="1"/>
  <c r="AF837" i="8"/>
  <c r="AG837" i="8" s="1"/>
  <c r="AI837" i="8" s="1"/>
  <c r="AF606" i="8"/>
  <c r="AG606" i="8" s="1"/>
  <c r="AI606" i="8" s="1"/>
  <c r="AF702" i="8"/>
  <c r="AG702" i="8" s="1"/>
  <c r="AI702" i="8" s="1"/>
  <c r="AF730" i="8"/>
  <c r="AG730" i="8" s="1"/>
  <c r="AI730" i="8" s="1"/>
  <c r="AF794" i="8"/>
  <c r="AG794" i="8" s="1"/>
  <c r="AI794" i="8" s="1"/>
  <c r="AF858" i="8"/>
  <c r="AG858" i="8" s="1"/>
  <c r="AI858" i="8" s="1"/>
  <c r="AF922" i="8"/>
  <c r="AG922" i="8" s="1"/>
  <c r="AI922" i="8" s="1"/>
  <c r="AF630" i="8"/>
  <c r="AG630" i="8" s="1"/>
  <c r="AI630" i="8" s="1"/>
  <c r="AF783" i="8"/>
  <c r="AG783" i="8" s="1"/>
  <c r="AI783" i="8" s="1"/>
  <c r="AF677" i="8"/>
  <c r="AG677" i="8" s="1"/>
  <c r="AI677" i="8" s="1"/>
  <c r="AF772" i="8"/>
  <c r="AG772" i="8" s="1"/>
  <c r="AI772" i="8" s="1"/>
  <c r="AF657" i="8"/>
  <c r="AG657" i="8" s="1"/>
  <c r="AI657" i="8" s="1"/>
  <c r="AF701" i="8"/>
  <c r="AF729" i="8"/>
  <c r="AG729" i="8" s="1"/>
  <c r="AI729" i="8" s="1"/>
  <c r="AF681" i="8"/>
  <c r="AG681" i="8" s="1"/>
  <c r="AI681" i="8" s="1"/>
  <c r="AF750" i="8"/>
  <c r="AG750" i="8" s="1"/>
  <c r="AI750" i="8" s="1"/>
  <c r="AF558" i="8"/>
  <c r="AG558" i="8" s="1"/>
  <c r="AI558" i="8" s="1"/>
  <c r="AF683" i="8"/>
  <c r="AG683" i="8" s="1"/>
  <c r="AI683" i="8" s="1"/>
  <c r="AF739" i="8"/>
  <c r="AG739" i="8" s="1"/>
  <c r="AI739" i="8" s="1"/>
  <c r="AF676" i="8"/>
  <c r="AG676" i="8" s="1"/>
  <c r="AI676" i="8" s="1"/>
  <c r="AF784" i="8"/>
  <c r="AG784" i="8" s="1"/>
  <c r="AI784" i="8" s="1"/>
  <c r="AF848" i="8"/>
  <c r="AG848" i="8" s="1"/>
  <c r="AI848" i="8" s="1"/>
  <c r="AF912" i="8"/>
  <c r="AG912" i="8" s="1"/>
  <c r="AI912" i="8" s="1"/>
  <c r="AF884" i="8"/>
  <c r="AG884" i="8" s="1"/>
  <c r="AI884" i="8" s="1"/>
  <c r="AF901" i="8"/>
  <c r="AG901" i="8" s="1"/>
  <c r="AI901" i="8" s="1"/>
  <c r="AF918" i="8"/>
  <c r="AG918" i="8" s="1"/>
  <c r="AI918" i="8" s="1"/>
  <c r="AF972" i="8"/>
  <c r="AG972" i="8" s="1"/>
  <c r="AI972" i="8" s="1"/>
  <c r="AF1036" i="8"/>
  <c r="AG1036" i="8" s="1"/>
  <c r="AI1036" i="8" s="1"/>
  <c r="AF790" i="8"/>
  <c r="AF924" i="8"/>
  <c r="AG924" i="8" s="1"/>
  <c r="AI924" i="8" s="1"/>
  <c r="AF977" i="8"/>
  <c r="AG977" i="8" s="1"/>
  <c r="AI977" i="8" s="1"/>
  <c r="AF1041" i="8"/>
  <c r="AG1041" i="8" s="1"/>
  <c r="AI1041" i="8" s="1"/>
  <c r="AF798" i="8"/>
  <c r="AG798" i="8" s="1"/>
  <c r="AI798" i="8" s="1"/>
  <c r="AF982" i="8"/>
  <c r="AG982" i="8" s="1"/>
  <c r="AI982" i="8" s="1"/>
  <c r="AF1046" i="8"/>
  <c r="AG1046" i="8" s="1"/>
  <c r="AI1046" i="8" s="1"/>
  <c r="AF855" i="8"/>
  <c r="AF875" i="8"/>
  <c r="AG875" i="8" s="1"/>
  <c r="AI875" i="8" s="1"/>
  <c r="AF979" i="8"/>
  <c r="AG979" i="8" s="1"/>
  <c r="AI979" i="8" s="1"/>
  <c r="AF1043" i="8"/>
  <c r="AG1043" i="8" s="1"/>
  <c r="AI1043" i="8" s="1"/>
  <c r="AF814" i="8"/>
  <c r="AG814" i="8" s="1"/>
  <c r="AI814" i="8" s="1"/>
  <c r="AF992" i="8"/>
  <c r="AG992" i="8" s="1"/>
  <c r="AI992" i="8" s="1"/>
  <c r="AF1056" i="8"/>
  <c r="AG1056" i="8" s="1"/>
  <c r="AI1056" i="8" s="1"/>
  <c r="AF817" i="8"/>
  <c r="AG817" i="8" s="1"/>
  <c r="AI817" i="8" s="1"/>
  <c r="AF913" i="8"/>
  <c r="AF981" i="8"/>
  <c r="AG981" i="8" s="1"/>
  <c r="AI981" i="8" s="1"/>
  <c r="AF1045" i="8"/>
  <c r="AG1045" i="8" s="1"/>
  <c r="AI1045" i="8" s="1"/>
  <c r="AF820" i="8"/>
  <c r="AG820" i="8" s="1"/>
  <c r="AI820" i="8" s="1"/>
  <c r="AF970" i="8"/>
  <c r="AG970" i="8" s="1"/>
  <c r="AI970" i="8" s="1"/>
  <c r="AF1034" i="8"/>
  <c r="AG1034" i="8" s="1"/>
  <c r="AI1034" i="8" s="1"/>
  <c r="AF823" i="8"/>
  <c r="AG823" i="8" s="1"/>
  <c r="AI823" i="8" s="1"/>
  <c r="AF843" i="8"/>
  <c r="AG843" i="8" s="1"/>
  <c r="AI843" i="8" s="1"/>
  <c r="AF959" i="8"/>
  <c r="AG959" i="8" s="1"/>
  <c r="AI959" i="8" s="1"/>
  <c r="AF1023" i="8"/>
  <c r="AG1023" i="8" s="1"/>
  <c r="AI1023" i="8" s="1"/>
  <c r="AF535" i="8"/>
  <c r="AG535" i="8" s="1"/>
  <c r="AI535" i="8" s="1"/>
  <c r="AF330" i="8"/>
  <c r="AG330" i="8" s="1"/>
  <c r="AI330" i="8" s="1"/>
  <c r="AF387" i="8"/>
  <c r="AG387" i="8" s="1"/>
  <c r="AI387" i="8" s="1"/>
  <c r="AF548" i="8"/>
  <c r="AG548" i="8" s="1"/>
  <c r="AI548" i="8" s="1"/>
  <c r="AF580" i="8"/>
  <c r="AG580" i="8" s="1"/>
  <c r="AI580" i="8" s="1"/>
  <c r="AF620" i="8"/>
  <c r="AF410" i="8"/>
  <c r="AG410" i="8" s="1"/>
  <c r="AI410" i="8" s="1"/>
  <c r="AF454" i="8"/>
  <c r="AG454" i="8" s="1"/>
  <c r="AI454" i="8" s="1"/>
  <c r="AF481" i="8"/>
  <c r="AG481" i="8" s="1"/>
  <c r="AI481" i="8" s="1"/>
  <c r="AF545" i="8"/>
  <c r="AG545" i="8" s="1"/>
  <c r="AI545" i="8" s="1"/>
  <c r="AF425" i="8"/>
  <c r="AG425" i="8" s="1"/>
  <c r="AI425" i="8" s="1"/>
  <c r="AF494" i="8"/>
  <c r="AG494" i="8" s="1"/>
  <c r="AI494" i="8" s="1"/>
  <c r="AF347" i="8"/>
  <c r="AG347" i="8" s="1"/>
  <c r="AI347" i="8" s="1"/>
  <c r="AF491" i="8"/>
  <c r="AG491" i="8" s="1"/>
  <c r="AI491" i="8" s="1"/>
  <c r="AF365" i="8"/>
  <c r="AG365" i="8" s="1"/>
  <c r="AI365" i="8" s="1"/>
  <c r="AF420" i="8"/>
  <c r="AG420" i="8" s="1"/>
  <c r="AI420" i="8" s="1"/>
  <c r="AF528" i="8"/>
  <c r="AG528" i="8" s="1"/>
  <c r="AI528" i="8" s="1"/>
  <c r="AF592" i="8"/>
  <c r="AG592" i="8" s="1"/>
  <c r="AI592" i="8" s="1"/>
  <c r="AF656" i="8"/>
  <c r="AG656" i="8" s="1"/>
  <c r="AI656" i="8" s="1"/>
  <c r="AF720" i="8"/>
  <c r="AG720" i="8" s="1"/>
  <c r="AI720" i="8" s="1"/>
  <c r="AF593" i="8"/>
  <c r="AG593" i="8" s="1"/>
  <c r="AI593" i="8" s="1"/>
  <c r="AF749" i="8"/>
  <c r="AG749" i="8" s="1"/>
  <c r="AI749" i="8" s="1"/>
  <c r="AF813" i="8"/>
  <c r="AF877" i="8"/>
  <c r="AG877" i="8" s="1"/>
  <c r="AI877" i="8" s="1"/>
  <c r="AF579" i="8"/>
  <c r="AG579" i="8" s="1"/>
  <c r="AI579" i="8" s="1"/>
  <c r="AF660" i="8"/>
  <c r="AG660" i="8" s="1"/>
  <c r="AI660" i="8" s="1"/>
  <c r="AF770" i="8"/>
  <c r="AF834" i="8"/>
  <c r="AG834" i="8" s="1"/>
  <c r="AI834" i="8" s="1"/>
  <c r="AF898" i="8"/>
  <c r="AG898" i="8" s="1"/>
  <c r="AI898" i="8" s="1"/>
  <c r="AF662" i="8"/>
  <c r="AG662" i="8" s="1"/>
  <c r="AI662" i="8" s="1"/>
  <c r="AF706" i="8"/>
  <c r="AG706" i="8" s="1"/>
  <c r="AI706" i="8" s="1"/>
  <c r="AF759" i="8"/>
  <c r="AG759" i="8" s="1"/>
  <c r="AI759" i="8" s="1"/>
  <c r="AF590" i="8"/>
  <c r="AG590" i="8" s="1"/>
  <c r="AI590" i="8" s="1"/>
  <c r="AF708" i="8"/>
  <c r="AG708" i="8" s="1"/>
  <c r="AI708" i="8" s="1"/>
  <c r="AF748" i="8"/>
  <c r="AG748" i="8" s="1"/>
  <c r="AI748" i="8" s="1"/>
  <c r="AF769" i="8"/>
  <c r="AG769" i="8" s="1"/>
  <c r="AI769" i="8" s="1"/>
  <c r="AF598" i="8"/>
  <c r="AG598" i="8" s="1"/>
  <c r="AI598" i="8" s="1"/>
  <c r="AF639" i="8"/>
  <c r="AG639" i="8" s="1"/>
  <c r="AI639" i="8" s="1"/>
  <c r="AF726" i="8"/>
  <c r="AG726" i="8" s="1"/>
  <c r="AI726" i="8" s="1"/>
  <c r="AF641" i="8"/>
  <c r="AF685" i="8"/>
  <c r="AF615" i="8"/>
  <c r="AG615" i="8" s="1"/>
  <c r="AI615" i="8" s="1"/>
  <c r="AF707" i="8"/>
  <c r="AG707" i="8" s="1"/>
  <c r="AI707" i="8" s="1"/>
  <c r="AF760" i="8"/>
  <c r="AG760" i="8" s="1"/>
  <c r="AI760" i="8" s="1"/>
  <c r="AF824" i="8"/>
  <c r="AG824" i="8" s="1"/>
  <c r="AI824" i="8" s="1"/>
  <c r="AF888" i="8"/>
  <c r="AG888" i="8" s="1"/>
  <c r="AI888" i="8" s="1"/>
  <c r="AF846" i="8"/>
  <c r="AG846" i="8" s="1"/>
  <c r="AI846" i="8" s="1"/>
  <c r="AF886" i="8"/>
  <c r="AG886" i="8" s="1"/>
  <c r="AI886" i="8" s="1"/>
  <c r="AF920" i="8"/>
  <c r="AG920" i="8" s="1"/>
  <c r="AI920" i="8" s="1"/>
  <c r="AF948" i="8"/>
  <c r="AG948" i="8" s="1"/>
  <c r="AI948" i="8" s="1"/>
  <c r="AF1012" i="8"/>
  <c r="AG1012" i="8" s="1"/>
  <c r="AI1012" i="8" s="1"/>
  <c r="AF854" i="8"/>
  <c r="AG854" i="8" s="1"/>
  <c r="AI854" i="8" s="1"/>
  <c r="AF953" i="8"/>
  <c r="AG953" i="8" s="1"/>
  <c r="AI953" i="8" s="1"/>
  <c r="AF1017" i="8"/>
  <c r="AG1017" i="8" s="1"/>
  <c r="AI1017" i="8" s="1"/>
  <c r="AF862" i="8"/>
  <c r="AG862" i="8" s="1"/>
  <c r="AI862" i="8" s="1"/>
  <c r="AF958" i="8"/>
  <c r="AG958" i="8" s="1"/>
  <c r="AI958" i="8" s="1"/>
  <c r="AF1022" i="8"/>
  <c r="AG1022" i="8" s="1"/>
  <c r="AI1022" i="8" s="1"/>
  <c r="AF796" i="8"/>
  <c r="AG796" i="8" s="1"/>
  <c r="AI796" i="8" s="1"/>
  <c r="AF928" i="8"/>
  <c r="AG928" i="8" s="1"/>
  <c r="AI928" i="8" s="1"/>
  <c r="AF955" i="8"/>
  <c r="AG955" i="8" s="1"/>
  <c r="AI955" i="8" s="1"/>
  <c r="AF1019" i="8"/>
  <c r="AG1019" i="8" s="1"/>
  <c r="AI1019" i="8" s="1"/>
  <c r="AF878" i="8"/>
  <c r="AG878" i="8" s="1"/>
  <c r="AI878" i="8" s="1"/>
  <c r="AF968" i="8"/>
  <c r="AG968" i="8" s="1"/>
  <c r="AI968" i="8" s="1"/>
  <c r="AF1032" i="8"/>
  <c r="AG1032" i="8" s="1"/>
  <c r="AI1032" i="8" s="1"/>
  <c r="AF881" i="8"/>
  <c r="AG881" i="8" s="1"/>
  <c r="AI881" i="8" s="1"/>
  <c r="AF915" i="8"/>
  <c r="AG915" i="8" s="1"/>
  <c r="AI915" i="8" s="1"/>
  <c r="AF957" i="8"/>
  <c r="AG957" i="8" s="1"/>
  <c r="AI957" i="8" s="1"/>
  <c r="AF1021" i="8"/>
  <c r="AG1021" i="8" s="1"/>
  <c r="AI1021" i="8" s="1"/>
  <c r="AF946" i="8"/>
  <c r="AG946" i="8" s="1"/>
  <c r="AI946" i="8" s="1"/>
  <c r="AF1010" i="8"/>
  <c r="AG1010" i="8" s="1"/>
  <c r="AI1010" i="8" s="1"/>
  <c r="AF1074" i="8"/>
  <c r="AG1074" i="8" s="1"/>
  <c r="AI1074" i="8" s="1"/>
  <c r="AF903" i="8"/>
  <c r="AG903" i="8" s="1"/>
  <c r="AI903" i="8" s="1"/>
  <c r="AF999" i="8"/>
  <c r="AG999" i="8" s="1"/>
  <c r="AI999" i="8" s="1"/>
  <c r="AF1063" i="8"/>
  <c r="AG1063" i="8" s="1"/>
  <c r="AI1063" i="8" s="1"/>
  <c r="AF476" i="8"/>
  <c r="AG476" i="8" s="1"/>
  <c r="AI476" i="8" s="1"/>
  <c r="AF596" i="8"/>
  <c r="AG596" i="8" s="1"/>
  <c r="AI596" i="8" s="1"/>
  <c r="AF636" i="8"/>
  <c r="AG636" i="8" s="1"/>
  <c r="AI636" i="8" s="1"/>
  <c r="AF395" i="8"/>
  <c r="AG395" i="8" s="1"/>
  <c r="AI395" i="8" s="1"/>
  <c r="AF412" i="8"/>
  <c r="AG412" i="8" s="1"/>
  <c r="AI412" i="8" s="1"/>
  <c r="AF521" i="8"/>
  <c r="AG521" i="8" s="1"/>
  <c r="AI521" i="8" s="1"/>
  <c r="AF354" i="8"/>
  <c r="AG354" i="8" s="1"/>
  <c r="AI354" i="8" s="1"/>
  <c r="AF456" i="8"/>
  <c r="AG456" i="8" s="1"/>
  <c r="AI456" i="8" s="1"/>
  <c r="AF470" i="8"/>
  <c r="AG470" i="8" s="1"/>
  <c r="AI470" i="8" s="1"/>
  <c r="AF534" i="8"/>
  <c r="AG534" i="8" s="1"/>
  <c r="AI534" i="8" s="1"/>
  <c r="AF438" i="8"/>
  <c r="AG438" i="8" s="1"/>
  <c r="AI438" i="8" s="1"/>
  <c r="AF467" i="8"/>
  <c r="AG467" i="8" s="1"/>
  <c r="AI467" i="8" s="1"/>
  <c r="AF531" i="8"/>
  <c r="AG531" i="8" s="1"/>
  <c r="AI531" i="8" s="1"/>
  <c r="AF451" i="8"/>
  <c r="AG451" i="8" s="1"/>
  <c r="AI451" i="8" s="1"/>
  <c r="AF504" i="8"/>
  <c r="AG504" i="8" s="1"/>
  <c r="AI504" i="8" s="1"/>
  <c r="AF568" i="8"/>
  <c r="AG568" i="8" s="1"/>
  <c r="AI568" i="8" s="1"/>
  <c r="AF632" i="8"/>
  <c r="AG632" i="8" s="1"/>
  <c r="AI632" i="8" s="1"/>
  <c r="AF696" i="8"/>
  <c r="AG696" i="8" s="1"/>
  <c r="AI696" i="8" s="1"/>
  <c r="AF621" i="8"/>
  <c r="AG621" i="8" s="1"/>
  <c r="AI621" i="8" s="1"/>
  <c r="AF667" i="8"/>
  <c r="AG667" i="8" s="1"/>
  <c r="AI667" i="8" s="1"/>
  <c r="AF711" i="8"/>
  <c r="AG711" i="8" s="1"/>
  <c r="AI711" i="8" s="1"/>
  <c r="AF725" i="8"/>
  <c r="AG725" i="8" s="1"/>
  <c r="AI725" i="8" s="1"/>
  <c r="AF789" i="8"/>
  <c r="AG789" i="8" s="1"/>
  <c r="AI789" i="8" s="1"/>
  <c r="AF853" i="8"/>
  <c r="AG853" i="8" s="1"/>
  <c r="AI853" i="8" s="1"/>
  <c r="AF585" i="8"/>
  <c r="AF691" i="8"/>
  <c r="AG691" i="8" s="1"/>
  <c r="AI691" i="8" s="1"/>
  <c r="AF746" i="8"/>
  <c r="AG746" i="8" s="1"/>
  <c r="AI746" i="8" s="1"/>
  <c r="AF810" i="8"/>
  <c r="AG810" i="8" s="1"/>
  <c r="AI810" i="8" s="1"/>
  <c r="AF874" i="8"/>
  <c r="AG874" i="8" s="1"/>
  <c r="AI874" i="8" s="1"/>
  <c r="AF938" i="8"/>
  <c r="AG938" i="8" s="1"/>
  <c r="AI938" i="8" s="1"/>
  <c r="AF735" i="8"/>
  <c r="AG735" i="8" s="1"/>
  <c r="AI735" i="8" s="1"/>
  <c r="AF666" i="8"/>
  <c r="AG666" i="8" s="1"/>
  <c r="AI666" i="8" s="1"/>
  <c r="AF724" i="8"/>
  <c r="AG724" i="8" s="1"/>
  <c r="AI724" i="8" s="1"/>
  <c r="AF582" i="8"/>
  <c r="AG582" i="8" s="1"/>
  <c r="AI582" i="8" s="1"/>
  <c r="AF646" i="8"/>
  <c r="AG646" i="8" s="1"/>
  <c r="AI646" i="8" s="1"/>
  <c r="AF690" i="8"/>
  <c r="AG690" i="8" s="1"/>
  <c r="AI690" i="8" s="1"/>
  <c r="AF745" i="8"/>
  <c r="AF563" i="8"/>
  <c r="AF670" i="8"/>
  <c r="AG670" i="8" s="1"/>
  <c r="AI670" i="8" s="1"/>
  <c r="AF714" i="8"/>
  <c r="AG714" i="8" s="1"/>
  <c r="AI714" i="8" s="1"/>
  <c r="AF716" i="8"/>
  <c r="AG716" i="8" s="1"/>
  <c r="AI716" i="8" s="1"/>
  <c r="AF755" i="8"/>
  <c r="AG755" i="8" s="1"/>
  <c r="AI755" i="8" s="1"/>
  <c r="AF665" i="8"/>
  <c r="AG665" i="8" s="1"/>
  <c r="AI665" i="8" s="1"/>
  <c r="AF709" i="8"/>
  <c r="AG709" i="8" s="1"/>
  <c r="AI709" i="8" s="1"/>
  <c r="AF736" i="8"/>
  <c r="AG736" i="8" s="1"/>
  <c r="AI736" i="8" s="1"/>
  <c r="AF800" i="8"/>
  <c r="AG800" i="8" s="1"/>
  <c r="AI800" i="8" s="1"/>
  <c r="AF864" i="8"/>
  <c r="AG864" i="8" s="1"/>
  <c r="AI864" i="8" s="1"/>
  <c r="AF787" i="8"/>
  <c r="AG787" i="8" s="1"/>
  <c r="AI787" i="8" s="1"/>
  <c r="AF988" i="8"/>
  <c r="AF1052" i="8"/>
  <c r="AG1052" i="8" s="1"/>
  <c r="AI1052" i="8" s="1"/>
  <c r="AF795" i="8"/>
  <c r="AG795" i="8" s="1"/>
  <c r="AI795" i="8" s="1"/>
  <c r="AF895" i="8"/>
  <c r="AG895" i="8" s="1"/>
  <c r="AI895" i="8" s="1"/>
  <c r="AF993" i="8"/>
  <c r="AG993" i="8" s="1"/>
  <c r="AI993" i="8" s="1"/>
  <c r="AF1057" i="8"/>
  <c r="AG1057" i="8" s="1"/>
  <c r="AI1057" i="8" s="1"/>
  <c r="AF782" i="8"/>
  <c r="AG782" i="8" s="1"/>
  <c r="AI782" i="8" s="1"/>
  <c r="AF803" i="8"/>
  <c r="AG803" i="8" s="1"/>
  <c r="AI803" i="8" s="1"/>
  <c r="AF998" i="8"/>
  <c r="AG998" i="8" s="1"/>
  <c r="AI998" i="8" s="1"/>
  <c r="AF1062" i="8"/>
  <c r="AG1062" i="8" s="1"/>
  <c r="AI1062" i="8" s="1"/>
  <c r="AF860" i="8"/>
  <c r="AG860" i="8" s="1"/>
  <c r="AI860" i="8" s="1"/>
  <c r="AF995" i="8"/>
  <c r="AG995" i="8" s="1"/>
  <c r="AI995" i="8" s="1"/>
  <c r="AF1059" i="8"/>
  <c r="AG1059" i="8" s="1"/>
  <c r="AI1059" i="8" s="1"/>
  <c r="AF774" i="8"/>
  <c r="AG774" i="8" s="1"/>
  <c r="AI774" i="8" s="1"/>
  <c r="AF799" i="8"/>
  <c r="AG799" i="8" s="1"/>
  <c r="AI799" i="8" s="1"/>
  <c r="AF819" i="8"/>
  <c r="AG819" i="8" s="1"/>
  <c r="AI819" i="8" s="1"/>
  <c r="AF944" i="8"/>
  <c r="AG944" i="8" s="1"/>
  <c r="AI944" i="8" s="1"/>
  <c r="AF1008" i="8"/>
  <c r="AG1008" i="8" s="1"/>
  <c r="AI1008" i="8" s="1"/>
  <c r="AF1072" i="8"/>
  <c r="AG1072" i="8" s="1"/>
  <c r="AI1072" i="8" s="1"/>
  <c r="AF822" i="8"/>
  <c r="AG822" i="8" s="1"/>
  <c r="AI822" i="8" s="1"/>
  <c r="AF883" i="8"/>
  <c r="AG883" i="8" s="1"/>
  <c r="AI883" i="8" s="1"/>
  <c r="AF997" i="8"/>
  <c r="AG997" i="8" s="1"/>
  <c r="AI997" i="8" s="1"/>
  <c r="AF1061" i="8"/>
  <c r="AG1061" i="8" s="1"/>
  <c r="AI1061" i="8" s="1"/>
  <c r="AF825" i="8"/>
  <c r="AG825" i="8" s="1"/>
  <c r="AI825" i="8" s="1"/>
  <c r="AF986" i="8"/>
  <c r="AG986" i="8" s="1"/>
  <c r="AI986" i="8" s="1"/>
  <c r="AF1050" i="8"/>
  <c r="AG1050" i="8" s="1"/>
  <c r="AI1050" i="8" s="1"/>
  <c r="AF828" i="8"/>
  <c r="AG828" i="8" s="1"/>
  <c r="AI828" i="8" s="1"/>
  <c r="AF905" i="8"/>
  <c r="AG905" i="8" s="1"/>
  <c r="AI905" i="8" s="1"/>
  <c r="AF975" i="8"/>
  <c r="AF1039" i="8"/>
  <c r="AF471" i="8"/>
  <c r="AG471" i="8" s="1"/>
  <c r="AI471" i="8" s="1"/>
  <c r="AF519" i="8"/>
  <c r="AG519" i="8" s="1"/>
  <c r="AI519" i="8" s="1"/>
  <c r="AF392" i="8"/>
  <c r="AG392" i="8" s="1"/>
  <c r="AI392" i="8" s="1"/>
  <c r="AF430" i="8"/>
  <c r="AG430" i="8" s="1"/>
  <c r="AI430" i="8" s="1"/>
  <c r="AF508" i="8"/>
  <c r="AG508" i="8" s="1"/>
  <c r="AI508" i="8" s="1"/>
  <c r="AF524" i="8"/>
  <c r="AG524" i="8" s="1"/>
  <c r="AI524" i="8" s="1"/>
  <c r="AF443" i="8"/>
  <c r="AG443" i="8" s="1"/>
  <c r="AI443" i="8" s="1"/>
  <c r="AF497" i="8"/>
  <c r="AG497" i="8" s="1"/>
  <c r="AI497" i="8" s="1"/>
  <c r="AF561" i="8"/>
  <c r="AG561" i="8" s="1"/>
  <c r="AI561" i="8" s="1"/>
  <c r="AF398" i="8"/>
  <c r="AG398" i="8" s="1"/>
  <c r="AI398" i="8" s="1"/>
  <c r="AF414" i="8"/>
  <c r="AG414" i="8" s="1"/>
  <c r="AI414" i="8" s="1"/>
  <c r="AF510" i="8"/>
  <c r="AG510" i="8" s="1"/>
  <c r="AI510" i="8" s="1"/>
  <c r="AF352" i="8"/>
  <c r="AG352" i="8" s="1"/>
  <c r="AI352" i="8" s="1"/>
  <c r="AF507" i="8"/>
  <c r="AG507" i="8" s="1"/>
  <c r="AI507" i="8" s="1"/>
  <c r="AF350" i="8"/>
  <c r="AG350" i="8" s="1"/>
  <c r="AI350" i="8" s="1"/>
  <c r="AF370" i="8"/>
  <c r="AG370" i="8" s="1"/>
  <c r="AI370" i="8" s="1"/>
  <c r="AF409" i="8"/>
  <c r="AG409" i="8" s="1"/>
  <c r="AI409" i="8" s="1"/>
  <c r="AF480" i="8"/>
  <c r="AG480" i="8" s="1"/>
  <c r="AI480" i="8" s="1"/>
  <c r="AF544" i="8"/>
  <c r="AG544" i="8" s="1"/>
  <c r="AI544" i="8" s="1"/>
  <c r="AF608" i="8"/>
  <c r="AG608" i="8" s="1"/>
  <c r="AI608" i="8" s="1"/>
  <c r="AF672" i="8"/>
  <c r="AG672" i="8" s="1"/>
  <c r="AI672" i="8" s="1"/>
  <c r="AF623" i="8"/>
  <c r="AG623" i="8" s="1"/>
  <c r="AI623" i="8" s="1"/>
  <c r="AF669" i="8"/>
  <c r="AG669" i="8" s="1"/>
  <c r="AI669" i="8" s="1"/>
  <c r="AF765" i="8"/>
  <c r="AG765" i="8" s="1"/>
  <c r="AI765" i="8" s="1"/>
  <c r="AF829" i="8"/>
  <c r="AG829" i="8" s="1"/>
  <c r="AI829" i="8" s="1"/>
  <c r="AF634" i="8"/>
  <c r="AG634" i="8" s="1"/>
  <c r="AI634" i="8" s="1"/>
  <c r="AF649" i="8"/>
  <c r="AF693" i="8"/>
  <c r="AG693" i="8" s="1"/>
  <c r="AI693" i="8" s="1"/>
  <c r="AF722" i="8"/>
  <c r="AG722" i="8" s="1"/>
  <c r="AI722" i="8" s="1"/>
  <c r="AF786" i="8"/>
  <c r="AG786" i="8" s="1"/>
  <c r="AI786" i="8" s="1"/>
  <c r="AF850" i="8"/>
  <c r="AG850" i="8" s="1"/>
  <c r="AI850" i="8" s="1"/>
  <c r="AF914" i="8"/>
  <c r="AG914" i="8" s="1"/>
  <c r="AI914" i="8" s="1"/>
  <c r="AF619" i="8"/>
  <c r="AG619" i="8" s="1"/>
  <c r="AI619" i="8" s="1"/>
  <c r="AF651" i="8"/>
  <c r="AG651" i="8" s="1"/>
  <c r="AI651" i="8" s="1"/>
  <c r="AF695" i="8"/>
  <c r="AG695" i="8" s="1"/>
  <c r="AI695" i="8" s="1"/>
  <c r="AF775" i="8"/>
  <c r="AG775" i="8" s="1"/>
  <c r="AI775" i="8" s="1"/>
  <c r="AF555" i="8"/>
  <c r="AG555" i="8" s="1"/>
  <c r="AI555" i="8" s="1"/>
  <c r="AF697" i="8"/>
  <c r="AG697" i="8" s="1"/>
  <c r="AI697" i="8" s="1"/>
  <c r="AF764" i="8"/>
  <c r="AG764" i="8" s="1"/>
  <c r="AI764" i="8" s="1"/>
  <c r="AF721" i="8"/>
  <c r="AG721" i="8" s="1"/>
  <c r="AI721" i="8" s="1"/>
  <c r="AF742" i="8"/>
  <c r="AG742" i="8" s="1"/>
  <c r="AI742" i="8" s="1"/>
  <c r="AF629" i="8"/>
  <c r="AG629" i="8" s="1"/>
  <c r="AI629" i="8" s="1"/>
  <c r="AF674" i="8"/>
  <c r="AG674" i="8" s="1"/>
  <c r="AI674" i="8" s="1"/>
  <c r="AF731" i="8"/>
  <c r="AG731" i="8" s="1"/>
  <c r="AI731" i="8" s="1"/>
  <c r="AF776" i="8"/>
  <c r="AG776" i="8" s="1"/>
  <c r="AI776" i="8" s="1"/>
  <c r="AF840" i="8"/>
  <c r="AG840" i="8" s="1"/>
  <c r="AI840" i="8" s="1"/>
  <c r="AF904" i="8"/>
  <c r="AG904" i="8" s="1"/>
  <c r="AI904" i="8" s="1"/>
  <c r="AF831" i="8"/>
  <c r="AG831" i="8" s="1"/>
  <c r="AI831" i="8" s="1"/>
  <c r="AF851" i="8"/>
  <c r="AG851" i="8" s="1"/>
  <c r="AI851" i="8" s="1"/>
  <c r="AF964" i="8"/>
  <c r="AG964" i="8" s="1"/>
  <c r="AI964" i="8" s="1"/>
  <c r="AF1028" i="8"/>
  <c r="AG1028" i="8" s="1"/>
  <c r="AI1028" i="8" s="1"/>
  <c r="AF771" i="8"/>
  <c r="AG771" i="8" s="1"/>
  <c r="AI771" i="8" s="1"/>
  <c r="AF839" i="8"/>
  <c r="AF859" i="8"/>
  <c r="AG859" i="8" s="1"/>
  <c r="AI859" i="8" s="1"/>
  <c r="AF897" i="8"/>
  <c r="AG897" i="8" s="1"/>
  <c r="AI897" i="8" s="1"/>
  <c r="AF969" i="8"/>
  <c r="AG969" i="8" s="1"/>
  <c r="AI969" i="8" s="1"/>
  <c r="AF1033" i="8"/>
  <c r="AG1033" i="8" s="1"/>
  <c r="AI1033" i="8" s="1"/>
  <c r="AF847" i="8"/>
  <c r="AG847" i="8" s="1"/>
  <c r="AI847" i="8" s="1"/>
  <c r="AF867" i="8"/>
  <c r="AG867" i="8" s="1"/>
  <c r="AI867" i="8" s="1"/>
  <c r="AF974" i="8"/>
  <c r="AG974" i="8" s="1"/>
  <c r="AI974" i="8" s="1"/>
  <c r="AF1038" i="8"/>
  <c r="AG1038" i="8" s="1"/>
  <c r="AI1038" i="8" s="1"/>
  <c r="AF779" i="8"/>
  <c r="AF801" i="8"/>
  <c r="AF971" i="8"/>
  <c r="AG971" i="8" s="1"/>
  <c r="AI971" i="8" s="1"/>
  <c r="AF1035" i="8"/>
  <c r="AG1035" i="8" s="1"/>
  <c r="AI1035" i="8" s="1"/>
  <c r="AF780" i="8"/>
  <c r="AG780" i="8" s="1"/>
  <c r="AI780" i="8" s="1"/>
  <c r="AF863" i="8"/>
  <c r="AG863" i="8" s="1"/>
  <c r="AI863" i="8" s="1"/>
  <c r="AF900" i="8"/>
  <c r="AG900" i="8" s="1"/>
  <c r="AI900" i="8" s="1"/>
  <c r="AF917" i="8"/>
  <c r="AG917" i="8" s="1"/>
  <c r="AI917" i="8" s="1"/>
  <c r="AF932" i="8"/>
  <c r="AG932" i="8" s="1"/>
  <c r="AI932" i="8" s="1"/>
  <c r="AF984" i="8"/>
  <c r="AG984" i="8" s="1"/>
  <c r="AI984" i="8" s="1"/>
  <c r="AF1048" i="8"/>
  <c r="AG1048" i="8" s="1"/>
  <c r="AI1048" i="8" s="1"/>
  <c r="AF934" i="8"/>
  <c r="AG934" i="8" s="1"/>
  <c r="AI934" i="8" s="1"/>
  <c r="AF973" i="8"/>
  <c r="AG973" i="8" s="1"/>
  <c r="AI973" i="8" s="1"/>
  <c r="AF1037" i="8"/>
  <c r="AG1037" i="8" s="1"/>
  <c r="AI1037" i="8" s="1"/>
  <c r="AF936" i="8"/>
  <c r="AG936" i="8" s="1"/>
  <c r="AI936" i="8" s="1"/>
  <c r="AF962" i="8"/>
  <c r="AG962" i="8" s="1"/>
  <c r="AI962" i="8" s="1"/>
  <c r="AF1026" i="8"/>
  <c r="AG1026" i="8" s="1"/>
  <c r="AI1026" i="8" s="1"/>
  <c r="AF907" i="8"/>
  <c r="AG907" i="8" s="1"/>
  <c r="AI907" i="8" s="1"/>
  <c r="AF951" i="8"/>
  <c r="AG951" i="8" s="1"/>
  <c r="AI951" i="8" s="1"/>
  <c r="AF1015" i="8"/>
  <c r="AG1015" i="8" s="1"/>
  <c r="AI1015" i="8" s="1"/>
  <c r="AF583" i="8"/>
  <c r="AG583" i="8" s="1"/>
  <c r="AI583" i="8" s="1"/>
  <c r="AF540" i="8"/>
  <c r="AG540" i="8" s="1"/>
  <c r="AI540" i="8" s="1"/>
  <c r="AF612" i="8"/>
  <c r="AG612" i="8" s="1"/>
  <c r="AI612" i="8" s="1"/>
  <c r="AF400" i="8"/>
  <c r="AG400" i="8" s="1"/>
  <c r="AI400" i="8" s="1"/>
  <c r="AF473" i="8"/>
  <c r="AG473" i="8" s="1"/>
  <c r="AI473" i="8" s="1"/>
  <c r="AF537" i="8"/>
  <c r="AG537" i="8" s="1"/>
  <c r="AI537" i="8" s="1"/>
  <c r="AF445" i="8"/>
  <c r="AG445" i="8" s="1"/>
  <c r="AI445" i="8" s="1"/>
  <c r="AF486" i="8"/>
  <c r="AG486" i="8" s="1"/>
  <c r="AI486" i="8" s="1"/>
  <c r="AF427" i="8"/>
  <c r="AG427" i="8" s="1"/>
  <c r="AI427" i="8" s="1"/>
  <c r="AF483" i="8"/>
  <c r="AG483" i="8" s="1"/>
  <c r="AI483" i="8" s="1"/>
  <c r="AF314" i="8"/>
  <c r="AG314" i="8" s="1"/>
  <c r="AI314" i="8" s="1"/>
  <c r="AF440" i="8"/>
  <c r="AG440" i="8" s="1"/>
  <c r="AI440" i="8" s="1"/>
  <c r="AF520" i="8"/>
  <c r="AG520" i="8" s="1"/>
  <c r="AI520" i="8" s="1"/>
  <c r="AF584" i="8"/>
  <c r="AF648" i="8"/>
  <c r="AG648" i="8" s="1"/>
  <c r="AI648" i="8" s="1"/>
  <c r="AF712" i="8"/>
  <c r="AG712" i="8" s="1"/>
  <c r="AI712" i="8" s="1"/>
  <c r="AF566" i="8"/>
  <c r="AG566" i="8" s="1"/>
  <c r="AI566" i="8" s="1"/>
  <c r="AF700" i="8"/>
  <c r="AG700" i="8" s="1"/>
  <c r="AI700" i="8" s="1"/>
  <c r="AF741" i="8"/>
  <c r="AG741" i="8" s="1"/>
  <c r="AI741" i="8" s="1"/>
  <c r="AF805" i="8"/>
  <c r="AG805" i="8" s="1"/>
  <c r="AI805" i="8" s="1"/>
  <c r="AF869" i="8"/>
  <c r="AG869" i="8" s="1"/>
  <c r="AI869" i="8" s="1"/>
  <c r="AF547" i="8"/>
  <c r="AG547" i="8" s="1"/>
  <c r="AI547" i="8" s="1"/>
  <c r="AF762" i="8"/>
  <c r="AG762" i="8" s="1"/>
  <c r="AI762" i="8" s="1"/>
  <c r="AF826" i="8"/>
  <c r="AG826" i="8" s="1"/>
  <c r="AI826" i="8" s="1"/>
  <c r="AF890" i="8"/>
  <c r="AG890" i="8" s="1"/>
  <c r="AI890" i="8" s="1"/>
  <c r="AF653" i="8"/>
  <c r="AG653" i="8" s="1"/>
  <c r="AI653" i="8" s="1"/>
  <c r="AF751" i="8"/>
  <c r="AG751" i="8" s="1"/>
  <c r="AI751" i="8" s="1"/>
  <c r="AF655" i="8"/>
  <c r="AG655" i="8" s="1"/>
  <c r="AI655" i="8" s="1"/>
  <c r="AF740" i="8"/>
  <c r="AG740" i="8" s="1"/>
  <c r="AI740" i="8" s="1"/>
  <c r="AF617" i="8"/>
  <c r="AG617" i="8" s="1"/>
  <c r="AI617" i="8" s="1"/>
  <c r="AF679" i="8"/>
  <c r="AG679" i="8" s="1"/>
  <c r="AI679" i="8" s="1"/>
  <c r="AF761" i="8"/>
  <c r="AG761" i="8" s="1"/>
  <c r="AI761" i="8" s="1"/>
  <c r="AF659" i="8"/>
  <c r="AG659" i="8" s="1"/>
  <c r="AI659" i="8" s="1"/>
  <c r="AF703" i="8"/>
  <c r="AG703" i="8" s="1"/>
  <c r="AI703" i="8" s="1"/>
  <c r="AF611" i="8"/>
  <c r="AG611" i="8" s="1"/>
  <c r="AI611" i="8" s="1"/>
  <c r="AF631" i="8"/>
  <c r="AG631" i="8" s="1"/>
  <c r="AI631" i="8" s="1"/>
  <c r="AF705" i="8"/>
  <c r="AG705" i="8" s="1"/>
  <c r="AI705" i="8" s="1"/>
  <c r="AF599" i="8"/>
  <c r="AG599" i="8" s="1"/>
  <c r="AI599" i="8" s="1"/>
  <c r="AF654" i="8"/>
  <c r="AG654" i="8" s="1"/>
  <c r="AI654" i="8" s="1"/>
  <c r="AF698" i="8"/>
  <c r="AG698" i="8" s="1"/>
  <c r="AI698" i="8" s="1"/>
  <c r="AF752" i="8"/>
  <c r="AG752" i="8" s="1"/>
  <c r="AI752" i="8" s="1"/>
  <c r="AF816" i="8"/>
  <c r="AG816" i="8" s="1"/>
  <c r="AI816" i="8" s="1"/>
  <c r="AF880" i="8"/>
  <c r="AG880" i="8" s="1"/>
  <c r="AI880" i="8" s="1"/>
  <c r="AF940" i="8"/>
  <c r="AG940" i="8" s="1"/>
  <c r="AI940" i="8" s="1"/>
  <c r="AF1004" i="8"/>
  <c r="AG1004" i="8" s="1"/>
  <c r="AI1004" i="8" s="1"/>
  <c r="AF1068" i="8"/>
  <c r="AG1068" i="8" s="1"/>
  <c r="AI1068" i="8" s="1"/>
  <c r="AF899" i="8"/>
  <c r="AG899" i="8" s="1"/>
  <c r="AI899" i="8" s="1"/>
  <c r="AF945" i="8"/>
  <c r="AG945" i="8" s="1"/>
  <c r="AI945" i="8" s="1"/>
  <c r="AF1009" i="8"/>
  <c r="AG1009" i="8" s="1"/>
  <c r="AI1009" i="8" s="1"/>
  <c r="AF1073" i="8"/>
  <c r="AG1073" i="8" s="1"/>
  <c r="AI1073" i="8" s="1"/>
  <c r="AF788" i="8"/>
  <c r="AG788" i="8" s="1"/>
  <c r="AI788" i="8" s="1"/>
  <c r="AF937" i="8"/>
  <c r="AG937" i="8" s="1"/>
  <c r="AI937" i="8" s="1"/>
  <c r="AF950" i="8"/>
  <c r="AG950" i="8" s="1"/>
  <c r="AI950" i="8" s="1"/>
  <c r="AF1014" i="8"/>
  <c r="AG1014" i="8" s="1"/>
  <c r="AI1014" i="8" s="1"/>
  <c r="AF865" i="8"/>
  <c r="AG865" i="8" s="1"/>
  <c r="AI865" i="8" s="1"/>
  <c r="AF919" i="8"/>
  <c r="AG919" i="8" s="1"/>
  <c r="AI919" i="8" s="1"/>
  <c r="AF947" i="8"/>
  <c r="AG947" i="8" s="1"/>
  <c r="AI947" i="8" s="1"/>
  <c r="AF1011" i="8"/>
  <c r="AG1011" i="8" s="1"/>
  <c r="AI1011" i="8" s="1"/>
  <c r="AF1075" i="8"/>
  <c r="AG1075" i="8" s="1"/>
  <c r="AI1075" i="8" s="1"/>
  <c r="AF804" i="8"/>
  <c r="AG804" i="8" s="1"/>
  <c r="AI804" i="8" s="1"/>
  <c r="AF885" i="8"/>
  <c r="AG885" i="8" s="1"/>
  <c r="AI885" i="8" s="1"/>
  <c r="AF902" i="8"/>
  <c r="AG902" i="8" s="1"/>
  <c r="AI902" i="8" s="1"/>
  <c r="AF960" i="8"/>
  <c r="AG960" i="8" s="1"/>
  <c r="AI960" i="8" s="1"/>
  <c r="AF1024" i="8"/>
  <c r="AG1024" i="8" s="1"/>
  <c r="AI1024" i="8" s="1"/>
  <c r="AF807" i="8"/>
  <c r="AG807" i="8" s="1"/>
  <c r="AI807" i="8" s="1"/>
  <c r="AF827" i="8"/>
  <c r="AG827" i="8" s="1"/>
  <c r="AI827" i="8" s="1"/>
  <c r="AF949" i="8"/>
  <c r="AG949" i="8" s="1"/>
  <c r="AI949" i="8" s="1"/>
  <c r="AF1013" i="8"/>
  <c r="AG1013" i="8" s="1"/>
  <c r="AI1013" i="8" s="1"/>
  <c r="AF830" i="8"/>
  <c r="AG830" i="8" s="1"/>
  <c r="AI830" i="8" s="1"/>
  <c r="AF1002" i="8"/>
  <c r="AG1002" i="8" s="1"/>
  <c r="AI1002" i="8" s="1"/>
  <c r="AF1066" i="8"/>
  <c r="AG1066" i="8" s="1"/>
  <c r="AI1066" i="8" s="1"/>
  <c r="AF833" i="8"/>
  <c r="AG833" i="8" s="1"/>
  <c r="AI833" i="8" s="1"/>
  <c r="AF991" i="8"/>
  <c r="AG991" i="8" s="1"/>
  <c r="AI991" i="8" s="1"/>
  <c r="AF1055" i="8"/>
  <c r="AG1055" i="8" s="1"/>
  <c r="AI1055" i="8" s="1"/>
  <c r="AG839" i="8"/>
  <c r="AI839" i="8" s="1"/>
  <c r="AG585" i="8"/>
  <c r="AI585" i="8" s="1"/>
  <c r="AG1039" i="8"/>
  <c r="AI1039" i="8" s="1"/>
  <c r="AG685" i="8"/>
  <c r="AI685" i="8" s="1"/>
  <c r="AG641" i="8"/>
  <c r="AI641" i="8" s="1"/>
  <c r="AG422" i="8"/>
  <c r="AI422" i="8" s="1"/>
  <c r="AG801" i="8"/>
  <c r="AI801" i="8" s="1"/>
  <c r="AG675" i="8"/>
  <c r="AI675" i="8" s="1"/>
  <c r="AG383" i="8"/>
  <c r="AI383" i="8" s="1"/>
  <c r="AG518" i="8"/>
  <c r="AI518" i="8" s="1"/>
  <c r="AG943" i="8"/>
  <c r="AI943" i="8" s="1"/>
  <c r="AG757" i="8"/>
  <c r="AI757" i="8" s="1"/>
  <c r="AG563" i="8"/>
  <c r="AI563" i="8" s="1"/>
  <c r="AG1042" i="8"/>
  <c r="AI1042" i="8" s="1"/>
  <c r="AG976" i="8"/>
  <c r="AI976" i="8" s="1"/>
  <c r="AG770" i="8"/>
  <c r="AI770" i="8" s="1"/>
  <c r="AG502" i="8"/>
  <c r="AI502" i="8" s="1"/>
  <c r="AG620" i="8"/>
  <c r="AI620" i="8" s="1"/>
  <c r="AG701" i="8"/>
  <c r="AI701" i="8" s="1"/>
  <c r="AG340" i="8"/>
  <c r="AI340" i="8" s="1"/>
  <c r="AG309" i="8"/>
  <c r="AI309" i="8" s="1"/>
  <c r="AG247" i="8"/>
  <c r="AI247" i="8" s="1"/>
  <c r="AG371" i="8"/>
  <c r="AI371" i="8" s="1"/>
  <c r="AG274" i="8"/>
  <c r="AI274" i="8" s="1"/>
  <c r="AG243" i="8"/>
  <c r="AI243" i="8" s="1"/>
  <c r="AG264" i="8"/>
  <c r="AI264" i="8" s="1"/>
  <c r="AG554" i="8"/>
  <c r="AI554" i="8" s="1"/>
  <c r="AG295" i="8"/>
  <c r="AI295" i="8" s="1"/>
  <c r="AG299" i="8"/>
  <c r="AI299" i="8" s="1"/>
  <c r="AG132" i="8"/>
  <c r="AI132" i="8" s="1"/>
  <c r="AG156" i="8"/>
  <c r="AI156" i="8" s="1"/>
  <c r="AG152" i="8"/>
  <c r="AI152" i="8" s="1"/>
  <c r="AG161" i="8"/>
  <c r="AI161" i="8" s="1"/>
  <c r="AG96" i="8"/>
  <c r="AI96" i="8" s="1"/>
  <c r="AG169" i="8"/>
  <c r="AI169" i="8" s="1"/>
  <c r="AG153" i="8"/>
  <c r="AI153" i="8" s="1"/>
  <c r="AG66" i="8"/>
  <c r="AI66" i="8" s="1"/>
  <c r="AG91" i="8"/>
  <c r="AI91" i="8" s="1"/>
  <c r="AG499" i="8"/>
  <c r="AI499" i="8" s="1"/>
  <c r="AG975" i="8"/>
  <c r="AI975" i="8" s="1"/>
  <c r="AG790" i="8"/>
  <c r="AI790" i="8" s="1"/>
  <c r="AG552" i="8"/>
  <c r="AI552" i="8" s="1"/>
  <c r="AG988" i="8"/>
  <c r="AI988" i="8" s="1"/>
  <c r="AG813" i="8"/>
  <c r="AI813" i="8" s="1"/>
  <c r="AG887" i="8"/>
  <c r="AI887" i="8" s="1"/>
  <c r="AG913" i="8"/>
  <c r="AI913" i="8" s="1"/>
  <c r="AG779" i="8"/>
  <c r="AI779" i="8" s="1"/>
  <c r="AG896" i="8"/>
  <c r="AI896" i="8" s="1"/>
  <c r="AG649" i="8"/>
  <c r="AI649" i="8" s="1"/>
  <c r="AG832" i="8"/>
  <c r="AI832" i="8" s="1"/>
  <c r="AG745" i="8"/>
  <c r="AI745" i="8" s="1"/>
  <c r="AG584" i="8"/>
  <c r="AI584" i="8" s="1"/>
  <c r="AG809" i="8"/>
  <c r="AI809" i="8" s="1"/>
  <c r="AG855" i="8"/>
  <c r="AI855" i="8" s="1"/>
  <c r="AG434" i="8"/>
  <c r="AI434" i="8" s="1"/>
  <c r="AG815" i="8"/>
  <c r="AI815" i="8" s="1"/>
  <c r="AG564" i="8"/>
  <c r="AI564" i="8" s="1"/>
  <c r="AG296" i="8"/>
  <c r="AI296" i="8" s="1"/>
  <c r="AG257" i="8"/>
  <c r="AI257" i="8" s="1"/>
  <c r="AG432" i="8"/>
  <c r="AI432" i="8" s="1"/>
  <c r="AG55" i="8"/>
  <c r="AI55" i="8" s="1"/>
  <c r="AG333" i="8"/>
  <c r="AI333" i="8" s="1"/>
  <c r="AG171" i="8"/>
  <c r="AI171" i="8" s="1"/>
  <c r="AG339" i="8"/>
  <c r="AI339" i="8" s="1"/>
  <c r="AG186" i="8"/>
  <c r="AI186" i="8" s="1"/>
  <c r="AG516" i="8"/>
  <c r="AI516" i="8" s="1"/>
  <c r="AG514" i="8"/>
  <c r="AI514" i="8" s="1"/>
  <c r="AG381" i="8"/>
  <c r="AI381" i="8" s="1"/>
  <c r="AG100" i="8"/>
  <c r="AI100" i="8" s="1"/>
  <c r="AG97" i="8"/>
  <c r="AI97" i="8" s="1"/>
  <c r="AG145" i="8"/>
  <c r="AI145" i="8" s="1"/>
  <c r="AG123" i="8"/>
  <c r="AI123" i="8" s="1"/>
  <c r="AG105" i="8"/>
  <c r="AI105" i="8" s="1"/>
  <c r="AG144" i="8"/>
  <c r="AI144" i="8" s="1"/>
  <c r="AG141" i="8"/>
  <c r="AI141" i="8" s="1"/>
  <c r="AG241" i="8"/>
  <c r="AI241" i="8" s="1"/>
  <c r="AG222" i="8"/>
  <c r="AI222" i="8" s="1"/>
  <c r="AM63" i="8" l="1"/>
  <c r="AM64" i="8" s="1"/>
  <c r="AM65" i="8" s="1"/>
  <c r="AM66" i="8" s="1"/>
  <c r="AM67" i="8" s="1"/>
  <c r="AM68" i="8" s="1"/>
  <c r="AM69" i="8" s="1"/>
  <c r="AM70" i="8" s="1"/>
  <c r="AM71" i="8" s="1"/>
  <c r="AM72" i="8" s="1"/>
  <c r="I15" i="8"/>
  <c r="J15" i="8"/>
  <c r="H15" i="8"/>
  <c r="H20" i="8" s="1" a="1"/>
  <c r="I17" i="8"/>
  <c r="O17" i="8" s="1"/>
  <c r="J17" i="8"/>
  <c r="P17" i="8" s="1"/>
  <c r="H17" i="8"/>
  <c r="N17" i="8" s="1"/>
  <c r="H19" i="8" l="1" a="1"/>
  <c r="H19" i="8" s="1"/>
  <c r="H20" i="8"/>
  <c r="H18" i="8" a="1"/>
  <c r="H18" i="8" s="1"/>
  <c r="H36" i="8" a="1"/>
  <c r="H36" i="8" s="1"/>
  <c r="H51" i="8" a="1"/>
  <c r="H51" i="8" s="1"/>
  <c r="H67" i="8" a="1"/>
  <c r="H67" i="8" s="1"/>
  <c r="H83" i="8" a="1"/>
  <c r="H83" i="8" s="1"/>
  <c r="H37" i="8" a="1"/>
  <c r="H37" i="8" s="1"/>
  <c r="H52" i="8" a="1"/>
  <c r="H52" i="8" s="1"/>
  <c r="H68" i="8" a="1"/>
  <c r="H68" i="8" s="1"/>
  <c r="H84" i="8" a="1"/>
  <c r="H84" i="8" s="1"/>
  <c r="H38" i="8" a="1"/>
  <c r="H38" i="8" s="1"/>
  <c r="H53" i="8" a="1"/>
  <c r="H53" i="8" s="1"/>
  <c r="H69" i="8" a="1"/>
  <c r="H69" i="8" s="1"/>
  <c r="H85" i="8" a="1"/>
  <c r="H85" i="8" s="1"/>
  <c r="H23" i="8" a="1"/>
  <c r="H23" i="8" s="1"/>
  <c r="H39" i="8" a="1"/>
  <c r="H39" i="8" s="1"/>
  <c r="H54" i="8" a="1"/>
  <c r="H54" i="8" s="1"/>
  <c r="H70" i="8" a="1"/>
  <c r="H70" i="8" s="1"/>
  <c r="H86" i="8" a="1"/>
  <c r="H86" i="8" s="1"/>
  <c r="H24" i="8" a="1"/>
  <c r="H24" i="8" s="1"/>
  <c r="H40" i="8" a="1"/>
  <c r="H40" i="8" s="1"/>
  <c r="H55" i="8" a="1"/>
  <c r="H55" i="8" s="1"/>
  <c r="H71" i="8" a="1"/>
  <c r="H71" i="8" s="1"/>
  <c r="H87" i="8" a="1"/>
  <c r="H87" i="8" s="1"/>
  <c r="H25" i="8" a="1"/>
  <c r="H25" i="8" s="1"/>
  <c r="H72" i="8" a="1"/>
  <c r="H72" i="8" s="1"/>
  <c r="H26" i="8" a="1"/>
  <c r="H26" i="8" s="1"/>
  <c r="H73" i="8" a="1"/>
  <c r="H73" i="8" s="1"/>
  <c r="H74" i="8" a="1"/>
  <c r="H74" i="8" s="1"/>
  <c r="H43" i="8" a="1"/>
  <c r="H43" i="8" s="1"/>
  <c r="H44" i="8" a="1"/>
  <c r="H44" i="8" s="1"/>
  <c r="H30" i="8" a="1"/>
  <c r="H30" i="8" s="1"/>
  <c r="H62" i="8" a="1"/>
  <c r="H62" i="8" s="1"/>
  <c r="H47" i="8" a="1"/>
  <c r="H47" i="8" s="1"/>
  <c r="H33" i="8" a="1"/>
  <c r="H33" i="8" s="1"/>
  <c r="H65" i="8" a="1"/>
  <c r="H65" i="8" s="1"/>
  <c r="H81" i="8" a="1"/>
  <c r="H81" i="8" s="1"/>
  <c r="H35" i="8" a="1"/>
  <c r="H35" i="8" s="1"/>
  <c r="H66" i="8" a="1"/>
  <c r="H66" i="8" s="1"/>
  <c r="H21" i="8" a="1"/>
  <c r="H21" i="8" s="1"/>
  <c r="H41" i="8" a="1"/>
  <c r="H41" i="8" s="1"/>
  <c r="H57" i="8" a="1"/>
  <c r="H57" i="8" s="1"/>
  <c r="H27" i="8" a="1"/>
  <c r="H27" i="8" s="1"/>
  <c r="H90" i="8" a="1"/>
  <c r="H90" i="8" s="1"/>
  <c r="H75" i="8" a="1"/>
  <c r="H75" i="8" s="1"/>
  <c r="H29" i="8" a="1"/>
  <c r="H29" i="8" s="1"/>
  <c r="H61" i="8" a="1"/>
  <c r="H61" i="8" s="1"/>
  <c r="H31" i="8" a="1"/>
  <c r="H31" i="8" s="1"/>
  <c r="H63" i="8" a="1"/>
  <c r="H63" i="8" s="1"/>
  <c r="H64" i="8" a="1"/>
  <c r="H64" i="8" s="1"/>
  <c r="H80" i="8" a="1"/>
  <c r="H80" i="8" s="1"/>
  <c r="H49" i="8" a="1"/>
  <c r="H49" i="8" s="1"/>
  <c r="H22" i="8" a="1"/>
  <c r="H22" i="8" s="1"/>
  <c r="H56" i="8" a="1"/>
  <c r="H56" i="8" s="1"/>
  <c r="H88" i="8" a="1"/>
  <c r="H88" i="8" s="1"/>
  <c r="H42" i="8" a="1"/>
  <c r="H42" i="8" s="1"/>
  <c r="H89" i="8" a="1"/>
  <c r="H89" i="8" s="1"/>
  <c r="H58" i="8" a="1"/>
  <c r="H58" i="8" s="1"/>
  <c r="H28" i="8" a="1"/>
  <c r="H28" i="8" s="1"/>
  <c r="H59" i="8" a="1"/>
  <c r="H59" i="8" s="1"/>
  <c r="H60" i="8" a="1"/>
  <c r="H60" i="8" s="1"/>
  <c r="H76" i="8" a="1"/>
  <c r="H76" i="8" s="1"/>
  <c r="H45" i="8" a="1"/>
  <c r="H45" i="8" s="1"/>
  <c r="H77" i="8" a="1"/>
  <c r="H77" i="8" s="1"/>
  <c r="H46" i="8" a="1"/>
  <c r="H46" i="8" s="1"/>
  <c r="H78" i="8" a="1"/>
  <c r="H78" i="8" s="1"/>
  <c r="H32" i="8" a="1"/>
  <c r="H32" i="8" s="1"/>
  <c r="H79" i="8" a="1"/>
  <c r="H79" i="8" s="1"/>
  <c r="H48" i="8" a="1"/>
  <c r="H48" i="8" s="1"/>
  <c r="H50" i="8" a="1"/>
  <c r="H50" i="8" s="1"/>
  <c r="H34" i="8" a="1"/>
  <c r="H34" i="8" s="1"/>
  <c r="H82" i="8" a="1"/>
  <c r="H82" i="8" s="1"/>
  <c r="H116" i="8" a="1"/>
  <c r="H116" i="8" s="1"/>
  <c r="H132" i="8" a="1"/>
  <c r="H132" i="8" s="1"/>
  <c r="H148" i="8" a="1"/>
  <c r="H148" i="8" s="1"/>
  <c r="H164" i="8" a="1"/>
  <c r="H164" i="8" s="1"/>
  <c r="H180" i="8" a="1"/>
  <c r="H180" i="8" s="1"/>
  <c r="H195" i="8" a="1"/>
  <c r="H195" i="8" s="1"/>
  <c r="H151" i="8" a="1"/>
  <c r="H151" i="8" s="1"/>
  <c r="H152" i="8" a="1"/>
  <c r="H152" i="8" s="1"/>
  <c r="H121" i="8" a="1"/>
  <c r="H121" i="8" s="1"/>
  <c r="H169" i="8" a="1"/>
  <c r="H169" i="8" s="1"/>
  <c r="H185" i="8" a="1"/>
  <c r="H185" i="8" s="1"/>
  <c r="H145" i="8" a="1"/>
  <c r="H145" i="8" s="1"/>
  <c r="H117" i="8" a="1"/>
  <c r="H117" i="8" s="1"/>
  <c r="H133" i="8" a="1"/>
  <c r="H133" i="8" s="1"/>
  <c r="H149" i="8" a="1"/>
  <c r="H149" i="8" s="1"/>
  <c r="H165" i="8" a="1"/>
  <c r="H165" i="8" s="1"/>
  <c r="H181" i="8" a="1"/>
  <c r="H181" i="8" s="1"/>
  <c r="H196" i="8" a="1"/>
  <c r="H196" i="8" s="1"/>
  <c r="H135" i="8" a="1"/>
  <c r="H135" i="8" s="1"/>
  <c r="H136" i="8" a="1"/>
  <c r="H136" i="8" s="1"/>
  <c r="H105" i="8" a="1"/>
  <c r="H105" i="8" s="1"/>
  <c r="H160" i="8" a="1"/>
  <c r="H160" i="8" s="1"/>
  <c r="H177" i="8" a="1"/>
  <c r="H177" i="8" s="1"/>
  <c r="H118" i="8" a="1"/>
  <c r="H118" i="8" s="1"/>
  <c r="H134" i="8" a="1"/>
  <c r="H134" i="8" s="1"/>
  <c r="H150" i="8" a="1"/>
  <c r="H150" i="8" s="1"/>
  <c r="H166" i="8" a="1"/>
  <c r="H166" i="8" s="1"/>
  <c r="H182" i="8" a="1"/>
  <c r="H182" i="8" s="1"/>
  <c r="H197" i="8" a="1"/>
  <c r="H197" i="8" s="1"/>
  <c r="H183" i="8" a="1"/>
  <c r="H183" i="8" s="1"/>
  <c r="H120" i="8" a="1"/>
  <c r="H120" i="8" s="1"/>
  <c r="H184" i="8" a="1"/>
  <c r="H184" i="8" s="1"/>
  <c r="H153" i="8" a="1"/>
  <c r="H153" i="8" s="1"/>
  <c r="H200" i="8" a="1"/>
  <c r="H200" i="8" s="1"/>
  <c r="H161" i="8" a="1"/>
  <c r="H161" i="8" s="1"/>
  <c r="H119" i="8" a="1"/>
  <c r="H119" i="8" s="1"/>
  <c r="H167" i="8" a="1"/>
  <c r="H167" i="8" s="1"/>
  <c r="H198" i="8" a="1"/>
  <c r="H198" i="8" s="1"/>
  <c r="H104" i="8" a="1"/>
  <c r="H104" i="8" s="1"/>
  <c r="H168" i="8" a="1"/>
  <c r="H168" i="8" s="1"/>
  <c r="H199" i="8" a="1"/>
  <c r="H199" i="8" s="1"/>
  <c r="H137" i="8" a="1"/>
  <c r="H137" i="8" s="1"/>
  <c r="H144" i="8" a="1"/>
  <c r="H144" i="8" s="1"/>
  <c r="H106" i="8" a="1"/>
  <c r="H106" i="8" s="1"/>
  <c r="H122" i="8" a="1"/>
  <c r="H122" i="8" s="1"/>
  <c r="H138" i="8" a="1"/>
  <c r="H138" i="8" s="1"/>
  <c r="H154" i="8" a="1"/>
  <c r="H154" i="8" s="1"/>
  <c r="H170" i="8" a="1"/>
  <c r="H170" i="8" s="1"/>
  <c r="H186" i="8" a="1"/>
  <c r="H186" i="8" s="1"/>
  <c r="H201" i="8" a="1"/>
  <c r="H201" i="8" s="1"/>
  <c r="H157" i="8" a="1"/>
  <c r="H157" i="8" s="1"/>
  <c r="H107" i="8" a="1"/>
  <c r="H107" i="8" s="1"/>
  <c r="H123" i="8" a="1"/>
  <c r="H123" i="8" s="1"/>
  <c r="H139" i="8" a="1"/>
  <c r="H139" i="8" s="1"/>
  <c r="H155" i="8" a="1"/>
  <c r="H155" i="8" s="1"/>
  <c r="H171" i="8" a="1"/>
  <c r="H171" i="8" s="1"/>
  <c r="H187" i="8" a="1"/>
  <c r="H187" i="8" s="1"/>
  <c r="H173" i="8" a="1"/>
  <c r="H173" i="8" s="1"/>
  <c r="H129" i="8" a="1"/>
  <c r="H129" i="8" s="1"/>
  <c r="H108" i="8" a="1"/>
  <c r="H108" i="8" s="1"/>
  <c r="H124" i="8" a="1"/>
  <c r="H124" i="8" s="1"/>
  <c r="H140" i="8" a="1"/>
  <c r="H140" i="8" s="1"/>
  <c r="H156" i="8" a="1"/>
  <c r="H156" i="8" s="1"/>
  <c r="H172" i="8" a="1"/>
  <c r="H172" i="8" s="1"/>
  <c r="H188" i="8" a="1"/>
  <c r="H188" i="8" s="1"/>
  <c r="H189" i="8" a="1"/>
  <c r="H189" i="8" s="1"/>
  <c r="H191" i="8" a="1"/>
  <c r="H191" i="8" s="1"/>
  <c r="H109" i="8" a="1"/>
  <c r="H109" i="8" s="1"/>
  <c r="H125" i="8" a="1"/>
  <c r="H125" i="8" s="1"/>
  <c r="H141" i="8" a="1"/>
  <c r="H141" i="8" s="1"/>
  <c r="H110" i="8" a="1"/>
  <c r="H110" i="8" s="1"/>
  <c r="H126" i="8" a="1"/>
  <c r="H126" i="8" s="1"/>
  <c r="H142" i="8" a="1"/>
  <c r="H142" i="8" s="1"/>
  <c r="H158" i="8" a="1"/>
  <c r="H158" i="8" s="1"/>
  <c r="H174" i="8" a="1"/>
  <c r="H174" i="8" s="1"/>
  <c r="H190" i="8" a="1"/>
  <c r="H190" i="8" s="1"/>
  <c r="H176" i="8" a="1"/>
  <c r="H176" i="8" s="1"/>
  <c r="H192" i="8" a="1"/>
  <c r="H192" i="8" s="1"/>
  <c r="H111" i="8" a="1"/>
  <c r="H111" i="8" s="1"/>
  <c r="H127" i="8" a="1"/>
  <c r="H127" i="8" s="1"/>
  <c r="H143" i="8" a="1"/>
  <c r="H143" i="8" s="1"/>
  <c r="H159" i="8" a="1"/>
  <c r="H159" i="8" s="1"/>
  <c r="H175" i="8" a="1"/>
  <c r="H175" i="8" s="1"/>
  <c r="H128" i="8" a="1"/>
  <c r="H128" i="8" s="1"/>
  <c r="H112" i="8" a="1"/>
  <c r="H112" i="8" s="1"/>
  <c r="H113" i="8" a="1"/>
  <c r="H113" i="8" s="1"/>
  <c r="H114" i="8" a="1"/>
  <c r="H114" i="8" s="1"/>
  <c r="H130" i="8" a="1"/>
  <c r="H130" i="8" s="1"/>
  <c r="H146" i="8" a="1"/>
  <c r="H146" i="8" s="1"/>
  <c r="H162" i="8" a="1"/>
  <c r="H162" i="8" s="1"/>
  <c r="H178" i="8" a="1"/>
  <c r="H178" i="8" s="1"/>
  <c r="H193" i="8" a="1"/>
  <c r="H193" i="8" s="1"/>
  <c r="H115" i="8" a="1"/>
  <c r="H115" i="8" s="1"/>
  <c r="H131" i="8" a="1"/>
  <c r="H131" i="8" s="1"/>
  <c r="H147" i="8" a="1"/>
  <c r="H147" i="8" s="1"/>
  <c r="H163" i="8" a="1"/>
  <c r="H163" i="8" s="1"/>
  <c r="H179" i="8" a="1"/>
  <c r="H179" i="8" s="1"/>
  <c r="H194" i="8" a="1"/>
  <c r="H194" i="8" s="1"/>
  <c r="H94" i="8" a="1"/>
  <c r="H103" i="8" a="1"/>
  <c r="H98" i="8" a="1"/>
  <c r="H97" i="8" a="1"/>
  <c r="H99" i="8" a="1"/>
  <c r="H93" i="8" a="1"/>
  <c r="H96" i="8" a="1"/>
  <c r="H95" i="8" a="1"/>
  <c r="H92" i="8" a="1"/>
  <c r="H91" i="8" a="1"/>
  <c r="H100" i="8" a="1"/>
  <c r="H101" i="8" a="1"/>
  <c r="H102" i="8" a="1"/>
  <c r="N45" i="8" l="1" a="1"/>
  <c r="N45" i="8" s="1"/>
  <c r="N88" i="8" a="1"/>
  <c r="N88" i="8" s="1"/>
  <c r="N50" i="8" a="1"/>
  <c r="N50" i="8" s="1"/>
  <c r="N34" i="8" a="1"/>
  <c r="N34" i="8" s="1"/>
  <c r="N66" i="8" a="1"/>
  <c r="N66" i="8" s="1"/>
  <c r="N61" i="8" a="1"/>
  <c r="N61" i="8" s="1"/>
  <c r="N80" i="8" a="1"/>
  <c r="N80" i="8" s="1"/>
  <c r="N76" i="8" a="1"/>
  <c r="N76" i="8" s="1"/>
  <c r="N56" i="8" a="1"/>
  <c r="N56" i="8" s="1"/>
  <c r="N29" i="8" a="1"/>
  <c r="N29" i="8" s="1"/>
  <c r="N40" i="8" a="1"/>
  <c r="N40" i="8" s="1"/>
  <c r="N18" i="8" a="1"/>
  <c r="N18" i="8" s="1"/>
  <c r="N38" i="8" a="1"/>
  <c r="N38" i="8" s="1"/>
  <c r="N71" i="8" a="1"/>
  <c r="N71" i="8" s="1"/>
  <c r="N23" i="8" a="1"/>
  <c r="N23" i="8" s="1"/>
  <c r="N37" i="8" a="1"/>
  <c r="N37" i="8" s="1"/>
  <c r="N85" i="8" a="1"/>
  <c r="N85" i="8" s="1"/>
  <c r="N78" i="8" a="1"/>
  <c r="N78" i="8" s="1"/>
  <c r="N58" i="8" a="1"/>
  <c r="N58" i="8" s="1"/>
  <c r="N47" i="8" a="1"/>
  <c r="N47" i="8" s="1"/>
  <c r="N72" i="8" a="1"/>
  <c r="N72" i="8" s="1"/>
  <c r="N55" i="8" a="1"/>
  <c r="N55" i="8" s="1"/>
  <c r="N83" i="8" a="1"/>
  <c r="N83" i="8" s="1"/>
  <c r="N48" i="8" a="1"/>
  <c r="N48" i="8" s="1"/>
  <c r="N60" i="8" a="1"/>
  <c r="N60" i="8" s="1"/>
  <c r="N22" i="8" a="1"/>
  <c r="N22" i="8" s="1"/>
  <c r="N75" i="8" a="1"/>
  <c r="N75" i="8" s="1"/>
  <c r="N81" i="8" a="1"/>
  <c r="N81" i="8" s="1"/>
  <c r="N74" i="8" a="1"/>
  <c r="N74" i="8" s="1"/>
  <c r="N69" i="8" a="1"/>
  <c r="N69" i="8" s="1"/>
  <c r="N67" i="8" a="1"/>
  <c r="N67" i="8" s="1"/>
  <c r="N79" i="8" a="1"/>
  <c r="N79" i="8" s="1"/>
  <c r="N59" i="8" a="1"/>
  <c r="N59" i="8" s="1"/>
  <c r="N49" i="8" a="1"/>
  <c r="N49" i="8" s="1"/>
  <c r="N65" i="8" a="1"/>
  <c r="N65" i="8" s="1"/>
  <c r="N73" i="8" a="1"/>
  <c r="N73" i="8" s="1"/>
  <c r="N24" i="8" a="1"/>
  <c r="N24" i="8" s="1"/>
  <c r="N53" i="8" a="1"/>
  <c r="N53" i="8" s="1"/>
  <c r="N51" i="8" a="1"/>
  <c r="N51" i="8" s="1"/>
  <c r="N44" i="8" a="1"/>
  <c r="N44" i="8" s="1"/>
  <c r="N32" i="8" a="1"/>
  <c r="N32" i="8" s="1"/>
  <c r="N28" i="8" a="1"/>
  <c r="N28" i="8" s="1"/>
  <c r="N27" i="8" a="1"/>
  <c r="N27" i="8" s="1"/>
  <c r="N33" i="8" a="1"/>
  <c r="N33" i="8" s="1"/>
  <c r="N26" i="8" a="1"/>
  <c r="N26" i="8" s="1"/>
  <c r="N86" i="8" a="1"/>
  <c r="N86" i="8" s="1"/>
  <c r="N36" i="8" a="1"/>
  <c r="N36" i="8" s="1"/>
  <c r="N35" i="8" a="1"/>
  <c r="N35" i="8" s="1"/>
  <c r="N43" i="8" a="1"/>
  <c r="N43" i="8" s="1"/>
  <c r="N41" i="8" a="1"/>
  <c r="N41" i="8" s="1"/>
  <c r="N62" i="8" a="1"/>
  <c r="N62" i="8" s="1"/>
  <c r="N25" i="8" a="1"/>
  <c r="N25" i="8" s="1"/>
  <c r="N54" i="8" a="1"/>
  <c r="N54" i="8" s="1"/>
  <c r="N68" i="8" a="1"/>
  <c r="N68" i="8" s="1"/>
  <c r="N20" i="8" a="1"/>
  <c r="N20" i="8" s="1"/>
  <c r="N64" i="8" a="1"/>
  <c r="N64" i="8" s="1"/>
  <c r="N57" i="8" a="1"/>
  <c r="N57" i="8" s="1"/>
  <c r="N70" i="8" a="1"/>
  <c r="N70" i="8" s="1"/>
  <c r="N84" i="8" a="1"/>
  <c r="N84" i="8" s="1"/>
  <c r="N46" i="8" a="1"/>
  <c r="N46" i="8" s="1"/>
  <c r="N63" i="8" a="1"/>
  <c r="N63" i="8" s="1"/>
  <c r="N82" i="8" a="1"/>
  <c r="N82" i="8" s="1"/>
  <c r="N77" i="8" a="1"/>
  <c r="N77" i="8" s="1"/>
  <c r="N42" i="8" a="1"/>
  <c r="N42" i="8" s="1"/>
  <c r="N31" i="8" a="1"/>
  <c r="N31" i="8" s="1"/>
  <c r="N21" i="8" a="1"/>
  <c r="N21" i="8" s="1"/>
  <c r="N30" i="8" a="1"/>
  <c r="N30" i="8" s="1"/>
  <c r="N87" i="8" a="1"/>
  <c r="N87" i="8" s="1"/>
  <c r="N39" i="8" a="1"/>
  <c r="N39" i="8" s="1"/>
  <c r="N52" i="8" a="1"/>
  <c r="N52" i="8" s="1"/>
  <c r="N19" i="8" a="1"/>
  <c r="N19" i="8" s="1"/>
  <c r="H100" i="8"/>
  <c r="H99" i="8"/>
  <c r="H93" i="8"/>
  <c r="H92" i="8"/>
  <c r="H91" i="8"/>
  <c r="H95" i="8"/>
  <c r="H94" i="8"/>
  <c r="H97" i="8"/>
  <c r="H96" i="8"/>
  <c r="H98" i="8"/>
  <c r="H101" i="8"/>
  <c r="H103" i="8"/>
  <c r="H102" i="8"/>
  <c r="Q14" i="6"/>
  <c r="O14" i="6"/>
  <c r="P14" i="6" s="1"/>
  <c r="Q13" i="6"/>
  <c r="O13" i="6"/>
  <c r="P13" i="6" s="1"/>
  <c r="Q12" i="6"/>
  <c r="O12" i="6"/>
  <c r="P12" i="6" s="1"/>
  <c r="Q11" i="6"/>
  <c r="O11" i="6"/>
  <c r="P11" i="6" s="1"/>
  <c r="Q10" i="6"/>
  <c r="O10" i="6"/>
  <c r="P10" i="6" s="1"/>
  <c r="Q9" i="6"/>
  <c r="O9" i="6"/>
  <c r="P9" i="6" s="1"/>
  <c r="Q8" i="6"/>
  <c r="O8" i="6"/>
  <c r="P8" i="6" s="1"/>
  <c r="Q7" i="6"/>
  <c r="O7" i="6"/>
  <c r="P7" i="6" s="1"/>
  <c r="Q6" i="6"/>
  <c r="O6" i="6"/>
  <c r="P6" i="6" s="1"/>
  <c r="Q5" i="6"/>
  <c r="O5" i="6"/>
  <c r="P5" i="6" s="1"/>
  <c r="Q4" i="6"/>
  <c r="O4" i="6"/>
  <c r="P4" i="6" s="1"/>
  <c r="N93" i="8" l="1" a="1"/>
  <c r="N93" i="8" s="1"/>
  <c r="N92" i="8" a="1"/>
  <c r="N92" i="8" s="1"/>
  <c r="N90" i="8" a="1"/>
  <c r="N90" i="8" s="1"/>
  <c r="N97" i="8" a="1"/>
  <c r="N97" i="8" s="1"/>
  <c r="N98" i="8" a="1"/>
  <c r="N98" i="8" s="1"/>
  <c r="N89" i="8" a="1"/>
  <c r="N89" i="8" s="1"/>
  <c r="N96" i="8" a="1"/>
  <c r="N96" i="8" s="1"/>
  <c r="N94" i="8" a="1"/>
  <c r="N94" i="8" s="1"/>
  <c r="N95" i="8" a="1"/>
  <c r="N95" i="8" s="1"/>
  <c r="N91" i="8" a="1"/>
  <c r="N91" i="8" s="1"/>
  <c r="N99" i="8" a="1"/>
  <c r="N99" i="8" s="1"/>
  <c r="Q100" i="8" a="1"/>
  <c r="Q100" i="8" s="1"/>
  <c r="Q101" i="8" a="1"/>
  <c r="Q101" i="8" s="1"/>
  <c r="Q102" i="8" a="1"/>
  <c r="Q102" i="8" s="1"/>
  <c r="AB18" i="8"/>
  <c r="V18" i="8"/>
  <c r="AL18" i="8" l="1"/>
  <c r="AG18" i="8"/>
  <c r="AH18" i="8"/>
  <c r="AE19" i="8"/>
  <c r="AE18" i="8"/>
  <c r="AE20" i="8"/>
  <c r="X52" i="8"/>
  <c r="X54" i="8"/>
  <c r="X55" i="8"/>
  <c r="X51" i="8"/>
  <c r="X53" i="8"/>
  <c r="Y54" i="8"/>
  <c r="Y51" i="8"/>
  <c r="Y52" i="8"/>
  <c r="Y55" i="8"/>
  <c r="Y53" i="8"/>
  <c r="I168" i="8" a="1"/>
  <c r="I168" i="8" s="1"/>
  <c r="I185" i="8" a="1"/>
  <c r="I185" i="8" s="1"/>
  <c r="I171" i="8" a="1"/>
  <c r="I171" i="8" s="1"/>
  <c r="I200" i="8" a="1"/>
  <c r="I200" i="8" s="1"/>
  <c r="I137" i="8" a="1"/>
  <c r="I137" i="8" s="1"/>
  <c r="I188" i="8" a="1"/>
  <c r="I188" i="8" s="1"/>
  <c r="I109" i="8" a="1"/>
  <c r="I109" i="8" s="1"/>
  <c r="I110" i="8" a="1"/>
  <c r="I110" i="8" s="1"/>
  <c r="I111" i="8" a="1"/>
  <c r="I111" i="8" s="1"/>
  <c r="I153" i="8" a="1"/>
  <c r="I153" i="8" s="1"/>
  <c r="I154" i="8" a="1"/>
  <c r="I154" i="8" s="1"/>
  <c r="I156" i="8" a="1"/>
  <c r="I156" i="8" s="1"/>
  <c r="I125" i="8" a="1"/>
  <c r="I125" i="8" s="1"/>
  <c r="I174" i="8" a="1"/>
  <c r="I174" i="8" s="1"/>
  <c r="I143" i="8" a="1"/>
  <c r="I143" i="8" s="1"/>
  <c r="I120" i="8" a="1"/>
  <c r="I120" i="8" s="1"/>
  <c r="I186" i="8" a="1"/>
  <c r="I186" i="8" s="1"/>
  <c r="I141" i="8" a="1"/>
  <c r="I141" i="8" s="1"/>
  <c r="I159" i="8" a="1"/>
  <c r="I159" i="8" s="1"/>
  <c r="I187" i="8" a="1"/>
  <c r="I187" i="8" s="1"/>
  <c r="I140" i="8" a="1"/>
  <c r="I140" i="8" s="1"/>
  <c r="I127" i="8" a="1"/>
  <c r="I127" i="8" s="1"/>
  <c r="I152" i="8" a="1"/>
  <c r="I152" i="8" s="1"/>
  <c r="I69" i="8" a="1"/>
  <c r="I69" i="8" s="1"/>
  <c r="I169" i="8" a="1"/>
  <c r="I169" i="8" s="1"/>
  <c r="I172" i="8" a="1"/>
  <c r="I172" i="8" s="1"/>
  <c r="I136" i="8" a="1"/>
  <c r="I136" i="8" s="1"/>
  <c r="I121" i="8" a="1"/>
  <c r="I121" i="8" s="1"/>
  <c r="I173" i="8" a="1"/>
  <c r="I173" i="8" s="1"/>
  <c r="I158" i="8" a="1"/>
  <c r="I158" i="8" s="1"/>
  <c r="I184" i="8" a="1"/>
  <c r="I184" i="8" s="1"/>
  <c r="I201" i="8" a="1"/>
  <c r="I201" i="8" s="1"/>
  <c r="I122" i="8" a="1"/>
  <c r="I122" i="8" s="1"/>
  <c r="I191" i="8" a="1"/>
  <c r="I191" i="8" s="1"/>
  <c r="I170" i="8" a="1"/>
  <c r="I170" i="8" s="1"/>
  <c r="I124" i="8" a="1"/>
  <c r="I124" i="8" s="1"/>
  <c r="I189" i="8" a="1"/>
  <c r="I189" i="8" s="1"/>
  <c r="I126" i="8" a="1"/>
  <c r="I126" i="8" s="1"/>
  <c r="I138" i="8" a="1"/>
  <c r="I138" i="8" s="1"/>
  <c r="I157" i="8" a="1"/>
  <c r="I157" i="8" s="1"/>
  <c r="I190" i="8" a="1"/>
  <c r="I190" i="8" s="1"/>
  <c r="I175" i="8" a="1"/>
  <c r="I175" i="8" s="1"/>
  <c r="I123" i="8" a="1"/>
  <c r="I123" i="8" s="1"/>
  <c r="I139" i="8" a="1"/>
  <c r="I139" i="8" s="1"/>
  <c r="I155" i="8" a="1"/>
  <c r="I155" i="8" s="1"/>
  <c r="I142" i="8" a="1"/>
  <c r="I142" i="8" s="1"/>
  <c r="I119" i="8" a="1"/>
  <c r="I119" i="8" s="1"/>
  <c r="I180" i="8" a="1"/>
  <c r="I180" i="8" s="1"/>
  <c r="I178" i="8" a="1"/>
  <c r="I178" i="8" s="1"/>
  <c r="I198" i="8" a="1"/>
  <c r="I198" i="8" s="1"/>
  <c r="I113" i="8" a="1"/>
  <c r="I113" i="8" s="1"/>
  <c r="I164" i="8" a="1"/>
  <c r="I164" i="8" s="1"/>
  <c r="I162" i="8" a="1"/>
  <c r="I162" i="8" s="1"/>
  <c r="I195" i="8" a="1"/>
  <c r="I195" i="8" s="1"/>
  <c r="I161" i="8" a="1"/>
  <c r="I161" i="8" s="1"/>
  <c r="I167" i="8" a="1"/>
  <c r="I167" i="8" s="1"/>
  <c r="I148" i="8" a="1"/>
  <c r="I148" i="8" s="1"/>
  <c r="I146" i="8" a="1"/>
  <c r="I146" i="8" s="1"/>
  <c r="I160" i="8" a="1"/>
  <c r="I160" i="8" s="1"/>
  <c r="I197" i="8" a="1"/>
  <c r="I197" i="8" s="1"/>
  <c r="I132" i="8" a="1"/>
  <c r="I132" i="8" s="1"/>
  <c r="I130" i="8" a="1"/>
  <c r="I130" i="8" s="1"/>
  <c r="I192" i="8" a="1"/>
  <c r="I192" i="8" s="1"/>
  <c r="I135" i="8" a="1"/>
  <c r="I135" i="8" s="1"/>
  <c r="I149" i="8" a="1"/>
  <c r="I149" i="8" s="1"/>
  <c r="I116" i="8" a="1"/>
  <c r="I116" i="8" s="1"/>
  <c r="I114" i="8" a="1"/>
  <c r="I114" i="8" s="1"/>
  <c r="I176" i="8" a="1"/>
  <c r="I176" i="8" s="1"/>
  <c r="I181" i="8" a="1"/>
  <c r="I181" i="8" s="1"/>
  <c r="I144" i="8" a="1"/>
  <c r="I144" i="8" s="1"/>
  <c r="I133" i="8" a="1"/>
  <c r="I133" i="8" s="1"/>
  <c r="I193" i="8" a="1"/>
  <c r="I193" i="8" s="1"/>
  <c r="I115" i="8" a="1"/>
  <c r="I115" i="8" s="1"/>
  <c r="I117" i="8" a="1"/>
  <c r="I117" i="8" s="1"/>
  <c r="I183" i="8" a="1"/>
  <c r="I183" i="8" s="1"/>
  <c r="I131" i="8" a="1"/>
  <c r="I131" i="8" s="1"/>
  <c r="I129" i="8" a="1"/>
  <c r="I129" i="8" s="1"/>
  <c r="I128" i="8" a="1"/>
  <c r="I128" i="8" s="1"/>
  <c r="I112" i="8" a="1"/>
  <c r="I112" i="8" s="1"/>
  <c r="I150" i="8" a="1"/>
  <c r="I150" i="8" s="1"/>
  <c r="I145" i="8" a="1"/>
  <c r="I145" i="8" s="1"/>
  <c r="I196" i="8" a="1"/>
  <c r="I196" i="8" s="1"/>
  <c r="I179" i="8" a="1"/>
  <c r="I179" i="8" s="1"/>
  <c r="I134" i="8" a="1"/>
  <c r="I134" i="8" s="1"/>
  <c r="I182" i="8" a="1"/>
  <c r="I182" i="8" s="1"/>
  <c r="I163" i="8" a="1"/>
  <c r="I163" i="8" s="1"/>
  <c r="I165" i="8" a="1"/>
  <c r="I165" i="8" s="1"/>
  <c r="I177" i="8" a="1"/>
  <c r="I177" i="8" s="1"/>
  <c r="I199" i="8" a="1"/>
  <c r="I199" i="8" s="1"/>
  <c r="I166" i="8" a="1"/>
  <c r="I166" i="8" s="1"/>
  <c r="I147" i="8" a="1"/>
  <c r="I147" i="8" s="1"/>
  <c r="I151" i="8" a="1"/>
  <c r="I151" i="8" s="1"/>
  <c r="I118" i="8" a="1"/>
  <c r="I118" i="8" s="1"/>
  <c r="I194" i="8" a="1"/>
  <c r="I194" i="8" s="1"/>
  <c r="J141" i="8" a="1"/>
  <c r="J141" i="8" s="1"/>
  <c r="J144" i="8" a="1"/>
  <c r="J144" i="8" s="1"/>
  <c r="J177" i="8" a="1"/>
  <c r="J177" i="8" s="1"/>
  <c r="J194" i="8" a="1"/>
  <c r="J194" i="8" s="1"/>
  <c r="J189" i="8" a="1"/>
  <c r="J189" i="8" s="1"/>
  <c r="J195" i="8" a="1"/>
  <c r="J195" i="8" s="1"/>
  <c r="J113" i="8" a="1"/>
  <c r="J113" i="8" s="1"/>
  <c r="J98" i="8" a="1"/>
  <c r="J98" i="8" s="1"/>
  <c r="J162" i="8" a="1"/>
  <c r="J162" i="8" s="1"/>
  <c r="J131" i="8" a="1"/>
  <c r="J131" i="8" s="1"/>
  <c r="J109" i="8" a="1"/>
  <c r="J109" i="8" s="1"/>
  <c r="J176" i="8" a="1"/>
  <c r="J176" i="8" s="1"/>
  <c r="J129" i="8" a="1"/>
  <c r="J129" i="8" s="1"/>
  <c r="J147" i="8" a="1"/>
  <c r="J147" i="8" s="1"/>
  <c r="J112" i="8" a="1"/>
  <c r="J112" i="8" s="1"/>
  <c r="J193" i="8" a="1"/>
  <c r="J193" i="8" s="1"/>
  <c r="J125" i="8" a="1"/>
  <c r="J125" i="8" s="1"/>
  <c r="J145" i="8" a="1"/>
  <c r="J145" i="8" s="1"/>
  <c r="J146" i="8" a="1"/>
  <c r="J146" i="8" s="1"/>
  <c r="J99" i="8" a="1"/>
  <c r="J99" i="8" s="1"/>
  <c r="J93" i="8" a="1"/>
  <c r="J93" i="8" s="1"/>
  <c r="J173" i="8" a="1"/>
  <c r="J173" i="8" s="1"/>
  <c r="J160" i="8" a="1"/>
  <c r="J160" i="8" s="1"/>
  <c r="J157" i="8" a="1"/>
  <c r="J157" i="8" s="1"/>
  <c r="J128" i="8" a="1"/>
  <c r="J128" i="8" s="1"/>
  <c r="J130" i="8" a="1"/>
  <c r="J130" i="8" s="1"/>
  <c r="J49" i="8" a="1"/>
  <c r="J49" i="8" s="1"/>
  <c r="J192" i="8" a="1"/>
  <c r="J192" i="8" s="1"/>
  <c r="J179" i="8" a="1"/>
  <c r="J179" i="8" s="1"/>
  <c r="J94" i="8" a="1"/>
  <c r="J94" i="8" s="1"/>
  <c r="J110" i="8" a="1"/>
  <c r="J110" i="8" s="1"/>
  <c r="J126" i="8" a="1"/>
  <c r="J126" i="8" s="1"/>
  <c r="J142" i="8" a="1"/>
  <c r="J142" i="8" s="1"/>
  <c r="J158" i="8" a="1"/>
  <c r="J158" i="8" s="1"/>
  <c r="J174" i="8" a="1"/>
  <c r="J174" i="8" s="1"/>
  <c r="J190" i="8" a="1"/>
  <c r="J190" i="8" s="1"/>
  <c r="J161" i="8" a="1"/>
  <c r="J161" i="8" s="1"/>
  <c r="J178" i="8" a="1"/>
  <c r="J178" i="8" s="1"/>
  <c r="J115" i="8" a="1"/>
  <c r="J115" i="8" s="1"/>
  <c r="J95" i="8" a="1"/>
  <c r="J95" i="8" s="1"/>
  <c r="J111" i="8" a="1"/>
  <c r="J111" i="8" s="1"/>
  <c r="J127" i="8" a="1"/>
  <c r="J127" i="8" s="1"/>
  <c r="J143" i="8" a="1"/>
  <c r="J143" i="8" s="1"/>
  <c r="J159" i="8" a="1"/>
  <c r="J159" i="8" s="1"/>
  <c r="J175" i="8" a="1"/>
  <c r="J175" i="8" s="1"/>
  <c r="J191" i="8" a="1"/>
  <c r="J191" i="8" s="1"/>
  <c r="J96" i="8" a="1"/>
  <c r="J96" i="8" s="1"/>
  <c r="J97" i="8" a="1"/>
  <c r="J97" i="8" s="1"/>
  <c r="J114" i="8" a="1"/>
  <c r="J114" i="8" s="1"/>
  <c r="J163" i="8" a="1"/>
  <c r="J163" i="8" s="1"/>
  <c r="J156" i="8" a="1"/>
  <c r="J156" i="8" s="1"/>
  <c r="J137" i="8" a="1"/>
  <c r="J137" i="8" s="1"/>
  <c r="J148" i="8" a="1"/>
  <c r="J148" i="8" s="1"/>
  <c r="J181" i="8" a="1"/>
  <c r="J181" i="8" s="1"/>
  <c r="J171" i="8" a="1"/>
  <c r="J171" i="8" s="1"/>
  <c r="J118" i="8" a="1"/>
  <c r="J118" i="8" s="1"/>
  <c r="J140" i="8" a="1"/>
  <c r="J140" i="8" s="1"/>
  <c r="J121" i="8" a="1"/>
  <c r="J121" i="8" s="1"/>
  <c r="J84" i="8" a="1"/>
  <c r="J84" i="8" s="1"/>
  <c r="J132" i="8" a="1"/>
  <c r="J132" i="8" s="1"/>
  <c r="J165" i="8" a="1"/>
  <c r="J165" i="8" s="1"/>
  <c r="J138" i="8" a="1"/>
  <c r="J138" i="8" s="1"/>
  <c r="J201" i="8" a="1"/>
  <c r="J201" i="8" s="1"/>
  <c r="J120" i="8" a="1"/>
  <c r="J120" i="8" s="1"/>
  <c r="J124" i="8" a="1"/>
  <c r="J124" i="8" s="1"/>
  <c r="J116" i="8" a="1"/>
  <c r="J116" i="8" s="1"/>
  <c r="J149" i="8" a="1"/>
  <c r="J149" i="8" s="1"/>
  <c r="J122" i="8" a="1"/>
  <c r="J122" i="8" s="1"/>
  <c r="J180" i="8" a="1"/>
  <c r="J180" i="8" s="1"/>
  <c r="J108" i="8" a="1"/>
  <c r="J108" i="8" s="1"/>
  <c r="J199" i="8" a="1"/>
  <c r="J199" i="8" s="1"/>
  <c r="J117" i="8" a="1"/>
  <c r="J117" i="8" s="1"/>
  <c r="J150" i="8" a="1"/>
  <c r="J150" i="8" s="1"/>
  <c r="J92" i="8" a="1"/>
  <c r="J92" i="8" s="1"/>
  <c r="J183" i="8" a="1"/>
  <c r="J183" i="8" s="1"/>
  <c r="J197" i="8" a="1"/>
  <c r="J197" i="8" s="1"/>
  <c r="J167" i="8" a="1"/>
  <c r="J167" i="8" s="1"/>
  <c r="J119" i="8" a="1"/>
  <c r="J119" i="8" s="1"/>
  <c r="J186" i="8" a="1"/>
  <c r="J186" i="8" s="1"/>
  <c r="J170" i="8" a="1"/>
  <c r="J170" i="8" s="1"/>
  <c r="J151" i="8" a="1"/>
  <c r="J151" i="8" s="1"/>
  <c r="J133" i="8" a="1"/>
  <c r="J133" i="8" s="1"/>
  <c r="J185" i="8" a="1"/>
  <c r="J185" i="8" s="1"/>
  <c r="J187" i="8" a="1"/>
  <c r="J187" i="8" s="1"/>
  <c r="J154" i="8" a="1"/>
  <c r="J154" i="8" s="1"/>
  <c r="J135" i="8" a="1"/>
  <c r="J135" i="8" s="1"/>
  <c r="J196" i="8" a="1"/>
  <c r="J196" i="8" s="1"/>
  <c r="J155" i="8" a="1"/>
  <c r="J155" i="8" s="1"/>
  <c r="J168" i="8" a="1"/>
  <c r="J168" i="8" s="1"/>
  <c r="J172" i="8" a="1"/>
  <c r="J172" i="8" s="1"/>
  <c r="J139" i="8" a="1"/>
  <c r="J139" i="8" s="1"/>
  <c r="J200" i="8" a="1"/>
  <c r="J200" i="8" s="1"/>
  <c r="J198" i="8" a="1"/>
  <c r="J198" i="8" s="1"/>
  <c r="J107" i="8" a="1"/>
  <c r="J107" i="8" s="1"/>
  <c r="J152" i="8" a="1"/>
  <c r="J152" i="8" s="1"/>
  <c r="J123" i="8" a="1"/>
  <c r="J123" i="8" s="1"/>
  <c r="J184" i="8" a="1"/>
  <c r="J184" i="8" s="1"/>
  <c r="J182" i="8" a="1"/>
  <c r="J182" i="8" s="1"/>
  <c r="J166" i="8" a="1"/>
  <c r="J166" i="8" s="1"/>
  <c r="J153" i="8" a="1"/>
  <c r="J153" i="8" s="1"/>
  <c r="J188" i="8" a="1"/>
  <c r="J188" i="8" s="1"/>
  <c r="J169" i="8" a="1"/>
  <c r="J169" i="8" s="1"/>
  <c r="J136" i="8" a="1"/>
  <c r="J136" i="8" s="1"/>
  <c r="J21" i="8" a="1"/>
  <c r="J21" i="8" s="1"/>
  <c r="J134" i="8" a="1"/>
  <c r="J134" i="8" s="1"/>
  <c r="J164" i="8" a="1"/>
  <c r="J164" i="8" s="1"/>
  <c r="J59" i="8" a="1"/>
  <c r="J59" i="8" s="1"/>
  <c r="I83" i="8" a="1"/>
  <c r="I83" i="8" s="1"/>
  <c r="I81" i="8" a="1"/>
  <c r="I81" i="8" s="1"/>
  <c r="J47" i="8" a="1"/>
  <c r="J47" i="8" s="1"/>
  <c r="J39" i="8" a="1"/>
  <c r="J39" i="8" s="1"/>
  <c r="I49" i="8" a="1"/>
  <c r="I49" i="8" s="1"/>
  <c r="I65" i="8" a="1"/>
  <c r="I65" i="8" s="1"/>
  <c r="J18" i="8" a="1"/>
  <c r="J18" i="8" s="1"/>
  <c r="J79" i="8" a="1"/>
  <c r="J79" i="8" s="1"/>
  <c r="J29" i="8" a="1"/>
  <c r="J29" i="8" s="1"/>
  <c r="J32" i="8" a="1"/>
  <c r="J32" i="8" s="1"/>
  <c r="J48" i="8" a="1"/>
  <c r="J48" i="8" s="1"/>
  <c r="J64" i="8" a="1"/>
  <c r="J64" i="8" s="1"/>
  <c r="I85" i="8" a="1"/>
  <c r="I85" i="8" s="1"/>
  <c r="I71" i="8" a="1"/>
  <c r="I71" i="8" s="1"/>
  <c r="J36" i="8" a="1"/>
  <c r="J36" i="8" s="1"/>
  <c r="I75" i="8" a="1"/>
  <c r="I75" i="8" s="1"/>
  <c r="J68" i="8" a="1"/>
  <c r="J68" i="8" s="1"/>
  <c r="I76" i="8" a="1"/>
  <c r="I76" i="8" s="1"/>
  <c r="I52" i="8" a="1"/>
  <c r="I52" i="8" s="1"/>
  <c r="O104" i="8" a="1"/>
  <c r="O104" i="8" s="1"/>
  <c r="I48" i="8" a="1"/>
  <c r="I48" i="8" s="1"/>
  <c r="I67" i="8" a="1"/>
  <c r="I67" i="8" s="1"/>
  <c r="I21" i="8" a="1"/>
  <c r="I21" i="8" s="1"/>
  <c r="I42" i="8" a="1"/>
  <c r="I42" i="8" s="1"/>
  <c r="J45" i="8" a="1"/>
  <c r="J45" i="8" s="1"/>
  <c r="I82" i="8" a="1"/>
  <c r="I82" i="8" s="1"/>
  <c r="I58" i="8" a="1"/>
  <c r="I58" i="8" s="1"/>
  <c r="I89" i="8" a="1"/>
  <c r="I89" i="8" s="1"/>
  <c r="J33" i="8" a="1"/>
  <c r="J33" i="8" s="1"/>
  <c r="I74" i="8" a="1"/>
  <c r="I74" i="8" s="1"/>
  <c r="I30" i="8" a="1"/>
  <c r="I30" i="8" s="1"/>
  <c r="J27" i="8" a="1"/>
  <c r="J27" i="8" s="1"/>
  <c r="I19" i="8" a="1"/>
  <c r="I19" i="8" s="1"/>
  <c r="I37" i="8" a="1"/>
  <c r="I37" i="8" s="1"/>
  <c r="I25" i="8" a="1"/>
  <c r="I25" i="8" s="1"/>
  <c r="J62" i="8" a="1"/>
  <c r="J62" i="8" s="1"/>
  <c r="I43" i="8" a="1"/>
  <c r="I43" i="8" s="1"/>
  <c r="J25" i="8" a="1"/>
  <c r="J25" i="8" s="1"/>
  <c r="J26" i="8" a="1"/>
  <c r="J26" i="8" s="1"/>
  <c r="J19" i="8" a="1"/>
  <c r="J19" i="8" s="1"/>
  <c r="J41" i="8" a="1"/>
  <c r="J41" i="8" s="1"/>
  <c r="I18" i="8" a="1"/>
  <c r="I18" i="8" s="1"/>
  <c r="I68" i="8" a="1"/>
  <c r="I68" i="8" s="1"/>
  <c r="J35" i="8" a="1"/>
  <c r="J35" i="8" s="1"/>
  <c r="J54" i="8" a="1"/>
  <c r="J54" i="8" s="1"/>
  <c r="J74" i="8" a="1"/>
  <c r="J74" i="8" s="1"/>
  <c r="J67" i="8" a="1"/>
  <c r="J67" i="8" s="1"/>
  <c r="I40" i="8" a="1"/>
  <c r="I40" i="8" s="1"/>
  <c r="I44" i="8" a="1"/>
  <c r="I44" i="8" s="1"/>
  <c r="J71" i="8" a="1"/>
  <c r="J71" i="8" s="1"/>
  <c r="I86" i="8" a="1"/>
  <c r="I86" i="8" s="1"/>
  <c r="I35" i="8" a="1"/>
  <c r="I35" i="8" s="1"/>
  <c r="J91" i="8" a="1"/>
  <c r="J106" i="8" a="1"/>
  <c r="J103" i="8" a="1"/>
  <c r="J102" i="8" a="1"/>
  <c r="I101" i="8" a="1"/>
  <c r="J100" i="8" a="1"/>
  <c r="J101" i="8" a="1"/>
  <c r="J90" i="8" a="1"/>
  <c r="I108" i="8" a="1"/>
  <c r="J89" i="8" a="1"/>
  <c r="I107" i="8" a="1"/>
  <c r="I106" i="8" a="1"/>
  <c r="I105" i="8" a="1"/>
  <c r="J86" i="8" a="1"/>
  <c r="I99" i="8" a="1"/>
  <c r="J104" i="8" a="1"/>
  <c r="J105" i="8" a="1"/>
  <c r="I98" i="8" a="1"/>
  <c r="P97" i="8" l="1" a="1"/>
  <c r="P97" i="8" s="1"/>
  <c r="O74" i="8" a="1"/>
  <c r="O74" i="8" s="1"/>
  <c r="P25" i="8" a="1"/>
  <c r="P25" i="8" s="1"/>
  <c r="P92" i="8" a="1"/>
  <c r="P92" i="8" s="1"/>
  <c r="O81" i="8" a="1"/>
  <c r="O81" i="8" s="1"/>
  <c r="P94" i="8" a="1"/>
  <c r="P94" i="8" s="1"/>
  <c r="P47" i="8" a="1"/>
  <c r="P47" i="8" s="1"/>
  <c r="P96" i="8" a="1"/>
  <c r="P96" i="8" s="1"/>
  <c r="P93" i="8" a="1"/>
  <c r="P93" i="8" s="1"/>
  <c r="P95" i="8" a="1"/>
  <c r="P95" i="8" s="1"/>
  <c r="O67" i="8" a="1"/>
  <c r="O67" i="8" s="1"/>
  <c r="O42" i="8" a="1"/>
  <c r="O42" i="8" s="1"/>
  <c r="J106" i="8"/>
  <c r="J105" i="8"/>
  <c r="J103" i="8"/>
  <c r="J104" i="8"/>
  <c r="J102" i="8"/>
  <c r="I101" i="8"/>
  <c r="J101" i="8"/>
  <c r="J100" i="8"/>
  <c r="I98" i="8"/>
  <c r="I99" i="8"/>
  <c r="J86" i="8"/>
  <c r="J91" i="8"/>
  <c r="P91" i="8" s="1" a="1"/>
  <c r="P91" i="8" s="1"/>
  <c r="I108" i="8"/>
  <c r="O103" i="8" a="1"/>
  <c r="O103" i="8" s="1"/>
  <c r="O102" i="8" a="1"/>
  <c r="O102" i="8" s="1"/>
  <c r="I105" i="8"/>
  <c r="I107" i="8"/>
  <c r="J89" i="8"/>
  <c r="J90" i="8"/>
  <c r="I106" i="8"/>
  <c r="I90" i="8" a="1"/>
  <c r="I90" i="8" s="1"/>
  <c r="J65" i="8" a="1"/>
  <c r="J65" i="8" s="1"/>
  <c r="I79" i="8" a="1"/>
  <c r="I79" i="8" s="1"/>
  <c r="I63" i="8" a="1"/>
  <c r="I63" i="8" s="1"/>
  <c r="I92" i="8" a="1"/>
  <c r="I92" i="8" s="1"/>
  <c r="I62" i="8" a="1"/>
  <c r="I62" i="8" s="1"/>
  <c r="I91" i="8" a="1"/>
  <c r="I91" i="8" s="1"/>
  <c r="J53" i="8" a="1"/>
  <c r="J53" i="8" s="1"/>
  <c r="J38" i="8" a="1"/>
  <c r="J38" i="8" s="1"/>
  <c r="I80" i="8" a="1"/>
  <c r="I80" i="8" s="1"/>
  <c r="O80" i="8" s="1" a="1"/>
  <c r="O80" i="8" s="1"/>
  <c r="J58" i="8" a="1"/>
  <c r="J58" i="8" s="1"/>
  <c r="O101" i="8" a="1"/>
  <c r="O101" i="8" s="1"/>
  <c r="J69" i="8" a="1"/>
  <c r="J69" i="8" s="1"/>
  <c r="J30" i="8" a="1"/>
  <c r="J30" i="8" s="1"/>
  <c r="I50" i="8" a="1"/>
  <c r="I50" i="8" s="1"/>
  <c r="O48" i="8" s="1" a="1"/>
  <c r="O48" i="8" s="1"/>
  <c r="I41" i="8" a="1"/>
  <c r="I41" i="8" s="1"/>
  <c r="O41" i="8" s="1" a="1"/>
  <c r="O41" i="8" s="1"/>
  <c r="O100" i="8" a="1"/>
  <c r="O100" i="8" s="1"/>
  <c r="J57" i="8" a="1"/>
  <c r="J57" i="8" s="1"/>
  <c r="J20" i="8" a="1"/>
  <c r="J20" i="8" s="1"/>
  <c r="P19" i="8" s="1" a="1"/>
  <c r="P19" i="8" s="1"/>
  <c r="J43" i="8" a="1"/>
  <c r="J43" i="8" s="1"/>
  <c r="I46" i="8" a="1"/>
  <c r="I46" i="8" s="1"/>
  <c r="I73" i="8" a="1"/>
  <c r="I73" i="8" s="1"/>
  <c r="O73" i="8" s="1" a="1"/>
  <c r="O73" i="8" s="1"/>
  <c r="I55" i="8" a="1"/>
  <c r="I55" i="8" s="1"/>
  <c r="I26" i="8" a="1"/>
  <c r="I26" i="8" s="1"/>
  <c r="J55" i="8" a="1"/>
  <c r="J55" i="8" s="1"/>
  <c r="J31" i="8" a="1"/>
  <c r="J31" i="8" s="1"/>
  <c r="P31" i="8" s="1" a="1"/>
  <c r="P31" i="8" s="1"/>
  <c r="J46" i="8" a="1"/>
  <c r="J46" i="8" s="1"/>
  <c r="P46" i="8" s="1" a="1"/>
  <c r="P46" i="8" s="1"/>
  <c r="I94" i="8" a="1"/>
  <c r="I94" i="8" s="1"/>
  <c r="I39" i="8" a="1"/>
  <c r="I39" i="8" s="1"/>
  <c r="I87" i="8" a="1"/>
  <c r="I87" i="8" s="1"/>
  <c r="J28" i="8" a="1"/>
  <c r="J28" i="8" s="1"/>
  <c r="P27" i="8" s="1" a="1"/>
  <c r="P27" i="8" s="1"/>
  <c r="J56" i="8" a="1"/>
  <c r="J56" i="8" s="1"/>
  <c r="J80" i="8" a="1"/>
  <c r="J80" i="8" s="1"/>
  <c r="I32" i="8" a="1"/>
  <c r="I32" i="8" s="1"/>
  <c r="I23" i="8" a="1"/>
  <c r="I23" i="8" s="1"/>
  <c r="J34" i="8" a="1"/>
  <c r="J34" i="8" s="1"/>
  <c r="P34" i="8" s="1" a="1"/>
  <c r="P34" i="8" s="1"/>
  <c r="J83" i="8" a="1"/>
  <c r="J83" i="8" s="1"/>
  <c r="J72" i="8" a="1"/>
  <c r="J72" i="8" s="1"/>
  <c r="J75" i="8" a="1"/>
  <c r="J75" i="8" s="1"/>
  <c r="I20" i="8" a="1"/>
  <c r="I20" i="8" s="1"/>
  <c r="I31" i="8" a="1"/>
  <c r="I31" i="8" s="1"/>
  <c r="I60" i="8" a="1"/>
  <c r="I60" i="8" s="1"/>
  <c r="I22" i="8" a="1"/>
  <c r="I22" i="8" s="1"/>
  <c r="O99" i="8" a="1"/>
  <c r="O99" i="8" s="1"/>
  <c r="J70" i="8" a="1"/>
  <c r="J70" i="8" s="1"/>
  <c r="J81" i="8" a="1"/>
  <c r="J81" i="8" s="1"/>
  <c r="I96" i="8" a="1"/>
  <c r="I96" i="8" s="1"/>
  <c r="I45" i="8" a="1"/>
  <c r="I45" i="8" s="1"/>
  <c r="I51" i="8" a="1"/>
  <c r="I51" i="8" s="1"/>
  <c r="I28" i="8" a="1"/>
  <c r="I28" i="8" s="1"/>
  <c r="I38" i="8" a="1"/>
  <c r="I38" i="8" s="1"/>
  <c r="I53" i="8" a="1"/>
  <c r="I53" i="8" s="1"/>
  <c r="J23" i="8" a="1"/>
  <c r="J23" i="8" s="1"/>
  <c r="J37" i="8" a="1"/>
  <c r="J37" i="8" s="1"/>
  <c r="J50" i="8" a="1"/>
  <c r="J50" i="8" s="1"/>
  <c r="I61" i="8" a="1"/>
  <c r="I61" i="8" s="1"/>
  <c r="I77" i="8" a="1"/>
  <c r="I77" i="8" s="1"/>
  <c r="I84" i="8" a="1"/>
  <c r="I84" i="8" s="1"/>
  <c r="O84" i="8" s="1" a="1"/>
  <c r="O84" i="8" s="1"/>
  <c r="I47" i="8" a="1"/>
  <c r="I47" i="8" s="1"/>
  <c r="O47" i="8" s="1" a="1"/>
  <c r="O47" i="8" s="1"/>
  <c r="I88" i="8" a="1"/>
  <c r="I88" i="8" s="1"/>
  <c r="I27" i="8" a="1"/>
  <c r="I27" i="8" s="1"/>
  <c r="O98" i="8" a="1"/>
  <c r="O98" i="8" s="1"/>
  <c r="J66" i="8" a="1"/>
  <c r="J66" i="8" s="1"/>
  <c r="P66" i="8" s="1" a="1"/>
  <c r="P66" i="8" s="1"/>
  <c r="I95" i="8" a="1"/>
  <c r="I95" i="8" s="1"/>
  <c r="I72" i="8" a="1"/>
  <c r="I72" i="8" s="1"/>
  <c r="I70" i="8" a="1"/>
  <c r="I70" i="8" s="1"/>
  <c r="J22" i="8" a="1"/>
  <c r="J22" i="8" s="1"/>
  <c r="J76" i="8" a="1"/>
  <c r="J76" i="8" s="1"/>
  <c r="I78" i="8" a="1"/>
  <c r="I78" i="8" s="1"/>
  <c r="I56" i="8" a="1"/>
  <c r="I56" i="8" s="1"/>
  <c r="I57" i="8" a="1"/>
  <c r="I57" i="8" s="1"/>
  <c r="J40" i="8" a="1"/>
  <c r="J40" i="8" s="1"/>
  <c r="J42" i="8" a="1"/>
  <c r="J42" i="8" s="1"/>
  <c r="J51" i="8" a="1"/>
  <c r="J51" i="8" s="1"/>
  <c r="J77" i="8" a="1"/>
  <c r="J77" i="8" s="1"/>
  <c r="J60" i="8" a="1"/>
  <c r="J60" i="8" s="1"/>
  <c r="J63" i="8" a="1"/>
  <c r="J63" i="8" s="1"/>
  <c r="I34" i="8" a="1"/>
  <c r="I34" i="8" s="1"/>
  <c r="I36" i="8" a="1"/>
  <c r="I36" i="8" s="1"/>
  <c r="I93" i="8" a="1"/>
  <c r="I93" i="8" s="1"/>
  <c r="I54" i="8" a="1"/>
  <c r="I54" i="8" s="1"/>
  <c r="J73" i="8" a="1"/>
  <c r="J73" i="8" s="1"/>
  <c r="J24" i="8" a="1"/>
  <c r="J24" i="8" s="1"/>
  <c r="P24" i="8" s="1" a="1"/>
  <c r="P24" i="8" s="1"/>
  <c r="J82" i="8" a="1"/>
  <c r="J82" i="8" s="1"/>
  <c r="J52" i="8" a="1"/>
  <c r="J52" i="8" s="1"/>
  <c r="J61" i="8" a="1"/>
  <c r="J61" i="8" s="1"/>
  <c r="J44" i="8" a="1"/>
  <c r="J44" i="8" s="1"/>
  <c r="J78" i="8" a="1"/>
  <c r="J78" i="8" s="1"/>
  <c r="I66" i="8" a="1"/>
  <c r="I66" i="8" s="1"/>
  <c r="O66" i="8" s="1" a="1"/>
  <c r="O66" i="8" s="1"/>
  <c r="I29" i="8" a="1"/>
  <c r="I29" i="8" s="1"/>
  <c r="I33" i="8" a="1"/>
  <c r="I33" i="8" s="1"/>
  <c r="I64" i="8" a="1"/>
  <c r="I64" i="8" s="1"/>
  <c r="I24" i="8" a="1"/>
  <c r="I24" i="8" s="1"/>
  <c r="I59" i="8" a="1"/>
  <c r="I59" i="8" s="1"/>
  <c r="W24" i="8"/>
  <c r="W19" i="8"/>
  <c r="U19" i="8"/>
  <c r="V24" i="8"/>
  <c r="U23" i="8"/>
  <c r="W21" i="8"/>
  <c r="W18" i="8"/>
  <c r="W23" i="8"/>
  <c r="V21" i="8"/>
  <c r="U22" i="8"/>
  <c r="V19" i="8"/>
  <c r="U24" i="8"/>
  <c r="V23" i="8"/>
  <c r="U20" i="8"/>
  <c r="V22" i="8"/>
  <c r="W20" i="8"/>
  <c r="U21" i="8"/>
  <c r="W22" i="8"/>
  <c r="U18" i="8"/>
  <c r="AD18" i="8" s="1"/>
  <c r="V20" i="8"/>
  <c r="J87" i="8" a="1"/>
  <c r="I100" i="8" a="1"/>
  <c r="I102" i="8" a="1"/>
  <c r="J88" i="8" a="1"/>
  <c r="I103" i="8" a="1"/>
  <c r="J85" i="8" a="1"/>
  <c r="I104" i="8" a="1"/>
  <c r="I97" i="8" a="1"/>
  <c r="P52" i="8" l="1" a="1"/>
  <c r="P52" i="8" s="1"/>
  <c r="P44" i="8" a="1"/>
  <c r="P44" i="8" s="1"/>
  <c r="I97" i="8"/>
  <c r="O97" i="8" s="1" a="1"/>
  <c r="O97" i="8" s="1"/>
  <c r="P61" i="8" a="1"/>
  <c r="P61" i="8" s="1"/>
  <c r="P23" i="8" a="1"/>
  <c r="P23" i="8" s="1"/>
  <c r="P22" i="8" a="1"/>
  <c r="P22" i="8" s="1"/>
  <c r="P37" i="8" a="1"/>
  <c r="P37" i="8" s="1"/>
  <c r="P56" i="8" a="1"/>
  <c r="P56" i="8" s="1"/>
  <c r="O93" i="8" a="1"/>
  <c r="O93" i="8" s="1"/>
  <c r="O72" i="8" a="1"/>
  <c r="O72" i="8" s="1"/>
  <c r="O70" i="8" a="1"/>
  <c r="O70" i="8" s="1"/>
  <c r="O61" i="8" a="1"/>
  <c r="O61" i="8" s="1"/>
  <c r="P49" i="8" a="1"/>
  <c r="P49" i="8" s="1"/>
  <c r="P75" i="8" a="1"/>
  <c r="P75" i="8" s="1"/>
  <c r="O46" i="8" a="1"/>
  <c r="O46" i="8" s="1"/>
  <c r="P102" i="8" a="1"/>
  <c r="P102" i="8" s="1"/>
  <c r="P81" i="8" a="1"/>
  <c r="P81" i="8" s="1"/>
  <c r="O33" i="8" a="1"/>
  <c r="O33" i="8" s="1"/>
  <c r="O38" i="8" a="1"/>
  <c r="O38" i="8" s="1"/>
  <c r="O29" i="8" a="1"/>
  <c r="O29" i="8" s="1"/>
  <c r="P65" i="8" a="1"/>
  <c r="P65" i="8" s="1"/>
  <c r="P100" i="8" a="1"/>
  <c r="P100" i="8" s="1"/>
  <c r="P77" i="8" a="1"/>
  <c r="P77" i="8" s="1"/>
  <c r="O39" i="8" a="1"/>
  <c r="O39" i="8" s="1"/>
  <c r="P101" i="8" a="1"/>
  <c r="P101" i="8" s="1"/>
  <c r="O40" i="8" a="1"/>
  <c r="O40" i="8" s="1"/>
  <c r="P80" i="8" a="1"/>
  <c r="P80" i="8" s="1"/>
  <c r="P64" i="8" a="1"/>
  <c r="P64" i="8" s="1"/>
  <c r="P72" i="8" a="1"/>
  <c r="P72" i="8" s="1"/>
  <c r="P103" i="8" a="1"/>
  <c r="P103" i="8" s="1"/>
  <c r="P32" i="8" a="1"/>
  <c r="P32" i="8" s="1"/>
  <c r="O54" i="8" a="1"/>
  <c r="O54" i="8" s="1"/>
  <c r="P98" i="8" a="1"/>
  <c r="P98" i="8" s="1"/>
  <c r="O24" i="8" a="1"/>
  <c r="O24" i="8" s="1"/>
  <c r="P63" i="8" a="1"/>
  <c r="P63" i="8" s="1"/>
  <c r="P99" i="8" a="1"/>
  <c r="P99" i="8" s="1"/>
  <c r="P43" i="8" a="1"/>
  <c r="P43" i="8" s="1"/>
  <c r="P42" i="8" a="1"/>
  <c r="P42" i="8" s="1"/>
  <c r="P21" i="8" a="1"/>
  <c r="P21" i="8" s="1"/>
  <c r="P40" i="8" a="1"/>
  <c r="P40" i="8" s="1"/>
  <c r="P30" i="8" a="1"/>
  <c r="P30" i="8" s="1"/>
  <c r="P55" i="8" a="1"/>
  <c r="P55" i="8" s="1"/>
  <c r="P53" i="8" a="1"/>
  <c r="P53" i="8" s="1"/>
  <c r="P62" i="8" a="1"/>
  <c r="P62" i="8" s="1"/>
  <c r="P71" i="8" a="1"/>
  <c r="P71" i="8" s="1"/>
  <c r="P79" i="8" a="1"/>
  <c r="P79" i="8" s="1"/>
  <c r="P29" i="8" a="1"/>
  <c r="P29" i="8" s="1"/>
  <c r="P38" i="8" a="1"/>
  <c r="P38" i="8" s="1"/>
  <c r="P59" i="8" a="1"/>
  <c r="P59" i="8" s="1"/>
  <c r="O36" i="8" a="1"/>
  <c r="O36" i="8" s="1"/>
  <c r="P70" i="8" a="1"/>
  <c r="P70" i="8" s="1"/>
  <c r="P28" i="8" a="1"/>
  <c r="P28" i="8" s="1"/>
  <c r="P20" i="8" a="1"/>
  <c r="P20" i="8" s="1"/>
  <c r="P69" i="8" a="1"/>
  <c r="P69" i="8" s="1"/>
  <c r="O64" i="8" a="1"/>
  <c r="O64" i="8" s="1"/>
  <c r="P82" i="8" a="1"/>
  <c r="P82" i="8" s="1"/>
  <c r="O52" i="8" a="1"/>
  <c r="O52" i="8" s="1"/>
  <c r="P57" i="8" a="1"/>
  <c r="P57" i="8" s="1"/>
  <c r="O89" i="8" a="1"/>
  <c r="O89" i="8" s="1"/>
  <c r="P33" i="8" a="1"/>
  <c r="P33" i="8" s="1"/>
  <c r="P41" i="8" a="1"/>
  <c r="P41" i="8" s="1"/>
  <c r="P26" i="8" a="1"/>
  <c r="P26" i="8" s="1"/>
  <c r="P36" i="8" a="1"/>
  <c r="P36" i="8" s="1"/>
  <c r="O57" i="8" a="1"/>
  <c r="O57" i="8" s="1"/>
  <c r="P73" i="8" a="1"/>
  <c r="P73" i="8" s="1"/>
  <c r="O77" i="8" a="1"/>
  <c r="O77" i="8" s="1"/>
  <c r="P39" i="8" a="1"/>
  <c r="P39" i="8" s="1"/>
  <c r="P67" i="8" a="1"/>
  <c r="P67" i="8" s="1"/>
  <c r="O95" i="8" a="1"/>
  <c r="O95" i="8" s="1"/>
  <c r="P74" i="8" a="1"/>
  <c r="P74" i="8" s="1"/>
  <c r="P60" i="8" a="1"/>
  <c r="P60" i="8" s="1"/>
  <c r="O87" i="8" a="1"/>
  <c r="O87" i="8" s="1"/>
  <c r="P90" i="8" a="1"/>
  <c r="P90" i="8" s="1"/>
  <c r="P45" i="8" a="1"/>
  <c r="P45" i="8" s="1"/>
  <c r="P18" i="8" a="1"/>
  <c r="P18" i="8" s="1"/>
  <c r="O25" i="8" a="1"/>
  <c r="O25" i="8" s="1"/>
  <c r="P78" i="8" a="1"/>
  <c r="P78" i="8" s="1"/>
  <c r="P51" i="8" a="1"/>
  <c r="P51" i="8" s="1"/>
  <c r="P76" i="8" a="1"/>
  <c r="P76" i="8" s="1"/>
  <c r="P50" i="8" a="1"/>
  <c r="P50" i="8" s="1"/>
  <c r="O45" i="8" a="1"/>
  <c r="O45" i="8" s="1"/>
  <c r="O20" i="8" a="1"/>
  <c r="O20" i="8" s="1"/>
  <c r="P58" i="8" a="1"/>
  <c r="P58" i="8" s="1"/>
  <c r="P89" i="8" a="1"/>
  <c r="P89" i="8" s="1"/>
  <c r="P35" i="8" a="1"/>
  <c r="P35" i="8" s="1"/>
  <c r="P54" i="8" a="1"/>
  <c r="P54" i="8" s="1"/>
  <c r="P68" i="8" a="1"/>
  <c r="P68" i="8" s="1"/>
  <c r="P48" i="8" a="1"/>
  <c r="P48" i="8" s="1"/>
  <c r="O59" i="8" a="1"/>
  <c r="O59" i="8" s="1"/>
  <c r="O51" i="8" a="1"/>
  <c r="O51" i="8" s="1"/>
  <c r="O94" i="8" a="1"/>
  <c r="O94" i="8" s="1"/>
  <c r="O50" i="8" a="1"/>
  <c r="O50" i="8" s="1"/>
  <c r="O35" i="8" a="1"/>
  <c r="O35" i="8" s="1"/>
  <c r="O43" i="8" a="1"/>
  <c r="O43" i="8" s="1"/>
  <c r="O22" i="8" a="1"/>
  <c r="O22" i="8" s="1"/>
  <c r="O65" i="8" a="1"/>
  <c r="O65" i="8" s="1"/>
  <c r="O96" i="8" a="1"/>
  <c r="O96" i="8" s="1"/>
  <c r="O60" i="8" a="1"/>
  <c r="O60" i="8" s="1"/>
  <c r="O85" i="8" a="1"/>
  <c r="O85" i="8" s="1"/>
  <c r="O58" i="8" a="1"/>
  <c r="O58" i="8" s="1"/>
  <c r="O21" i="8" a="1"/>
  <c r="O21" i="8" s="1"/>
  <c r="O31" i="8" a="1"/>
  <c r="O31" i="8" s="1"/>
  <c r="O26" i="8" a="1"/>
  <c r="O26" i="8" s="1"/>
  <c r="O92" i="8" a="1"/>
  <c r="O92" i="8" s="1"/>
  <c r="O68" i="8" a="1"/>
  <c r="O68" i="8" s="1"/>
  <c r="O55" i="8" a="1"/>
  <c r="O55" i="8" s="1"/>
  <c r="O91" i="8" a="1"/>
  <c r="O91" i="8" s="1"/>
  <c r="O63" i="8" a="1"/>
  <c r="O63" i="8" s="1"/>
  <c r="O86" i="8" a="1"/>
  <c r="O86" i="8" s="1"/>
  <c r="O83" i="8" a="1"/>
  <c r="O83" i="8" s="1"/>
  <c r="O44" i="8" a="1"/>
  <c r="O44" i="8" s="1"/>
  <c r="O53" i="8" a="1"/>
  <c r="O53" i="8" s="1"/>
  <c r="O23" i="8" a="1"/>
  <c r="O23" i="8" s="1"/>
  <c r="O62" i="8" a="1"/>
  <c r="O62" i="8" s="1"/>
  <c r="O79" i="8" a="1"/>
  <c r="O79" i="8" s="1"/>
  <c r="O90" i="8" a="1"/>
  <c r="O90" i="8" s="1"/>
  <c r="O49" i="8" a="1"/>
  <c r="O49" i="8" s="1"/>
  <c r="O82" i="8" a="1"/>
  <c r="O82" i="8" s="1"/>
  <c r="O71" i="8" a="1"/>
  <c r="O71" i="8" s="1"/>
  <c r="O75" i="8" a="1"/>
  <c r="O75" i="8" s="1"/>
  <c r="O27" i="8" a="1"/>
  <c r="O27" i="8" s="1"/>
  <c r="O76" i="8" a="1"/>
  <c r="O76" i="8" s="1"/>
  <c r="O30" i="8" a="1"/>
  <c r="O30" i="8" s="1"/>
  <c r="O37" i="8" a="1"/>
  <c r="O37" i="8" s="1"/>
  <c r="O34" i="8" a="1"/>
  <c r="O34" i="8" s="1"/>
  <c r="O56" i="8" a="1"/>
  <c r="O56" i="8" s="1"/>
  <c r="O32" i="8" a="1"/>
  <c r="O32" i="8" s="1"/>
  <c r="O78" i="8" a="1"/>
  <c r="O78" i="8" s="1"/>
  <c r="O88" i="8" a="1"/>
  <c r="O88" i="8" s="1"/>
  <c r="O28" i="8" a="1"/>
  <c r="O28" i="8" s="1"/>
  <c r="O18" i="8" a="1"/>
  <c r="O18" i="8" s="1"/>
  <c r="O19" i="8" a="1"/>
  <c r="O19" i="8" s="1"/>
  <c r="O69" i="8" a="1"/>
  <c r="O69" i="8" s="1"/>
  <c r="I100" i="8"/>
  <c r="I102" i="8"/>
  <c r="AD27" i="8"/>
  <c r="AD29" i="8"/>
  <c r="AD28" i="8"/>
  <c r="AE33" i="8"/>
  <c r="AE35" i="8"/>
  <c r="AE34" i="8"/>
  <c r="AF20" i="8"/>
  <c r="AF19" i="8"/>
  <c r="AF18" i="8"/>
  <c r="AI18" i="8" s="1"/>
  <c r="AF22" i="8"/>
  <c r="AF21" i="8"/>
  <c r="AF23" i="8"/>
  <c r="AD24" i="8"/>
  <c r="AD26" i="8"/>
  <c r="AD25" i="8"/>
  <c r="AD22" i="8"/>
  <c r="AD21" i="8"/>
  <c r="AD23" i="8"/>
  <c r="AD35" i="8"/>
  <c r="AD34" i="8"/>
  <c r="AD33" i="8"/>
  <c r="AE25" i="8"/>
  <c r="AE24" i="8"/>
  <c r="AE26" i="8"/>
  <c r="AE22" i="8"/>
  <c r="AE21" i="8"/>
  <c r="AE23" i="8"/>
  <c r="AF33" i="8"/>
  <c r="AF35" i="8"/>
  <c r="AF34" i="8"/>
  <c r="AF28" i="8"/>
  <c r="AF27" i="8"/>
  <c r="AF29" i="8"/>
  <c r="AF25" i="8"/>
  <c r="AF24" i="8"/>
  <c r="AF26" i="8"/>
  <c r="AD19" i="8"/>
  <c r="AD20" i="8"/>
  <c r="AI20" i="8" s="1"/>
  <c r="AD30" i="8"/>
  <c r="AD32" i="8"/>
  <c r="AD31" i="8"/>
  <c r="AF30" i="8"/>
  <c r="AF32" i="8"/>
  <c r="AF31" i="8"/>
  <c r="AE30" i="8"/>
  <c r="AE32" i="8"/>
  <c r="AE31" i="8"/>
  <c r="AE27" i="8"/>
  <c r="AE29" i="8"/>
  <c r="AE28" i="8"/>
  <c r="J85" i="8"/>
  <c r="I103" i="8"/>
  <c r="I104" i="8"/>
  <c r="J87" i="8"/>
  <c r="J88" i="8"/>
  <c r="P88" i="8" s="1" a="1"/>
  <c r="P88" i="8" s="1"/>
  <c r="U51" i="8"/>
  <c r="U54" i="8"/>
  <c r="U52" i="8"/>
  <c r="U53" i="8"/>
  <c r="U55" i="8"/>
  <c r="U27" i="8"/>
  <c r="W27" i="8"/>
  <c r="V27" i="8"/>
  <c r="AD42" i="8" s="1"/>
  <c r="P87" i="8" l="1" a="1"/>
  <c r="P87" i="8" s="1"/>
  <c r="V54" i="8"/>
  <c r="P86" i="8" a="1"/>
  <c r="P86" i="8" s="1"/>
  <c r="P85" i="8" a="1"/>
  <c r="P85" i="8" s="1"/>
  <c r="P84" i="8" a="1"/>
  <c r="P84" i="8" s="1"/>
  <c r="P83" i="8" a="1"/>
  <c r="P83" i="8" s="1"/>
  <c r="V53" i="8"/>
  <c r="V55" i="8"/>
  <c r="V52" i="8"/>
  <c r="V51" i="8"/>
  <c r="AD41" i="8"/>
  <c r="AI19" i="8"/>
  <c r="AI30" i="8"/>
  <c r="AI22" i="8"/>
  <c r="AI33" i="8"/>
  <c r="AI24" i="8"/>
  <c r="AI23" i="8"/>
  <c r="AI25" i="8"/>
  <c r="AI26" i="8"/>
  <c r="AI34" i="8"/>
  <c r="AI35" i="8"/>
  <c r="AI28" i="8"/>
  <c r="AI31" i="8"/>
  <c r="AI29" i="8"/>
  <c r="AI32" i="8"/>
  <c r="AI21" i="8"/>
  <c r="AI27" i="8"/>
  <c r="U28" i="8"/>
  <c r="AE40" i="8" s="1"/>
  <c r="AH40" i="8" s="1"/>
  <c r="W52" i="8" l="1"/>
  <c r="AH839" i="8" s="1"/>
  <c r="AJ839" i="8" s="1"/>
  <c r="W54" i="8"/>
  <c r="AH999" i="8" s="1"/>
  <c r="AJ999" i="8" s="1"/>
  <c r="W51" i="8"/>
  <c r="AH823" i="8" s="1"/>
  <c r="AJ823" i="8" s="1"/>
  <c r="W55" i="8"/>
  <c r="W53" i="8"/>
  <c r="AH727" i="8" s="1"/>
  <c r="AJ727" i="8" s="1"/>
  <c r="AF40" i="8"/>
  <c r="AE41" i="8"/>
  <c r="AE42" i="8"/>
  <c r="AH42" i="8" s="1"/>
  <c r="U40" i="8" s="1"/>
  <c r="C8" i="5" s="1"/>
  <c r="C19" i="5" s="1"/>
  <c r="J8" i="3" s="1"/>
  <c r="AJ22" i="8"/>
  <c r="AJ32" i="8"/>
  <c r="AJ35" i="8"/>
  <c r="AJ26" i="8"/>
  <c r="AJ34" i="8"/>
  <c r="AJ29" i="8"/>
  <c r="AJ24" i="8"/>
  <c r="AJ23" i="8"/>
  <c r="AJ33" i="8"/>
  <c r="AJ31" i="8"/>
  <c r="AJ19" i="8"/>
  <c r="AJ18" i="8"/>
  <c r="AJ25" i="8"/>
  <c r="AJ27" i="8"/>
  <c r="AJ30" i="8"/>
  <c r="AJ20" i="8"/>
  <c r="AJ21" i="8"/>
  <c r="AM21" i="8" s="1"/>
  <c r="AJ28" i="8"/>
  <c r="AM18" i="8" l="1"/>
  <c r="AO18" i="8" s="1"/>
  <c r="AM33" i="8"/>
  <c r="AM30" i="8"/>
  <c r="AM24" i="8"/>
  <c r="AM27" i="8"/>
  <c r="AH847" i="8"/>
  <c r="AJ847" i="8" s="1"/>
  <c r="AH519" i="8"/>
  <c r="AJ519" i="8" s="1"/>
  <c r="AH655" i="8"/>
  <c r="AJ655" i="8" s="1"/>
  <c r="AH787" i="8"/>
  <c r="AJ787" i="8" s="1"/>
  <c r="AH207" i="8"/>
  <c r="AJ207" i="8" s="1"/>
  <c r="AH135" i="8"/>
  <c r="AJ135" i="8" s="1"/>
  <c r="AH68" i="8"/>
  <c r="AJ68" i="8" s="1"/>
  <c r="AH132" i="8"/>
  <c r="AJ132" i="8" s="1"/>
  <c r="AH851" i="8"/>
  <c r="AJ851" i="8" s="1"/>
  <c r="AH915" i="8"/>
  <c r="AJ915" i="8" s="1"/>
  <c r="AH456" i="8"/>
  <c r="AJ456" i="8" s="1"/>
  <c r="AH719" i="8"/>
  <c r="AJ719" i="8" s="1"/>
  <c r="AH712" i="8"/>
  <c r="AJ712" i="8" s="1"/>
  <c r="AH203" i="8"/>
  <c r="AJ203" i="8" s="1"/>
  <c r="AH267" i="8"/>
  <c r="AJ267" i="8" s="1"/>
  <c r="AH335" i="8"/>
  <c r="AJ335" i="8" s="1"/>
  <c r="AH903" i="8"/>
  <c r="AJ903" i="8" s="1"/>
  <c r="AH331" i="8"/>
  <c r="AJ331" i="8" s="1"/>
  <c r="AH395" i="8"/>
  <c r="AJ395" i="8" s="1"/>
  <c r="AH459" i="8"/>
  <c r="AJ459" i="8" s="1"/>
  <c r="AH463" i="8"/>
  <c r="AJ463" i="8" s="1"/>
  <c r="AH583" i="8"/>
  <c r="AJ583" i="8" s="1"/>
  <c r="AH911" i="8"/>
  <c r="AJ911" i="8" s="1"/>
  <c r="AH1031" i="8"/>
  <c r="AJ1031" i="8" s="1"/>
  <c r="AH332" i="8"/>
  <c r="AJ332" i="8" s="1"/>
  <c r="AH523" i="8"/>
  <c r="AJ523" i="8" s="1"/>
  <c r="AH76" i="8"/>
  <c r="AJ76" i="8" s="1"/>
  <c r="AH967" i="8"/>
  <c r="AJ967" i="8" s="1"/>
  <c r="AH75" i="8"/>
  <c r="AJ75" i="8" s="1"/>
  <c r="AH587" i="8"/>
  <c r="AJ587" i="8" s="1"/>
  <c r="AH147" i="8"/>
  <c r="AJ147" i="8" s="1"/>
  <c r="AH139" i="8"/>
  <c r="AJ139" i="8" s="1"/>
  <c r="AH199" i="8"/>
  <c r="AJ199" i="8" s="1"/>
  <c r="AH211" i="8"/>
  <c r="AJ211" i="8" s="1"/>
  <c r="AH651" i="8"/>
  <c r="AJ651" i="8" s="1"/>
  <c r="AH83" i="8"/>
  <c r="AJ83" i="8" s="1"/>
  <c r="AH263" i="8"/>
  <c r="AJ263" i="8" s="1"/>
  <c r="AH271" i="8"/>
  <c r="AJ271" i="8" s="1"/>
  <c r="AH527" i="8"/>
  <c r="AJ527" i="8" s="1"/>
  <c r="AH715" i="8"/>
  <c r="AJ715" i="8" s="1"/>
  <c r="AH71" i="8"/>
  <c r="AJ71" i="8" s="1"/>
  <c r="AH80" i="8"/>
  <c r="AJ80" i="8" s="1"/>
  <c r="AH208" i="8"/>
  <c r="AJ208" i="8" s="1"/>
  <c r="AH272" i="8"/>
  <c r="AJ272" i="8" s="1"/>
  <c r="AH647" i="8"/>
  <c r="AJ647" i="8" s="1"/>
  <c r="AH711" i="8"/>
  <c r="AJ711" i="8" s="1"/>
  <c r="AH979" i="8"/>
  <c r="AJ979" i="8" s="1"/>
  <c r="AH659" i="8"/>
  <c r="AJ659" i="8" s="1"/>
  <c r="AH971" i="8"/>
  <c r="AJ971" i="8" s="1"/>
  <c r="AH975" i="8"/>
  <c r="AJ975" i="8" s="1"/>
  <c r="AH843" i="8"/>
  <c r="AJ843" i="8" s="1"/>
  <c r="AH779" i="8"/>
  <c r="AJ779" i="8" s="1"/>
  <c r="AH143" i="8"/>
  <c r="AJ143" i="8" s="1"/>
  <c r="AH455" i="8"/>
  <c r="AJ455" i="8" s="1"/>
  <c r="AH588" i="8"/>
  <c r="AJ588" i="8" s="1"/>
  <c r="AH452" i="8"/>
  <c r="AJ452" i="8" s="1"/>
  <c r="AH144" i="8"/>
  <c r="AJ144" i="8" s="1"/>
  <c r="AH275" i="8"/>
  <c r="AJ275" i="8" s="1"/>
  <c r="AH591" i="8"/>
  <c r="AJ591" i="8" s="1"/>
  <c r="AH652" i="8"/>
  <c r="AJ652" i="8" s="1"/>
  <c r="AH327" i="8"/>
  <c r="AJ327" i="8" s="1"/>
  <c r="AH140" i="8"/>
  <c r="AJ140" i="8" s="1"/>
  <c r="AH260" i="8"/>
  <c r="AJ260" i="8" s="1"/>
  <c r="AH399" i="8"/>
  <c r="AJ399" i="8" s="1"/>
  <c r="AH209" i="8"/>
  <c r="AJ209" i="8" s="1"/>
  <c r="AH397" i="8"/>
  <c r="AJ397" i="8" s="1"/>
  <c r="AH1034" i="8"/>
  <c r="AJ1034" i="8" s="1"/>
  <c r="AH516" i="8"/>
  <c r="AJ516" i="8" s="1"/>
  <c r="AH653" i="8"/>
  <c r="AJ653" i="8" s="1"/>
  <c r="AH1039" i="8"/>
  <c r="AJ1039" i="8" s="1"/>
  <c r="AH141" i="8"/>
  <c r="AJ141" i="8" s="1"/>
  <c r="AH391" i="8"/>
  <c r="AJ391" i="8" s="1"/>
  <c r="AH518" i="8"/>
  <c r="AJ518" i="8" s="1"/>
  <c r="AH594" i="8"/>
  <c r="AJ594" i="8" s="1"/>
  <c r="AH268" i="8"/>
  <c r="AJ268" i="8" s="1"/>
  <c r="AH648" i="8"/>
  <c r="AJ648" i="8" s="1"/>
  <c r="AH965" i="8"/>
  <c r="AJ965" i="8" s="1"/>
  <c r="AH398" i="8"/>
  <c r="AJ398" i="8" s="1"/>
  <c r="AH142" i="8"/>
  <c r="AJ142" i="8" s="1"/>
  <c r="AH964" i="8"/>
  <c r="AJ964" i="8" s="1"/>
  <c r="AH973" i="8"/>
  <c r="AJ973" i="8" s="1"/>
  <c r="AH462" i="8"/>
  <c r="AJ462" i="8" s="1"/>
  <c r="AH966" i="8"/>
  <c r="AJ966" i="8" s="1"/>
  <c r="AH204" i="8"/>
  <c r="AJ204" i="8" s="1"/>
  <c r="AH783" i="8"/>
  <c r="AJ783" i="8" s="1"/>
  <c r="AH720" i="8"/>
  <c r="AJ720" i="8" s="1"/>
  <c r="AH467" i="8"/>
  <c r="AJ467" i="8" s="1"/>
  <c r="AH657" i="8"/>
  <c r="AJ657" i="8" s="1"/>
  <c r="AH645" i="8"/>
  <c r="AJ645" i="8" s="1"/>
  <c r="AH454" i="8"/>
  <c r="AJ454" i="8" s="1"/>
  <c r="AH136" i="8"/>
  <c r="AJ136" i="8" s="1"/>
  <c r="AH708" i="8"/>
  <c r="AJ708" i="8" s="1"/>
  <c r="AH530" i="8"/>
  <c r="AJ530" i="8" s="1"/>
  <c r="AH329" i="8"/>
  <c r="AJ329" i="8" s="1"/>
  <c r="AH390" i="8"/>
  <c r="AJ390" i="8" s="1"/>
  <c r="AH134" i="8"/>
  <c r="AJ134" i="8" s="1"/>
  <c r="AH392" i="8"/>
  <c r="AJ392" i="8" s="1"/>
  <c r="AH389" i="8"/>
  <c r="AJ389" i="8" s="1"/>
  <c r="AH403" i="8"/>
  <c r="AJ403" i="8" s="1"/>
  <c r="AH133" i="8"/>
  <c r="AJ133" i="8" s="1"/>
  <c r="AH265" i="8"/>
  <c r="AJ265" i="8" s="1"/>
  <c r="AH970" i="8"/>
  <c r="AJ970" i="8" s="1"/>
  <c r="AH977" i="8"/>
  <c r="AJ977" i="8" s="1"/>
  <c r="AH844" i="8"/>
  <c r="AJ844" i="8" s="1"/>
  <c r="AH841" i="8"/>
  <c r="AJ841" i="8" s="1"/>
  <c r="AH1038" i="8"/>
  <c r="AJ1038" i="8" s="1"/>
  <c r="AH840" i="8"/>
  <c r="AJ840" i="8" s="1"/>
  <c r="AH713" i="8"/>
  <c r="AJ713" i="8" s="1"/>
  <c r="AH912" i="8"/>
  <c r="AJ912" i="8" s="1"/>
  <c r="AH649" i="8"/>
  <c r="AJ649" i="8" s="1"/>
  <c r="AH330" i="8"/>
  <c r="AJ330" i="8" s="1"/>
  <c r="AH722" i="8"/>
  <c r="AJ722" i="8" s="1"/>
  <c r="AH716" i="8"/>
  <c r="AJ716" i="8" s="1"/>
  <c r="AH593" i="8"/>
  <c r="AJ593" i="8" s="1"/>
  <c r="AH266" i="8"/>
  <c r="AJ266" i="8" s="1"/>
  <c r="AH644" i="8"/>
  <c r="AJ644" i="8" s="1"/>
  <c r="AH466" i="8"/>
  <c r="AJ466" i="8" s="1"/>
  <c r="AH201" i="8"/>
  <c r="AJ201" i="8" s="1"/>
  <c r="AH394" i="8"/>
  <c r="AJ394" i="8" s="1"/>
  <c r="AH400" i="8"/>
  <c r="AJ400" i="8" s="1"/>
  <c r="AH78" i="8"/>
  <c r="AJ78" i="8" s="1"/>
  <c r="AH777" i="8"/>
  <c r="AJ777" i="8" s="1"/>
  <c r="AH585" i="8"/>
  <c r="AJ585" i="8" s="1"/>
  <c r="AH325" i="8"/>
  <c r="AJ325" i="8" s="1"/>
  <c r="AH72" i="8"/>
  <c r="AJ72" i="8" s="1"/>
  <c r="AH145" i="8"/>
  <c r="AJ145" i="8" s="1"/>
  <c r="AH326" i="8"/>
  <c r="AJ326" i="8" s="1"/>
  <c r="AH589" i="8"/>
  <c r="AJ589" i="8" s="1"/>
  <c r="AH849" i="8"/>
  <c r="AJ849" i="8" s="1"/>
  <c r="AH845" i="8"/>
  <c r="AJ845" i="8" s="1"/>
  <c r="AH77" i="8"/>
  <c r="AJ77" i="8" s="1"/>
  <c r="AH978" i="8"/>
  <c r="AJ978" i="8" s="1"/>
  <c r="AH1037" i="8"/>
  <c r="AJ1037" i="8" s="1"/>
  <c r="AH906" i="8"/>
  <c r="AJ906" i="8" s="1"/>
  <c r="AH776" i="8"/>
  <c r="AJ776" i="8" s="1"/>
  <c r="AH969" i="8"/>
  <c r="AJ969" i="8" s="1"/>
  <c r="AH69" i="8"/>
  <c r="AJ69" i="8" s="1"/>
  <c r="AH70" i="8"/>
  <c r="AJ70" i="8" s="1"/>
  <c r="AH273" i="8"/>
  <c r="AJ273" i="8" s="1"/>
  <c r="AH718" i="8"/>
  <c r="AJ718" i="8" s="1"/>
  <c r="AH913" i="8"/>
  <c r="AJ913" i="8" s="1"/>
  <c r="AH902" i="8"/>
  <c r="AJ902" i="8" s="1"/>
  <c r="AH848" i="8"/>
  <c r="AJ848" i="8" s="1"/>
  <c r="AH837" i="8"/>
  <c r="AJ837" i="8" s="1"/>
  <c r="AH914" i="8"/>
  <c r="AJ914" i="8" s="1"/>
  <c r="AH1036" i="8"/>
  <c r="AJ1036" i="8" s="1"/>
  <c r="AH457" i="8"/>
  <c r="AJ457" i="8" s="1"/>
  <c r="AH650" i="8"/>
  <c r="AJ650" i="8" s="1"/>
  <c r="AH1033" i="8"/>
  <c r="AJ1033" i="8" s="1"/>
  <c r="AH529" i="8"/>
  <c r="AJ529" i="8" s="1"/>
  <c r="AH402" i="8"/>
  <c r="AJ402" i="8" s="1"/>
  <c r="AH328" i="8"/>
  <c r="AJ328" i="8" s="1"/>
  <c r="AH905" i="8"/>
  <c r="AJ905" i="8" s="1"/>
  <c r="AH974" i="8"/>
  <c r="AJ974" i="8" s="1"/>
  <c r="AH784" i="8"/>
  <c r="AJ784" i="8" s="1"/>
  <c r="AH81" i="8"/>
  <c r="AJ81" i="8" s="1"/>
  <c r="AH146" i="8"/>
  <c r="AJ146" i="8" s="1"/>
  <c r="AH210" i="8"/>
  <c r="AJ210" i="8" s="1"/>
  <c r="AH580" i="8"/>
  <c r="AJ580" i="8" s="1"/>
  <c r="AH465" i="8"/>
  <c r="AJ465" i="8" s="1"/>
  <c r="AH338" i="8"/>
  <c r="AJ338" i="8" s="1"/>
  <c r="AH196" i="8"/>
  <c r="AJ196" i="8" s="1"/>
  <c r="AH525" i="8"/>
  <c r="AJ525" i="8" s="1"/>
  <c r="AH972" i="8"/>
  <c r="AJ972" i="8" s="1"/>
  <c r="AH336" i="8"/>
  <c r="AJ336" i="8" s="1"/>
  <c r="AH521" i="8"/>
  <c r="AJ521" i="8" s="1"/>
  <c r="AH714" i="8"/>
  <c r="AJ714" i="8" s="1"/>
  <c r="AH723" i="8"/>
  <c r="AJ723" i="8" s="1"/>
  <c r="AH269" i="8"/>
  <c r="AJ269" i="8" s="1"/>
  <c r="AH656" i="8"/>
  <c r="AJ656" i="8" s="1"/>
  <c r="AH339" i="8"/>
  <c r="AJ339" i="8" s="1"/>
  <c r="AH137" i="8"/>
  <c r="AJ137" i="8" s="1"/>
  <c r="AH202" i="8"/>
  <c r="AJ202" i="8" s="1"/>
  <c r="AH909" i="8"/>
  <c r="AJ909" i="8" s="1"/>
  <c r="AH910" i="8"/>
  <c r="AJ910" i="8" s="1"/>
  <c r="AH401" i="8"/>
  <c r="AJ401" i="8" s="1"/>
  <c r="AH1029" i="8"/>
  <c r="AJ1029" i="8" s="1"/>
  <c r="AH333" i="8"/>
  <c r="AJ333" i="8" s="1"/>
  <c r="AH334" i="8"/>
  <c r="AJ334" i="8" s="1"/>
  <c r="AH1041" i="8"/>
  <c r="AJ1041" i="8" s="1"/>
  <c r="AH581" i="8"/>
  <c r="AJ581" i="8" s="1"/>
  <c r="AH274" i="8"/>
  <c r="AJ274" i="8" s="1"/>
  <c r="AH773" i="8"/>
  <c r="AJ773" i="8" s="1"/>
  <c r="AH850" i="8"/>
  <c r="AJ850" i="8" s="1"/>
  <c r="AH517" i="8"/>
  <c r="AJ517" i="8" s="1"/>
  <c r="AH842" i="8"/>
  <c r="AJ842" i="8" s="1"/>
  <c r="AH73" i="8"/>
  <c r="AJ73" i="8" s="1"/>
  <c r="AH270" i="8"/>
  <c r="AJ270" i="8" s="1"/>
  <c r="AH261" i="8"/>
  <c r="AJ261" i="8" s="1"/>
  <c r="AH976" i="8"/>
  <c r="AJ976" i="8" s="1"/>
  <c r="AH846" i="8"/>
  <c r="AJ846" i="8" s="1"/>
  <c r="AH838" i="8"/>
  <c r="AJ838" i="8" s="1"/>
  <c r="AH1032" i="8"/>
  <c r="AJ1032" i="8" s="1"/>
  <c r="AH710" i="8"/>
  <c r="AJ710" i="8" s="1"/>
  <c r="AH586" i="8"/>
  <c r="AJ586" i="8" s="1"/>
  <c r="AH786" i="8"/>
  <c r="AJ786" i="8" s="1"/>
  <c r="AH138" i="8"/>
  <c r="AJ138" i="8" s="1"/>
  <c r="AH900" i="8"/>
  <c r="AJ900" i="8" s="1"/>
  <c r="AH904" i="8"/>
  <c r="AJ904" i="8" s="1"/>
  <c r="AH592" i="8"/>
  <c r="AJ592" i="8" s="1"/>
  <c r="AH388" i="8"/>
  <c r="AJ388" i="8" s="1"/>
  <c r="AH654" i="8"/>
  <c r="AJ654" i="8" s="1"/>
  <c r="AH524" i="8"/>
  <c r="AJ524" i="8" s="1"/>
  <c r="AH721" i="8"/>
  <c r="AJ721" i="8" s="1"/>
  <c r="AH781" i="8"/>
  <c r="AJ781" i="8" s="1"/>
  <c r="AH775" i="8"/>
  <c r="AJ775" i="8" s="1"/>
  <c r="AH262" i="8"/>
  <c r="AJ262" i="8" s="1"/>
  <c r="AH907" i="8"/>
  <c r="AJ907" i="8" s="1"/>
  <c r="AH968" i="8"/>
  <c r="AJ968" i="8" s="1"/>
  <c r="AH785" i="8"/>
  <c r="AJ785" i="8" s="1"/>
  <c r="AH205" i="8"/>
  <c r="AJ205" i="8" s="1"/>
  <c r="AH337" i="8"/>
  <c r="AJ337" i="8" s="1"/>
  <c r="AH717" i="8"/>
  <c r="AJ717" i="8" s="1"/>
  <c r="AH461" i="8"/>
  <c r="AJ461" i="8" s="1"/>
  <c r="AH782" i="8"/>
  <c r="AJ782" i="8" s="1"/>
  <c r="AH206" i="8"/>
  <c r="AJ206" i="8" s="1"/>
  <c r="AH1040" i="8"/>
  <c r="AJ1040" i="8" s="1"/>
  <c r="AH528" i="8"/>
  <c r="AJ528" i="8" s="1"/>
  <c r="AH423" i="8"/>
  <c r="AJ423" i="8" s="1"/>
  <c r="AH780" i="8"/>
  <c r="AJ780" i="8" s="1"/>
  <c r="AH901" i="8"/>
  <c r="AJ901" i="8" s="1"/>
  <c r="AH774" i="8"/>
  <c r="AJ774" i="8" s="1"/>
  <c r="AH324" i="8"/>
  <c r="AJ324" i="8" s="1"/>
  <c r="AH590" i="8"/>
  <c r="AJ590" i="8" s="1"/>
  <c r="AH460" i="8"/>
  <c r="AJ460" i="8" s="1"/>
  <c r="AH522" i="8"/>
  <c r="AJ522" i="8" s="1"/>
  <c r="AH1043" i="8"/>
  <c r="AJ1043" i="8" s="1"/>
  <c r="AH551" i="8"/>
  <c r="AJ551" i="8" s="1"/>
  <c r="AH520" i="8"/>
  <c r="AJ520" i="8" s="1"/>
  <c r="AH393" i="8"/>
  <c r="AJ393" i="8" s="1"/>
  <c r="AH778" i="8"/>
  <c r="AJ778" i="8" s="1"/>
  <c r="AH1042" i="8"/>
  <c r="AJ1042" i="8" s="1"/>
  <c r="AH871" i="8"/>
  <c r="AJ871" i="8" s="1"/>
  <c r="AH103" i="8"/>
  <c r="AJ103" i="8" s="1"/>
  <c r="AH709" i="8"/>
  <c r="AJ709" i="8" s="1"/>
  <c r="AH526" i="8"/>
  <c r="AJ526" i="8" s="1"/>
  <c r="AH82" i="8"/>
  <c r="AJ82" i="8" s="1"/>
  <c r="AH264" i="8"/>
  <c r="AJ264" i="8" s="1"/>
  <c r="AH458" i="8"/>
  <c r="AJ458" i="8" s="1"/>
  <c r="AH74" i="8"/>
  <c r="AJ74" i="8" s="1"/>
  <c r="AH595" i="8"/>
  <c r="AJ595" i="8" s="1"/>
  <c r="AH908" i="8"/>
  <c r="AJ908" i="8" s="1"/>
  <c r="AH464" i="8"/>
  <c r="AJ464" i="8" s="1"/>
  <c r="AH646" i="8"/>
  <c r="AJ646" i="8" s="1"/>
  <c r="AH836" i="8"/>
  <c r="AJ836" i="8" s="1"/>
  <c r="AH453" i="8"/>
  <c r="AJ453" i="8" s="1"/>
  <c r="AH200" i="8"/>
  <c r="AJ200" i="8" s="1"/>
  <c r="AH197" i="8"/>
  <c r="AJ197" i="8" s="1"/>
  <c r="AH1035" i="8"/>
  <c r="AJ1035" i="8" s="1"/>
  <c r="AH658" i="8"/>
  <c r="AJ658" i="8" s="1"/>
  <c r="AH79" i="8"/>
  <c r="AJ79" i="8" s="1"/>
  <c r="AH582" i="8"/>
  <c r="AJ582" i="8" s="1"/>
  <c r="AH772" i="8"/>
  <c r="AJ772" i="8" s="1"/>
  <c r="AH198" i="8"/>
  <c r="AJ198" i="8" s="1"/>
  <c r="AH584" i="8"/>
  <c r="AJ584" i="8" s="1"/>
  <c r="AH1030" i="8"/>
  <c r="AJ1030" i="8" s="1"/>
  <c r="AH1028" i="8"/>
  <c r="AJ1028" i="8" s="1"/>
  <c r="AH396" i="8"/>
  <c r="AJ396" i="8" s="1"/>
  <c r="AH251" i="8"/>
  <c r="AJ251" i="8" s="1"/>
  <c r="AH531" i="8"/>
  <c r="AJ531" i="8" s="1"/>
  <c r="AH131" i="8"/>
  <c r="AJ131" i="8" s="1"/>
  <c r="AH123" i="8"/>
  <c r="AJ123" i="8" s="1"/>
  <c r="AH187" i="8"/>
  <c r="AJ187" i="8" s="1"/>
  <c r="AH631" i="8"/>
  <c r="AJ631" i="8" s="1"/>
  <c r="AH759" i="8"/>
  <c r="AJ759" i="8" s="1"/>
  <c r="AH1063" i="8"/>
  <c r="AJ1063" i="8" s="1"/>
  <c r="AH151" i="8"/>
  <c r="AJ151" i="8" s="1"/>
  <c r="AH663" i="8"/>
  <c r="AJ663" i="8" s="1"/>
  <c r="AH219" i="8"/>
  <c r="AJ219" i="8" s="1"/>
  <c r="AH87" i="8"/>
  <c r="AJ87" i="8" s="1"/>
  <c r="AH1047" i="8"/>
  <c r="AJ1047" i="8" s="1"/>
  <c r="AH283" i="8"/>
  <c r="AJ283" i="8" s="1"/>
  <c r="AH215" i="8"/>
  <c r="AJ215" i="8" s="1"/>
  <c r="AH347" i="8"/>
  <c r="AJ347" i="8" s="1"/>
  <c r="AH315" i="8"/>
  <c r="AJ315" i="8" s="1"/>
  <c r="AH379" i="8"/>
  <c r="AJ379" i="8" s="1"/>
  <c r="AH443" i="8"/>
  <c r="AJ443" i="8" s="1"/>
  <c r="AH507" i="8"/>
  <c r="AJ507" i="8" s="1"/>
  <c r="AH571" i="8"/>
  <c r="AJ571" i="8" s="1"/>
  <c r="AH635" i="8"/>
  <c r="AJ635" i="8" s="1"/>
  <c r="AH699" i="8"/>
  <c r="AJ699" i="8" s="1"/>
  <c r="AH447" i="8"/>
  <c r="AJ447" i="8" s="1"/>
  <c r="AH703" i="8"/>
  <c r="AJ703" i="8" s="1"/>
  <c r="AH963" i="8"/>
  <c r="AJ963" i="8" s="1"/>
  <c r="AH895" i="8"/>
  <c r="AJ895" i="8" s="1"/>
  <c r="AH831" i="8"/>
  <c r="AJ831" i="8" s="1"/>
  <c r="AH444" i="8"/>
  <c r="AJ444" i="8" s="1"/>
  <c r="AH564" i="8"/>
  <c r="AJ564" i="8" s="1"/>
  <c r="AH320" i="8"/>
  <c r="AJ320" i="8" s="1"/>
  <c r="AH576" i="8"/>
  <c r="AJ576" i="8" s="1"/>
  <c r="AH116" i="8"/>
  <c r="AJ116" i="8" s="1"/>
  <c r="AH124" i="8"/>
  <c r="AJ124" i="8" s="1"/>
  <c r="AH1024" i="8"/>
  <c r="AJ1024" i="8" s="1"/>
  <c r="AH756" i="8"/>
  <c r="AJ756" i="8" s="1"/>
  <c r="AH832" i="8"/>
  <c r="AJ832" i="8" s="1"/>
  <c r="AH54" i="8"/>
  <c r="AJ54" i="8" s="1"/>
  <c r="AH118" i="8"/>
  <c r="AJ118" i="8" s="1"/>
  <c r="AH182" i="8"/>
  <c r="AJ182" i="8" s="1"/>
  <c r="AH246" i="8"/>
  <c r="AJ246" i="8" s="1"/>
  <c r="AH310" i="8"/>
  <c r="AJ310" i="8" s="1"/>
  <c r="AH374" i="8"/>
  <c r="AJ374" i="8" s="1"/>
  <c r="AH438" i="8"/>
  <c r="AJ438" i="8" s="1"/>
  <c r="AH450" i="8"/>
  <c r="AJ450" i="8" s="1"/>
  <c r="AH578" i="8"/>
  <c r="AJ578" i="8" s="1"/>
  <c r="AH706" i="8"/>
  <c r="AJ706" i="8" s="1"/>
  <c r="AH506" i="8"/>
  <c r="AJ506" i="8" s="1"/>
  <c r="AH634" i="8"/>
  <c r="AJ634" i="8" s="1"/>
  <c r="AH378" i="8"/>
  <c r="AJ378" i="8" s="1"/>
  <c r="AH958" i="8"/>
  <c r="AJ958" i="8" s="1"/>
  <c r="AH962" i="8"/>
  <c r="AJ962" i="8" s="1"/>
  <c r="AH195" i="8"/>
  <c r="AJ195" i="8" s="1"/>
  <c r="AH259" i="8"/>
  <c r="AJ259" i="8" s="1"/>
  <c r="AH323" i="8"/>
  <c r="AJ323" i="8" s="1"/>
  <c r="AH387" i="8"/>
  <c r="AJ387" i="8" s="1"/>
  <c r="AH451" i="8"/>
  <c r="AJ451" i="8" s="1"/>
  <c r="AH515" i="8"/>
  <c r="AJ515" i="8" s="1"/>
  <c r="AH579" i="8"/>
  <c r="AJ579" i="8" s="1"/>
  <c r="AH643" i="8"/>
  <c r="AJ643" i="8" s="1"/>
  <c r="AH707" i="8"/>
  <c r="AJ707" i="8" s="1"/>
  <c r="AH56" i="8"/>
  <c r="AJ56" i="8" s="1"/>
  <c r="AH120" i="8"/>
  <c r="AJ120" i="8" s="1"/>
  <c r="AH184" i="8"/>
  <c r="AJ184" i="8" s="1"/>
  <c r="AH248" i="8"/>
  <c r="AJ248" i="8" s="1"/>
  <c r="AH308" i="8"/>
  <c r="AJ308" i="8" s="1"/>
  <c r="AH632" i="8"/>
  <c r="AJ632" i="8" s="1"/>
  <c r="AH572" i="8"/>
  <c r="AJ572" i="8" s="1"/>
  <c r="AH892" i="8"/>
  <c r="AJ892" i="8" s="1"/>
  <c r="AH824" i="8"/>
  <c r="AJ824" i="8" s="1"/>
  <c r="AH62" i="8"/>
  <c r="AJ62" i="8" s="1"/>
  <c r="AH126" i="8"/>
  <c r="AJ126" i="8" s="1"/>
  <c r="AH190" i="8"/>
  <c r="AJ190" i="8" s="1"/>
  <c r="AH254" i="8"/>
  <c r="AJ254" i="8" s="1"/>
  <c r="AH318" i="8"/>
  <c r="AJ318" i="8" s="1"/>
  <c r="AH382" i="8"/>
  <c r="AJ382" i="8" s="1"/>
  <c r="AH446" i="8"/>
  <c r="AJ446" i="8" s="1"/>
  <c r="AH502" i="8"/>
  <c r="AJ502" i="8" s="1"/>
  <c r="AH630" i="8"/>
  <c r="AJ630" i="8" s="1"/>
  <c r="AH442" i="8"/>
  <c r="AJ442" i="8" s="1"/>
  <c r="AH1014" i="8"/>
  <c r="AJ1014" i="8" s="1"/>
  <c r="AH830" i="8"/>
  <c r="AJ830" i="8" s="1"/>
  <c r="AH511" i="8"/>
  <c r="AJ511" i="8" s="1"/>
  <c r="AH1027" i="8"/>
  <c r="AJ1027" i="8" s="1"/>
  <c r="AH955" i="8"/>
  <c r="AJ955" i="8" s="1"/>
  <c r="AH64" i="8"/>
  <c r="AJ64" i="8" s="1"/>
  <c r="AH128" i="8"/>
  <c r="AJ128" i="8" s="1"/>
  <c r="AH192" i="8"/>
  <c r="AJ192" i="8" s="1"/>
  <c r="AH256" i="8"/>
  <c r="AJ256" i="8" s="1"/>
  <c r="AH628" i="8"/>
  <c r="AJ628" i="8" s="1"/>
  <c r="AH384" i="8"/>
  <c r="AJ384" i="8" s="1"/>
  <c r="AH640" i="8"/>
  <c r="AJ640" i="8" s="1"/>
  <c r="AH312" i="8"/>
  <c r="AJ312" i="8" s="1"/>
  <c r="AH952" i="8"/>
  <c r="AJ952" i="8" s="1"/>
  <c r="AH956" i="8"/>
  <c r="AJ956" i="8" s="1"/>
  <c r="AH884" i="8"/>
  <c r="AJ884" i="8" s="1"/>
  <c r="AH820" i="8"/>
  <c r="AJ820" i="8" s="1"/>
  <c r="AH58" i="8"/>
  <c r="AJ58" i="8" s="1"/>
  <c r="AH122" i="8"/>
  <c r="AJ122" i="8" s="1"/>
  <c r="AH258" i="8"/>
  <c r="AJ258" i="8" s="1"/>
  <c r="AH510" i="8"/>
  <c r="AJ510" i="8" s="1"/>
  <c r="AH638" i="8"/>
  <c r="AJ638" i="8" s="1"/>
  <c r="AH194" i="8"/>
  <c r="AJ194" i="8" s="1"/>
  <c r="AH758" i="8"/>
  <c r="AJ758" i="8" s="1"/>
  <c r="AH119" i="8"/>
  <c r="AJ119" i="8" s="1"/>
  <c r="AH247" i="8"/>
  <c r="AJ247" i="8" s="1"/>
  <c r="AH255" i="8"/>
  <c r="AJ255" i="8" s="1"/>
  <c r="AH959" i="8"/>
  <c r="AJ959" i="8" s="1"/>
  <c r="AH951" i="8"/>
  <c r="AJ951" i="8" s="1"/>
  <c r="AH372" i="8"/>
  <c r="AJ372" i="8" s="1"/>
  <c r="AH696" i="8"/>
  <c r="AJ696" i="8" s="1"/>
  <c r="AH636" i="8"/>
  <c r="AJ636" i="8" s="1"/>
  <c r="AH127" i="8"/>
  <c r="AJ127" i="8" s="1"/>
  <c r="AH575" i="8"/>
  <c r="AJ575" i="8" s="1"/>
  <c r="AH1019" i="8"/>
  <c r="AJ1019" i="8" s="1"/>
  <c r="AH316" i="8"/>
  <c r="AJ316" i="8" s="1"/>
  <c r="AH180" i="8"/>
  <c r="AJ180" i="8" s="1"/>
  <c r="AH692" i="8"/>
  <c r="AJ692" i="8" s="1"/>
  <c r="AH448" i="8"/>
  <c r="AJ448" i="8" s="1"/>
  <c r="AH704" i="8"/>
  <c r="AJ704" i="8" s="1"/>
  <c r="AH376" i="8"/>
  <c r="AJ376" i="8" s="1"/>
  <c r="AH960" i="8"/>
  <c r="AJ960" i="8" s="1"/>
  <c r="AH1016" i="8"/>
  <c r="AJ1016" i="8" s="1"/>
  <c r="AH770" i="8"/>
  <c r="AJ770" i="8" s="1"/>
  <c r="AH834" i="8"/>
  <c r="AJ834" i="8" s="1"/>
  <c r="AH514" i="8"/>
  <c r="AJ514" i="8" s="1"/>
  <c r="AH642" i="8"/>
  <c r="AJ642" i="8" s="1"/>
  <c r="AH763" i="8"/>
  <c r="AJ763" i="8" s="1"/>
  <c r="AH827" i="8"/>
  <c r="AJ827" i="8" s="1"/>
  <c r="AH891" i="8"/>
  <c r="AJ891" i="8" s="1"/>
  <c r="AH503" i="8"/>
  <c r="AJ503" i="8" s="1"/>
  <c r="AH375" i="8"/>
  <c r="AJ375" i="8" s="1"/>
  <c r="AH1023" i="8"/>
  <c r="AJ1023" i="8" s="1"/>
  <c r="AH1015" i="8"/>
  <c r="AJ1015" i="8" s="1"/>
  <c r="AH244" i="8"/>
  <c r="AJ244" i="8" s="1"/>
  <c r="AH436" i="8"/>
  <c r="AJ436" i="8" s="1"/>
  <c r="AH504" i="8"/>
  <c r="AJ504" i="8" s="1"/>
  <c r="AH700" i="8"/>
  <c r="AJ700" i="8" s="1"/>
  <c r="AH764" i="8"/>
  <c r="AJ764" i="8" s="1"/>
  <c r="AH319" i="8"/>
  <c r="AJ319" i="8" s="1"/>
  <c r="AH639" i="8"/>
  <c r="AJ639" i="8" s="1"/>
  <c r="AH771" i="8"/>
  <c r="AJ771" i="8" s="1"/>
  <c r="AH835" i="8"/>
  <c r="AJ835" i="8" s="1"/>
  <c r="AH899" i="8"/>
  <c r="AJ899" i="8" s="1"/>
  <c r="AH439" i="8"/>
  <c r="AJ439" i="8" s="1"/>
  <c r="AH380" i="8"/>
  <c r="AJ380" i="8" s="1"/>
  <c r="AH500" i="8"/>
  <c r="AJ500" i="8" s="1"/>
  <c r="AH512" i="8"/>
  <c r="AJ512" i="8" s="1"/>
  <c r="AH440" i="8"/>
  <c r="AJ440" i="8" s="1"/>
  <c r="AH63" i="8"/>
  <c r="AJ63" i="8" s="1"/>
  <c r="AH383" i="8"/>
  <c r="AJ383" i="8" s="1"/>
  <c r="AH567" i="8"/>
  <c r="AJ567" i="8" s="1"/>
  <c r="AH191" i="8"/>
  <c r="AJ191" i="8" s="1"/>
  <c r="AH695" i="8"/>
  <c r="AJ695" i="8" s="1"/>
  <c r="AH767" i="8"/>
  <c r="AJ767" i="8" s="1"/>
  <c r="AH60" i="8"/>
  <c r="AJ60" i="8" s="1"/>
  <c r="AH188" i="8"/>
  <c r="AJ188" i="8" s="1"/>
  <c r="AH568" i="8"/>
  <c r="AJ568" i="8" s="1"/>
  <c r="AH252" i="8"/>
  <c r="AJ252" i="8" s="1"/>
  <c r="AH702" i="8"/>
  <c r="AJ702" i="8" s="1"/>
  <c r="AH822" i="8"/>
  <c r="AJ822" i="8" s="1"/>
  <c r="AH1018" i="8"/>
  <c r="AJ1018" i="8" s="1"/>
  <c r="AH65" i="8"/>
  <c r="AJ65" i="8" s="1"/>
  <c r="AH129" i="8"/>
  <c r="AJ129" i="8" s="1"/>
  <c r="AH193" i="8"/>
  <c r="AJ193" i="8" s="1"/>
  <c r="AH249" i="8"/>
  <c r="AJ249" i="8" s="1"/>
  <c r="AH697" i="8"/>
  <c r="AJ697" i="8" s="1"/>
  <c r="AH765" i="8"/>
  <c r="AJ765" i="8" s="1"/>
  <c r="AH757" i="8"/>
  <c r="AJ757" i="8" s="1"/>
  <c r="AH1013" i="8"/>
  <c r="AJ1013" i="8" s="1"/>
  <c r="AH888" i="8"/>
  <c r="AJ888" i="8" s="1"/>
  <c r="AH130" i="8"/>
  <c r="AJ130" i="8" s="1"/>
  <c r="AH186" i="8"/>
  <c r="AJ186" i="8" s="1"/>
  <c r="AH766" i="8"/>
  <c r="AJ766" i="8" s="1"/>
  <c r="AH1022" i="8"/>
  <c r="AJ1022" i="8" s="1"/>
  <c r="AH577" i="8"/>
  <c r="AJ577" i="8" s="1"/>
  <c r="AH313" i="8"/>
  <c r="AJ313" i="8" s="1"/>
  <c r="AH829" i="8"/>
  <c r="AJ829" i="8" s="1"/>
  <c r="AH821" i="8"/>
  <c r="AJ821" i="8" s="1"/>
  <c r="AH762" i="8"/>
  <c r="AJ762" i="8" s="1"/>
  <c r="AH566" i="8"/>
  <c r="AJ566" i="8" s="1"/>
  <c r="AH890" i="8"/>
  <c r="AJ890" i="8" s="1"/>
  <c r="AH53" i="8"/>
  <c r="AJ53" i="8" s="1"/>
  <c r="AH117" i="8"/>
  <c r="AJ117" i="8" s="1"/>
  <c r="AH181" i="8"/>
  <c r="AJ181" i="8" s="1"/>
  <c r="AH245" i="8"/>
  <c r="AJ245" i="8" s="1"/>
  <c r="AH309" i="8"/>
  <c r="AJ309" i="8" s="1"/>
  <c r="AH373" i="8"/>
  <c r="AJ373" i="8" s="1"/>
  <c r="AH437" i="8"/>
  <c r="AJ437" i="8" s="1"/>
  <c r="AH501" i="8"/>
  <c r="AJ501" i="8" s="1"/>
  <c r="AH565" i="8"/>
  <c r="AJ565" i="8" s="1"/>
  <c r="AH629" i="8"/>
  <c r="AJ629" i="8" s="1"/>
  <c r="AH693" i="8"/>
  <c r="AJ693" i="8" s="1"/>
  <c r="AH505" i="8"/>
  <c r="AJ505" i="8" s="1"/>
  <c r="AH377" i="8"/>
  <c r="AJ377" i="8" s="1"/>
  <c r="AH1020" i="8"/>
  <c r="AJ1020" i="8" s="1"/>
  <c r="AH896" i="8"/>
  <c r="AJ896" i="8" s="1"/>
  <c r="AH250" i="8"/>
  <c r="AJ250" i="8" s="1"/>
  <c r="AH886" i="8"/>
  <c r="AJ886" i="8" s="1"/>
  <c r="AH61" i="8"/>
  <c r="AJ61" i="8" s="1"/>
  <c r="AH125" i="8"/>
  <c r="AJ125" i="8" s="1"/>
  <c r="AH189" i="8"/>
  <c r="AJ189" i="8" s="1"/>
  <c r="AH253" i="8"/>
  <c r="AJ253" i="8" s="1"/>
  <c r="AH317" i="8"/>
  <c r="AJ317" i="8" s="1"/>
  <c r="AH381" i="8"/>
  <c r="AJ381" i="8" s="1"/>
  <c r="AH445" i="8"/>
  <c r="AJ445" i="8" s="1"/>
  <c r="AH509" i="8"/>
  <c r="AJ509" i="8" s="1"/>
  <c r="AH573" i="8"/>
  <c r="AJ573" i="8" s="1"/>
  <c r="AH637" i="8"/>
  <c r="AJ637" i="8" s="1"/>
  <c r="AH701" i="8"/>
  <c r="AJ701" i="8" s="1"/>
  <c r="AH321" i="8"/>
  <c r="AJ321" i="8" s="1"/>
  <c r="AH641" i="8"/>
  <c r="AJ641" i="8" s="1"/>
  <c r="AH441" i="8"/>
  <c r="AJ441" i="8" s="1"/>
  <c r="AH705" i="8"/>
  <c r="AJ705" i="8" s="1"/>
  <c r="AH885" i="8"/>
  <c r="AJ885" i="8" s="1"/>
  <c r="AH760" i="8"/>
  <c r="AJ760" i="8" s="1"/>
  <c r="AH828" i="8"/>
  <c r="AJ828" i="8" s="1"/>
  <c r="AH66" i="8"/>
  <c r="AJ66" i="8" s="1"/>
  <c r="AH574" i="8"/>
  <c r="AJ574" i="8" s="1"/>
  <c r="AH698" i="8"/>
  <c r="AJ698" i="8" s="1"/>
  <c r="AH950" i="8"/>
  <c r="AJ950" i="8" s="1"/>
  <c r="AH385" i="8"/>
  <c r="AJ385" i="8" s="1"/>
  <c r="AH508" i="8"/>
  <c r="AJ508" i="8" s="1"/>
  <c r="AH948" i="8"/>
  <c r="AJ948" i="8" s="1"/>
  <c r="AH894" i="8"/>
  <c r="AJ894" i="8" s="1"/>
  <c r="AH449" i="8"/>
  <c r="AJ449" i="8" s="1"/>
  <c r="AH1012" i="8"/>
  <c r="AJ1012" i="8" s="1"/>
  <c r="AH826" i="8"/>
  <c r="AJ826" i="8" s="1"/>
  <c r="AH322" i="8"/>
  <c r="AJ322" i="8" s="1"/>
  <c r="AH570" i="8"/>
  <c r="AJ570" i="8" s="1"/>
  <c r="AH954" i="8"/>
  <c r="AJ954" i="8" s="1"/>
  <c r="AH633" i="8"/>
  <c r="AJ633" i="8" s="1"/>
  <c r="AH769" i="8"/>
  <c r="AJ769" i="8" s="1"/>
  <c r="AH833" i="8"/>
  <c r="AJ833" i="8" s="1"/>
  <c r="AH897" i="8"/>
  <c r="AJ897" i="8" s="1"/>
  <c r="AH961" i="8"/>
  <c r="AJ961" i="8" s="1"/>
  <c r="AH1025" i="8"/>
  <c r="AJ1025" i="8" s="1"/>
  <c r="AH957" i="8"/>
  <c r="AJ957" i="8" s="1"/>
  <c r="AH1021" i="8"/>
  <c r="AJ1021" i="8" s="1"/>
  <c r="AH768" i="8"/>
  <c r="AJ768" i="8" s="1"/>
  <c r="AH694" i="8"/>
  <c r="AJ694" i="8" s="1"/>
  <c r="AH386" i="8"/>
  <c r="AJ386" i="8" s="1"/>
  <c r="AH314" i="8"/>
  <c r="AJ314" i="8" s="1"/>
  <c r="AH1026" i="8"/>
  <c r="AJ1026" i="8" s="1"/>
  <c r="AH898" i="8"/>
  <c r="AJ898" i="8" s="1"/>
  <c r="AH57" i="8"/>
  <c r="AJ57" i="8" s="1"/>
  <c r="AH121" i="8"/>
  <c r="AJ121" i="8" s="1"/>
  <c r="AH185" i="8"/>
  <c r="AJ185" i="8" s="1"/>
  <c r="AH513" i="8"/>
  <c r="AJ513" i="8" s="1"/>
  <c r="AH949" i="8"/>
  <c r="AJ949" i="8" s="1"/>
  <c r="AH825" i="8"/>
  <c r="AJ825" i="8" s="1"/>
  <c r="AH953" i="8"/>
  <c r="AJ953" i="8" s="1"/>
  <c r="AH52" i="8"/>
  <c r="AJ52" i="8" s="1"/>
  <c r="AH569" i="8"/>
  <c r="AJ569" i="8" s="1"/>
  <c r="AH257" i="8"/>
  <c r="AJ257" i="8" s="1"/>
  <c r="AH761" i="8"/>
  <c r="AJ761" i="8" s="1"/>
  <c r="AH889" i="8"/>
  <c r="AJ889" i="8" s="1"/>
  <c r="AH1017" i="8"/>
  <c r="AJ1017" i="8" s="1"/>
  <c r="AH893" i="8"/>
  <c r="AJ893" i="8" s="1"/>
  <c r="AH112" i="8"/>
  <c r="AJ112" i="8" s="1"/>
  <c r="AH176" i="8"/>
  <c r="AJ176" i="8" s="1"/>
  <c r="AH240" i="8"/>
  <c r="AJ240" i="8" s="1"/>
  <c r="AH680" i="8"/>
  <c r="AJ680" i="8" s="1"/>
  <c r="AH292" i="8"/>
  <c r="AJ292" i="8" s="1"/>
  <c r="AH296" i="8"/>
  <c r="AJ296" i="8" s="1"/>
  <c r="AH484" i="8"/>
  <c r="AJ484" i="8" s="1"/>
  <c r="AH744" i="8"/>
  <c r="AJ744" i="8" s="1"/>
  <c r="AH880" i="8"/>
  <c r="AJ880" i="8" s="1"/>
  <c r="AH1004" i="8"/>
  <c r="AJ1004" i="8" s="1"/>
  <c r="AH1000" i="8"/>
  <c r="AJ1000" i="8" s="1"/>
  <c r="AH106" i="8"/>
  <c r="AJ106" i="8" s="1"/>
  <c r="AH178" i="8"/>
  <c r="AJ178" i="8" s="1"/>
  <c r="AH490" i="8"/>
  <c r="AJ490" i="8" s="1"/>
  <c r="AH618" i="8"/>
  <c r="AJ618" i="8" s="1"/>
  <c r="AH426" i="8"/>
  <c r="AJ426" i="8" s="1"/>
  <c r="AH687" i="8"/>
  <c r="AJ687" i="8" s="1"/>
  <c r="AH175" i="8"/>
  <c r="AJ175" i="8" s="1"/>
  <c r="AH879" i="8"/>
  <c r="AJ879" i="8" s="1"/>
  <c r="AH556" i="8"/>
  <c r="AJ556" i="8" s="1"/>
  <c r="AH172" i="8"/>
  <c r="AJ172" i="8" s="1"/>
  <c r="AH496" i="8"/>
  <c r="AJ496" i="8" s="1"/>
  <c r="AH684" i="8"/>
  <c r="AJ684" i="8" s="1"/>
  <c r="AH872" i="8"/>
  <c r="AJ872" i="8" s="1"/>
  <c r="AH114" i="8"/>
  <c r="AJ114" i="8" s="1"/>
  <c r="AH242" i="8"/>
  <c r="AJ242" i="8" s="1"/>
  <c r="AH498" i="8"/>
  <c r="AJ498" i="8" s="1"/>
  <c r="AH626" i="8"/>
  <c r="AJ626" i="8" s="1"/>
  <c r="AH746" i="8"/>
  <c r="AJ746" i="8" s="1"/>
  <c r="AH810" i="8"/>
  <c r="AJ810" i="8" s="1"/>
  <c r="AH998" i="8"/>
  <c r="AJ998" i="8" s="1"/>
  <c r="AH111" i="8"/>
  <c r="AJ111" i="8" s="1"/>
  <c r="AH239" i="8"/>
  <c r="AJ239" i="8" s="1"/>
  <c r="AH1067" i="8"/>
  <c r="AJ1067" i="8" s="1"/>
  <c r="AH488" i="8"/>
  <c r="AJ488" i="8" s="1"/>
  <c r="AH356" i="8"/>
  <c r="AJ356" i="8" s="1"/>
  <c r="AH360" i="8"/>
  <c r="AJ360" i="8" s="1"/>
  <c r="AH548" i="8"/>
  <c r="AJ548" i="8" s="1"/>
  <c r="AH236" i="8"/>
  <c r="AJ236" i="8" s="1"/>
  <c r="AH808" i="8"/>
  <c r="AJ808" i="8" s="1"/>
  <c r="AH876" i="8"/>
  <c r="AJ876" i="8" s="1"/>
  <c r="AH868" i="8"/>
  <c r="AJ868" i="8" s="1"/>
  <c r="AH754" i="8"/>
  <c r="AJ754" i="8" s="1"/>
  <c r="AH818" i="8"/>
  <c r="AJ818" i="8" s="1"/>
  <c r="AH870" i="8"/>
  <c r="AJ870" i="8" s="1"/>
  <c r="AH747" i="8"/>
  <c r="AJ747" i="8" s="1"/>
  <c r="AH811" i="8"/>
  <c r="AJ811" i="8" s="1"/>
  <c r="AH875" i="8"/>
  <c r="AJ875" i="8" s="1"/>
  <c r="AH231" i="8"/>
  <c r="AJ231" i="8" s="1"/>
  <c r="AH495" i="8"/>
  <c r="AJ495" i="8" s="1"/>
  <c r="AH303" i="8"/>
  <c r="AJ303" i="8" s="1"/>
  <c r="AH615" i="8"/>
  <c r="AJ615" i="8" s="1"/>
  <c r="AH943" i="8"/>
  <c r="AJ943" i="8" s="1"/>
  <c r="AH1075" i="8"/>
  <c r="AJ1075" i="8" s="1"/>
  <c r="AH947" i="8"/>
  <c r="AJ947" i="8" s="1"/>
  <c r="AH1071" i="8"/>
  <c r="AJ1071" i="8" s="1"/>
  <c r="AH304" i="8"/>
  <c r="AJ304" i="8" s="1"/>
  <c r="AH620" i="8"/>
  <c r="AJ620" i="8" s="1"/>
  <c r="AH300" i="8"/>
  <c r="AJ300" i="8" s="1"/>
  <c r="AH560" i="8"/>
  <c r="AJ560" i="8" s="1"/>
  <c r="AH755" i="8"/>
  <c r="AJ755" i="8" s="1"/>
  <c r="AH819" i="8"/>
  <c r="AJ819" i="8" s="1"/>
  <c r="AH883" i="8"/>
  <c r="AJ883" i="8" s="1"/>
  <c r="AH367" i="8"/>
  <c r="AJ367" i="8" s="1"/>
  <c r="AH939" i="8"/>
  <c r="AJ939" i="8" s="1"/>
  <c r="AH552" i="8"/>
  <c r="AJ552" i="8" s="1"/>
  <c r="AH420" i="8"/>
  <c r="AJ420" i="8" s="1"/>
  <c r="AH424" i="8"/>
  <c r="AJ424" i="8" s="1"/>
  <c r="AH612" i="8"/>
  <c r="AJ612" i="8" s="1"/>
  <c r="AH932" i="8"/>
  <c r="AJ932" i="8" s="1"/>
  <c r="AH1068" i="8"/>
  <c r="AJ1068" i="8" s="1"/>
  <c r="AH804" i="8"/>
  <c r="AJ804" i="8" s="1"/>
  <c r="AH740" i="8"/>
  <c r="AJ740" i="8" s="1"/>
  <c r="AH370" i="8"/>
  <c r="AJ370" i="8" s="1"/>
  <c r="AH554" i="8"/>
  <c r="AJ554" i="8" s="1"/>
  <c r="AH682" i="8"/>
  <c r="AJ682" i="8" s="1"/>
  <c r="AH170" i="8"/>
  <c r="AJ170" i="8" s="1"/>
  <c r="AH559" i="8"/>
  <c r="AJ559" i="8" s="1"/>
  <c r="AH431" i="8"/>
  <c r="AJ431" i="8" s="1"/>
  <c r="AH679" i="8"/>
  <c r="AJ679" i="8" s="1"/>
  <c r="AH1007" i="8"/>
  <c r="AJ1007" i="8" s="1"/>
  <c r="AH751" i="8"/>
  <c r="AJ751" i="8" s="1"/>
  <c r="AH743" i="8"/>
  <c r="AJ743" i="8" s="1"/>
  <c r="AH368" i="8"/>
  <c r="AJ368" i="8" s="1"/>
  <c r="AH100" i="8"/>
  <c r="AJ100" i="8" s="1"/>
  <c r="AH108" i="8"/>
  <c r="AJ108" i="8" s="1"/>
  <c r="AH364" i="8"/>
  <c r="AJ364" i="8" s="1"/>
  <c r="AH624" i="8"/>
  <c r="AJ624" i="8" s="1"/>
  <c r="AH812" i="8"/>
  <c r="AJ812" i="8" s="1"/>
  <c r="AH752" i="8"/>
  <c r="AJ752" i="8" s="1"/>
  <c r="AH944" i="8"/>
  <c r="AJ944" i="8" s="1"/>
  <c r="AH816" i="8"/>
  <c r="AJ816" i="8" s="1"/>
  <c r="AH107" i="8"/>
  <c r="AJ107" i="8" s="1"/>
  <c r="AH171" i="8"/>
  <c r="AJ171" i="8" s="1"/>
  <c r="AH235" i="8"/>
  <c r="AJ235" i="8" s="1"/>
  <c r="AH299" i="8"/>
  <c r="AJ299" i="8" s="1"/>
  <c r="AH363" i="8"/>
  <c r="AJ363" i="8" s="1"/>
  <c r="AH427" i="8"/>
  <c r="AJ427" i="8" s="1"/>
  <c r="AH491" i="8"/>
  <c r="AJ491" i="8" s="1"/>
  <c r="AH555" i="8"/>
  <c r="AJ555" i="8" s="1"/>
  <c r="AH619" i="8"/>
  <c r="AJ619" i="8" s="1"/>
  <c r="AH683" i="8"/>
  <c r="AJ683" i="8" s="1"/>
  <c r="AH295" i="8"/>
  <c r="AJ295" i="8" s="1"/>
  <c r="AH1011" i="8"/>
  <c r="AJ1011" i="8" s="1"/>
  <c r="AH815" i="8"/>
  <c r="AJ815" i="8" s="1"/>
  <c r="AH1003" i="8"/>
  <c r="AJ1003" i="8" s="1"/>
  <c r="AH807" i="8"/>
  <c r="AJ807" i="8" s="1"/>
  <c r="AH616" i="8"/>
  <c r="AJ616" i="8" s="1"/>
  <c r="AH164" i="8"/>
  <c r="AJ164" i="8" s="1"/>
  <c r="AH676" i="8"/>
  <c r="AJ676" i="8" s="1"/>
  <c r="AH167" i="8"/>
  <c r="AJ167" i="8" s="1"/>
  <c r="AH115" i="8"/>
  <c r="AJ115" i="8" s="1"/>
  <c r="AH179" i="8"/>
  <c r="AJ179" i="8" s="1"/>
  <c r="AH243" i="8"/>
  <c r="AJ243" i="8" s="1"/>
  <c r="AH307" i="8"/>
  <c r="AJ307" i="8" s="1"/>
  <c r="AH371" i="8"/>
  <c r="AJ371" i="8" s="1"/>
  <c r="AH435" i="8"/>
  <c r="AJ435" i="8" s="1"/>
  <c r="AH499" i="8"/>
  <c r="AJ499" i="8" s="1"/>
  <c r="AH563" i="8"/>
  <c r="AJ563" i="8" s="1"/>
  <c r="AH627" i="8"/>
  <c r="AJ627" i="8" s="1"/>
  <c r="AH691" i="8"/>
  <c r="AJ691" i="8" s="1"/>
  <c r="AH359" i="8"/>
  <c r="AJ359" i="8" s="1"/>
  <c r="AH623" i="8"/>
  <c r="AJ623" i="8" s="1"/>
  <c r="AH487" i="8"/>
  <c r="AJ487" i="8" s="1"/>
  <c r="AH935" i="8"/>
  <c r="AJ935" i="8" s="1"/>
  <c r="AH104" i="8"/>
  <c r="AJ104" i="8" s="1"/>
  <c r="AH168" i="8"/>
  <c r="AJ168" i="8" s="1"/>
  <c r="AH232" i="8"/>
  <c r="AJ232" i="8" s="1"/>
  <c r="AH432" i="8"/>
  <c r="AJ432" i="8" s="1"/>
  <c r="AH228" i="8"/>
  <c r="AJ228" i="8" s="1"/>
  <c r="AH492" i="8"/>
  <c r="AJ492" i="8" s="1"/>
  <c r="AH428" i="8"/>
  <c r="AJ428" i="8" s="1"/>
  <c r="AH688" i="8"/>
  <c r="AJ688" i="8" s="1"/>
  <c r="AH294" i="8"/>
  <c r="AJ294" i="8" s="1"/>
  <c r="AH938" i="8"/>
  <c r="AJ938" i="8" s="1"/>
  <c r="AH1002" i="8"/>
  <c r="AJ1002" i="8" s="1"/>
  <c r="AH101" i="8"/>
  <c r="AJ101" i="8" s="1"/>
  <c r="AH165" i="8"/>
  <c r="AJ165" i="8" s="1"/>
  <c r="AH229" i="8"/>
  <c r="AJ229" i="8" s="1"/>
  <c r="AH293" i="8"/>
  <c r="AJ293" i="8" s="1"/>
  <c r="AH357" i="8"/>
  <c r="AJ357" i="8" s="1"/>
  <c r="AH421" i="8"/>
  <c r="AJ421" i="8" s="1"/>
  <c r="AH485" i="8"/>
  <c r="AJ485" i="8" s="1"/>
  <c r="AH549" i="8"/>
  <c r="AJ549" i="8" s="1"/>
  <c r="AH613" i="8"/>
  <c r="AJ613" i="8" s="1"/>
  <c r="AH677" i="8"/>
  <c r="AJ677" i="8" s="1"/>
  <c r="AH553" i="8"/>
  <c r="AJ553" i="8" s="1"/>
  <c r="AH689" i="8"/>
  <c r="AJ689" i="8" s="1"/>
  <c r="AH1069" i="8"/>
  <c r="AJ1069" i="8" s="1"/>
  <c r="AH1065" i="8"/>
  <c r="AJ1065" i="8" s="1"/>
  <c r="AH813" i="8"/>
  <c r="AJ813" i="8" s="1"/>
  <c r="AH940" i="8"/>
  <c r="AJ940" i="8" s="1"/>
  <c r="AH1060" i="8"/>
  <c r="AJ1060" i="8" s="1"/>
  <c r="AH102" i="8"/>
  <c r="AJ102" i="8" s="1"/>
  <c r="AH302" i="8"/>
  <c r="AJ302" i="8" s="1"/>
  <c r="AH494" i="8"/>
  <c r="AJ494" i="8" s="1"/>
  <c r="AH686" i="8"/>
  <c r="AJ686" i="8" s="1"/>
  <c r="AH614" i="8"/>
  <c r="AJ614" i="8" s="1"/>
  <c r="AH1062" i="8"/>
  <c r="AJ1062" i="8" s="1"/>
  <c r="AH946" i="8"/>
  <c r="AJ946" i="8" s="1"/>
  <c r="AH109" i="8"/>
  <c r="AJ109" i="8" s="1"/>
  <c r="AH173" i="8"/>
  <c r="AJ173" i="8" s="1"/>
  <c r="AH237" i="8"/>
  <c r="AJ237" i="8" s="1"/>
  <c r="AH301" i="8"/>
  <c r="AJ301" i="8" s="1"/>
  <c r="AH365" i="8"/>
  <c r="AJ365" i="8" s="1"/>
  <c r="AH429" i="8"/>
  <c r="AJ429" i="8" s="1"/>
  <c r="AH493" i="8"/>
  <c r="AJ493" i="8" s="1"/>
  <c r="AH557" i="8"/>
  <c r="AJ557" i="8" s="1"/>
  <c r="AH621" i="8"/>
  <c r="AJ621" i="8" s="1"/>
  <c r="AH685" i="8"/>
  <c r="AJ685" i="8" s="1"/>
  <c r="AH749" i="8"/>
  <c r="AJ749" i="8" s="1"/>
  <c r="AH741" i="8"/>
  <c r="AJ741" i="8" s="1"/>
  <c r="AH110" i="8"/>
  <c r="AJ110" i="8" s="1"/>
  <c r="AH422" i="8"/>
  <c r="AJ422" i="8" s="1"/>
  <c r="AH742" i="8"/>
  <c r="AJ742" i="8" s="1"/>
  <c r="AH750" i="8"/>
  <c r="AJ750" i="8" s="1"/>
  <c r="AH305" i="8"/>
  <c r="AJ305" i="8" s="1"/>
  <c r="AH617" i="8"/>
  <c r="AJ617" i="8" s="1"/>
  <c r="AH497" i="8"/>
  <c r="AJ497" i="8" s="1"/>
  <c r="AH869" i="8"/>
  <c r="AJ869" i="8" s="1"/>
  <c r="AH1073" i="8"/>
  <c r="AJ1073" i="8" s="1"/>
  <c r="AH996" i="8"/>
  <c r="AJ996" i="8" s="1"/>
  <c r="AH1072" i="8"/>
  <c r="AJ1072" i="8" s="1"/>
  <c r="AH230" i="8"/>
  <c r="AJ230" i="8" s="1"/>
  <c r="AH430" i="8"/>
  <c r="AJ430" i="8" s="1"/>
  <c r="AH562" i="8"/>
  <c r="AJ562" i="8" s="1"/>
  <c r="AH234" i="8"/>
  <c r="AJ234" i="8" s="1"/>
  <c r="AH486" i="8"/>
  <c r="AJ486" i="8" s="1"/>
  <c r="AH678" i="8"/>
  <c r="AJ678" i="8" s="1"/>
  <c r="AH814" i="8"/>
  <c r="AJ814" i="8" s="1"/>
  <c r="AH1010" i="8"/>
  <c r="AJ1010" i="8" s="1"/>
  <c r="AH369" i="8"/>
  <c r="AJ369" i="8" s="1"/>
  <c r="AH745" i="8"/>
  <c r="AJ745" i="8" s="1"/>
  <c r="AH809" i="8"/>
  <c r="AJ809" i="8" s="1"/>
  <c r="AH873" i="8"/>
  <c r="AJ873" i="8" s="1"/>
  <c r="AH937" i="8"/>
  <c r="AJ937" i="8" s="1"/>
  <c r="AH1001" i="8"/>
  <c r="AJ1001" i="8" s="1"/>
  <c r="AH805" i="8"/>
  <c r="AJ805" i="8" s="1"/>
  <c r="AH238" i="8"/>
  <c r="AJ238" i="8" s="1"/>
  <c r="AH306" i="8"/>
  <c r="AJ306" i="8" s="1"/>
  <c r="AH558" i="8"/>
  <c r="AJ558" i="8" s="1"/>
  <c r="AH298" i="8"/>
  <c r="AJ298" i="8" s="1"/>
  <c r="AH942" i="8"/>
  <c r="AJ942" i="8" s="1"/>
  <c r="AH882" i="8"/>
  <c r="AJ882" i="8" s="1"/>
  <c r="AH433" i="8"/>
  <c r="AJ433" i="8" s="1"/>
  <c r="AH681" i="8"/>
  <c r="AJ681" i="8" s="1"/>
  <c r="AH748" i="8"/>
  <c r="AJ748" i="8" s="1"/>
  <c r="AH1064" i="8"/>
  <c r="AJ1064" i="8" s="1"/>
  <c r="AH358" i="8"/>
  <c r="AJ358" i="8" s="1"/>
  <c r="AH434" i="8"/>
  <c r="AJ434" i="8" s="1"/>
  <c r="AH362" i="8"/>
  <c r="AJ362" i="8" s="1"/>
  <c r="AH550" i="8"/>
  <c r="AJ550" i="8" s="1"/>
  <c r="AH1070" i="8"/>
  <c r="AJ1070" i="8" s="1"/>
  <c r="AH806" i="8"/>
  <c r="AJ806" i="8" s="1"/>
  <c r="AH105" i="8"/>
  <c r="AJ105" i="8" s="1"/>
  <c r="AH169" i="8"/>
  <c r="AJ169" i="8" s="1"/>
  <c r="AH233" i="8"/>
  <c r="AJ233" i="8" s="1"/>
  <c r="AH361" i="8"/>
  <c r="AJ361" i="8" s="1"/>
  <c r="AH936" i="8"/>
  <c r="AJ936" i="8" s="1"/>
  <c r="AH166" i="8"/>
  <c r="AJ166" i="8" s="1"/>
  <c r="AH366" i="8"/>
  <c r="AJ366" i="8" s="1"/>
  <c r="AH622" i="8"/>
  <c r="AJ622" i="8" s="1"/>
  <c r="AH1066" i="8"/>
  <c r="AJ1066" i="8" s="1"/>
  <c r="AH1006" i="8"/>
  <c r="AJ1006" i="8" s="1"/>
  <c r="AH934" i="8"/>
  <c r="AJ934" i="8" s="1"/>
  <c r="AH878" i="8"/>
  <c r="AJ878" i="8" s="1"/>
  <c r="AH113" i="8"/>
  <c r="AJ113" i="8" s="1"/>
  <c r="AH177" i="8"/>
  <c r="AJ177" i="8" s="1"/>
  <c r="AH241" i="8"/>
  <c r="AJ241" i="8" s="1"/>
  <c r="AH489" i="8"/>
  <c r="AJ489" i="8" s="1"/>
  <c r="AH425" i="8"/>
  <c r="AJ425" i="8" s="1"/>
  <c r="AH625" i="8"/>
  <c r="AJ625" i="8" s="1"/>
  <c r="AH933" i="8"/>
  <c r="AJ933" i="8" s="1"/>
  <c r="AH1061" i="8"/>
  <c r="AJ1061" i="8" s="1"/>
  <c r="AH1008" i="8"/>
  <c r="AJ1008" i="8" s="1"/>
  <c r="AH174" i="8"/>
  <c r="AJ174" i="8" s="1"/>
  <c r="AH690" i="8"/>
  <c r="AJ690" i="8" s="1"/>
  <c r="AH1074" i="8"/>
  <c r="AJ1074" i="8" s="1"/>
  <c r="AH874" i="8"/>
  <c r="AJ874" i="8" s="1"/>
  <c r="AH997" i="8"/>
  <c r="AJ997" i="8" s="1"/>
  <c r="AH561" i="8"/>
  <c r="AJ561" i="8" s="1"/>
  <c r="AH1005" i="8"/>
  <c r="AJ1005" i="8" s="1"/>
  <c r="AH1009" i="8"/>
  <c r="AJ1009" i="8" s="1"/>
  <c r="AH753" i="8"/>
  <c r="AJ753" i="8" s="1"/>
  <c r="AH881" i="8"/>
  <c r="AJ881" i="8" s="1"/>
  <c r="AH945" i="8"/>
  <c r="AJ945" i="8" s="1"/>
  <c r="AH877" i="8"/>
  <c r="AJ877" i="8" s="1"/>
  <c r="AH297" i="8"/>
  <c r="AJ297" i="8" s="1"/>
  <c r="AH817" i="8"/>
  <c r="AJ817" i="8" s="1"/>
  <c r="AH941" i="8"/>
  <c r="AJ941" i="8" s="1"/>
  <c r="AH471" i="8"/>
  <c r="AJ471" i="8" s="1"/>
  <c r="AH55" i="8"/>
  <c r="AJ55" i="8" s="1"/>
  <c r="AH311" i="8"/>
  <c r="AJ311" i="8" s="1"/>
  <c r="AH67" i="8"/>
  <c r="AJ67" i="8" s="1"/>
  <c r="AH351" i="8"/>
  <c r="AJ351" i="8" s="1"/>
  <c r="AH799" i="8"/>
  <c r="AJ799" i="8" s="1"/>
  <c r="AH1051" i="8"/>
  <c r="AJ1051" i="8" s="1"/>
  <c r="AH600" i="8"/>
  <c r="AJ600" i="8" s="1"/>
  <c r="AH540" i="8"/>
  <c r="AJ540" i="8" s="1"/>
  <c r="AH788" i="8"/>
  <c r="AJ788" i="8" s="1"/>
  <c r="AH852" i="8"/>
  <c r="AJ852" i="8" s="1"/>
  <c r="AH478" i="8"/>
  <c r="AJ478" i="8" s="1"/>
  <c r="AH606" i="8"/>
  <c r="AJ606" i="8" s="1"/>
  <c r="AH738" i="8"/>
  <c r="AJ738" i="8" s="1"/>
  <c r="AH802" i="8"/>
  <c r="AJ802" i="8" s="1"/>
  <c r="AH346" i="8"/>
  <c r="AJ346" i="8" s="1"/>
  <c r="AH95" i="8"/>
  <c r="AJ95" i="8" s="1"/>
  <c r="AH479" i="8"/>
  <c r="AJ479" i="8" s="1"/>
  <c r="AH731" i="8"/>
  <c r="AJ731" i="8" s="1"/>
  <c r="AH795" i="8"/>
  <c r="AJ795" i="8" s="1"/>
  <c r="AH859" i="8"/>
  <c r="AJ859" i="8" s="1"/>
  <c r="AH923" i="8"/>
  <c r="AJ923" i="8" s="1"/>
  <c r="AH415" i="8"/>
  <c r="AJ415" i="8" s="1"/>
  <c r="AH1059" i="8"/>
  <c r="AJ1059" i="8" s="1"/>
  <c r="AH927" i="8"/>
  <c r="AJ927" i="8" s="1"/>
  <c r="AH1055" i="8"/>
  <c r="AJ1055" i="8" s="1"/>
  <c r="AH344" i="8"/>
  <c r="AJ344" i="8" s="1"/>
  <c r="AH596" i="8"/>
  <c r="AJ596" i="8" s="1"/>
  <c r="AH608" i="8"/>
  <c r="AJ608" i="8" s="1"/>
  <c r="AH348" i="8"/>
  <c r="AJ348" i="8" s="1"/>
  <c r="AH284" i="8"/>
  <c r="AJ284" i="8" s="1"/>
  <c r="AH928" i="8"/>
  <c r="AJ928" i="8" s="1"/>
  <c r="AH1044" i="8"/>
  <c r="AJ1044" i="8" s="1"/>
  <c r="AH1048" i="8"/>
  <c r="AJ1048" i="8" s="1"/>
  <c r="AH792" i="8"/>
  <c r="AJ792" i="8" s="1"/>
  <c r="AH856" i="8"/>
  <c r="AJ856" i="8" s="1"/>
  <c r="AH410" i="8"/>
  <c r="AJ410" i="8" s="1"/>
  <c r="AH726" i="8"/>
  <c r="AJ726" i="8" s="1"/>
  <c r="AH798" i="8"/>
  <c r="AJ798" i="8" s="1"/>
  <c r="AH1058" i="8"/>
  <c r="AJ1058" i="8" s="1"/>
  <c r="AH926" i="8"/>
  <c r="AJ926" i="8" s="1"/>
  <c r="AH1046" i="8"/>
  <c r="AJ1046" i="8" s="1"/>
  <c r="AH739" i="8"/>
  <c r="AJ739" i="8" s="1"/>
  <c r="AH803" i="8"/>
  <c r="AJ803" i="8" s="1"/>
  <c r="AH867" i="8"/>
  <c r="AJ867" i="8" s="1"/>
  <c r="AH220" i="8"/>
  <c r="AJ220" i="8" s="1"/>
  <c r="AH664" i="8"/>
  <c r="AJ664" i="8" s="1"/>
  <c r="AH604" i="8"/>
  <c r="AJ604" i="8" s="1"/>
  <c r="AH732" i="8"/>
  <c r="AJ732" i="8" s="1"/>
  <c r="AH1052" i="8"/>
  <c r="AJ1052" i="8" s="1"/>
  <c r="AH736" i="8"/>
  <c r="AJ736" i="8" s="1"/>
  <c r="AH226" i="8"/>
  <c r="AJ226" i="8" s="1"/>
  <c r="AH482" i="8"/>
  <c r="AJ482" i="8" s="1"/>
  <c r="AH610" i="8"/>
  <c r="AJ610" i="8" s="1"/>
  <c r="AH734" i="8"/>
  <c r="AJ734" i="8" s="1"/>
  <c r="AH538" i="8"/>
  <c r="AJ538" i="8" s="1"/>
  <c r="AH666" i="8"/>
  <c r="AJ666" i="8" s="1"/>
  <c r="AH1050" i="8"/>
  <c r="AJ1050" i="8" s="1"/>
  <c r="AH343" i="8"/>
  <c r="AJ343" i="8" s="1"/>
  <c r="AH543" i="8"/>
  <c r="AJ543" i="8" s="1"/>
  <c r="AH991" i="8"/>
  <c r="AJ991" i="8" s="1"/>
  <c r="AH919" i="8"/>
  <c r="AJ919" i="8" s="1"/>
  <c r="AH408" i="8"/>
  <c r="AJ408" i="8" s="1"/>
  <c r="AH660" i="8"/>
  <c r="AJ660" i="8" s="1"/>
  <c r="AH672" i="8"/>
  <c r="AJ672" i="8" s="1"/>
  <c r="AH412" i="8"/>
  <c r="AJ412" i="8" s="1"/>
  <c r="AH340" i="8"/>
  <c r="AJ340" i="8" s="1"/>
  <c r="AH411" i="8"/>
  <c r="AJ411" i="8" s="1"/>
  <c r="AH475" i="8"/>
  <c r="AJ475" i="8" s="1"/>
  <c r="AH539" i="8"/>
  <c r="AJ539" i="8" s="1"/>
  <c r="AH603" i="8"/>
  <c r="AJ603" i="8" s="1"/>
  <c r="AH667" i="8"/>
  <c r="AJ667" i="8" s="1"/>
  <c r="AH987" i="8"/>
  <c r="AJ987" i="8" s="1"/>
  <c r="AH735" i="8"/>
  <c r="AJ735" i="8" s="1"/>
  <c r="AH472" i="8"/>
  <c r="AJ472" i="8" s="1"/>
  <c r="AH352" i="8"/>
  <c r="AJ352" i="8" s="1"/>
  <c r="AH668" i="8"/>
  <c r="AJ668" i="8" s="1"/>
  <c r="AH916" i="8"/>
  <c r="AJ916" i="8" s="1"/>
  <c r="AH984" i="8"/>
  <c r="AJ984" i="8" s="1"/>
  <c r="AH86" i="8"/>
  <c r="AJ86" i="8" s="1"/>
  <c r="AH150" i="8"/>
  <c r="AJ150" i="8" s="1"/>
  <c r="AH214" i="8"/>
  <c r="AJ214" i="8" s="1"/>
  <c r="AH278" i="8"/>
  <c r="AJ278" i="8" s="1"/>
  <c r="AH342" i="8"/>
  <c r="AJ342" i="8" s="1"/>
  <c r="AH406" i="8"/>
  <c r="AJ406" i="8" s="1"/>
  <c r="AH290" i="8"/>
  <c r="AJ290" i="8" s="1"/>
  <c r="AH542" i="8"/>
  <c r="AJ542" i="8" s="1"/>
  <c r="AH670" i="8"/>
  <c r="AJ670" i="8" s="1"/>
  <c r="AH99" i="8"/>
  <c r="AJ99" i="8" s="1"/>
  <c r="AH163" i="8"/>
  <c r="AJ163" i="8" s="1"/>
  <c r="AH227" i="8"/>
  <c r="AJ227" i="8" s="1"/>
  <c r="AH291" i="8"/>
  <c r="AJ291" i="8" s="1"/>
  <c r="AH355" i="8"/>
  <c r="AJ355" i="8" s="1"/>
  <c r="AH419" i="8"/>
  <c r="AJ419" i="8" s="1"/>
  <c r="AH483" i="8"/>
  <c r="AJ483" i="8" s="1"/>
  <c r="AH547" i="8"/>
  <c r="AJ547" i="8" s="1"/>
  <c r="AH611" i="8"/>
  <c r="AJ611" i="8" s="1"/>
  <c r="AH675" i="8"/>
  <c r="AJ675" i="8" s="1"/>
  <c r="AH223" i="8"/>
  <c r="AJ223" i="8" s="1"/>
  <c r="AH607" i="8"/>
  <c r="AJ607" i="8" s="1"/>
  <c r="AH279" i="8"/>
  <c r="AJ279" i="8" s="1"/>
  <c r="AH287" i="8"/>
  <c r="AJ287" i="8" s="1"/>
  <c r="AH88" i="8"/>
  <c r="AJ88" i="8" s="1"/>
  <c r="AH152" i="8"/>
  <c r="AJ152" i="8" s="1"/>
  <c r="AH216" i="8"/>
  <c r="AJ216" i="8" s="1"/>
  <c r="AH280" i="8"/>
  <c r="AJ280" i="8" s="1"/>
  <c r="AH468" i="8"/>
  <c r="AJ468" i="8" s="1"/>
  <c r="AH84" i="8"/>
  <c r="AJ84" i="8" s="1"/>
  <c r="AH480" i="8"/>
  <c r="AJ480" i="8" s="1"/>
  <c r="AH92" i="8"/>
  <c r="AJ92" i="8" s="1"/>
  <c r="AH404" i="8"/>
  <c r="AJ404" i="8" s="1"/>
  <c r="AH988" i="8"/>
  <c r="AJ988" i="8" s="1"/>
  <c r="AH159" i="8"/>
  <c r="AJ159" i="8" s="1"/>
  <c r="AH535" i="8"/>
  <c r="AJ535" i="8" s="1"/>
  <c r="AH983" i="8"/>
  <c r="AJ983" i="8" s="1"/>
  <c r="AH791" i="8"/>
  <c r="AJ791" i="8" s="1"/>
  <c r="AH96" i="8"/>
  <c r="AJ96" i="8" s="1"/>
  <c r="AH160" i="8"/>
  <c r="AJ160" i="8" s="1"/>
  <c r="AH224" i="8"/>
  <c r="AJ224" i="8" s="1"/>
  <c r="AH288" i="8"/>
  <c r="AJ288" i="8" s="1"/>
  <c r="AH148" i="8"/>
  <c r="AJ148" i="8" s="1"/>
  <c r="AH156" i="8"/>
  <c r="AJ156" i="8" s="1"/>
  <c r="AH536" i="8"/>
  <c r="AJ536" i="8" s="1"/>
  <c r="AH212" i="8"/>
  <c r="AJ212" i="8" s="1"/>
  <c r="AH416" i="8"/>
  <c r="AJ416" i="8" s="1"/>
  <c r="AH476" i="8"/>
  <c r="AJ476" i="8" s="1"/>
  <c r="AH671" i="8"/>
  <c r="AJ671" i="8" s="1"/>
  <c r="AH995" i="8"/>
  <c r="AJ995" i="8" s="1"/>
  <c r="AH863" i="8"/>
  <c r="AJ863" i="8" s="1"/>
  <c r="AH931" i="8"/>
  <c r="AJ931" i="8" s="1"/>
  <c r="AH276" i="8"/>
  <c r="AJ276" i="8" s="1"/>
  <c r="AH532" i="8"/>
  <c r="AJ532" i="8" s="1"/>
  <c r="AH544" i="8"/>
  <c r="AJ544" i="8" s="1"/>
  <c r="AH860" i="8"/>
  <c r="AJ860" i="8" s="1"/>
  <c r="AH796" i="8"/>
  <c r="AJ796" i="8" s="1"/>
  <c r="AH94" i="8"/>
  <c r="AJ94" i="8" s="1"/>
  <c r="AH98" i="8"/>
  <c r="AJ98" i="8" s="1"/>
  <c r="AH418" i="8"/>
  <c r="AJ418" i="8" s="1"/>
  <c r="AH674" i="8"/>
  <c r="AJ674" i="8" s="1"/>
  <c r="AH602" i="8"/>
  <c r="AJ602" i="8" s="1"/>
  <c r="AH930" i="8"/>
  <c r="AJ930" i="8" s="1"/>
  <c r="AH986" i="8"/>
  <c r="AJ986" i="8" s="1"/>
  <c r="AH545" i="8"/>
  <c r="AJ545" i="8" s="1"/>
  <c r="AH417" i="8"/>
  <c r="AJ417" i="8" s="1"/>
  <c r="AH673" i="8"/>
  <c r="AJ673" i="8" s="1"/>
  <c r="AH1057" i="8"/>
  <c r="AJ1057" i="8" s="1"/>
  <c r="AH733" i="8"/>
  <c r="AJ733" i="8" s="1"/>
  <c r="AH729" i="8"/>
  <c r="AJ729" i="8" s="1"/>
  <c r="AH857" i="8"/>
  <c r="AJ857" i="8" s="1"/>
  <c r="AH985" i="8"/>
  <c r="AJ985" i="8" s="1"/>
  <c r="AH797" i="8"/>
  <c r="AJ797" i="8" s="1"/>
  <c r="AH865" i="8"/>
  <c r="AJ865" i="8" s="1"/>
  <c r="AH993" i="8"/>
  <c r="AJ993" i="8" s="1"/>
  <c r="AH1056" i="8"/>
  <c r="AJ1056" i="8" s="1"/>
  <c r="AH414" i="8"/>
  <c r="AJ414" i="8" s="1"/>
  <c r="AH730" i="8"/>
  <c r="AJ730" i="8" s="1"/>
  <c r="AH534" i="8"/>
  <c r="AJ534" i="8" s="1"/>
  <c r="AH858" i="8"/>
  <c r="AJ858" i="8" s="1"/>
  <c r="AH473" i="8"/>
  <c r="AJ473" i="8" s="1"/>
  <c r="AH793" i="8"/>
  <c r="AJ793" i="8" s="1"/>
  <c r="AH921" i="8"/>
  <c r="AJ921" i="8" s="1"/>
  <c r="AH924" i="8"/>
  <c r="AJ924" i="8" s="1"/>
  <c r="AH992" i="8"/>
  <c r="AJ992" i="8" s="1"/>
  <c r="AH222" i="8"/>
  <c r="AJ222" i="8" s="1"/>
  <c r="AH474" i="8"/>
  <c r="AJ474" i="8" s="1"/>
  <c r="AH1054" i="8"/>
  <c r="AJ1054" i="8" s="1"/>
  <c r="AH854" i="8"/>
  <c r="AJ854" i="8" s="1"/>
  <c r="AH982" i="8"/>
  <c r="AJ982" i="8" s="1"/>
  <c r="AH994" i="8"/>
  <c r="AJ994" i="8" s="1"/>
  <c r="AH281" i="8"/>
  <c r="AJ281" i="8" s="1"/>
  <c r="AH609" i="8"/>
  <c r="AJ609" i="8" s="1"/>
  <c r="AH737" i="8"/>
  <c r="AJ737" i="8" s="1"/>
  <c r="AH801" i="8"/>
  <c r="AJ801" i="8" s="1"/>
  <c r="AH929" i="8"/>
  <c r="AJ929" i="8" s="1"/>
  <c r="AH853" i="8"/>
  <c r="AJ853" i="8" s="1"/>
  <c r="AH800" i="8"/>
  <c r="AJ800" i="8" s="1"/>
  <c r="AH920" i="8"/>
  <c r="AJ920" i="8" s="1"/>
  <c r="AH546" i="8"/>
  <c r="AJ546" i="8" s="1"/>
  <c r="AH922" i="8"/>
  <c r="AJ922" i="8" s="1"/>
  <c r="AH89" i="8"/>
  <c r="AJ89" i="8" s="1"/>
  <c r="AH153" i="8"/>
  <c r="AJ153" i="8" s="1"/>
  <c r="AH217" i="8"/>
  <c r="AJ217" i="8" s="1"/>
  <c r="AH537" i="8"/>
  <c r="AJ537" i="8" s="1"/>
  <c r="AH861" i="8"/>
  <c r="AJ861" i="8" s="1"/>
  <c r="AH724" i="8"/>
  <c r="AJ724" i="8" s="1"/>
  <c r="AH350" i="8"/>
  <c r="AJ350" i="8" s="1"/>
  <c r="AH154" i="8"/>
  <c r="AJ154" i="8" s="1"/>
  <c r="AH598" i="8"/>
  <c r="AJ598" i="8" s="1"/>
  <c r="AH862" i="8"/>
  <c r="AJ862" i="8" s="1"/>
  <c r="AH918" i="8"/>
  <c r="AJ918" i="8" s="1"/>
  <c r="AH97" i="8"/>
  <c r="AJ97" i="8" s="1"/>
  <c r="AH161" i="8"/>
  <c r="AJ161" i="8" s="1"/>
  <c r="AH225" i="8"/>
  <c r="AJ225" i="8" s="1"/>
  <c r="AH980" i="8"/>
  <c r="AJ980" i="8" s="1"/>
  <c r="AH158" i="8"/>
  <c r="AJ158" i="8" s="1"/>
  <c r="AH162" i="8"/>
  <c r="AJ162" i="8" s="1"/>
  <c r="AH794" i="8"/>
  <c r="AJ794" i="8" s="1"/>
  <c r="AH282" i="8"/>
  <c r="AJ282" i="8" s="1"/>
  <c r="AH662" i="8"/>
  <c r="AJ662" i="8" s="1"/>
  <c r="AH218" i="8"/>
  <c r="AJ218" i="8" s="1"/>
  <c r="AH790" i="8"/>
  <c r="AJ790" i="8" s="1"/>
  <c r="AH866" i="8"/>
  <c r="AJ866" i="8" s="1"/>
  <c r="AH85" i="8"/>
  <c r="AJ85" i="8" s="1"/>
  <c r="AH149" i="8"/>
  <c r="AJ149" i="8" s="1"/>
  <c r="AH213" i="8"/>
  <c r="AJ213" i="8" s="1"/>
  <c r="AH277" i="8"/>
  <c r="AJ277" i="8" s="1"/>
  <c r="AH341" i="8"/>
  <c r="AJ341" i="8" s="1"/>
  <c r="AH405" i="8"/>
  <c r="AJ405" i="8" s="1"/>
  <c r="AH469" i="8"/>
  <c r="AJ469" i="8" s="1"/>
  <c r="AH533" i="8"/>
  <c r="AJ533" i="8" s="1"/>
  <c r="AH597" i="8"/>
  <c r="AJ597" i="8" s="1"/>
  <c r="AH661" i="8"/>
  <c r="AJ661" i="8" s="1"/>
  <c r="AH725" i="8"/>
  <c r="AJ725" i="8" s="1"/>
  <c r="AH345" i="8"/>
  <c r="AJ345" i="8" s="1"/>
  <c r="AH481" i="8"/>
  <c r="AJ481" i="8" s="1"/>
  <c r="AH289" i="8"/>
  <c r="AJ289" i="8" s="1"/>
  <c r="AH989" i="8"/>
  <c r="AJ989" i="8" s="1"/>
  <c r="AH1045" i="8"/>
  <c r="AJ1045" i="8" s="1"/>
  <c r="AH1053" i="8"/>
  <c r="AJ1053" i="8" s="1"/>
  <c r="AH1049" i="8"/>
  <c r="AJ1049" i="8" s="1"/>
  <c r="AH728" i="8"/>
  <c r="AJ728" i="8" s="1"/>
  <c r="AH864" i="8"/>
  <c r="AJ864" i="8" s="1"/>
  <c r="AH286" i="8"/>
  <c r="AJ286" i="8" s="1"/>
  <c r="AH90" i="8"/>
  <c r="AJ90" i="8" s="1"/>
  <c r="AH354" i="8"/>
  <c r="AJ354" i="8" s="1"/>
  <c r="AH470" i="8"/>
  <c r="AJ470" i="8" s="1"/>
  <c r="AH990" i="8"/>
  <c r="AJ990" i="8" s="1"/>
  <c r="AH93" i="8"/>
  <c r="AJ93" i="8" s="1"/>
  <c r="AH157" i="8"/>
  <c r="AJ157" i="8" s="1"/>
  <c r="AH221" i="8"/>
  <c r="AJ221" i="8" s="1"/>
  <c r="AH285" i="8"/>
  <c r="AJ285" i="8" s="1"/>
  <c r="AH349" i="8"/>
  <c r="AJ349" i="8" s="1"/>
  <c r="AH413" i="8"/>
  <c r="AJ413" i="8" s="1"/>
  <c r="AH477" i="8"/>
  <c r="AJ477" i="8" s="1"/>
  <c r="AH541" i="8"/>
  <c r="AJ541" i="8" s="1"/>
  <c r="AH605" i="8"/>
  <c r="AJ605" i="8" s="1"/>
  <c r="AH669" i="8"/>
  <c r="AJ669" i="8" s="1"/>
  <c r="AH409" i="8"/>
  <c r="AJ409" i="8" s="1"/>
  <c r="AH665" i="8"/>
  <c r="AJ665" i="8" s="1"/>
  <c r="AH353" i="8"/>
  <c r="AJ353" i="8" s="1"/>
  <c r="AH981" i="8"/>
  <c r="AJ981" i="8" s="1"/>
  <c r="AH917" i="8"/>
  <c r="AJ917" i="8" s="1"/>
  <c r="AH601" i="8"/>
  <c r="AJ601" i="8" s="1"/>
  <c r="AH925" i="8"/>
  <c r="AJ925" i="8" s="1"/>
  <c r="AH789" i="8"/>
  <c r="AJ789" i="8" s="1"/>
  <c r="AH599" i="8"/>
  <c r="AJ599" i="8" s="1"/>
  <c r="AH855" i="8"/>
  <c r="AJ855" i="8" s="1"/>
  <c r="AH183" i="8"/>
  <c r="AJ183" i="8" s="1"/>
  <c r="AH91" i="8"/>
  <c r="AJ91" i="8" s="1"/>
  <c r="AH59" i="8"/>
  <c r="AJ59" i="8" s="1"/>
  <c r="AH887" i="8"/>
  <c r="AJ887" i="8" s="1"/>
  <c r="AH155" i="8"/>
  <c r="AJ155" i="8" s="1"/>
  <c r="AH407" i="8"/>
  <c r="AJ407" i="8" s="1"/>
  <c r="AF41" i="8"/>
  <c r="AF42" i="8"/>
  <c r="AK22" i="8"/>
  <c r="AK30" i="8"/>
  <c r="AK29" i="8"/>
  <c r="AK19" i="8"/>
  <c r="AK35" i="8"/>
  <c r="AK28" i="8"/>
  <c r="AK31" i="8"/>
  <c r="AK32" i="8"/>
  <c r="AK34" i="8"/>
  <c r="U36" i="8"/>
  <c r="C4" i="5" s="1"/>
  <c r="AK26" i="8"/>
  <c r="AK21" i="8"/>
  <c r="AK33" i="8"/>
  <c r="AK24" i="8"/>
  <c r="AK27" i="8"/>
  <c r="AK25" i="8"/>
  <c r="AK20" i="8"/>
  <c r="AK23" i="8"/>
  <c r="C5" i="5"/>
  <c r="C17" i="5" s="1"/>
  <c r="C18" i="5" s="1"/>
  <c r="AK18" i="8"/>
  <c r="AL52" i="8" l="1"/>
  <c r="U39" i="8" s="1"/>
  <c r="AM36" i="8"/>
  <c r="U38" i="8" s="1"/>
  <c r="C7" i="5" l="1"/>
  <c r="C14" i="5" s="1"/>
  <c r="J7" i="3" s="1"/>
  <c r="C6" i="5"/>
  <c r="C13" i="5" s="1"/>
  <c r="J6" i="3" s="1"/>
  <c r="J9" i="3" l="1"/>
  <c r="C15" i="5" l="1"/>
  <c r="C21" i="5" s="1"/>
  <c r="AH41" i="8"/>
  <c r="U41" i="8" l="1"/>
  <c r="C9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<sst xmlns="http://schemas.openxmlformats.org/spreadsheetml/2006/main" count="266" uniqueCount="112">
  <si>
    <t>SYMBOL LIST</t>
  </si>
  <si>
    <t>LINE PAYS</t>
  </si>
  <si>
    <t>Normal play</t>
  </si>
  <si>
    <t>SYMBOL</t>
  </si>
  <si>
    <t>LinePay</t>
  </si>
  <si>
    <t>TYPE</t>
  </si>
  <si>
    <t>RTP</t>
  </si>
  <si>
    <t>BASE line</t>
  </si>
  <si>
    <t>BASE bonus</t>
  </si>
  <si>
    <t>FREESPINS</t>
  </si>
  <si>
    <t>TOTAL</t>
  </si>
  <si>
    <t>CP</t>
  </si>
  <si>
    <t>WILD</t>
  </si>
  <si>
    <t>MULTIPLIER</t>
  </si>
  <si>
    <t>PAYLINES</t>
  </si>
  <si>
    <t>CP options</t>
  </si>
  <si>
    <t>RTP line</t>
  </si>
  <si>
    <t>RTP bonus</t>
  </si>
  <si>
    <t>Reel 1</t>
  </si>
  <si>
    <t>Reel 2</t>
  </si>
  <si>
    <t>Reel 3</t>
  </si>
  <si>
    <t>ReelSet0</t>
  </si>
  <si>
    <t>ReelSet1</t>
  </si>
  <si>
    <t>Weight</t>
  </si>
  <si>
    <t>Probability line</t>
  </si>
  <si>
    <t>Probability bonus</t>
  </si>
  <si>
    <t>Total RTP</t>
  </si>
  <si>
    <t>Probability base</t>
  </si>
  <si>
    <t>Base RTP</t>
  </si>
  <si>
    <t>Probability trigger</t>
  </si>
  <si>
    <t>Freespins RTP</t>
  </si>
  <si>
    <t>Bonus symbol pool</t>
  </si>
  <si>
    <t>Number of CP on window</t>
  </si>
  <si>
    <t>Average</t>
  </si>
  <si>
    <t>Awards</t>
  </si>
  <si>
    <t>Payout</t>
  </si>
  <si>
    <t>Bonus threshold</t>
  </si>
  <si>
    <t>Probability</t>
  </si>
  <si>
    <t>Symbol</t>
  </si>
  <si>
    <t>SUM</t>
  </si>
  <si>
    <t>Hits</t>
  </si>
  <si>
    <t>1 in</t>
  </si>
  <si>
    <t>RTP %</t>
  </si>
  <si>
    <t>Simulated</t>
  </si>
  <si>
    <t>Diff</t>
  </si>
  <si>
    <t>PRODUCT</t>
  </si>
  <si>
    <t>#CP</t>
  </si>
  <si>
    <t>Matrika bonus simbolov</t>
  </si>
  <si>
    <t>count</t>
  </si>
  <si>
    <t>start row</t>
  </si>
  <si>
    <t>height</t>
  </si>
  <si>
    <t>cyclic reelset</t>
  </si>
  <si>
    <t>number of CashPrize per position</t>
  </si>
  <si>
    <t>CP count sum</t>
  </si>
  <si>
    <t>CP RTP</t>
  </si>
  <si>
    <t>Total RTP (with bonus)</t>
  </si>
  <si>
    <t>Reel 4</t>
  </si>
  <si>
    <t>Reel 5</t>
  </si>
  <si>
    <t>P1</t>
  </si>
  <si>
    <t>P2</t>
  </si>
  <si>
    <t>P3</t>
  </si>
  <si>
    <t>P4</t>
  </si>
  <si>
    <t>P5</t>
  </si>
  <si>
    <t>P6</t>
  </si>
  <si>
    <t>SCAT</t>
  </si>
  <si>
    <t>/</t>
  </si>
  <si>
    <t>11111</t>
  </si>
  <si>
    <t>00000</t>
  </si>
  <si>
    <t>22222</t>
  </si>
  <si>
    <t>01210</t>
  </si>
  <si>
    <t>21012</t>
  </si>
  <si>
    <t>00100</t>
  </si>
  <si>
    <t>22122</t>
  </si>
  <si>
    <t>12221</t>
  </si>
  <si>
    <t>10001</t>
  </si>
  <si>
    <t>01110</t>
  </si>
  <si>
    <t>21112</t>
  </si>
  <si>
    <t>01010</t>
  </si>
  <si>
    <t>21212</t>
  </si>
  <si>
    <t>10101</t>
  </si>
  <si>
    <t>12121</t>
  </si>
  <si>
    <t>11011</t>
  </si>
  <si>
    <t>11211</t>
  </si>
  <si>
    <t>02020</t>
  </si>
  <si>
    <t>20202</t>
  </si>
  <si>
    <t>10201</t>
  </si>
  <si>
    <t>REEL WINDOW</t>
  </si>
  <si>
    <t>Reels</t>
  </si>
  <si>
    <t>Rows</t>
  </si>
  <si>
    <t>Occurs</t>
  </si>
  <si>
    <t>Line pays matrix</t>
  </si>
  <si>
    <t>Triggers</t>
  </si>
  <si>
    <t>BLANK</t>
  </si>
  <si>
    <t>CP probability</t>
  </si>
  <si>
    <t>RTP freespins</t>
  </si>
  <si>
    <r>
      <t xml:space="preserve">[ </t>
    </r>
    <r>
      <rPr>
        <sz val="9"/>
        <color rgb="FFCE9178"/>
        <rFont val="Consolas"/>
        <family val="3"/>
      </rPr>
      <t>"P5"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"P3"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"CP"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"CP"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"P6"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"CP"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"P6"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"P3"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"WILD"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"P5"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"P4"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"P6"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"P6"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"P2"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"P5"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"P1"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"SCAT"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"P6"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"P5"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"P5"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"P6"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"P4"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"SCAT"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"P3"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"P5"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"P2"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"P6"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"SCAT"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"CP"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"CP"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"P2"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"WILD"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"P4"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"P6"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"P5"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"P1"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"P4"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"P5"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"P6"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"P6"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"CP"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"CP"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"P3"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"P2"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"P5"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"SCAT"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"P3"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"P6"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"P2"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"WILD"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"P3"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"P2"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"P6"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"P6"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"P4"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"CP"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"P2"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"P5"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"P1"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"SCAT"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"P3"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"P4"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"P6"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"P1"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"CP"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"CP"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"P4"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"P6"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"P4"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"P1"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"P6"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"P5"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"P2"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"P4"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"P4"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"P5"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"P1"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"P3"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"P4"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"CP"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"CP"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"P5"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"P1"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"P3"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"P4"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"P3"</t>
    </r>
    <r>
      <rPr>
        <sz val="9"/>
        <color rgb="FFCCCCCC"/>
        <rFont val="Consolas"/>
        <family val="3"/>
      </rPr>
      <t xml:space="preserve"> ],</t>
    </r>
  </si>
  <si>
    <r>
      <t xml:space="preserve">[ </t>
    </r>
    <r>
      <rPr>
        <sz val="9"/>
        <color rgb="FFCE9178"/>
        <rFont val="Consolas"/>
        <family val="3"/>
      </rPr>
      <t>"BLANK"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"CP"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"BLANK"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"CP"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"CP"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"CP"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"CP"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"CP"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"BLANK"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"BLANK"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"BLANK"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"BLANK"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"CP"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"CP"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"BLANK"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"BLANK"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"BLANK"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"BLANK"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"BLANK"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"BLANK"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"BLANK"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"BLANK"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"CP"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"BLANK"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"CP"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"BLANK"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"BLANK"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"BLANK"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"BLANK"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"BLANK"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"BLANK"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"CP"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"CP"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"BLANK"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"CP"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"BLANK"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"BLANK"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"CP"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"CP"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"CP"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"BLANK"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"BLANK"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"CP"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"CP"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"CP"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"CP"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"BLANK"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"BLANK"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"BLANK"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"BLANK"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"BLANK"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"BLANK"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"BLANK"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"CP"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"CP"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"BLANK"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"CP"</t>
    </r>
    <r>
      <rPr>
        <sz val="9"/>
        <color rgb="FFCCCCCC"/>
        <rFont val="Consolas"/>
        <family val="3"/>
      </rPr>
      <t xml:space="preserve"> ],</t>
    </r>
  </si>
  <si>
    <r>
      <t xml:space="preserve">[ </t>
    </r>
    <r>
      <rPr>
        <sz val="9"/>
        <color rgb="FFCE9178"/>
        <rFont val="Consolas"/>
        <family val="3"/>
      </rPr>
      <t>"BLANK"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"BLANK"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"CP"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"CP"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"CP"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"CP"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"CP"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"BLANK"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"BLANK"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"BLANK"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"BLANK"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"CP"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"CP"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"CP"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"BLANK"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"CP"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"CP"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"BLANK"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"BLANK"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"BLANK"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"BLANK"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"BLANK"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"BLANK"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"BLANK"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"BLANK"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"CP"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"BLANK"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"BLANK"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"CP"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"BLANK"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"BLANK"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"CP"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"BLANK"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"BLANK"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"CP"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"CP"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"BLANK"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"BLANK"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"BLANK"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"CP"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"CP"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"CP"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"BLANK"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"BLANK"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"CP"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"CP"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"CP"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"CP"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"BLANK"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"BLANK"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"BLANK"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"BLANK"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"BLANK"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"BLANK"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"BLANK"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"CP"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"CP"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"BLANK"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"CP"</t>
    </r>
    <r>
      <rPr>
        <sz val="9"/>
        <color rgb="FFCCCCCC"/>
        <rFont val="Consolas"/>
        <family val="3"/>
      </rPr>
      <t xml:space="preserve"> ],</t>
    </r>
  </si>
  <si>
    <r>
      <t xml:space="preserve">[ </t>
    </r>
    <r>
      <rPr>
        <sz val="9"/>
        <color rgb="FFCE9178"/>
        <rFont val="Consolas"/>
        <family val="3"/>
      </rPr>
      <t>"BLANK"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"CP"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"BLANK"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"BLANK"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"BLANK"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"BLANK"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"BLANK"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"BLANK"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"CP"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"BLANK"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"BLANK"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"CP"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"BLANK"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"BLANK"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"BLANK"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"BLANK"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"BLANK"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"BLANK"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"CP"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"BLANK"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"BLANK"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"CP"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"CP"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"BLANK"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"CP"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"CP"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"BLANK"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"BLANK"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"CP"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"BLANK"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"CP"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"CP"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"BLANK"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"BLANK"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"BLANK"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"BLANK"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"BLANK"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"BLANK"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"BLANK"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"BLANK"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"BLANK"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"BLANK"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"BLANK"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"CP"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"CP"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"BLANK"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"BLANK"</t>
    </r>
    <r>
      <rPr>
        <sz val="9"/>
        <color rgb="FFCCCCCC"/>
        <rFont val="Consolas"/>
        <family val="3"/>
      </rPr>
      <t xml:space="preserve"> ],</t>
    </r>
  </si>
  <si>
    <r>
      <t xml:space="preserve">[ </t>
    </r>
    <r>
      <rPr>
        <sz val="9"/>
        <color rgb="FFCE9178"/>
        <rFont val="Consolas"/>
        <family val="3"/>
      </rPr>
      <t>"BLANK"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"CP"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"CP"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"CP"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"BLANK"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"CP"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"BLANK"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"CP"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"BLANK"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"BLANK"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"BLANK"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"BLANK"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"BLANK"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"CP"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"BLANK"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"BLANK"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"BLANK"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"BLANK"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"BLANK"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"BLANK"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"BLANK"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"BLANK"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"CP"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"BLANK"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"BLANK"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"BLANK"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"CP"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"BLANK"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"CP"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"CP"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"BLANK"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"BLANK"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"CP"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"BLANK"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"BLANK"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"CP"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"CP"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"BLANK"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"BLANK"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"BLANK"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"BLANK"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"BLANK"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"BLANK"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"BLANK"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"CP"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"CP"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"BLANK"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"BLANK"</t>
    </r>
    <r>
      <rPr>
        <sz val="9"/>
        <color rgb="FFCCCCCC"/>
        <rFont val="Consolas"/>
        <family val="3"/>
      </rPr>
      <t xml:space="preserve"> ],</t>
    </r>
  </si>
  <si>
    <r>
      <t xml:space="preserve">[ </t>
    </r>
    <r>
      <rPr>
        <sz val="9"/>
        <color rgb="FFCE9178"/>
        <rFont val="Consolas"/>
        <family val="3"/>
      </rPr>
      <t>"BLANK"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"CP"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"CP"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"CP"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"BLANK"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"BLANK"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"BLANK"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"BLANK"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"BLANK"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"CP"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"CP"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"BLANK"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"CP"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"CP"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"BLANK"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"CP"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"CP"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"BLANK"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"BLANK"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"BLANK"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"BLANK"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"BLANK"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"BLANK"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"BLANK"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"BLANK"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"BLANK"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"BLANK"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"BLANK"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"BLANK"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"CP"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"CP"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"BLANK"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"BLANK"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"CP"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"BLANK"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"BLANK"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"CP"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"CP"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"BLANK"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"BLANK"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"BLANK"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"BLANK"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"BLANK"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"BLANK"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"BLANK"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"CP"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"CP"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"BLANK"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"BLANK"</t>
    </r>
    <r>
      <rPr>
        <sz val="9"/>
        <color rgb="FFCCCCCC"/>
        <rFont val="Consolas"/>
        <family val="3"/>
      </rPr>
      <t xml:space="preserve"> ]</t>
    </r>
  </si>
  <si>
    <r>
      <t xml:space="preserve">[ </t>
    </r>
    <r>
      <rPr>
        <sz val="9"/>
        <color rgb="FFCE9178"/>
        <rFont val="Consolas"/>
        <family val="3"/>
      </rPr>
      <t>"P5"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"P3"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"CP"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"P6"</t>
    </r>
    <r>
      <rPr>
        <sz val="9"/>
        <color rgb="FFCCCCCC"/>
        <rFont val="Consolas"/>
        <family val="3"/>
      </rPr>
      <t xml:space="preserve">, "SCAT", </t>
    </r>
    <r>
      <rPr>
        <sz val="9"/>
        <color rgb="FFCE9178"/>
        <rFont val="Consolas"/>
        <family val="3"/>
      </rPr>
      <t>"P6"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"P3"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"WILD"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"P5"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"P4"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"P6"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"P6"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"P2"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"P5"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"P1"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"SCAT"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"P6"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"P5"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"P5"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"P6"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"P4"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"SCAT"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"P3"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"P5"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"P2"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"P6"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"SCAT"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"P2"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"WILD"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"P4"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"P6"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"P5"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"P1"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"P4"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"P5"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"P6"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"P6"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"CP"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"P3"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"P2"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"P5"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"SCAT"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"P3"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"P6"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"P2"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"WILD"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"P3"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"P2"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"P6"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"P6"</t>
    </r>
    <r>
      <rPr>
        <sz val="9"/>
        <color rgb="FFCCCCCC"/>
        <rFont val="Consolas"/>
        <family val="3"/>
      </rPr>
      <t xml:space="preserve">, "SCAT", </t>
    </r>
    <r>
      <rPr>
        <sz val="9"/>
        <color rgb="FFCE9178"/>
        <rFont val="Consolas"/>
        <family val="3"/>
      </rPr>
      <t>"P4"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"CP"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"P2"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"P5"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"P1"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"SCAT"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"P3"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"P4"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"P6"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"P1"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"P4"</t>
    </r>
    <r>
      <rPr>
        <sz val="9"/>
        <color rgb="FFCCCCCC"/>
        <rFont val="Consolas"/>
        <family val="3"/>
      </rPr>
      <t xml:space="preserve">, "SCAT", </t>
    </r>
    <r>
      <rPr>
        <sz val="9"/>
        <color rgb="FFCE9178"/>
        <rFont val="Consolas"/>
        <family val="3"/>
      </rPr>
      <t>"P6"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"P4"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"P1"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"P6"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"P5"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"P2"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"P4"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"P4"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"P5"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"P1"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"P3"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"P4"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"P5"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"P1"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"P3"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"P4"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"P3"</t>
    </r>
    <r>
      <rPr>
        <sz val="9"/>
        <color rgb="FFCCCCCC"/>
        <rFont val="Consolas"/>
        <family val="3"/>
      </rPr>
      <t xml:space="preserve"> ],</t>
    </r>
  </si>
  <si>
    <t>Probability freespins</t>
  </si>
  <si>
    <t>Probability hitrate</t>
  </si>
  <si>
    <r>
      <t xml:space="preserve">[ </t>
    </r>
    <r>
      <rPr>
        <sz val="9"/>
        <color rgb="FFCE9178"/>
        <rFont val="Consolas"/>
        <family val="3"/>
      </rPr>
      <t>"P6"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"P5"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"P4"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"WILD"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"P3"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"P3"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"P6"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"P2"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"CP"</t>
    </r>
    <r>
      <rPr>
        <sz val="9"/>
        <color rgb="FFCCCCCC"/>
        <rFont val="Consolas"/>
        <family val="3"/>
      </rPr>
      <t xml:space="preserve">, "CP", </t>
    </r>
    <r>
      <rPr>
        <sz val="9"/>
        <color rgb="FFCE9178"/>
        <rFont val="Consolas"/>
        <family val="3"/>
      </rPr>
      <t>"P5"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"P6"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"P6"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"P3"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"P4"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"P6"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"P5"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"P3"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"P5"</t>
    </r>
    <r>
      <rPr>
        <sz val="9"/>
        <color rgb="FFCCCCCC"/>
        <rFont val="Consolas"/>
        <family val="3"/>
      </rPr>
      <t>,</t>
    </r>
    <r>
      <rPr>
        <sz val="9"/>
        <color rgb="FFCE9178"/>
        <rFont val="Consolas"/>
        <family val="3"/>
      </rPr>
      <t>"P2"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"P5"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"P3"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"P4"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"P5"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"P6"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"P5"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"P1"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"WILD"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"P4"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"P4"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"P5"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"P3"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"P1"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"P5"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"P6"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"P4"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"P4"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"P6"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"CP"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"P5"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"P2"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"P2"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"P3"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"P5"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"P3"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"P3"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"P1"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"CP"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"CP"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"P3"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"P4"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"P6"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"P2"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"P3"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"P2"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"P3"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"P6"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"P4"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"P3"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"P2"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"P1"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"P5"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"P2"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"P4"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"P2"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"P5"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"P1"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"P4"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"P4"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"P1"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"P6"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"P4"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"P6"</t>
    </r>
    <r>
      <rPr>
        <sz val="9"/>
        <color rgb="FFCCCCCC"/>
        <rFont val="Consolas"/>
        <family val="3"/>
      </rPr>
      <t xml:space="preserve">, "CP", </t>
    </r>
    <r>
      <rPr>
        <sz val="9"/>
        <color rgb="FFCE9178"/>
        <rFont val="Consolas"/>
        <family val="3"/>
      </rPr>
      <t>"CP"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"P4"</t>
    </r>
    <r>
      <rPr>
        <sz val="9"/>
        <color rgb="FFCCCCCC"/>
        <rFont val="Consolas"/>
        <family val="3"/>
      </rPr>
      <t xml:space="preserve"> ],</t>
    </r>
  </si>
  <si>
    <r>
      <t xml:space="preserve">[ </t>
    </r>
    <r>
      <rPr>
        <sz val="9"/>
        <color rgb="FFCE9178"/>
        <rFont val="Consolas"/>
        <family val="3"/>
      </rPr>
      <t>"P6"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"P6"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"P5"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"P3"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"WILD"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"P6"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"P1"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"P6"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"P5"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"P4"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"P2"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"P5"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"WILD"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"P6"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"P1"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"P5"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"P5"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"P6"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"P4"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"P3"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"P5"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"P2"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"SCAT"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"CP"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"CP"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"P6"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"P6"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"P2"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"P4"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"P5"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"P1"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"P4"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"P5"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"CP"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"WILD"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"P6"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"CP"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"P3"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"P2"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"P5"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"P3"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"SCAT"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"P2"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"P3"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"P2"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"WILD"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"P4"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"P2"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"SCAT"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"P5"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"P1"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"P3"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"P4"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"P6"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"P1"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"CP"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"CP"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"P4"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"P6"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"P4"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"P1"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"P6"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"P5"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"P2"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"P4"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"P4"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"P5"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"P1"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"P3"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"P4"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"CP"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"CP"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"P5"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"P1"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"P3"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"P4"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"P3"</t>
    </r>
    <r>
      <rPr>
        <sz val="9"/>
        <color rgb="FFCCCCCC"/>
        <rFont val="Consolas"/>
        <family val="3"/>
      </rPr>
      <t xml:space="preserve"> ]</t>
    </r>
  </si>
  <si>
    <r>
      <t xml:space="preserve">[ </t>
    </r>
    <r>
      <rPr>
        <sz val="9"/>
        <color rgb="FFCE9178"/>
        <rFont val="Consolas"/>
        <family val="3"/>
      </rPr>
      <t>"P6"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"P5"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"P4"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"P3"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"P4"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"P6"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"P6"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"CP"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"P5"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"P3"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"P4"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"P6"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"WILD"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"P5"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"P3"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"P5"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"CP"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"P6"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"P5"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"P3"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"WILD"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"P4"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"P5"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"P2"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"P5"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"P3"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"P4"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"P4"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"P5"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"P1"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"P3"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"P5"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"P2"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"P4"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"P6"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"P6"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"P4"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"P2"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"CP"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"P5"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"P2"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"P6"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"P2"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"P3"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"P5"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"P1"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"P3"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"P1"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"CP"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"P6"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"CP"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"P3"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"P4"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"P6"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"P2"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"P3"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"P2"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"P3"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"P6"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"P4"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"P3"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"P2"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"P1"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"P5"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"P2"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"P4"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"P2"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"P5"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"P1"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"P4"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"P4"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"P1"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"CP"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"CP"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"P6"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"P4"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"P6"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"CP"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"P4"</t>
    </r>
    <r>
      <rPr>
        <sz val="9"/>
        <color rgb="FFCCCCCC"/>
        <rFont val="Consolas"/>
        <family val="3"/>
      </rPr>
      <t xml:space="preserve"> ],</t>
    </r>
  </si>
  <si>
    <r>
      <t xml:space="preserve">[ </t>
    </r>
    <r>
      <rPr>
        <sz val="9"/>
        <color rgb="FFCE9178"/>
        <rFont val="Consolas"/>
        <family val="3"/>
      </rPr>
      <t>"P3"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"P4"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"SCAT"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"P6"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"P3"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"P3"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"SCAT"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"P2"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"P4"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"P5"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"P5"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"P4"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"P5"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"SCAT"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"P6"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"P6"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"P5"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"P3"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"P5"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"P4"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"SCAT"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"P6"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"P3"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"P6"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"P3"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"P4"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"P5"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"CP"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"CP"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"P2"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"SCAT"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"P6"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"P5"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"CP"</t>
    </r>
    <r>
      <rPr>
        <sz val="9"/>
        <color rgb="FFCCCCCC"/>
        <rFont val="Consolas"/>
        <family val="3"/>
      </rPr>
      <t xml:space="preserve">, "CP", </t>
    </r>
    <r>
      <rPr>
        <sz val="9"/>
        <color rgb="FFCE9178"/>
        <rFont val="Consolas"/>
        <family val="3"/>
      </rPr>
      <t>"P6"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"P3"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"P4"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"P3"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"P3"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"CP"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"P4"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"P2"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"P5"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"P6"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"CP"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"P5"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"P6"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"P2"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"P4"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"P3"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"P6"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"P4"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"P5"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"P2"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"P4"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"P1"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"P6"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"P6"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"P4"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"P2"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"P2"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"P1"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"P4"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"P1"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"P5"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"P1"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"P1"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"P5"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"P1"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"P4"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"P6"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"P3"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"P2"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"P1"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"P5"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"P6"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"P2"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"CP"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"CP"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"P5"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"P4"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"P1"</t>
    </r>
    <r>
      <rPr>
        <sz val="9"/>
        <color rgb="FFCCCCCC"/>
        <rFont val="Consolas"/>
        <family val="3"/>
      </rPr>
      <t xml:space="preserve"> ],</t>
    </r>
  </si>
  <si>
    <r>
      <t xml:space="preserve">[ </t>
    </r>
    <r>
      <rPr>
        <sz val="9"/>
        <color rgb="FFCE9178"/>
        <rFont val="Consolas"/>
        <family val="3"/>
      </rPr>
      <t>"P4"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"P5"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"SCAT"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"P6"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"P3"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"P1"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"SCAT"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"P4"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"P5"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"P5"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"P6"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"P5"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"SCAT"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"P6"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"P6"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"P5"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"P3"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"P5"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"P4"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"SCAT"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"P6"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"P3"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"P6"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"P3"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"P4"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"P5"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"P2"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"SCAT"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"P6"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"P5"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"CP"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"P6"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"P3"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"P4"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"P3"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"P3"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"CP"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"P4"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"P2"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"P5"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"P6"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"CP"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"P5"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"P6"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"P2"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"P4"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"P3"</t>
    </r>
    <r>
      <rPr>
        <sz val="9"/>
        <color rgb="FFCCCCCC"/>
        <rFont val="Consolas"/>
        <family val="3"/>
      </rPr>
      <t xml:space="preserve">, "SCAT", </t>
    </r>
    <r>
      <rPr>
        <sz val="9"/>
        <color rgb="FFCE9178"/>
        <rFont val="Consolas"/>
        <family val="3"/>
      </rPr>
      <t>"P6"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"P5"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"P2"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"P5"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"P6"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"P6"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"P4"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"P2"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"P2"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"P4"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"P4"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"P1"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"P5"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"P1"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"P1"</t>
    </r>
    <r>
      <rPr>
        <sz val="9"/>
        <color rgb="FFCCCCCC"/>
        <rFont val="Consolas"/>
        <family val="3"/>
      </rPr>
      <t xml:space="preserve">, "SCAT", </t>
    </r>
    <r>
      <rPr>
        <sz val="9"/>
        <color rgb="FFCE9178"/>
        <rFont val="Consolas"/>
        <family val="3"/>
      </rPr>
      <t>"P5"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"P1"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"P4"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"P6"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"P4"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"P2"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"P1"</t>
    </r>
    <r>
      <rPr>
        <sz val="9"/>
        <color rgb="FFCCCCCC"/>
        <rFont val="Consolas"/>
        <family val="3"/>
      </rPr>
      <t xml:space="preserve">, "SCAT", </t>
    </r>
    <r>
      <rPr>
        <sz val="9"/>
        <color rgb="FFCE9178"/>
        <rFont val="Consolas"/>
        <family val="3"/>
      </rPr>
      <t>"P5"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"P6"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"P2"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"CP"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"P5"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"P4"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"P1"</t>
    </r>
    <r>
      <rPr>
        <sz val="9"/>
        <color rgb="FFCCCCCC"/>
        <rFont val="Consolas"/>
        <family val="3"/>
      </rPr>
      <t xml:space="preserve"> ],</t>
    </r>
  </si>
  <si>
    <r>
      <t xml:space="preserve">[ </t>
    </r>
    <r>
      <rPr>
        <sz val="9"/>
        <color rgb="FFCE9178"/>
        <rFont val="Consolas"/>
        <family val="3"/>
      </rPr>
      <t>"P6"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"P5"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"P4"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"P1"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"P3"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"P6"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"P6"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"P5"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"P3"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"P4"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"P6"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"WILD"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"P5"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"P3"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"P5"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"CP"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"P6"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"P5"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"P3"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"WILD"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"P4"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"P5"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"P2"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"P5"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"P1"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"P4"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"P4"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"P5"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"P3"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"P3"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"P5"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"P2"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"P4"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"P6"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"P6"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"P4"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"P2"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"P5"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"P2"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"P6"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"P2"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"P3"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"P5"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"P3"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"P3"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"P1"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"P6"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"P3"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"P4"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"P6"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"P2"</t>
    </r>
    <r>
      <rPr>
        <sz val="9"/>
        <color rgb="FFCCCCCC"/>
        <rFont val="Consolas"/>
        <family val="3"/>
      </rPr>
      <t xml:space="preserve">, "P1", </t>
    </r>
    <r>
      <rPr>
        <sz val="9"/>
        <color rgb="FFCE9178"/>
        <rFont val="Consolas"/>
        <family val="3"/>
      </rPr>
      <t>"P3"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"P2"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"P3"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"P6"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"P4"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"P3"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"P2"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"P1"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"P5"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"P2"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"P4"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"P2"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"P5"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"P1"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"P4"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"P4"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"P1"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"CP"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"P6"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"P4"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"P6"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"CP"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"P4"</t>
    </r>
    <r>
      <rPr>
        <sz val="9"/>
        <color rgb="FFCCCCCC"/>
        <rFont val="Consolas"/>
        <family val="3"/>
      </rPr>
      <t xml:space="preserve"> ],</t>
    </r>
  </si>
  <si>
    <r>
      <t xml:space="preserve">[ </t>
    </r>
    <r>
      <rPr>
        <sz val="9"/>
        <color rgb="FFCE9178"/>
        <rFont val="Consolas"/>
        <family val="3"/>
      </rPr>
      <t>"P6"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"P5"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"P4"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"WILD"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"P3"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"P3"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"P6"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"WILD"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"P2"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"P5"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"P6"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"P6"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"P3"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"P4"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"P6"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"P5"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"P1"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"P5"</t>
    </r>
    <r>
      <rPr>
        <sz val="9"/>
        <color rgb="FFCCCCCC"/>
        <rFont val="Consolas"/>
        <family val="3"/>
      </rPr>
      <t>,</t>
    </r>
    <r>
      <rPr>
        <sz val="9"/>
        <color rgb="FFCE9178"/>
        <rFont val="Consolas"/>
        <family val="3"/>
      </rPr>
      <t>"P2"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"P5"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"P3"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"P4"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"P5"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"P6"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"P5"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"P3"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"WILD"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"P4"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"P4"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"P5"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"P1"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"P3"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"P5"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"P6"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"P4"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"P4"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"P6"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"P5"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"P2"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"P2"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"P3"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"P5"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"P3"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"P3"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"P1"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"CP"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"CP"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"P3"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"P4"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"P6"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"P2"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"P3"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"P2"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"P3"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"P6"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"P4"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"P3"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"P2"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"P1"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"P5"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"P2"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"P4"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"P2"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"P5"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"P1"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"P4"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"P4"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"P1"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"CP"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"P6"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"P4"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"P6"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"CP"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"P4"</t>
    </r>
    <r>
      <rPr>
        <sz val="9"/>
        <color rgb="FFCCCCCC"/>
        <rFont val="Consolas"/>
        <family val="3"/>
      </rPr>
      <t xml:space="preserve"> ],</t>
    </r>
  </si>
  <si>
    <r>
      <t xml:space="preserve">[ </t>
    </r>
    <r>
      <rPr>
        <sz val="9"/>
        <color rgb="FFCE9178"/>
        <rFont val="Consolas"/>
        <family val="3"/>
      </rPr>
      <t>"P6"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"P6"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"P5"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"P3"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"WILD"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"CP"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"P6"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"P3"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"P6"</t>
    </r>
    <r>
      <rPr>
        <sz val="9"/>
        <color rgb="FFCCCCCC"/>
        <rFont val="Consolas"/>
        <family val="3"/>
      </rPr>
      <t xml:space="preserve">, "SCAT", </t>
    </r>
    <r>
      <rPr>
        <sz val="9"/>
        <color rgb="FFCE9178"/>
        <rFont val="Consolas"/>
        <family val="3"/>
      </rPr>
      <t>"P5"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"P4"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"P2"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"P5"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"WILD"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"P6"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"P1"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"P5"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"P5"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"P6"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"P4"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"P3"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"P5"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"P2"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"SCAT"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"P1"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"P6"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"P6"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"P2"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"P4"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"P5"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"P1"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"P4"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"P5"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"CP"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"WILD"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"P6"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"CP"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"P3"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"P2"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"P5"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"P3"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"SCAT"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"P2"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"P3"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"P2"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"WILD"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"P4"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"CP"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"P2"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"SCAT"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"P5"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"P1"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"P3"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"P4"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"P6"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"P1"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"CP"</t>
    </r>
    <r>
      <rPr>
        <sz val="9"/>
        <color rgb="FFCCCCCC"/>
        <rFont val="Consolas"/>
        <family val="3"/>
      </rPr>
      <t xml:space="preserve">, "SCAT", </t>
    </r>
    <r>
      <rPr>
        <sz val="9"/>
        <color rgb="FFCE9178"/>
        <rFont val="Consolas"/>
        <family val="3"/>
      </rPr>
      <t>"P4"</t>
    </r>
    <r>
      <rPr>
        <sz val="9"/>
        <color rgb="FFCCCCCC"/>
        <rFont val="Consolas"/>
        <family val="3"/>
      </rPr>
      <t xml:space="preserve">, "WILD", </t>
    </r>
    <r>
      <rPr>
        <sz val="9"/>
        <color rgb="FFCE9178"/>
        <rFont val="Consolas"/>
        <family val="3"/>
      </rPr>
      <t>"P6"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"P4"</t>
    </r>
    <r>
      <rPr>
        <sz val="9"/>
        <color rgb="FFCCCCCC"/>
        <rFont val="Consolas"/>
        <family val="3"/>
      </rPr>
      <t xml:space="preserve">, "SCAT", </t>
    </r>
    <r>
      <rPr>
        <sz val="9"/>
        <color rgb="FFCE9178"/>
        <rFont val="Consolas"/>
        <family val="3"/>
      </rPr>
      <t>"P1"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"P6"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"P5"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"P2"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"P4"</t>
    </r>
    <r>
      <rPr>
        <sz val="9"/>
        <color rgb="FFCCCCCC"/>
        <rFont val="Consolas"/>
        <family val="3"/>
      </rPr>
      <t xml:space="preserve">, "SCAT", </t>
    </r>
    <r>
      <rPr>
        <sz val="9"/>
        <color rgb="FFCE9178"/>
        <rFont val="Consolas"/>
        <family val="3"/>
      </rPr>
      <t>"P4"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"P5"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"P1"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"P3"</t>
    </r>
    <r>
      <rPr>
        <sz val="9"/>
        <color rgb="FFCCCCCC"/>
        <rFont val="Consolas"/>
        <family val="3"/>
      </rPr>
      <t xml:space="preserve">, "SCAT", </t>
    </r>
    <r>
      <rPr>
        <sz val="9"/>
        <color rgb="FFCE9178"/>
        <rFont val="Consolas"/>
        <family val="3"/>
      </rPr>
      <t>"P4"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"CP"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"P5"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"P1"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"P3"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"P4"</t>
    </r>
    <r>
      <rPr>
        <sz val="9"/>
        <color rgb="FFCCCCCC"/>
        <rFont val="Consolas"/>
        <family val="3"/>
      </rPr>
      <t xml:space="preserve">, </t>
    </r>
    <r>
      <rPr>
        <sz val="9"/>
        <color rgb="FFCE9178"/>
        <rFont val="Consolas"/>
        <family val="3"/>
      </rPr>
      <t>"P3"</t>
    </r>
    <r>
      <rPr>
        <sz val="9"/>
        <color rgb="FFCCCCCC"/>
        <rFont val="Consolas"/>
        <family val="3"/>
      </rPr>
      <t xml:space="preserve"> 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</si>
</sst>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 &quot;* #,##0.00&quot;  &quot;;&quot; &quot;* &quot;(&quot;#,##0.00&quot;) &quot;;&quot; &quot;* &quot;-&quot;#&quot;  &quot;;&quot; &quot;@&quot; &quot;"/>
    <numFmt numFmtId="165" formatCode="0.0000"/>
    <numFmt numFmtId="166" formatCode="0.000%"/>
    <numFmt numFmtId="167" formatCode="0.000"/>
    <numFmt numFmtId="168" formatCode="0.0"/>
    <numFmt numFmtId="169" formatCode="0.00000%"/>
  </numFmts>
  <fonts count="8" x14ac:knownFonts="1">
    <font>
      <sz val="11"/>
      <color rgb="FF000000"/>
      <name val="Aptos Narrow"/>
      <family val="2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sz val="11"/>
      <color rgb="FF000000"/>
      <name val="Calibri"/>
      <family val="2"/>
    </font>
    <font>
      <u/>
      <sz val="11"/>
      <color rgb="FF000000"/>
      <name val="Aptos Narrow"/>
      <family val="2"/>
    </font>
    <font>
      <sz val="8"/>
      <name val="Aptos Narrow"/>
      <family val="2"/>
    </font>
    <font>
      <sz val="9"/>
      <color rgb="FFCCCCCC"/>
      <name val="Consolas"/>
      <family val="3"/>
    </font>
    <font>
      <sz val="9"/>
      <color rgb="FFCE9178"/>
      <name val="Consolas"/>
      <family val="3"/>
    </font>
  </fonts>
  <fills count="7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E8E8E8"/>
        <bgColor rgb="FFE8E8E8"/>
      </patternFill>
    </fill>
    <fill>
      <patternFill patternType="solid">
        <fgColor rgb="FFFFFFCC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2"/>
        <bgColor indexed="64"/>
      </patternFill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2" borderId="0" applyNumberFormat="0" applyFont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19">
    <xf numFmtId="0" fontId="0" fillId="0" borderId="0" xfId="0"/>
    <xf numFmtId="0" fontId="2" fillId="0" borderId="1" xfId="0" applyFont="1" applyBorder="1"/>
    <xf numFmtId="0" fontId="0" fillId="3" borderId="1" xfId="0" applyFill="1" applyBorder="1"/>
    <xf numFmtId="0" fontId="0" fillId="0" borderId="1" xfId="0" applyBorder="1"/>
    <xf numFmtId="0" fontId="2" fillId="0" borderId="0" xfId="0" applyFon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2" fillId="0" borderId="5" xfId="0" applyFont="1" applyBorder="1"/>
    <xf numFmtId="0" fontId="0" fillId="0" borderId="7" xfId="0" applyBorder="1"/>
    <xf numFmtId="0" fontId="0" fillId="0" borderId="0" xfId="0" applyAlignment="1">
      <alignment horizontal="justify" vertical="center" wrapText="1"/>
    </xf>
    <xf numFmtId="0" fontId="0" fillId="0" borderId="6" xfId="0" applyBorder="1"/>
    <xf numFmtId="0" fontId="2" fillId="5" borderId="1" xfId="0" applyFont="1" applyFill="1" applyBorder="1"/>
    <xf numFmtId="0" fontId="3" fillId="0" borderId="0" xfId="0" applyFont="1"/>
    <xf numFmtId="0" fontId="4" fillId="0" borderId="0" xfId="0" applyFont="1" applyAlignment="1">
      <alignment horizontal="justify" vertical="center" wrapText="1"/>
    </xf>
    <xf numFmtId="0" fontId="0" fillId="0" borderId="11" xfId="0" applyBorder="1"/>
    <xf numFmtId="0" fontId="2" fillId="0" borderId="4" xfId="0" applyFont="1" applyBorder="1"/>
    <xf numFmtId="0" fontId="2" fillId="0" borderId="7" xfId="0" applyFont="1" applyBorder="1"/>
    <xf numFmtId="0" fontId="0" fillId="0" borderId="0" xfId="0" applyAlignment="1">
      <alignment horizontal="right"/>
    </xf>
    <xf numFmtId="0" fontId="2" fillId="0" borderId="2" xfId="0" applyFont="1" applyBorder="1"/>
    <xf numFmtId="0" fontId="0" fillId="4" borderId="3" xfId="0" applyFill="1" applyBorder="1" applyAlignment="1">
      <alignment horizontal="right"/>
    </xf>
    <xf numFmtId="0" fontId="2" fillId="0" borderId="9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6" fontId="0" fillId="0" borderId="0" xfId="2" applyNumberFormat="1" applyFont="1"/>
    <xf numFmtId="0" fontId="2" fillId="0" borderId="1" xfId="0" applyFont="1" applyBorder="1" applyAlignment="1">
      <alignment horizontal="center" vertical="center" wrapText="1"/>
    </xf>
    <xf numFmtId="10" fontId="0" fillId="0" borderId="0" xfId="2" applyNumberFormat="1" applyFont="1"/>
    <xf numFmtId="0" fontId="0" fillId="0" borderId="1" xfId="0" applyBorder="1" applyAlignment="1">
      <alignment horizontal="right"/>
    </xf>
    <xf numFmtId="0" fontId="0" fillId="0" borderId="12" xfId="0" applyBorder="1"/>
    <xf numFmtId="0" fontId="0" fillId="0" borderId="0" xfId="0" applyAlignment="1">
      <alignment horizontal="left"/>
    </xf>
    <xf numFmtId="10" fontId="0" fillId="0" borderId="0" xfId="0" applyNumberFormat="1"/>
    <xf numFmtId="10" fontId="0" fillId="0" borderId="3" xfId="0" applyNumberFormat="1" applyBorder="1"/>
    <xf numFmtId="10" fontId="2" fillId="5" borderId="3" xfId="0" applyNumberFormat="1" applyFont="1" applyFill="1" applyBorder="1"/>
    <xf numFmtId="0" fontId="2" fillId="0" borderId="7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165" fontId="0" fillId="0" borderId="1" xfId="0" applyNumberFormat="1" applyBorder="1"/>
    <xf numFmtId="0" fontId="2" fillId="0" borderId="2" xfId="0" applyFont="1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10" fontId="0" fillId="5" borderId="1" xfId="2" applyNumberFormat="1" applyFont="1" applyFill="1" applyBorder="1"/>
    <xf numFmtId="0" fontId="2" fillId="0" borderId="12" xfId="0" applyFont="1" applyBorder="1"/>
    <xf numFmtId="0" fontId="2" fillId="0" borderId="9" xfId="0" applyFont="1" applyBorder="1"/>
    <xf numFmtId="1" fontId="0" fillId="0" borderId="1" xfId="2" applyNumberFormat="1" applyFont="1" applyFill="1" applyBorder="1"/>
    <xf numFmtId="167" fontId="0" fillId="0" borderId="0" xfId="2" applyNumberFormat="1" applyFont="1" applyFill="1"/>
    <xf numFmtId="0" fontId="2" fillId="0" borderId="14" xfId="0" applyFont="1" applyBorder="1"/>
    <xf numFmtId="0" fontId="0" fillId="0" borderId="14" xfId="0" applyBorder="1"/>
    <xf numFmtId="1" fontId="0" fillId="0" borderId="0" xfId="0" applyNumberFormat="1"/>
    <xf numFmtId="0" fontId="2" fillId="0" borderId="0" xfId="0" applyFont="1" applyAlignment="1">
      <alignment horizontal="center"/>
    </xf>
    <xf numFmtId="0" fontId="0" fillId="0" borderId="0" xfId="0" quotePrefix="1"/>
    <xf numFmtId="166" fontId="0" fillId="0" borderId="14" xfId="2" applyNumberFormat="1" applyFont="1" applyBorder="1"/>
    <xf numFmtId="10" fontId="0" fillId="0" borderId="14" xfId="2" applyNumberFormat="1" applyFont="1" applyBorder="1"/>
    <xf numFmtId="0" fontId="0" fillId="0" borderId="14" xfId="0" applyBorder="1" applyAlignment="1">
      <alignment horizontal="left"/>
    </xf>
    <xf numFmtId="10" fontId="0" fillId="0" borderId="14" xfId="0" applyNumberFormat="1" applyBorder="1"/>
    <xf numFmtId="10" fontId="0" fillId="5" borderId="14" xfId="2" applyNumberFormat="1" applyFont="1" applyFill="1" applyBorder="1"/>
    <xf numFmtId="168" fontId="0" fillId="0" borderId="0" xfId="0" applyNumberFormat="1"/>
    <xf numFmtId="10" fontId="2" fillId="5" borderId="11" xfId="0" applyNumberFormat="1" applyFont="1" applyFill="1" applyBorder="1"/>
    <xf numFmtId="0" fontId="6" fillId="0" borderId="0" xfId="0" applyFont="1" applyAlignment="1">
      <alignment vertical="center"/>
    </xf>
    <xf numFmtId="169" fontId="0" fillId="0" borderId="0" xfId="2" applyNumberFormat="1" applyFont="1"/>
    <xf numFmtId="0" fontId="0" fillId="0" borderId="7" xfId="0" applyBorder="1" applyAlignment="1">
      <alignment horizontal="right"/>
    </xf>
    <xf numFmtId="0" fontId="2" fillId="3" borderId="14" xfId="0" applyFont="1" applyFill="1" applyBorder="1"/>
    <xf numFmtId="0" fontId="2" fillId="6" borderId="14" xfId="0" applyFont="1" applyFill="1" applyBorder="1"/>
    <xf numFmtId="166" fontId="2" fillId="5" borderId="3" xfId="0" applyNumberFormat="1" applyFont="1" applyFill="1" applyBorder="1"/>
    <xf numFmtId="10" fontId="0" fillId="0" borderId="12" xfId="2" applyNumberFormat="1" applyFont="1" applyBorder="1"/>
    <xf numFmtId="10" fontId="0" fillId="0" borderId="11" xfId="0" applyNumberFormat="1" applyBorder="1"/>
    <xf numFmtId="0" fontId="0" fillId="0" borderId="20" xfId="0" applyBorder="1"/>
    <xf numFmtId="0" fontId="0" fillId="0" borderId="21" xfId="0" applyBorder="1"/>
    <xf numFmtId="0" fontId="2" fillId="0" borderId="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0" fontId="0" fillId="0" borderId="17" xfId="0" applyNumberFormat="1" applyBorder="1" applyAlignment="1">
      <alignment horizontal="center" vertical="center"/>
    </xf>
    <xf numFmtId="166" fontId="0" fillId="0" borderId="17" xfId="2" applyNumberFormat="1" applyFont="1" applyBorder="1" applyAlignment="1">
      <alignment horizontal="center" vertical="center"/>
    </xf>
    <xf numFmtId="166" fontId="0" fillId="0" borderId="18" xfId="2" applyNumberFormat="1" applyFont="1" applyBorder="1" applyAlignment="1">
      <alignment horizontal="center" vertical="center"/>
    </xf>
    <xf numFmtId="166" fontId="0" fillId="0" borderId="19" xfId="2" applyNumberFormat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8" xfId="0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10" fontId="0" fillId="0" borderId="17" xfId="2" applyNumberFormat="1" applyFont="1" applyBorder="1" applyAlignment="1">
      <alignment horizontal="center" vertical="center"/>
    </xf>
    <xf numFmtId="10" fontId="0" fillId="0" borderId="18" xfId="2" applyNumberFormat="1" applyFont="1" applyBorder="1" applyAlignment="1">
      <alignment horizontal="center" vertical="center"/>
    </xf>
    <xf numFmtId="10" fontId="0" fillId="0" borderId="19" xfId="2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Border="1"/>
    <xf numFmtId="166" fontId="0" fillId="0" borderId="0" xfId="0" applyNumberFormat="1" applyBorder="1"/>
    <xf numFmtId="0" fontId="0" fillId="0" borderId="0" xfId="0" applyBorder="1"/>
    <xf numFmtId="0" fontId="3" fillId="0" borderId="0" xfId="0" applyFont="1" applyBorder="1"/>
    <xf numFmtId="0" fontId="2" fillId="0" borderId="15" xfId="0" applyFont="1" applyBorder="1"/>
    <xf numFmtId="0" fontId="2" fillId="0" borderId="0" xfId="0" applyFont="1" applyBorder="1" applyAlignment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10" fontId="1" fillId="0" borderId="0" xfId="2" applyNumberFormat="1" applyFont="1" applyFill="1" applyBorder="1"/>
    <xf numFmtId="166" fontId="0" fillId="0" borderId="0" xfId="0" applyNumberFormat="1" applyFont="1" applyFill="1" applyBorder="1"/>
    <xf numFmtId="166" fontId="1" fillId="0" borderId="0" xfId="2" applyNumberFormat="1" applyFont="1" applyFill="1" applyBorder="1"/>
    <xf numFmtId="0" fontId="3" fillId="0" borderId="0" xfId="0" applyFont="1" applyFill="1" applyBorder="1"/>
    <xf numFmtId="0" fontId="0" fillId="0" borderId="0" xfId="0" applyFont="1" applyFill="1" applyBorder="1" applyAlignment="1"/>
    <xf numFmtId="0" fontId="2" fillId="0" borderId="23" xfId="0" applyFont="1" applyBorder="1" applyAlignment="1">
      <alignment horizontal="center"/>
    </xf>
    <xf numFmtId="0" fontId="2" fillId="0" borderId="16" xfId="0" applyFont="1" applyBorder="1"/>
    <xf numFmtId="166" fontId="0" fillId="0" borderId="24" xfId="2" applyNumberFormat="1" applyFont="1" applyBorder="1"/>
    <xf numFmtId="166" fontId="0" fillId="0" borderId="22" xfId="0" applyNumberFormat="1" applyBorder="1"/>
    <xf numFmtId="166" fontId="0" fillId="0" borderId="25" xfId="0" applyNumberFormat="1" applyBorder="1"/>
    <xf numFmtId="166" fontId="2" fillId="5" borderId="26" xfId="2" applyNumberFormat="1" applyFont="1" applyFill="1" applyBorder="1"/>
    <xf numFmtId="0" fontId="2" fillId="0" borderId="20" xfId="0" applyFont="1" applyBorder="1"/>
    <xf numFmtId="0" fontId="0" fillId="0" borderId="15" xfId="0" applyBorder="1"/>
    <xf numFmtId="0" fontId="0" fillId="0" borderId="15" xfId="0" applyFont="1" applyFill="1" applyBorder="1"/>
    <xf numFmtId="0" fontId="0" fillId="0" borderId="0" xfId="0" applyBorder="1" applyAlignment="1">
      <alignment horizontal="center"/>
    </xf>
    <xf numFmtId="0" fontId="0" fillId="0" borderId="15" xfId="0" applyFont="1" applyBorder="1"/>
    <xf numFmtId="0" fontId="0" fillId="0" borderId="20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1" xfId="0" applyBorder="1" applyAlignment="1">
      <alignment horizontal="center"/>
    </xf>
    <xf numFmtId="2" fontId="0" fillId="0" borderId="14" xfId="0" applyNumberFormat="1" applyBorder="1"/>
    <xf numFmtId="0" fontId="2" fillId="4" borderId="1" xfId="0" applyFont="1" applyFill="1" applyBorder="1" applyAlignment="1">
      <alignment horizontal="center" vertical="center"/>
    </xf>
    <xf numFmtId="0" fontId="0" fillId="0" borderId="14" xfId="0" applyFill="1" applyBorder="1" applyAlignment="1">
      <alignment horizontal="right"/>
    </xf>
    <xf numFmtId="0" fontId="0" fillId="0" borderId="14" xfId="0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10" fontId="2" fillId="5" borderId="14" xfId="0" applyNumberFormat="1" applyFont="1" applyFill="1" applyBorder="1"/>
  </cellXfs>
  <cellStyles count="4">
    <cellStyle name="cf1" xfId="1" xr:uid="{0CBAC008-3993-4D6B-86AE-324E042691D7}"/>
    <cellStyle name="Navadno" xfId="0" builtinId="0" customBuiltin="1"/>
    <cellStyle name="Odstotek" xfId="2" xr:uid="{D8BC51FC-FB5E-4BBE-8FDD-701BC4571BD2}"/>
    <cellStyle name="Vejica" xfId="3" xr:uid="{B5A46CF3-178B-43A7-A577-A0A8B8F3615A}"/>
  </cellStyles>
  <dxfs count="7"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1325E-3BE9-400C-94D8-001DD8AAC145}">
  <dimension ref="B2:N37"/>
  <sheetViews>
    <sheetView topLeftCell="A13" zoomScale="85" zoomScaleNormal="85" workbookViewId="0">
      <selection activeCell="N17" sqref="N17"/>
    </sheetView>
  </sheetViews>
  <sheetFormatPr defaultRowHeight="15.05" x14ac:dyDescent="0.3"/>
  <cols>
    <col min="1" max="1" width="9.109375" customWidth="1"/>
    <col min="2" max="2" width="19.44140625" bestFit="1" customWidth="1"/>
    <col min="3" max="4" width="9.109375" customWidth="1"/>
    <col min="5" max="5" width="12.6640625" bestFit="1" customWidth="1"/>
    <col min="6" max="7" width="9.109375" customWidth="1"/>
    <col min="8" max="8" width="10.44140625" bestFit="1" customWidth="1"/>
    <col min="9" max="9" width="10.21875" bestFit="1" customWidth="1"/>
    <col min="10" max="10" width="8" bestFit="1" customWidth="1"/>
    <col min="11" max="11" width="11.33203125" bestFit="1" customWidth="1"/>
    <col min="12" max="12" width="9.44140625" bestFit="1" customWidth="1"/>
    <col min="13" max="13" width="12.5546875" bestFit="1" customWidth="1"/>
    <col min="14" max="14" width="11.33203125" bestFit="1" customWidth="1"/>
    <col min="15" max="15" width="9.109375" customWidth="1"/>
  </cols>
  <sheetData>
    <row r="2" spans="2:14" x14ac:dyDescent="0.3">
      <c r="B2" s="4" t="s">
        <v>0</v>
      </c>
      <c r="E2" s="4" t="s">
        <v>1</v>
      </c>
      <c r="I2" s="4"/>
      <c r="L2" s="88"/>
      <c r="M2" s="91"/>
      <c r="N2" s="91"/>
    </row>
    <row r="3" spans="2:14" x14ac:dyDescent="0.3">
      <c r="B3" s="45" t="s">
        <v>3</v>
      </c>
      <c r="C3" s="45">
        <v>3</v>
      </c>
      <c r="D3" s="45">
        <v>4</v>
      </c>
      <c r="E3" s="45">
        <v>5</v>
      </c>
      <c r="F3" s="117" t="s">
        <v>4</v>
      </c>
      <c r="L3" s="88"/>
      <c r="M3" s="86"/>
      <c r="N3" s="86"/>
    </row>
    <row r="4" spans="2:14" x14ac:dyDescent="0.3">
      <c r="B4" s="46" t="s">
        <v>58</v>
      </c>
      <c r="C4" s="115">
        <v>50</v>
      </c>
      <c r="D4" s="115">
        <v>200</v>
      </c>
      <c r="E4" s="115">
        <v>1000</v>
      </c>
      <c r="F4" s="115" t="b">
        <v>1</v>
      </c>
      <c r="I4" s="67" t="s">
        <v>2</v>
      </c>
      <c r="J4" s="99"/>
      <c r="L4" s="88"/>
      <c r="M4" s="87"/>
      <c r="N4" s="88"/>
    </row>
    <row r="5" spans="2:14" x14ac:dyDescent="0.3">
      <c r="B5" s="46" t="s">
        <v>59</v>
      </c>
      <c r="C5" s="115">
        <v>20</v>
      </c>
      <c r="D5" s="115">
        <v>100</v>
      </c>
      <c r="E5" s="115">
        <v>500</v>
      </c>
      <c r="F5" s="115" t="b">
        <v>1</v>
      </c>
      <c r="I5" s="8" t="s">
        <v>5</v>
      </c>
      <c r="J5" s="100" t="s">
        <v>6</v>
      </c>
      <c r="L5" s="88"/>
      <c r="M5" s="87"/>
      <c r="N5" s="88"/>
    </row>
    <row r="6" spans="2:14" x14ac:dyDescent="0.3">
      <c r="B6" s="46" t="s">
        <v>60</v>
      </c>
      <c r="C6" s="115">
        <v>10</v>
      </c>
      <c r="D6" s="115">
        <v>50</v>
      </c>
      <c r="E6" s="115">
        <v>250</v>
      </c>
      <c r="F6" s="115" t="b">
        <v>1</v>
      </c>
      <c r="I6" s="7" t="s">
        <v>7</v>
      </c>
      <c r="J6" s="101">
        <f>Summary_calculations!C13</f>
        <v>0.52748574913082957</v>
      </c>
      <c r="L6" s="88"/>
      <c r="M6" s="87"/>
      <c r="N6" s="88"/>
    </row>
    <row r="7" spans="2:14" x14ac:dyDescent="0.3">
      <c r="B7" s="46" t="s">
        <v>61</v>
      </c>
      <c r="C7" s="115">
        <v>5</v>
      </c>
      <c r="D7" s="115">
        <v>25</v>
      </c>
      <c r="E7" s="115">
        <v>100</v>
      </c>
      <c r="F7" s="115" t="b">
        <v>1</v>
      </c>
      <c r="I7" s="3" t="s">
        <v>8</v>
      </c>
      <c r="J7" s="102">
        <f ca="1">Summary_calculations!C14</f>
        <v>0.10871435389331886</v>
      </c>
      <c r="L7" s="88"/>
      <c r="M7" s="89"/>
      <c r="N7" s="88"/>
    </row>
    <row r="8" spans="2:14" x14ac:dyDescent="0.3">
      <c r="B8" s="46" t="s">
        <v>62</v>
      </c>
      <c r="C8" s="115">
        <v>5</v>
      </c>
      <c r="D8" s="115">
        <v>25</v>
      </c>
      <c r="E8" s="115">
        <v>100</v>
      </c>
      <c r="F8" s="115" t="b">
        <v>1</v>
      </c>
      <c r="I8" s="11" t="s">
        <v>9</v>
      </c>
      <c r="J8" s="103">
        <f ca="1">Summary_calculations!C19</f>
        <v>0.32408663857126424</v>
      </c>
      <c r="M8" s="13"/>
    </row>
    <row r="9" spans="2:14" x14ac:dyDescent="0.3">
      <c r="B9" s="46" t="s">
        <v>63</v>
      </c>
      <c r="C9" s="115">
        <v>5</v>
      </c>
      <c r="D9" s="115">
        <v>25</v>
      </c>
      <c r="E9" s="115">
        <v>100</v>
      </c>
      <c r="F9" s="115" t="b">
        <v>1</v>
      </c>
      <c r="I9" s="12" t="s">
        <v>10</v>
      </c>
      <c r="J9" s="104">
        <f ca="1">SUM(J6:J8)</f>
        <v>0.96028674159541261</v>
      </c>
      <c r="K9" s="98"/>
      <c r="L9" s="98"/>
      <c r="M9" s="98"/>
      <c r="N9" s="98"/>
    </row>
    <row r="10" spans="2:14" x14ac:dyDescent="0.3">
      <c r="B10" s="46" t="s">
        <v>11</v>
      </c>
      <c r="C10" s="116" t="s">
        <v>65</v>
      </c>
      <c r="D10" s="116" t="s">
        <v>65</v>
      </c>
      <c r="E10" s="116" t="s">
        <v>65</v>
      </c>
      <c r="F10" s="115" t="b">
        <v>0</v>
      </c>
      <c r="I10" s="14"/>
      <c r="K10" s="98"/>
      <c r="L10" s="98"/>
      <c r="M10" s="98"/>
      <c r="N10" s="98"/>
    </row>
    <row r="11" spans="2:14" x14ac:dyDescent="0.3">
      <c r="B11" s="46" t="s">
        <v>12</v>
      </c>
      <c r="C11" s="115">
        <v>0</v>
      </c>
      <c r="D11" s="115">
        <v>0</v>
      </c>
      <c r="E11" s="115">
        <v>0</v>
      </c>
      <c r="F11" s="115" t="b">
        <v>0</v>
      </c>
      <c r="I11" s="10"/>
      <c r="K11" s="93"/>
      <c r="L11" s="93"/>
      <c r="M11" s="93"/>
      <c r="N11" s="93"/>
    </row>
    <row r="12" spans="2:14" x14ac:dyDescent="0.3">
      <c r="B12" s="46" t="s">
        <v>64</v>
      </c>
      <c r="C12" s="115">
        <v>0</v>
      </c>
      <c r="D12" s="115">
        <v>0</v>
      </c>
      <c r="E12" s="115">
        <v>0</v>
      </c>
      <c r="F12" s="115" t="b">
        <v>0</v>
      </c>
      <c r="G12" s="18"/>
      <c r="I12" s="10"/>
      <c r="K12" s="93"/>
      <c r="L12" s="94"/>
      <c r="M12" s="93"/>
      <c r="N12" s="93"/>
    </row>
    <row r="13" spans="2:14" x14ac:dyDescent="0.3">
      <c r="I13" s="10"/>
      <c r="K13" s="93"/>
      <c r="L13" s="95"/>
      <c r="M13" s="93"/>
      <c r="N13" s="93"/>
    </row>
    <row r="14" spans="2:14" x14ac:dyDescent="0.3">
      <c r="E14" s="19" t="s">
        <v>13</v>
      </c>
      <c r="F14" s="20">
        <f>C17</f>
        <v>20</v>
      </c>
      <c r="G14" s="18"/>
      <c r="K14" s="93"/>
      <c r="L14" s="96"/>
      <c r="M14" s="97"/>
      <c r="N14" s="93"/>
    </row>
    <row r="17" spans="2:14" x14ac:dyDescent="0.3">
      <c r="B17" s="4" t="s">
        <v>14</v>
      </c>
      <c r="C17">
        <f>COUNTIF(B18:B117,"&lt;&gt;")</f>
        <v>20</v>
      </c>
      <c r="E17" s="4" t="s">
        <v>86</v>
      </c>
      <c r="F17" t="s">
        <v>87</v>
      </c>
      <c r="G17">
        <v>5</v>
      </c>
    </row>
    <row r="18" spans="2:14" x14ac:dyDescent="0.3">
      <c r="B18" s="49" t="s">
        <v>66</v>
      </c>
      <c r="F18" t="s">
        <v>88</v>
      </c>
      <c r="G18">
        <v>3</v>
      </c>
      <c r="I18" s="22"/>
      <c r="M18" s="23"/>
      <c r="N18" s="23"/>
    </row>
    <row r="19" spans="2:14" x14ac:dyDescent="0.3">
      <c r="B19" s="49" t="s">
        <v>67</v>
      </c>
      <c r="I19" s="22"/>
      <c r="M19" s="23"/>
      <c r="N19" s="23"/>
    </row>
    <row r="20" spans="2:14" x14ac:dyDescent="0.3">
      <c r="B20" s="49" t="s">
        <v>68</v>
      </c>
      <c r="I20" s="22"/>
      <c r="M20" s="23"/>
      <c r="N20" s="23"/>
    </row>
    <row r="21" spans="2:14" x14ac:dyDescent="0.3">
      <c r="B21" s="49" t="s">
        <v>69</v>
      </c>
      <c r="E21" s="114" t="s">
        <v>15</v>
      </c>
      <c r="I21" s="22"/>
      <c r="M21" s="25"/>
      <c r="N21" s="23"/>
    </row>
    <row r="22" spans="2:14" x14ac:dyDescent="0.3">
      <c r="B22" s="49" t="s">
        <v>70</v>
      </c>
      <c r="E22" s="21">
        <v>0.2</v>
      </c>
    </row>
    <row r="23" spans="2:14" x14ac:dyDescent="0.3">
      <c r="B23" s="49" t="s">
        <v>71</v>
      </c>
      <c r="E23" s="24">
        <v>0.5</v>
      </c>
    </row>
    <row r="24" spans="2:14" x14ac:dyDescent="0.3">
      <c r="B24" s="49" t="s">
        <v>72</v>
      </c>
      <c r="E24" s="24">
        <v>1</v>
      </c>
    </row>
    <row r="25" spans="2:14" x14ac:dyDescent="0.3">
      <c r="B25" s="49" t="s">
        <v>73</v>
      </c>
      <c r="E25" s="24">
        <v>2</v>
      </c>
    </row>
    <row r="26" spans="2:14" x14ac:dyDescent="0.3">
      <c r="B26" s="49" t="s">
        <v>74</v>
      </c>
      <c r="E26" s="24">
        <v>3</v>
      </c>
    </row>
    <row r="27" spans="2:14" x14ac:dyDescent="0.3">
      <c r="B27" s="49" t="s">
        <v>75</v>
      </c>
      <c r="E27" s="24">
        <v>5</v>
      </c>
    </row>
    <row r="28" spans="2:14" x14ac:dyDescent="0.3">
      <c r="B28" s="49" t="s">
        <v>76</v>
      </c>
      <c r="E28" s="24">
        <v>10</v>
      </c>
    </row>
    <row r="29" spans="2:14" x14ac:dyDescent="0.3">
      <c r="B29" s="49" t="s">
        <v>77</v>
      </c>
      <c r="E29" s="24">
        <v>25</v>
      </c>
    </row>
    <row r="30" spans="2:14" x14ac:dyDescent="0.3">
      <c r="B30" s="49" t="s">
        <v>78</v>
      </c>
      <c r="E30" s="24">
        <v>50</v>
      </c>
    </row>
    <row r="31" spans="2:14" x14ac:dyDescent="0.3">
      <c r="B31" s="49" t="s">
        <v>79</v>
      </c>
      <c r="E31" s="24">
        <v>100</v>
      </c>
    </row>
    <row r="32" spans="2:14" x14ac:dyDescent="0.3">
      <c r="B32" s="49" t="s">
        <v>80</v>
      </c>
      <c r="E32" s="24"/>
    </row>
    <row r="33" spans="2:5" x14ac:dyDescent="0.3">
      <c r="B33" s="49" t="s">
        <v>81</v>
      </c>
      <c r="E33" s="24"/>
    </row>
    <row r="34" spans="2:5" x14ac:dyDescent="0.3">
      <c r="B34" s="49" t="s">
        <v>82</v>
      </c>
    </row>
    <row r="35" spans="2:5" x14ac:dyDescent="0.3">
      <c r="B35" s="49" t="s">
        <v>83</v>
      </c>
    </row>
    <row r="36" spans="2:5" x14ac:dyDescent="0.3">
      <c r="B36" s="49" t="s">
        <v>84</v>
      </c>
    </row>
    <row r="37" spans="2:5" x14ac:dyDescent="0.3">
      <c r="B37" s="49" t="s">
        <v>85</v>
      </c>
    </row>
  </sheetData>
  <mergeCells count="1">
    <mergeCell ref="I4:J4"/>
  </mergeCells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FFCBB-B96A-45C3-83FB-8589B8B7A4F3}">
  <dimension ref="A2:I29"/>
  <sheetViews>
    <sheetView tabSelected="1" workbookViewId="0">
      <selection activeCell="F16" sqref="F16"/>
    </sheetView>
  </sheetViews>
  <sheetFormatPr defaultRowHeight="15.05" x14ac:dyDescent="0.3"/>
  <cols>
    <col min="1" max="1" width="9.109375" customWidth="1"/>
    <col min="2" max="2" width="16.6640625" bestFit="1" customWidth="1"/>
    <col min="3" max="3" width="9.109375" customWidth="1"/>
    <col min="4" max="4" width="12" bestFit="1" customWidth="1"/>
    <col min="5" max="5" width="11" bestFit="1" customWidth="1"/>
    <col min="6" max="8" width="12" bestFit="1" customWidth="1"/>
    <col min="9" max="9" width="10.33203125" customWidth="1"/>
    <col min="10" max="10" width="9.109375" customWidth="1"/>
    <col min="11" max="11" width="18.33203125" bestFit="1" customWidth="1"/>
    <col min="12" max="12" width="12" bestFit="1" customWidth="1"/>
  </cols>
  <sheetData>
    <row r="2" spans="1:9" x14ac:dyDescent="0.3">
      <c r="C2" s="3" t="s">
        <v>21</v>
      </c>
      <c r="D2" s="3" t="s">
        <v>22</v>
      </c>
      <c r="E2" s="5"/>
      <c r="F2" s="3"/>
    </row>
    <row r="3" spans="1:9" x14ac:dyDescent="0.3">
      <c r="A3">
        <f>SUM(C3:M3)</f>
        <v>365</v>
      </c>
      <c r="B3" s="5" t="s">
        <v>23</v>
      </c>
      <c r="C3" s="3">
        <v>250</v>
      </c>
      <c r="D3" s="3">
        <v>115</v>
      </c>
      <c r="E3" s="5"/>
      <c r="F3" s="3"/>
    </row>
    <row r="4" spans="1:9" x14ac:dyDescent="0.3">
      <c r="B4" s="5" t="s">
        <v>24</v>
      </c>
      <c r="C4" s="3">
        <f>ReelSet0!U36*C$3/$A$3</f>
        <v>0.35831544225866896</v>
      </c>
      <c r="D4" s="3">
        <f>ReelSet1!U36*D$3/$A$3</f>
        <v>0.19251083752384254</v>
      </c>
      <c r="E4" s="3"/>
      <c r="F4" s="26"/>
      <c r="I4" s="18"/>
    </row>
    <row r="5" spans="1:9" x14ac:dyDescent="0.3">
      <c r="B5" s="5" t="s">
        <v>102</v>
      </c>
      <c r="C5" s="3">
        <f>ReelSet0!U37*C$3/$A$3</f>
        <v>0</v>
      </c>
      <c r="D5" s="3">
        <f>ReelSet1!U37*D$3/$A$3</f>
        <v>8.4044204409444816E-3</v>
      </c>
      <c r="E5" s="3"/>
      <c r="F5" s="26"/>
      <c r="I5" s="18"/>
    </row>
    <row r="6" spans="1:9" x14ac:dyDescent="0.3">
      <c r="B6" s="5" t="s">
        <v>16</v>
      </c>
      <c r="C6" s="3">
        <f>ReelSet0!U38*C$3/$A$3</f>
        <v>0.33967023709219091</v>
      </c>
      <c r="D6" s="3">
        <f>ReelSet1!U38*D$3/$A$3</f>
        <v>0.18781551203863867</v>
      </c>
      <c r="E6" s="3"/>
      <c r="F6" s="26"/>
      <c r="G6" s="25"/>
      <c r="I6" s="18"/>
    </row>
    <row r="7" spans="1:9" x14ac:dyDescent="0.3">
      <c r="B7" s="5" t="s">
        <v>17</v>
      </c>
      <c r="C7" s="3">
        <f ca="1">ReelSet0!U39*C$3/$A$3</f>
        <v>0.10817133179557203</v>
      </c>
      <c r="D7" s="3">
        <f ca="1">ReelSet1!U39*D$3/$A$3</f>
        <v>5.4302209774683525E-4</v>
      </c>
      <c r="E7" s="3"/>
      <c r="F7" s="26"/>
      <c r="G7" s="25"/>
      <c r="I7" s="18"/>
    </row>
    <row r="8" spans="1:9" ht="14.4" customHeight="1" x14ac:dyDescent="0.3">
      <c r="B8" s="11" t="s">
        <v>94</v>
      </c>
      <c r="C8" s="9">
        <f ca="1">ReelSet0!U40*C$3/$A$3</f>
        <v>7.4839027723977283E-2</v>
      </c>
      <c r="D8" s="9">
        <f ca="1">ReelSet1!U40*D$3/$A$3</f>
        <v>0.24924761084728697</v>
      </c>
      <c r="E8" s="9"/>
      <c r="F8" s="59"/>
      <c r="G8" s="25"/>
      <c r="I8" s="18"/>
    </row>
    <row r="9" spans="1:9" x14ac:dyDescent="0.3">
      <c r="B9" s="60" t="s">
        <v>26</v>
      </c>
      <c r="C9" s="60">
        <f ca="1">ReelSet0!U41*C$3/$A$3</f>
        <v>0.52268059661174016</v>
      </c>
      <c r="D9" s="61">
        <f ca="1">ReelSet1!U41*D$3/$A$3</f>
        <v>0.43760614498367251</v>
      </c>
      <c r="E9" s="60"/>
      <c r="F9" s="60"/>
      <c r="I9" s="18"/>
    </row>
    <row r="11" spans="1:9" x14ac:dyDescent="0.3">
      <c r="B11" s="4"/>
      <c r="G11" s="4"/>
      <c r="H11" s="4"/>
      <c r="I11" s="4"/>
    </row>
    <row r="12" spans="1:9" x14ac:dyDescent="0.3">
      <c r="B12" s="7" t="s">
        <v>27</v>
      </c>
      <c r="C12" s="27">
        <v>1</v>
      </c>
    </row>
    <row r="13" spans="1:9" x14ac:dyDescent="0.3">
      <c r="B13" s="7" t="s">
        <v>16</v>
      </c>
      <c r="C13" s="27">
        <f>SUM(C6:F6)</f>
        <v>0.52748574913082957</v>
      </c>
    </row>
    <row r="14" spans="1:9" x14ac:dyDescent="0.3">
      <c r="B14" s="5" t="s">
        <v>17</v>
      </c>
      <c r="C14" s="6">
        <f ca="1">SUM(C7:F7)</f>
        <v>0.10871435389331886</v>
      </c>
    </row>
    <row r="15" spans="1:9" x14ac:dyDescent="0.3">
      <c r="B15" s="8" t="s">
        <v>28</v>
      </c>
      <c r="C15" s="15">
        <f ca="1">SUM(C13:C14)*C12</f>
        <v>0.63620010302414842</v>
      </c>
    </row>
    <row r="17" spans="2:5" x14ac:dyDescent="0.3">
      <c r="B17" s="7" t="s">
        <v>29</v>
      </c>
      <c r="C17" s="63">
        <f>SUM(C5:F5)</f>
        <v>8.4044204409444816E-3</v>
      </c>
    </row>
    <row r="18" spans="2:5" x14ac:dyDescent="0.3">
      <c r="B18" s="65" t="s">
        <v>103</v>
      </c>
      <c r="C18" s="66">
        <f>1/C17</f>
        <v>118.98500402576491</v>
      </c>
    </row>
    <row r="19" spans="2:5" x14ac:dyDescent="0.3">
      <c r="B19" s="8" t="s">
        <v>30</v>
      </c>
      <c r="C19" s="64">
        <f ca="1">SUM(C8:F8)</f>
        <v>0.32408663857126424</v>
      </c>
    </row>
    <row r="21" spans="2:5" x14ac:dyDescent="0.3">
      <c r="B21" s="19" t="s">
        <v>6</v>
      </c>
      <c r="C21" s="62">
        <f ca="1">C15+C19</f>
        <v>0.96028674159541261</v>
      </c>
    </row>
    <row r="22" spans="2:5" x14ac:dyDescent="0.3">
      <c r="B22" s="47"/>
    </row>
    <row r="29" spans="2:5" x14ac:dyDescent="0.3">
      <c r="D29" s="28"/>
      <c r="E29" s="29"/>
    </row>
  </sheetData>
  <pageMargins left="0.70000000000000007" right="0.70000000000000007" top="0.75" bottom="0.75" header="0.30000000000000004" footer="0.3000000000000000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4DC93-8D08-4834-ABC9-A3FB57180384}">
  <dimension ref="B2:Q36"/>
  <sheetViews>
    <sheetView zoomScale="70" zoomScaleNormal="70" workbookViewId="0">
      <selection activeCell="I21" sqref="I21:I22"/>
    </sheetView>
  </sheetViews>
  <sheetFormatPr defaultRowHeight="15.05" x14ac:dyDescent="0.3"/>
  <cols>
    <col min="1" max="1" width="9.109375" customWidth="1"/>
    <col min="2" max="2" width="24" bestFit="1" customWidth="1"/>
    <col min="3" max="19" width="9.109375" customWidth="1"/>
    <col min="20" max="20" width="42.44140625" bestFit="1" customWidth="1"/>
    <col min="21" max="21" width="9.109375" customWidth="1"/>
  </cols>
  <sheetData>
    <row r="2" spans="2:17" x14ac:dyDescent="0.3">
      <c r="C2" s="68" t="s">
        <v>31</v>
      </c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</row>
    <row r="3" spans="2:17" x14ac:dyDescent="0.3">
      <c r="B3" s="24" t="s">
        <v>32</v>
      </c>
      <c r="C3" s="24">
        <v>0.5</v>
      </c>
      <c r="D3" s="24">
        <v>1</v>
      </c>
      <c r="E3" s="24">
        <v>2</v>
      </c>
      <c r="F3" s="24">
        <v>3</v>
      </c>
      <c r="G3" s="24">
        <v>5</v>
      </c>
      <c r="H3" s="24">
        <v>10</v>
      </c>
      <c r="I3" s="24">
        <v>15</v>
      </c>
      <c r="J3" s="24">
        <v>25</v>
      </c>
      <c r="K3" s="24">
        <v>50</v>
      </c>
      <c r="L3" s="24">
        <v>100</v>
      </c>
      <c r="M3" s="24">
        <v>250</v>
      </c>
      <c r="N3" s="24">
        <v>500</v>
      </c>
      <c r="O3" s="32" t="s">
        <v>33</v>
      </c>
      <c r="P3" s="17" t="s">
        <v>34</v>
      </c>
      <c r="Q3" s="1" t="s">
        <v>35</v>
      </c>
    </row>
    <row r="4" spans="2:17" x14ac:dyDescent="0.3">
      <c r="B4" s="33">
        <v>0</v>
      </c>
      <c r="C4" s="34">
        <v>0</v>
      </c>
      <c r="D4" s="34">
        <v>0</v>
      </c>
      <c r="E4" s="34">
        <v>0</v>
      </c>
      <c r="F4" s="34">
        <v>0</v>
      </c>
      <c r="G4" s="34">
        <v>0</v>
      </c>
      <c r="H4" s="34">
        <v>0</v>
      </c>
      <c r="I4" s="34">
        <v>0</v>
      </c>
      <c r="J4" s="34">
        <v>0</v>
      </c>
      <c r="K4" s="34">
        <v>0</v>
      </c>
      <c r="L4" s="34">
        <v>0</v>
      </c>
      <c r="M4" s="34">
        <v>0</v>
      </c>
      <c r="N4" s="35">
        <v>0</v>
      </c>
      <c r="O4" s="36" t="e">
        <f t="shared" ref="O4:O14" si="0">SUMPRODUCT($C$3:$N$3,C4:N4)/SUM(C4:N4)</f>
        <v>#DIV/0!</v>
      </c>
      <c r="P4" s="2" t="e">
        <f t="shared" ref="P4:P14" si="1">B4*O4</f>
        <v>#DIV/0!</v>
      </c>
      <c r="Q4" s="3" t="b">
        <f t="shared" ref="Q4:Q14" si="2">IF(B4&gt;=$C$16,TRUE,FALSE)</f>
        <v>0</v>
      </c>
    </row>
    <row r="5" spans="2:17" x14ac:dyDescent="0.3">
      <c r="B5" s="37">
        <v>1</v>
      </c>
      <c r="C5" s="3">
        <v>4000</v>
      </c>
      <c r="D5" s="3">
        <v>5000</v>
      </c>
      <c r="E5" s="3">
        <v>4500</v>
      </c>
      <c r="F5" s="3">
        <v>2750</v>
      </c>
      <c r="G5" s="3">
        <v>1250</v>
      </c>
      <c r="H5" s="3">
        <v>450</v>
      </c>
      <c r="I5" s="3">
        <v>100</v>
      </c>
      <c r="J5" s="3">
        <v>75</v>
      </c>
      <c r="K5" s="3">
        <v>50</v>
      </c>
      <c r="L5" s="3">
        <v>20</v>
      </c>
      <c r="M5" s="3">
        <v>10</v>
      </c>
      <c r="N5" s="38">
        <v>1</v>
      </c>
      <c r="O5" s="36">
        <f t="shared" si="0"/>
        <v>2.5197737009776997</v>
      </c>
      <c r="P5" s="2">
        <f t="shared" si="1"/>
        <v>2.5197737009776997</v>
      </c>
      <c r="Q5" s="3" t="b">
        <f t="shared" si="2"/>
        <v>0</v>
      </c>
    </row>
    <row r="6" spans="2:17" x14ac:dyDescent="0.3">
      <c r="B6" s="37">
        <v>2</v>
      </c>
      <c r="C6" s="3">
        <v>4000</v>
      </c>
      <c r="D6" s="3">
        <v>5000</v>
      </c>
      <c r="E6" s="3">
        <v>4500</v>
      </c>
      <c r="F6" s="3">
        <v>2750</v>
      </c>
      <c r="G6" s="3">
        <v>1250</v>
      </c>
      <c r="H6" s="3">
        <v>450</v>
      </c>
      <c r="I6" s="3">
        <v>100</v>
      </c>
      <c r="J6" s="3">
        <v>75</v>
      </c>
      <c r="K6" s="3">
        <v>50</v>
      </c>
      <c r="L6" s="3">
        <v>20</v>
      </c>
      <c r="M6" s="3">
        <v>10</v>
      </c>
      <c r="N6" s="38">
        <v>1</v>
      </c>
      <c r="O6" s="36">
        <f t="shared" si="0"/>
        <v>2.5197737009776997</v>
      </c>
      <c r="P6" s="2">
        <f t="shared" si="1"/>
        <v>5.0395474019553994</v>
      </c>
      <c r="Q6" s="3" t="b">
        <f t="shared" si="2"/>
        <v>0</v>
      </c>
    </row>
    <row r="7" spans="2:17" x14ac:dyDescent="0.3">
      <c r="B7" s="37">
        <v>3</v>
      </c>
      <c r="C7" s="3">
        <v>4500</v>
      </c>
      <c r="D7" s="3">
        <v>5000</v>
      </c>
      <c r="E7" s="3">
        <v>4500</v>
      </c>
      <c r="F7" s="3">
        <v>2750</v>
      </c>
      <c r="G7" s="3">
        <v>1250</v>
      </c>
      <c r="H7" s="3">
        <v>450</v>
      </c>
      <c r="I7" s="3">
        <v>100</v>
      </c>
      <c r="J7" s="3">
        <v>75</v>
      </c>
      <c r="K7" s="3">
        <v>50</v>
      </c>
      <c r="L7" s="3">
        <v>10</v>
      </c>
      <c r="M7" s="3">
        <v>5</v>
      </c>
      <c r="N7" s="38">
        <v>1</v>
      </c>
      <c r="O7" s="36">
        <f t="shared" si="0"/>
        <v>2.3473864426729443</v>
      </c>
      <c r="P7" s="2">
        <f t="shared" si="1"/>
        <v>7.0421593280188333</v>
      </c>
      <c r="Q7" s="3" t="b">
        <f t="shared" si="2"/>
        <v>0</v>
      </c>
    </row>
    <row r="8" spans="2:17" x14ac:dyDescent="0.3">
      <c r="B8" s="37">
        <v>4</v>
      </c>
      <c r="C8" s="3">
        <v>4500</v>
      </c>
      <c r="D8" s="3">
        <v>5000</v>
      </c>
      <c r="E8" s="3">
        <v>4500</v>
      </c>
      <c r="F8" s="3">
        <v>2750</v>
      </c>
      <c r="G8" s="3">
        <v>1250</v>
      </c>
      <c r="H8" s="3">
        <v>450</v>
      </c>
      <c r="I8" s="3">
        <v>100</v>
      </c>
      <c r="J8" s="3">
        <v>75</v>
      </c>
      <c r="K8" s="3">
        <v>50</v>
      </c>
      <c r="L8" s="3">
        <v>10</v>
      </c>
      <c r="M8" s="3">
        <v>5</v>
      </c>
      <c r="N8" s="38">
        <v>1</v>
      </c>
      <c r="O8" s="36">
        <f t="shared" si="0"/>
        <v>2.3473864426729443</v>
      </c>
      <c r="P8" s="2">
        <f t="shared" si="1"/>
        <v>9.3895457706917771</v>
      </c>
      <c r="Q8" s="3" t="b">
        <f t="shared" si="2"/>
        <v>0</v>
      </c>
    </row>
    <row r="9" spans="2:17" x14ac:dyDescent="0.3">
      <c r="B9" s="37">
        <v>5</v>
      </c>
      <c r="C9" s="3">
        <v>6500</v>
      </c>
      <c r="D9" s="3">
        <v>6500</v>
      </c>
      <c r="E9" s="3">
        <v>6000</v>
      </c>
      <c r="F9" s="3">
        <v>3500</v>
      </c>
      <c r="G9" s="3">
        <v>1500</v>
      </c>
      <c r="H9" s="3">
        <v>500</v>
      </c>
      <c r="I9" s="3">
        <v>100</v>
      </c>
      <c r="J9" s="3">
        <v>75</v>
      </c>
      <c r="K9" s="3">
        <v>30</v>
      </c>
      <c r="L9" s="3">
        <v>10</v>
      </c>
      <c r="M9" s="3">
        <v>5</v>
      </c>
      <c r="N9" s="38">
        <v>2</v>
      </c>
      <c r="O9" s="36">
        <f t="shared" si="0"/>
        <v>2.1387832699619773</v>
      </c>
      <c r="P9" s="2">
        <f t="shared" si="1"/>
        <v>10.693916349809886</v>
      </c>
      <c r="Q9" s="3" t="b">
        <f t="shared" si="2"/>
        <v>1</v>
      </c>
    </row>
    <row r="10" spans="2:17" x14ac:dyDescent="0.3">
      <c r="B10" s="37">
        <v>6</v>
      </c>
      <c r="C10" s="3">
        <v>6500</v>
      </c>
      <c r="D10" s="3">
        <v>6500</v>
      </c>
      <c r="E10" s="3">
        <v>6000</v>
      </c>
      <c r="F10" s="3">
        <v>3500</v>
      </c>
      <c r="G10" s="3">
        <v>1500</v>
      </c>
      <c r="H10" s="3">
        <v>500</v>
      </c>
      <c r="I10" s="3">
        <v>100</v>
      </c>
      <c r="J10" s="3">
        <v>75</v>
      </c>
      <c r="K10" s="3">
        <v>30</v>
      </c>
      <c r="L10" s="3">
        <v>10</v>
      </c>
      <c r="M10" s="3">
        <v>5</v>
      </c>
      <c r="N10" s="38">
        <v>2</v>
      </c>
      <c r="O10" s="36">
        <f t="shared" si="0"/>
        <v>2.1387832699619773</v>
      </c>
      <c r="P10" s="2">
        <f t="shared" si="1"/>
        <v>12.832699619771864</v>
      </c>
      <c r="Q10" s="3" t="b">
        <f t="shared" si="2"/>
        <v>1</v>
      </c>
    </row>
    <row r="11" spans="2:17" x14ac:dyDescent="0.3">
      <c r="B11" s="37">
        <v>7</v>
      </c>
      <c r="C11" s="3">
        <v>7250</v>
      </c>
      <c r="D11" s="3">
        <v>7250</v>
      </c>
      <c r="E11" s="3">
        <v>5500</v>
      </c>
      <c r="F11" s="3">
        <v>3000</v>
      </c>
      <c r="G11" s="3">
        <v>1000</v>
      </c>
      <c r="H11" s="3">
        <v>500</v>
      </c>
      <c r="I11" s="3">
        <v>100</v>
      </c>
      <c r="J11" s="3">
        <v>75</v>
      </c>
      <c r="K11" s="3">
        <v>30</v>
      </c>
      <c r="L11" s="3">
        <v>10</v>
      </c>
      <c r="M11" s="3">
        <v>2</v>
      </c>
      <c r="N11" s="38">
        <v>1</v>
      </c>
      <c r="O11" s="36">
        <f t="shared" si="0"/>
        <v>1.9317905979448176</v>
      </c>
      <c r="P11" s="2">
        <f t="shared" si="1"/>
        <v>13.522534185613722</v>
      </c>
      <c r="Q11" s="3" t="b">
        <f t="shared" si="2"/>
        <v>1</v>
      </c>
    </row>
    <row r="12" spans="2:17" x14ac:dyDescent="0.3">
      <c r="B12" s="37">
        <v>8</v>
      </c>
      <c r="C12" s="3">
        <v>7250</v>
      </c>
      <c r="D12" s="3">
        <v>7250</v>
      </c>
      <c r="E12" s="3">
        <v>5500</v>
      </c>
      <c r="F12" s="3">
        <v>3000</v>
      </c>
      <c r="G12" s="3">
        <v>1000</v>
      </c>
      <c r="H12" s="3">
        <v>500</v>
      </c>
      <c r="I12" s="3">
        <v>100</v>
      </c>
      <c r="J12" s="3">
        <v>75</v>
      </c>
      <c r="K12" s="3">
        <v>30</v>
      </c>
      <c r="L12" s="3">
        <v>10</v>
      </c>
      <c r="M12" s="3">
        <v>2</v>
      </c>
      <c r="N12" s="38">
        <v>1</v>
      </c>
      <c r="O12" s="36">
        <f t="shared" si="0"/>
        <v>1.9317905979448176</v>
      </c>
      <c r="P12" s="2">
        <f t="shared" si="1"/>
        <v>15.45432478355854</v>
      </c>
      <c r="Q12" s="3" t="b">
        <f t="shared" si="2"/>
        <v>1</v>
      </c>
    </row>
    <row r="13" spans="2:17" x14ac:dyDescent="0.3">
      <c r="B13" s="37">
        <v>9</v>
      </c>
      <c r="C13" s="3">
        <v>7250</v>
      </c>
      <c r="D13" s="3">
        <v>7250</v>
      </c>
      <c r="E13" s="3">
        <v>4750</v>
      </c>
      <c r="F13" s="3">
        <v>2250</v>
      </c>
      <c r="G13" s="3">
        <v>1000</v>
      </c>
      <c r="H13" s="3">
        <v>500</v>
      </c>
      <c r="I13" s="3">
        <v>100</v>
      </c>
      <c r="J13" s="3">
        <v>75</v>
      </c>
      <c r="K13" s="3">
        <v>20</v>
      </c>
      <c r="L13" s="3">
        <v>5</v>
      </c>
      <c r="M13" s="3">
        <v>1</v>
      </c>
      <c r="N13" s="38">
        <v>1</v>
      </c>
      <c r="O13" s="36">
        <f t="shared" si="0"/>
        <v>1.8425135764158262</v>
      </c>
      <c r="P13" s="2">
        <f t="shared" si="1"/>
        <v>16.582622187742437</v>
      </c>
      <c r="Q13" s="3" t="b">
        <f t="shared" si="2"/>
        <v>1</v>
      </c>
    </row>
    <row r="14" spans="2:17" x14ac:dyDescent="0.3">
      <c r="B14" s="37">
        <v>10</v>
      </c>
      <c r="C14" s="3">
        <v>7250</v>
      </c>
      <c r="D14" s="3">
        <v>7250</v>
      </c>
      <c r="E14" s="3">
        <v>4750</v>
      </c>
      <c r="F14" s="3">
        <v>2250</v>
      </c>
      <c r="G14" s="3">
        <v>1000</v>
      </c>
      <c r="H14" s="3">
        <v>500</v>
      </c>
      <c r="I14" s="3">
        <v>100</v>
      </c>
      <c r="J14" s="3">
        <v>75</v>
      </c>
      <c r="K14" s="3">
        <v>20</v>
      </c>
      <c r="L14" s="3">
        <v>5</v>
      </c>
      <c r="M14" s="3">
        <v>1</v>
      </c>
      <c r="N14" s="38">
        <v>1</v>
      </c>
      <c r="O14" s="36">
        <f t="shared" si="0"/>
        <v>1.8425135764158262</v>
      </c>
      <c r="P14" s="2">
        <f t="shared" si="1"/>
        <v>18.425135764158263</v>
      </c>
      <c r="Q14" s="3" t="b">
        <f t="shared" si="2"/>
        <v>1</v>
      </c>
    </row>
    <row r="16" spans="2:17" x14ac:dyDescent="0.3">
      <c r="B16" s="19" t="s">
        <v>36</v>
      </c>
      <c r="C16" s="39">
        <v>5</v>
      </c>
    </row>
    <row r="20" spans="2:5" x14ac:dyDescent="0.3">
      <c r="B20" s="46"/>
      <c r="C20" s="46" t="s">
        <v>23</v>
      </c>
      <c r="D20" s="46" t="s">
        <v>37</v>
      </c>
      <c r="E20" s="46" t="s">
        <v>6</v>
      </c>
    </row>
    <row r="21" spans="2:5" x14ac:dyDescent="0.3">
      <c r="B21" s="113">
        <f>Summary!E22</f>
        <v>0.2</v>
      </c>
      <c r="C21" s="46">
        <v>30000</v>
      </c>
      <c r="D21" s="46">
        <f>C21/SUM($C$21:$C$30)</f>
        <v>0.55238445958387039</v>
      </c>
      <c r="E21" s="46">
        <f>D21*B21</f>
        <v>0.11047689191677408</v>
      </c>
    </row>
    <row r="22" spans="2:5" x14ac:dyDescent="0.3">
      <c r="B22" s="113">
        <f>Summary!E23</f>
        <v>0.5</v>
      </c>
      <c r="C22" s="46">
        <v>10000</v>
      </c>
      <c r="D22" s="46">
        <f t="shared" ref="D22:D30" si="3">C22/SUM($C$21:$C$30)</f>
        <v>0.18412815319462345</v>
      </c>
      <c r="E22" s="46">
        <f t="shared" ref="E22:E30" si="4">D22*B22</f>
        <v>9.2064076597311723E-2</v>
      </c>
    </row>
    <row r="23" spans="2:5" x14ac:dyDescent="0.3">
      <c r="B23" s="113">
        <f>Summary!E24</f>
        <v>1</v>
      </c>
      <c r="C23" s="46">
        <v>8000</v>
      </c>
      <c r="D23" s="46">
        <f t="shared" si="3"/>
        <v>0.14730252255569876</v>
      </c>
      <c r="E23" s="46">
        <f t="shared" si="4"/>
        <v>0.14730252255569876</v>
      </c>
    </row>
    <row r="24" spans="2:5" x14ac:dyDescent="0.3">
      <c r="B24" s="113">
        <f>Summary!E25</f>
        <v>2</v>
      </c>
      <c r="C24" s="46">
        <v>2500</v>
      </c>
      <c r="D24" s="46">
        <f t="shared" si="3"/>
        <v>4.6032038298655861E-2</v>
      </c>
      <c r="E24" s="46">
        <f t="shared" si="4"/>
        <v>9.2064076597311723E-2</v>
      </c>
    </row>
    <row r="25" spans="2:5" x14ac:dyDescent="0.3">
      <c r="B25" s="113">
        <f>Summary!E26</f>
        <v>3</v>
      </c>
      <c r="C25" s="46">
        <v>2000</v>
      </c>
      <c r="D25" s="46">
        <f t="shared" si="3"/>
        <v>3.6825630638924689E-2</v>
      </c>
      <c r="E25" s="46">
        <f t="shared" si="4"/>
        <v>0.11047689191677407</v>
      </c>
    </row>
    <row r="26" spans="2:5" x14ac:dyDescent="0.3">
      <c r="B26" s="113">
        <f>Summary!E27</f>
        <v>5</v>
      </c>
      <c r="C26" s="46">
        <v>1000</v>
      </c>
      <c r="D26" s="46">
        <f t="shared" si="3"/>
        <v>1.8412815319462345E-2</v>
      </c>
      <c r="E26" s="46">
        <f t="shared" si="4"/>
        <v>9.2064076597311723E-2</v>
      </c>
    </row>
    <row r="27" spans="2:5" x14ac:dyDescent="0.3">
      <c r="B27" s="113">
        <f>Summary!E28</f>
        <v>10</v>
      </c>
      <c r="C27" s="46">
        <v>500</v>
      </c>
      <c r="D27" s="46">
        <f t="shared" si="3"/>
        <v>9.2064076597311723E-3</v>
      </c>
      <c r="E27" s="46">
        <f t="shared" si="4"/>
        <v>9.2064076597311723E-2</v>
      </c>
    </row>
    <row r="28" spans="2:5" x14ac:dyDescent="0.3">
      <c r="B28" s="113">
        <f>Summary!E29</f>
        <v>25</v>
      </c>
      <c r="C28" s="46">
        <v>200</v>
      </c>
      <c r="D28" s="46">
        <f t="shared" si="3"/>
        <v>3.6825630638924692E-3</v>
      </c>
      <c r="E28" s="46">
        <f t="shared" si="4"/>
        <v>9.2064076597311736E-2</v>
      </c>
    </row>
    <row r="29" spans="2:5" x14ac:dyDescent="0.3">
      <c r="B29" s="113">
        <f>Summary!E30</f>
        <v>50</v>
      </c>
      <c r="C29" s="46">
        <v>100</v>
      </c>
      <c r="D29" s="46">
        <f t="shared" si="3"/>
        <v>1.8412815319462346E-3</v>
      </c>
      <c r="E29" s="46">
        <f t="shared" si="4"/>
        <v>9.2064076597311736E-2</v>
      </c>
    </row>
    <row r="30" spans="2:5" x14ac:dyDescent="0.3">
      <c r="B30" s="113">
        <f>Summary!E31</f>
        <v>100</v>
      </c>
      <c r="C30" s="46">
        <v>10</v>
      </c>
      <c r="D30" s="46">
        <f t="shared" si="3"/>
        <v>1.8412815319462345E-4</v>
      </c>
      <c r="E30" s="46">
        <f t="shared" si="4"/>
        <v>1.8412815319462345E-2</v>
      </c>
    </row>
    <row r="31" spans="2:5" x14ac:dyDescent="0.3">
      <c r="B31" s="55"/>
      <c r="E31" s="45">
        <f>SUM(E21:E30)</f>
        <v>0.93905358129257965</v>
      </c>
    </row>
    <row r="32" spans="2:5" x14ac:dyDescent="0.3">
      <c r="B32" s="55"/>
    </row>
    <row r="33" spans="2:2" x14ac:dyDescent="0.3">
      <c r="B33" s="55"/>
    </row>
    <row r="34" spans="2:2" x14ac:dyDescent="0.3">
      <c r="B34" s="55"/>
    </row>
    <row r="35" spans="2:2" x14ac:dyDescent="0.3">
      <c r="B35" s="55"/>
    </row>
    <row r="36" spans="2:2" x14ac:dyDescent="0.3">
      <c r="B36" s="55"/>
    </row>
  </sheetData>
  <mergeCells count="1">
    <mergeCell ref="C2:N2"/>
  </mergeCells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94DE0-8EBC-4115-B76C-289C437314BD}">
  <dimension ref="B2:Q36"/>
  <sheetViews>
    <sheetView zoomScale="70" zoomScaleNormal="70" workbookViewId="0">
      <selection activeCell="E31" sqref="E31"/>
    </sheetView>
  </sheetViews>
  <sheetFormatPr defaultRowHeight="15.05" x14ac:dyDescent="0.3"/>
  <cols>
    <col min="1" max="1" width="9.109375" customWidth="1"/>
    <col min="2" max="2" width="24" bestFit="1" customWidth="1"/>
    <col min="3" max="19" width="9.109375" customWidth="1"/>
    <col min="20" max="20" width="42.44140625" bestFit="1" customWidth="1"/>
    <col min="21" max="21" width="9.109375" customWidth="1"/>
  </cols>
  <sheetData>
    <row r="2" spans="2:17" x14ac:dyDescent="0.3">
      <c r="C2" s="68" t="s">
        <v>31</v>
      </c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</row>
    <row r="3" spans="2:17" x14ac:dyDescent="0.3">
      <c r="B3" s="24" t="s">
        <v>32</v>
      </c>
      <c r="C3" s="24">
        <v>0.5</v>
      </c>
      <c r="D3" s="24">
        <v>1</v>
      </c>
      <c r="E3" s="24">
        <v>2</v>
      </c>
      <c r="F3" s="24">
        <v>3</v>
      </c>
      <c r="G3" s="24">
        <v>5</v>
      </c>
      <c r="H3" s="24">
        <v>10</v>
      </c>
      <c r="I3" s="24">
        <v>15</v>
      </c>
      <c r="J3" s="24">
        <v>25</v>
      </c>
      <c r="K3" s="24">
        <v>50</v>
      </c>
      <c r="L3" s="24">
        <v>100</v>
      </c>
      <c r="M3" s="24">
        <v>250</v>
      </c>
      <c r="N3" s="24">
        <v>500</v>
      </c>
      <c r="O3" s="32" t="s">
        <v>33</v>
      </c>
      <c r="P3" s="17" t="s">
        <v>34</v>
      </c>
      <c r="Q3" s="1" t="s">
        <v>35</v>
      </c>
    </row>
    <row r="4" spans="2:17" x14ac:dyDescent="0.3">
      <c r="B4" s="33">
        <v>0</v>
      </c>
      <c r="C4" s="34">
        <v>0</v>
      </c>
      <c r="D4" s="34">
        <v>0</v>
      </c>
      <c r="E4" s="34">
        <v>0</v>
      </c>
      <c r="F4" s="34">
        <v>0</v>
      </c>
      <c r="G4" s="34">
        <v>0</v>
      </c>
      <c r="H4" s="34">
        <v>0</v>
      </c>
      <c r="I4" s="34">
        <v>0</v>
      </c>
      <c r="J4" s="34">
        <v>0</v>
      </c>
      <c r="K4" s="34">
        <v>0</v>
      </c>
      <c r="L4" s="34">
        <v>0</v>
      </c>
      <c r="M4" s="34">
        <v>0</v>
      </c>
      <c r="N4" s="35">
        <v>0</v>
      </c>
      <c r="O4" s="36" t="e">
        <f t="shared" ref="O4:O14" si="0">SUMPRODUCT($C$3:$N$3,C4:N4)/SUM(C4:N4)</f>
        <v>#DIV/0!</v>
      </c>
      <c r="P4" s="2" t="e">
        <f t="shared" ref="P4:P14" si="1">B4*O4</f>
        <v>#DIV/0!</v>
      </c>
      <c r="Q4" s="3" t="b">
        <f t="shared" ref="Q4:Q14" si="2">IF(B4&gt;=$C$16,TRUE,FALSE)</f>
        <v>0</v>
      </c>
    </row>
    <row r="5" spans="2:17" x14ac:dyDescent="0.3">
      <c r="B5" s="37">
        <v>1</v>
      </c>
      <c r="C5" s="3">
        <v>4000</v>
      </c>
      <c r="D5" s="3">
        <v>5000</v>
      </c>
      <c r="E5" s="3">
        <v>4500</v>
      </c>
      <c r="F5" s="3">
        <v>2750</v>
      </c>
      <c r="G5" s="3">
        <v>1250</v>
      </c>
      <c r="H5" s="3">
        <v>450</v>
      </c>
      <c r="I5" s="3">
        <v>100</v>
      </c>
      <c r="J5" s="3">
        <v>75</v>
      </c>
      <c r="K5" s="3">
        <v>50</v>
      </c>
      <c r="L5" s="3">
        <v>20</v>
      </c>
      <c r="M5" s="3">
        <v>10</v>
      </c>
      <c r="N5" s="38">
        <v>1</v>
      </c>
      <c r="O5" s="36">
        <f t="shared" si="0"/>
        <v>2.5197737009776997</v>
      </c>
      <c r="P5" s="2">
        <f t="shared" si="1"/>
        <v>2.5197737009776997</v>
      </c>
      <c r="Q5" s="3" t="b">
        <f t="shared" si="2"/>
        <v>0</v>
      </c>
    </row>
    <row r="6" spans="2:17" x14ac:dyDescent="0.3">
      <c r="B6" s="37">
        <v>2</v>
      </c>
      <c r="C6" s="3">
        <v>4000</v>
      </c>
      <c r="D6" s="3">
        <v>5000</v>
      </c>
      <c r="E6" s="3">
        <v>4500</v>
      </c>
      <c r="F6" s="3">
        <v>2750</v>
      </c>
      <c r="G6" s="3">
        <v>1250</v>
      </c>
      <c r="H6" s="3">
        <v>450</v>
      </c>
      <c r="I6" s="3">
        <v>100</v>
      </c>
      <c r="J6" s="3">
        <v>75</v>
      </c>
      <c r="K6" s="3">
        <v>50</v>
      </c>
      <c r="L6" s="3">
        <v>20</v>
      </c>
      <c r="M6" s="3">
        <v>10</v>
      </c>
      <c r="N6" s="38">
        <v>1</v>
      </c>
      <c r="O6" s="36">
        <f t="shared" si="0"/>
        <v>2.5197737009776997</v>
      </c>
      <c r="P6" s="2">
        <f t="shared" si="1"/>
        <v>5.0395474019553994</v>
      </c>
      <c r="Q6" s="3" t="b">
        <f t="shared" si="2"/>
        <v>0</v>
      </c>
    </row>
    <row r="7" spans="2:17" x14ac:dyDescent="0.3">
      <c r="B7" s="37">
        <v>3</v>
      </c>
      <c r="C7" s="3">
        <v>4500</v>
      </c>
      <c r="D7" s="3">
        <v>5000</v>
      </c>
      <c r="E7" s="3">
        <v>4500</v>
      </c>
      <c r="F7" s="3">
        <v>2750</v>
      </c>
      <c r="G7" s="3">
        <v>1250</v>
      </c>
      <c r="H7" s="3">
        <v>450</v>
      </c>
      <c r="I7" s="3">
        <v>100</v>
      </c>
      <c r="J7" s="3">
        <v>75</v>
      </c>
      <c r="K7" s="3">
        <v>50</v>
      </c>
      <c r="L7" s="3">
        <v>10</v>
      </c>
      <c r="M7" s="3">
        <v>5</v>
      </c>
      <c r="N7" s="38">
        <v>1</v>
      </c>
      <c r="O7" s="36">
        <f t="shared" si="0"/>
        <v>2.3473864426729443</v>
      </c>
      <c r="P7" s="2">
        <f t="shared" si="1"/>
        <v>7.0421593280188333</v>
      </c>
      <c r="Q7" s="3" t="b">
        <f t="shared" si="2"/>
        <v>0</v>
      </c>
    </row>
    <row r="8" spans="2:17" x14ac:dyDescent="0.3">
      <c r="B8" s="37">
        <v>4</v>
      </c>
      <c r="C8" s="3">
        <v>4500</v>
      </c>
      <c r="D8" s="3">
        <v>5000</v>
      </c>
      <c r="E8" s="3">
        <v>4500</v>
      </c>
      <c r="F8" s="3">
        <v>2750</v>
      </c>
      <c r="G8" s="3">
        <v>1250</v>
      </c>
      <c r="H8" s="3">
        <v>450</v>
      </c>
      <c r="I8" s="3">
        <v>100</v>
      </c>
      <c r="J8" s="3">
        <v>75</v>
      </c>
      <c r="K8" s="3">
        <v>50</v>
      </c>
      <c r="L8" s="3">
        <v>10</v>
      </c>
      <c r="M8" s="3">
        <v>5</v>
      </c>
      <c r="N8" s="38">
        <v>1</v>
      </c>
      <c r="O8" s="36">
        <f t="shared" si="0"/>
        <v>2.3473864426729443</v>
      </c>
      <c r="P8" s="2">
        <f t="shared" si="1"/>
        <v>9.3895457706917771</v>
      </c>
      <c r="Q8" s="3" t="b">
        <f t="shared" si="2"/>
        <v>0</v>
      </c>
    </row>
    <row r="9" spans="2:17" x14ac:dyDescent="0.3">
      <c r="B9" s="37">
        <v>5</v>
      </c>
      <c r="C9" s="3">
        <v>6500</v>
      </c>
      <c r="D9" s="3">
        <v>6500</v>
      </c>
      <c r="E9" s="3">
        <v>6000</v>
      </c>
      <c r="F9" s="3">
        <v>3500</v>
      </c>
      <c r="G9" s="3">
        <v>1500</v>
      </c>
      <c r="H9" s="3">
        <v>500</v>
      </c>
      <c r="I9" s="3">
        <v>100</v>
      </c>
      <c r="J9" s="3">
        <v>75</v>
      </c>
      <c r="K9" s="3">
        <v>30</v>
      </c>
      <c r="L9" s="3">
        <v>10</v>
      </c>
      <c r="M9" s="3">
        <v>5</v>
      </c>
      <c r="N9" s="38">
        <v>2</v>
      </c>
      <c r="O9" s="36">
        <f t="shared" si="0"/>
        <v>2.1387832699619773</v>
      </c>
      <c r="P9" s="2">
        <f t="shared" si="1"/>
        <v>10.693916349809886</v>
      </c>
      <c r="Q9" s="3" t="b">
        <f t="shared" si="2"/>
        <v>1</v>
      </c>
    </row>
    <row r="10" spans="2:17" x14ac:dyDescent="0.3">
      <c r="B10" s="37">
        <v>6</v>
      </c>
      <c r="C10" s="3">
        <v>6500</v>
      </c>
      <c r="D10" s="3">
        <v>6500</v>
      </c>
      <c r="E10" s="3">
        <v>6000</v>
      </c>
      <c r="F10" s="3">
        <v>3500</v>
      </c>
      <c r="G10" s="3">
        <v>1500</v>
      </c>
      <c r="H10" s="3">
        <v>500</v>
      </c>
      <c r="I10" s="3">
        <v>100</v>
      </c>
      <c r="J10" s="3">
        <v>75</v>
      </c>
      <c r="K10" s="3">
        <v>30</v>
      </c>
      <c r="L10" s="3">
        <v>10</v>
      </c>
      <c r="M10" s="3">
        <v>5</v>
      </c>
      <c r="N10" s="38">
        <v>2</v>
      </c>
      <c r="O10" s="36">
        <f t="shared" si="0"/>
        <v>2.1387832699619773</v>
      </c>
      <c r="P10" s="2">
        <f t="shared" si="1"/>
        <v>12.832699619771864</v>
      </c>
      <c r="Q10" s="3" t="b">
        <f t="shared" si="2"/>
        <v>1</v>
      </c>
    </row>
    <row r="11" spans="2:17" x14ac:dyDescent="0.3">
      <c r="B11" s="37">
        <v>7</v>
      </c>
      <c r="C11" s="3">
        <v>7250</v>
      </c>
      <c r="D11" s="3">
        <v>7250</v>
      </c>
      <c r="E11" s="3">
        <v>5500</v>
      </c>
      <c r="F11" s="3">
        <v>3000</v>
      </c>
      <c r="G11" s="3">
        <v>1000</v>
      </c>
      <c r="H11" s="3">
        <v>500</v>
      </c>
      <c r="I11" s="3">
        <v>100</v>
      </c>
      <c r="J11" s="3">
        <v>75</v>
      </c>
      <c r="K11" s="3">
        <v>30</v>
      </c>
      <c r="L11" s="3">
        <v>10</v>
      </c>
      <c r="M11" s="3">
        <v>2</v>
      </c>
      <c r="N11" s="38">
        <v>1</v>
      </c>
      <c r="O11" s="36">
        <f t="shared" si="0"/>
        <v>1.9317905979448176</v>
      </c>
      <c r="P11" s="2">
        <f t="shared" si="1"/>
        <v>13.522534185613722</v>
      </c>
      <c r="Q11" s="3" t="b">
        <f t="shared" si="2"/>
        <v>1</v>
      </c>
    </row>
    <row r="12" spans="2:17" x14ac:dyDescent="0.3">
      <c r="B12" s="37">
        <v>8</v>
      </c>
      <c r="C12" s="3">
        <v>7250</v>
      </c>
      <c r="D12" s="3">
        <v>7250</v>
      </c>
      <c r="E12" s="3">
        <v>5500</v>
      </c>
      <c r="F12" s="3">
        <v>3000</v>
      </c>
      <c r="G12" s="3">
        <v>1000</v>
      </c>
      <c r="H12" s="3">
        <v>500</v>
      </c>
      <c r="I12" s="3">
        <v>100</v>
      </c>
      <c r="J12" s="3">
        <v>75</v>
      </c>
      <c r="K12" s="3">
        <v>30</v>
      </c>
      <c r="L12" s="3">
        <v>10</v>
      </c>
      <c r="M12" s="3">
        <v>2</v>
      </c>
      <c r="N12" s="38">
        <v>1</v>
      </c>
      <c r="O12" s="36">
        <f t="shared" si="0"/>
        <v>1.9317905979448176</v>
      </c>
      <c r="P12" s="2">
        <f t="shared" si="1"/>
        <v>15.45432478355854</v>
      </c>
      <c r="Q12" s="3" t="b">
        <f t="shared" si="2"/>
        <v>1</v>
      </c>
    </row>
    <row r="13" spans="2:17" x14ac:dyDescent="0.3">
      <c r="B13" s="37">
        <v>9</v>
      </c>
      <c r="C13" s="3">
        <v>7250</v>
      </c>
      <c r="D13" s="3">
        <v>7250</v>
      </c>
      <c r="E13" s="3">
        <v>4750</v>
      </c>
      <c r="F13" s="3">
        <v>2250</v>
      </c>
      <c r="G13" s="3">
        <v>1000</v>
      </c>
      <c r="H13" s="3">
        <v>500</v>
      </c>
      <c r="I13" s="3">
        <v>100</v>
      </c>
      <c r="J13" s="3">
        <v>75</v>
      </c>
      <c r="K13" s="3">
        <v>20</v>
      </c>
      <c r="L13" s="3">
        <v>5</v>
      </c>
      <c r="M13" s="3">
        <v>1</v>
      </c>
      <c r="N13" s="38">
        <v>1</v>
      </c>
      <c r="O13" s="36">
        <f t="shared" si="0"/>
        <v>1.8425135764158262</v>
      </c>
      <c r="P13" s="2">
        <f t="shared" si="1"/>
        <v>16.582622187742437</v>
      </c>
      <c r="Q13" s="3" t="b">
        <f t="shared" si="2"/>
        <v>1</v>
      </c>
    </row>
    <row r="14" spans="2:17" x14ac:dyDescent="0.3">
      <c r="B14" s="37">
        <v>10</v>
      </c>
      <c r="C14" s="3">
        <v>7250</v>
      </c>
      <c r="D14" s="3">
        <v>7250</v>
      </c>
      <c r="E14" s="3">
        <v>4750</v>
      </c>
      <c r="F14" s="3">
        <v>2250</v>
      </c>
      <c r="G14" s="3">
        <v>1000</v>
      </c>
      <c r="H14" s="3">
        <v>500</v>
      </c>
      <c r="I14" s="3">
        <v>100</v>
      </c>
      <c r="J14" s="3">
        <v>75</v>
      </c>
      <c r="K14" s="3">
        <v>20</v>
      </c>
      <c r="L14" s="3">
        <v>5</v>
      </c>
      <c r="M14" s="3">
        <v>1</v>
      </c>
      <c r="N14" s="38">
        <v>1</v>
      </c>
      <c r="O14" s="36">
        <f t="shared" si="0"/>
        <v>1.8425135764158262</v>
      </c>
      <c r="P14" s="2">
        <f t="shared" si="1"/>
        <v>18.425135764158263</v>
      </c>
      <c r="Q14" s="3" t="b">
        <f t="shared" si="2"/>
        <v>1</v>
      </c>
    </row>
    <row r="16" spans="2:17" x14ac:dyDescent="0.3">
      <c r="B16" s="19" t="s">
        <v>36</v>
      </c>
      <c r="C16" s="39">
        <v>5</v>
      </c>
    </row>
    <row r="20" spans="2:5" x14ac:dyDescent="0.3">
      <c r="B20" s="46"/>
      <c r="C20" s="46" t="s">
        <v>23</v>
      </c>
      <c r="D20" s="46" t="s">
        <v>37</v>
      </c>
      <c r="E20" s="46" t="s">
        <v>6</v>
      </c>
    </row>
    <row r="21" spans="2:5" x14ac:dyDescent="0.3">
      <c r="B21" s="113">
        <f>Summary!E22</f>
        <v>0.2</v>
      </c>
      <c r="C21" s="46">
        <v>0</v>
      </c>
      <c r="D21" s="46">
        <f>C21/SUM($C$21:$C$30)</f>
        <v>0</v>
      </c>
      <c r="E21" s="46">
        <f>D21*B21</f>
        <v>0</v>
      </c>
    </row>
    <row r="22" spans="2:5" x14ac:dyDescent="0.3">
      <c r="B22" s="113">
        <f>Summary!E23</f>
        <v>0.5</v>
      </c>
      <c r="C22" s="46">
        <v>20000</v>
      </c>
      <c r="D22" s="46">
        <f t="shared" ref="D22:D30" si="3">C22/SUM($C$21:$C$30)</f>
        <v>0.58292043136111926</v>
      </c>
      <c r="E22" s="46">
        <f t="shared" ref="E22:E30" si="4">D22*B22</f>
        <v>0.29146021568055963</v>
      </c>
    </row>
    <row r="23" spans="2:5" x14ac:dyDescent="0.3">
      <c r="B23" s="113">
        <f>Summary!E24</f>
        <v>1</v>
      </c>
      <c r="C23" s="46">
        <v>8000</v>
      </c>
      <c r="D23" s="46">
        <f t="shared" si="3"/>
        <v>0.23316817254444769</v>
      </c>
      <c r="E23" s="46">
        <f t="shared" si="4"/>
        <v>0.23316817254444769</v>
      </c>
    </row>
    <row r="24" spans="2:5" x14ac:dyDescent="0.3">
      <c r="B24" s="113">
        <f>Summary!E25</f>
        <v>2</v>
      </c>
      <c r="C24" s="46">
        <v>2500</v>
      </c>
      <c r="D24" s="46">
        <f t="shared" si="3"/>
        <v>7.2865053920139908E-2</v>
      </c>
      <c r="E24" s="46">
        <f t="shared" si="4"/>
        <v>0.14573010784027982</v>
      </c>
    </row>
    <row r="25" spans="2:5" x14ac:dyDescent="0.3">
      <c r="B25" s="113">
        <f>Summary!E26</f>
        <v>3</v>
      </c>
      <c r="C25" s="46">
        <v>2000</v>
      </c>
      <c r="D25" s="46">
        <f t="shared" si="3"/>
        <v>5.8292043136111922E-2</v>
      </c>
      <c r="E25" s="46">
        <f t="shared" si="4"/>
        <v>0.17487612940833577</v>
      </c>
    </row>
    <row r="26" spans="2:5" x14ac:dyDescent="0.3">
      <c r="B26" s="113">
        <f>Summary!E27</f>
        <v>5</v>
      </c>
      <c r="C26" s="46">
        <v>1000</v>
      </c>
      <c r="D26" s="46">
        <f t="shared" si="3"/>
        <v>2.9146021568055961E-2</v>
      </c>
      <c r="E26" s="46">
        <f t="shared" si="4"/>
        <v>0.14573010784027982</v>
      </c>
    </row>
    <row r="27" spans="2:5" x14ac:dyDescent="0.3">
      <c r="B27" s="113">
        <f>Summary!E28</f>
        <v>10</v>
      </c>
      <c r="C27" s="46">
        <v>500</v>
      </c>
      <c r="D27" s="46">
        <f t="shared" si="3"/>
        <v>1.4573010784027981E-2</v>
      </c>
      <c r="E27" s="46">
        <f t="shared" si="4"/>
        <v>0.14573010784027982</v>
      </c>
    </row>
    <row r="28" spans="2:5" x14ac:dyDescent="0.3">
      <c r="B28" s="113">
        <f>Summary!E29</f>
        <v>25</v>
      </c>
      <c r="C28" s="46">
        <v>200</v>
      </c>
      <c r="D28" s="46">
        <f t="shared" si="3"/>
        <v>5.8292043136111919E-3</v>
      </c>
      <c r="E28" s="46">
        <f t="shared" si="4"/>
        <v>0.14573010784027979</v>
      </c>
    </row>
    <row r="29" spans="2:5" x14ac:dyDescent="0.3">
      <c r="B29" s="113">
        <f>Summary!E30</f>
        <v>50</v>
      </c>
      <c r="C29" s="46">
        <v>100</v>
      </c>
      <c r="D29" s="46">
        <f t="shared" si="3"/>
        <v>2.9146021568055959E-3</v>
      </c>
      <c r="E29" s="46">
        <f t="shared" si="4"/>
        <v>0.14573010784027979</v>
      </c>
    </row>
    <row r="30" spans="2:5" x14ac:dyDescent="0.3">
      <c r="B30" s="113">
        <f>Summary!E31</f>
        <v>100</v>
      </c>
      <c r="C30" s="46">
        <v>10</v>
      </c>
      <c r="D30" s="46">
        <f t="shared" si="3"/>
        <v>2.9146021568055963E-4</v>
      </c>
      <c r="E30" s="46">
        <f t="shared" si="4"/>
        <v>2.9146021568055961E-2</v>
      </c>
    </row>
    <row r="31" spans="2:5" x14ac:dyDescent="0.3">
      <c r="B31" s="55"/>
      <c r="E31" s="45">
        <f>SUM(E21:E30)</f>
        <v>1.457301078402798</v>
      </c>
    </row>
    <row r="32" spans="2:5" x14ac:dyDescent="0.3">
      <c r="B32" s="55"/>
    </row>
    <row r="33" spans="2:2" x14ac:dyDescent="0.3">
      <c r="B33" s="55"/>
    </row>
    <row r="34" spans="2:2" x14ac:dyDescent="0.3">
      <c r="B34" s="55"/>
    </row>
    <row r="35" spans="2:2" x14ac:dyDescent="0.3">
      <c r="B35" s="55"/>
    </row>
    <row r="36" spans="2:2" x14ac:dyDescent="0.3">
      <c r="B36" s="55"/>
    </row>
  </sheetData>
  <mergeCells count="1">
    <mergeCell ref="C2:N2"/>
  </mergeCells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E598C-E06D-4ACA-9516-6B639390F8CB}">
  <dimension ref="A1:AW1361"/>
  <sheetViews>
    <sheetView zoomScale="70" zoomScaleNormal="70" workbookViewId="0">
      <selection sqref="A1:A5"/>
    </sheetView>
  </sheetViews>
  <sheetFormatPr defaultRowHeight="15.05" x14ac:dyDescent="0.3"/>
  <cols>
    <col min="1" max="13" width="9.109375" customWidth="1"/>
    <col min="14" max="14" width="6.5546875" bestFit="1" customWidth="1"/>
    <col min="15" max="15" width="9.109375" customWidth="1"/>
    <col min="16" max="16" width="6.5546875" bestFit="1" customWidth="1"/>
    <col min="17" max="18" width="6.5546875" customWidth="1"/>
    <col min="19" max="19" width="9.109375" customWidth="1"/>
    <col min="20" max="20" width="19.33203125" bestFit="1" customWidth="1"/>
    <col min="21" max="29" width="9.109375" customWidth="1"/>
    <col min="30" max="30" width="12.77734375" customWidth="1"/>
    <col min="31" max="31" width="13.109375" bestFit="1" customWidth="1"/>
    <col min="32" max="33" width="12" bestFit="1" customWidth="1"/>
    <col min="34" max="36" width="9.109375" customWidth="1"/>
    <col min="37" max="37" width="12" bestFit="1" customWidth="1"/>
    <col min="38" max="38" width="16.6640625" bestFit="1" customWidth="1"/>
    <col min="39" max="39" width="12" bestFit="1" customWidth="1"/>
  </cols>
  <sheetData>
    <row r="1" spans="1:21" x14ac:dyDescent="0.3">
      <c r="A1" s="57" t="s">
        <v>107</v>
      </c>
    </row>
    <row r="2" spans="1:21" x14ac:dyDescent="0.3">
      <c r="A2" s="57" t="s">
        <v>106</v>
      </c>
    </row>
    <row r="3" spans="1:21" x14ac:dyDescent="0.3">
      <c r="A3" s="57" t="s">
        <v>95</v>
      </c>
    </row>
    <row r="4" spans="1:21" x14ac:dyDescent="0.3">
      <c r="A4" s="57" t="s">
        <v>104</v>
      </c>
    </row>
    <row r="5" spans="1:21" x14ac:dyDescent="0.3">
      <c r="A5" s="57" t="s">
        <v>105</v>
      </c>
    </row>
    <row r="7" spans="1:21" x14ac:dyDescent="0.3">
      <c r="A7" t="str">
        <f>SUBSTITUTE(SUBSTITUTE(SUBSTITUTE(SUBSTITUTE(SUBSTITUTE(A1, " ",""), """", ""), "[", ""), "],",""), "]","")</f>
        <v>P3,P4,SCAT,P6,P3,P3,SCAT,P2,P4,P5,P5,P4,P5,SCAT,P6,P6,P5,P3,P5,P4,SCAT,P6,P3,P6,P3,P4,P5,CP,CP,P2,SCAT,P6,P5,CP,CP,P6,P3,P4,P3,P3,CP,P4,P2,P5,P6,CP,P5,P6,P2,P4,P3,P6,P4,P5,P2,P4,P1,P6,P6,P4,P2,P2,P1,P4,P1,P5,P1,P1,P5,P1,P4,P6,P3,P2,P1,P5,P6,P2,CP,CP,P5,P4,P1</v>
      </c>
    </row>
    <row r="8" spans="1:21" x14ac:dyDescent="0.3">
      <c r="A8" t="str">
        <f>SUBSTITUTE(SUBSTITUTE(SUBSTITUTE(SUBSTITUTE(SUBSTITUTE(A2, " ",""), """", ""), "[", ""), "],",""), "]","")</f>
        <v>P6,P5,P4,P3,P4,P6,P6,CP,P5,P3,P4,P6,WILD,P5,P3,P5,CP,P6,P5,P3,WILD,P4,P5,P2,P5,P3,P4,P4,P5,P1,P3,P5,P2,P4,P6,P6,P4,P2,CP,P5,P2,P6,P2,P3,P5,P1,P3,P1,CP,P6,CP,P3,P4,P6,P2,P3,P2,P3,P6,P4,P3,P2,P1,P5,P2,P4,P2,P5,P1,P4,P4,P1,CP,CP,P6,P4,P6,CP,P4</v>
      </c>
    </row>
    <row r="9" spans="1:21" x14ac:dyDescent="0.3">
      <c r="A9" t="str">
        <f>SUBSTITUTE(SUBSTITUTE(SUBSTITUTE(SUBSTITUTE(SUBSTITUTE(A3, " ",""), """", ""), "[", ""), "],",""), "]","")</f>
        <v>P5,P3,CP,CP,P6,CP,P6,P3,WILD,P5,P4,P6,P6,P2,P5,P1,SCAT,P6,P5,P5,P6,P4,SCAT,P3,P5,P2,P6,SCAT,CP,CP,P2,WILD,P4,P6,P5,P1,P4,P5,P6,P6,CP,CP,P3,P2,P5,SCAT,P3,P6,P2,WILD,P3,P2,P6,P6,P4,CP,P2,P5,P1,SCAT,P3,P4,P6,P1,CP,CP,P4,P6,P4,P1,P6,P5,P2,P4,P4,P5,P1,P3,P4,CP,CP,P5,P1,P3,P4,P3</v>
      </c>
    </row>
    <row r="10" spans="1:21" x14ac:dyDescent="0.3">
      <c r="A10" t="str">
        <f t="shared" ref="A10:A11" si="0">SUBSTITUTE(SUBSTITUTE(SUBSTITUTE(SUBSTITUTE(SUBSTITUTE(A4, " ",""), """", ""), "[", ""), "],",""), "]","")</f>
        <v>P6,P5,P4,WILD,P3,P3,P6,P2,CP,CP,P5,P6,P6,P3,P4,P6,P5,P3,P5,P2,P5,P3,P4,P5,P6,P5,P1,WILD,P4,P4,P5,P3,P1,P5,P6,P4,P4,P6,CP,P5,P2,P2,P3,P5,P3,P3,P1,CP,CP,P3,P4,P6,P2,P3,P2,P3,P6,P4,P3,P2,P1,P5,P2,P4,P2,P5,P1,P4,P4,P1,P6,P4,P6,CP,CP,P4</v>
      </c>
    </row>
    <row r="11" spans="1:21" x14ac:dyDescent="0.3">
      <c r="A11" t="str">
        <f t="shared" si="0"/>
        <v>P6,P6,P5,P3,WILD,P6,P1,P6,P5,P4,P2,P5,WILD,P6,P1,P5,P5,P6,P4,P3,P5,P2,SCAT,CP,CP,P6,P6,P2,P4,P5,P1,P4,P5,CP,WILD,P6,CP,P3,P2,P5,P3,SCAT,P2,P3,P2,WILD,P4,P2,SCAT,P5,P1,P3,P4,P6,P1,CP,CP,P4,P6,P4,P1,P6,P5,P2,P4,P4,P5,P1,P3,P4,CP,CP,P5,P1,P3,P4,P3</v>
      </c>
    </row>
    <row r="13" spans="1:21" x14ac:dyDescent="0.3">
      <c r="H13" s="76" t="s">
        <v>51</v>
      </c>
      <c r="I13" s="76"/>
      <c r="J13" s="76"/>
      <c r="K13" s="48"/>
      <c r="L13" s="48"/>
    </row>
    <row r="14" spans="1:21" x14ac:dyDescent="0.3">
      <c r="G14" s="4" t="s">
        <v>48</v>
      </c>
      <c r="H14">
        <f>ROWS(TRANSPOSE(_xlfn.TEXTSPLIT(A7, ",")))</f>
        <v>83</v>
      </c>
      <c r="I14">
        <f>ROWS(TRANSPOSE(_xlfn.TEXTSPLIT(A8, ",")))</f>
        <v>79</v>
      </c>
      <c r="J14">
        <f>ROWS(TRANSPOSE(_xlfn.TEXTSPLIT(A9, ",")))</f>
        <v>86</v>
      </c>
      <c r="K14">
        <f>ROWS(TRANSPOSE(_xlfn.TEXTSPLIT(A10, ",")))</f>
        <v>76</v>
      </c>
      <c r="L14">
        <f>ROWS(TRANSPOSE(_xlfn.TEXTSPLIT(A11, ",")))</f>
        <v>77</v>
      </c>
      <c r="T14" s="4"/>
      <c r="U14" s="29"/>
    </row>
    <row r="15" spans="1:21" x14ac:dyDescent="0.3">
      <c r="G15" s="4" t="s">
        <v>49</v>
      </c>
      <c r="H15">
        <f>ROW(A18)</f>
        <v>18</v>
      </c>
      <c r="I15">
        <f>ROW(B18)</f>
        <v>18</v>
      </c>
      <c r="J15">
        <f>ROW(C18)</f>
        <v>18</v>
      </c>
      <c r="K15">
        <f t="shared" ref="K15:L15" si="1">ROW(D18)</f>
        <v>18</v>
      </c>
      <c r="L15">
        <f t="shared" si="1"/>
        <v>18</v>
      </c>
      <c r="N15" s="77" t="s">
        <v>52</v>
      </c>
      <c r="O15" s="77"/>
      <c r="P15" s="77"/>
    </row>
    <row r="16" spans="1:21" x14ac:dyDescent="0.3">
      <c r="G16" s="4" t="s">
        <v>50</v>
      </c>
      <c r="H16">
        <v>3</v>
      </c>
      <c r="I16">
        <v>3</v>
      </c>
      <c r="J16">
        <v>3</v>
      </c>
      <c r="K16">
        <v>3</v>
      </c>
      <c r="L16">
        <v>3</v>
      </c>
    </row>
    <row r="17" spans="1:49" x14ac:dyDescent="0.3">
      <c r="A17" s="1" t="s">
        <v>18</v>
      </c>
      <c r="B17" s="19" t="s">
        <v>19</v>
      </c>
      <c r="C17" s="1" t="s">
        <v>20</v>
      </c>
      <c r="D17" s="1" t="s">
        <v>56</v>
      </c>
      <c r="E17" s="1" t="s">
        <v>57</v>
      </c>
      <c r="F17" s="4"/>
      <c r="G17" s="4"/>
      <c r="H17" s="45" t="str">
        <f>A17</f>
        <v>Reel 1</v>
      </c>
      <c r="I17" s="45" t="str">
        <f>B17</f>
        <v>Reel 2</v>
      </c>
      <c r="J17" s="45" t="str">
        <f>C17</f>
        <v>Reel 3</v>
      </c>
      <c r="K17" s="45" t="str">
        <f t="shared" ref="K17:L17" si="2">D17</f>
        <v>Reel 4</v>
      </c>
      <c r="L17" s="45" t="str">
        <f t="shared" si="2"/>
        <v>Reel 5</v>
      </c>
      <c r="M17" s="4"/>
      <c r="N17" s="45" t="str">
        <f>H17</f>
        <v>Reel 1</v>
      </c>
      <c r="O17" s="45" t="str">
        <f>I17</f>
        <v>Reel 2</v>
      </c>
      <c r="P17" s="45" t="str">
        <f>J17</f>
        <v>Reel 3</v>
      </c>
      <c r="Q17" s="45" t="str">
        <f t="shared" ref="Q17:R17" si="3">K17</f>
        <v>Reel 4</v>
      </c>
      <c r="R17" s="45" t="str">
        <f t="shared" si="3"/>
        <v>Reel 5</v>
      </c>
      <c r="S17" s="4"/>
      <c r="T17" s="19" t="s">
        <v>38</v>
      </c>
      <c r="U17" s="45" t="s">
        <v>18</v>
      </c>
      <c r="V17" s="45" t="s">
        <v>19</v>
      </c>
      <c r="W17" s="45" t="s">
        <v>20</v>
      </c>
      <c r="X17" s="45" t="s">
        <v>56</v>
      </c>
      <c r="Y17" s="105" t="s">
        <v>57</v>
      </c>
      <c r="Z17" s="107"/>
      <c r="AB17" s="45" t="s">
        <v>38</v>
      </c>
      <c r="AC17" s="45" t="s">
        <v>89</v>
      </c>
      <c r="AD17" s="45" t="s">
        <v>18</v>
      </c>
      <c r="AE17" s="45" t="s">
        <v>19</v>
      </c>
      <c r="AF17" s="45" t="s">
        <v>20</v>
      </c>
      <c r="AG17" s="45" t="s">
        <v>56</v>
      </c>
      <c r="AH17" s="45" t="s">
        <v>57</v>
      </c>
      <c r="AI17" s="45" t="s">
        <v>40</v>
      </c>
      <c r="AJ17" s="45" t="s">
        <v>37</v>
      </c>
      <c r="AK17" s="45" t="s">
        <v>41</v>
      </c>
      <c r="AL17" s="45" t="s">
        <v>34</v>
      </c>
      <c r="AM17" s="45" t="s">
        <v>42</v>
      </c>
      <c r="AN17" s="45" t="s">
        <v>43</v>
      </c>
      <c r="AO17" s="45" t="s">
        <v>44</v>
      </c>
      <c r="AR17" s="110" t="s">
        <v>90</v>
      </c>
      <c r="AS17" s="111"/>
      <c r="AT17" s="111"/>
      <c r="AU17" s="111"/>
      <c r="AV17" s="111"/>
      <c r="AW17" s="112"/>
    </row>
    <row r="18" spans="1:49" x14ac:dyDescent="0.3">
      <c r="A18" t="str" cm="1">
        <f t="array" ref="A18:A100">TRANSPOSE(_xlfn.TEXTSPLIT(A7, ","))</f>
        <v>P3</v>
      </c>
      <c r="B18" t="str" cm="1">
        <f t="array" ref="B18:B96">TRANSPOSE(_xlfn.TEXTSPLIT(A8, ","))</f>
        <v>P6</v>
      </c>
      <c r="C18" t="str" cm="1">
        <f t="array" ref="C18:C103">TRANSPOSE(_xlfn.TEXTSPLIT(A9, ","))</f>
        <v>P5</v>
      </c>
      <c r="D18" t="str" cm="1">
        <f t="array" ref="D18:D93">TRANSPOSE(_xlfn.TEXTSPLIT(A10, ","))</f>
        <v>P6</v>
      </c>
      <c r="E18" t="str" cm="1">
        <f t="array" ref="E18:E94">TRANSPOSE(_xlfn.TEXTSPLIT(A11, ","))</f>
        <v>P6</v>
      </c>
      <c r="H18" t="str" cm="1">
        <f t="array" aca="1" ref="H18" ca="1">IF(ROW(A18)-H$15 &lt; H$14,A18,IF(ROW(A18) - H$15 -H$16 + 1 &lt; H$14,INDIRECT(ADDRESS(MOD(ROW(A18) - H$15, H$14) + H$15, COLUMN(A18))),""))</f>
        <v>P3</v>
      </c>
      <c r="I18" t="str" cm="1">
        <f t="array" aca="1" ref="I18" ca="1">IF(ROW(B18)-I$15 &lt; I$14,B18,IF(ROW(B18) - I$15 -I$16 + 1 &lt; I$14,INDIRECT(ADDRESS(MOD(ROW(B18) - I$15, I$14) + I$15, COLUMN(B18))),""))</f>
        <v>P6</v>
      </c>
      <c r="J18" t="str" cm="1">
        <f t="array" aca="1" ref="J18" ca="1">IF(ROW(C18)-J$15 &lt; J$14,C18,IF(ROW(C18) - J$15 -J$16 + 1 &lt; J$14,INDIRECT(ADDRESS(MOD(ROW(C18) - J$15, J$14) + J$15, COLUMN(C18))),""))</f>
        <v>P5</v>
      </c>
      <c r="K18" t="str" cm="1">
        <f t="array" aca="1" ref="K18" ca="1">IF(ROW(D18)-K$15 &lt; K$14,D18,IF(ROW(D18) - K$15 -K$16 + 1 &lt; K$14,INDIRECT(ADDRESS(MOD(ROW(D18) - K$15, K$14) + K$15, COLUMN(D18))),""))</f>
        <v>P6</v>
      </c>
      <c r="L18" t="str" cm="1">
        <f t="array" aca="1" ref="L18" ca="1">IF(ROW(E18)-L$15 &lt; L$14,E18,IF(ROW(E18) - L$15 -L$16 + 1 &lt; L$14,INDIRECT(ADDRESS(MOD(ROW(E18) - L$15, L$14) + L$15, COLUMN(E18))),""))</f>
        <v>P6</v>
      </c>
      <c r="N18" cm="1">
        <f t="array" aca="1" ref="N18" ca="1">IF(H18&lt;&gt;"", SUMPRODUCT((OFFSET(H18,0,0,H$16,1)=$T$24) +0),"")</f>
        <v>0</v>
      </c>
      <c r="O18" cm="1">
        <f t="array" aca="1" ref="O18" ca="1">IF(I18&lt;&gt;"", SUMPRODUCT((OFFSET(I18,0,0,I$16,1)=$T$24) +0),"")</f>
        <v>0</v>
      </c>
      <c r="P18" cm="1">
        <f t="array" aca="1" ref="P18" ca="1">IF(J18&lt;&gt;"", SUMPRODUCT((OFFSET(J18,0,0,J$16,1)=$T$24) +0),"")</f>
        <v>1</v>
      </c>
      <c r="Q18" cm="1">
        <f t="array" aca="1" ref="Q18" ca="1">IF(K18&lt;&gt;"", SUMPRODUCT((OFFSET(K18,0,0,K$16,1)=$T$24) +0),"")</f>
        <v>0</v>
      </c>
      <c r="R18" cm="1">
        <f t="array" aca="1" ref="R18" ca="1">IF(L18&lt;&gt;"", SUMPRODUCT((OFFSET(L18,0,0,L$16,1)=$T$24) +0),"")</f>
        <v>0</v>
      </c>
      <c r="T18" s="5" t="str">
        <f>Summary!B4</f>
        <v>P1</v>
      </c>
      <c r="U18" s="46">
        <f t="shared" ref="U18:W24" si="4">COUNTIF(A$18:A$254,$T18)</f>
        <v>8</v>
      </c>
      <c r="V18" s="46">
        <f t="shared" si="4"/>
        <v>6</v>
      </c>
      <c r="W18" s="46">
        <f t="shared" si="4"/>
        <v>7</v>
      </c>
      <c r="X18" s="46">
        <f t="shared" ref="X18:Y26" si="5">COUNTIF(D$18:D$254,$T18)</f>
        <v>6</v>
      </c>
      <c r="Y18" s="65">
        <f t="shared" si="5"/>
        <v>8</v>
      </c>
      <c r="Z18" s="107"/>
      <c r="AB18" s="46" t="str">
        <f t="shared" ref="AB18" si="6">T18</f>
        <v>P1</v>
      </c>
      <c r="AC18" s="46">
        <v>5</v>
      </c>
      <c r="AD18" s="46">
        <f>IF(_xlfn.XLOOKUP($AC18,$AR$18:$AR$22,AS$18:AS$22)=1, _xlfn.XLOOKUP($AB18,$T$18:$T$26,U$18:U$26)+U$25, IF(_xlfn.XLOOKUP($AC18,$AR$18:$AR$22,AS$18:AS$22)=0, U$27-(_xlfn.XLOOKUP($AB18,$T$18:$T$26,U$18:U$26)+U$25), U$27))</f>
        <v>8</v>
      </c>
      <c r="AE18" s="46">
        <f t="shared" ref="AE18:AH18" si="7">IF(_xlfn.XLOOKUP($AC18,$AR$18:$AR$22,AT$18:AT$22)=1, _xlfn.XLOOKUP($AB18,$T$18:$T$26,V$18:V$26)+V$25, IF(_xlfn.XLOOKUP($AC18,$AR$18:$AR$22,AT$18:AT$22)=0, V$27-(_xlfn.XLOOKUP($AB18,$T$18:$T$26,V$18:V$26)+V$25), V$27))</f>
        <v>8</v>
      </c>
      <c r="AF18" s="46">
        <f t="shared" si="7"/>
        <v>10</v>
      </c>
      <c r="AG18" s="46">
        <f t="shared" si="7"/>
        <v>8</v>
      </c>
      <c r="AH18" s="46">
        <f t="shared" si="7"/>
        <v>12</v>
      </c>
      <c r="AI18" s="46">
        <f>PRODUCT(AD18:AH18)</f>
        <v>61440</v>
      </c>
      <c r="AJ18" s="50">
        <f>AI18/$U$28</f>
        <v>1.8618438504387332E-5</v>
      </c>
      <c r="AK18" s="46">
        <f t="shared" ref="AK18:AK35" si="8">1/AJ18</f>
        <v>53710.197005208334</v>
      </c>
      <c r="AL18" s="46">
        <f>IFERROR(INDEX(Summary!$C$4:$E$9, MATCH($AB18, Summary!$B$4:$B$9, 0), MATCH($AC18, Summary!$C$3:$E$3, 0)), 0)</f>
        <v>1000</v>
      </c>
      <c r="AM18" s="73">
        <f>SUM(AJ18*AL18,AJ19*AL19,AJ20*AL20)</f>
        <v>8.9562446888813221E-2</v>
      </c>
      <c r="AN18" s="73">
        <v>4.4904242116968501E-2</v>
      </c>
      <c r="AO18" s="72">
        <f>AM18-AN18</f>
        <v>4.465820477184472E-2</v>
      </c>
      <c r="AR18" s="46">
        <v>5</v>
      </c>
      <c r="AS18" s="46">
        <v>1</v>
      </c>
      <c r="AT18" s="46">
        <v>1</v>
      </c>
      <c r="AU18" s="46">
        <v>1</v>
      </c>
      <c r="AV18" s="46">
        <v>1</v>
      </c>
      <c r="AW18" s="46">
        <v>1</v>
      </c>
    </row>
    <row r="19" spans="1:49" x14ac:dyDescent="0.3">
      <c r="A19" t="str">
        <v>P4</v>
      </c>
      <c r="B19" t="str">
        <v>P5</v>
      </c>
      <c r="C19" t="str">
        <v>P3</v>
      </c>
      <c r="D19" t="str">
        <v>P5</v>
      </c>
      <c r="E19" t="str">
        <v>P6</v>
      </c>
      <c r="H19" t="str" cm="1">
        <f t="array" aca="1" ref="H19" ca="1">IF(ROW(A19)-H$15 &lt; H$14,A19,IF(ROW(A19) - H$15 -H$16 + 1 &lt; H$14,INDIRECT(ADDRESS(MOD(ROW(A19) - H$15, H$14) + H$15, COLUMN(A19))),""))</f>
        <v>P4</v>
      </c>
      <c r="I19" t="str" cm="1">
        <f t="array" aca="1" ref="I19" ca="1">IF(ROW(B19)-I$15 &lt; I$14,B19,IF(ROW(B19) - I$15 -I$16 + 1 &lt; I$14,INDIRECT(ADDRESS(MOD(ROW(B19) - I$15, I$14) + I$15, COLUMN(B19))),""))</f>
        <v>P5</v>
      </c>
      <c r="J19" t="str" cm="1">
        <f t="array" aca="1" ref="J19" ca="1">IF(ROW(C19)-J$15 &lt; J$14,C19,IF(ROW(C19) - J$15 -J$16 + 1 &lt; J$14,INDIRECT(ADDRESS(MOD(ROW(C19) - J$15, J$14) + J$15, COLUMN(C19))),""))</f>
        <v>P3</v>
      </c>
      <c r="K19" t="str" cm="1">
        <f t="array" aca="1" ref="K19" ca="1">IF(ROW(D19)-K$15 &lt; K$14,D19,IF(ROW(D19) - K$15 -K$16 + 1 &lt; K$14,INDIRECT(ADDRESS(MOD(ROW(D19) - K$15, K$14) + K$15, COLUMN(D19))),""))</f>
        <v>P5</v>
      </c>
      <c r="L19" t="str" cm="1">
        <f t="array" aca="1" ref="L19" ca="1">IF(ROW(E19)-L$15 &lt; L$14,E19,IF(ROW(E19) - L$15 -L$16 + 1 &lt; L$14,INDIRECT(ADDRESS(MOD(ROW(E19) - L$15, L$14) + L$15, COLUMN(E19))),""))</f>
        <v>P6</v>
      </c>
      <c r="N19" cm="1">
        <f t="array" aca="1" ref="N19" ca="1">IF(H19&lt;&gt;"", SUMPRODUCT((OFFSET(H19,0,0,H$16,1)=$T$24) +0),"")</f>
        <v>0</v>
      </c>
      <c r="O19" cm="1">
        <f t="array" aca="1" ref="O19" ca="1">IF(I19&lt;&gt;"", SUMPRODUCT((OFFSET(I19,0,0,I$16,1)=$T$24) +0),"")</f>
        <v>0</v>
      </c>
      <c r="P19" cm="1">
        <f t="array" aca="1" ref="P19" ca="1">IF(J19&lt;&gt;"", SUMPRODUCT((OFFSET(J19,0,0,J$16,1)=$T$24) +0),"")</f>
        <v>2</v>
      </c>
      <c r="Q19" cm="1">
        <f t="array" aca="1" ref="Q19" ca="1">IF(K19&lt;&gt;"", SUMPRODUCT((OFFSET(K19,0,0,K$16,1)=$T$24) +0),"")</f>
        <v>0</v>
      </c>
      <c r="R19" cm="1">
        <f t="array" aca="1" ref="R19" ca="1">IF(L19&lt;&gt;"", SUMPRODUCT((OFFSET(L19,0,0,L$16,1)=$T$24) +0),"")</f>
        <v>0</v>
      </c>
      <c r="T19" s="5" t="str">
        <f>Summary!B5</f>
        <v>P2</v>
      </c>
      <c r="U19" s="46">
        <f t="shared" si="4"/>
        <v>9</v>
      </c>
      <c r="V19" s="46">
        <f t="shared" si="4"/>
        <v>10</v>
      </c>
      <c r="W19" s="46">
        <f t="shared" si="4"/>
        <v>8</v>
      </c>
      <c r="X19" s="46">
        <f t="shared" si="5"/>
        <v>9</v>
      </c>
      <c r="Y19" s="65">
        <f t="shared" si="5"/>
        <v>8</v>
      </c>
      <c r="Z19" s="107"/>
      <c r="AB19" s="46" t="str">
        <f>T18</f>
        <v>P1</v>
      </c>
      <c r="AC19" s="46">
        <v>4</v>
      </c>
      <c r="AD19" s="46">
        <f t="shared" ref="AD19:AD35" si="9">IF(_xlfn.XLOOKUP($AC19,$AR$18:$AR$22,AS$18:AS$22)=1, _xlfn.XLOOKUP($AB19,$T$18:$T$26,U$18:U$26)+U$25, IF(_xlfn.XLOOKUP($AC19,$AR$18:$AR$22,AS$18:AS$22)=0, U$27-(_xlfn.XLOOKUP($AB19,$T$18:$T$26,U$18:U$26)+U$25), U$27))</f>
        <v>8</v>
      </c>
      <c r="AE19" s="46">
        <f t="shared" ref="AE19:AE35" si="10">IF(_xlfn.XLOOKUP($AC19,$AR$18:$AR$22,AT$18:AT$22)=1, _xlfn.XLOOKUP($AB19,$T$18:$T$26,V$18:V$26)+V$25, IF(_xlfn.XLOOKUP($AC19,$AR$18:$AR$22,AT$18:AT$22)=0, V$27-(_xlfn.XLOOKUP($AB19,$T$18:$T$26,V$18:V$26)+V$25), V$27))</f>
        <v>8</v>
      </c>
      <c r="AF19" s="46">
        <f t="shared" ref="AF19:AF35" si="11">IF(_xlfn.XLOOKUP($AC19,$AR$18:$AR$22,AU$18:AU$22)=1, _xlfn.XLOOKUP($AB19,$T$18:$T$26,W$18:W$26)+W$25, IF(_xlfn.XLOOKUP($AC19,$AR$18:$AR$22,AU$18:AU$22)=0, W$27-(_xlfn.XLOOKUP($AB19,$T$18:$T$26,W$18:W$26)+W$25), W$27))</f>
        <v>10</v>
      </c>
      <c r="AG19" s="46">
        <f t="shared" ref="AG19:AG35" si="12">IF(_xlfn.XLOOKUP($AC19,$AR$18:$AR$22,AV$18:AV$22)=1, _xlfn.XLOOKUP($AB19,$T$18:$T$26,X$18:X$26)+X$25, IF(_xlfn.XLOOKUP($AC19,$AR$18:$AR$22,AV$18:AV$22)=0, X$27-(_xlfn.XLOOKUP($AB19,$T$18:$T$26,X$18:X$26)+X$25), X$27))</f>
        <v>8</v>
      </c>
      <c r="AH19" s="46">
        <f t="shared" ref="AH19:AH35" si="13">IF(_xlfn.XLOOKUP($AC19,$AR$18:$AR$22,AW$18:AW$22)=1, _xlfn.XLOOKUP($AB19,$T$18:$T$26,Y$18:Y$26)+Y$25, IF(_xlfn.XLOOKUP($AC19,$AR$18:$AR$22,AW$18:AW$22)=0, Y$27-(_xlfn.XLOOKUP($AB19,$T$18:$T$26,Y$18:Y$26)+Y$25), Y$27))</f>
        <v>65</v>
      </c>
      <c r="AI19" s="46">
        <f t="shared" ref="AI19:AI35" si="14">PRODUCT(AD19:AH19)</f>
        <v>332800</v>
      </c>
      <c r="AJ19" s="50">
        <f t="shared" ref="AJ19:AJ35" si="15">AI19/$U$28</f>
        <v>1.0084987523209804E-4</v>
      </c>
      <c r="AK19" s="46">
        <f t="shared" si="8"/>
        <v>9915.7286778846155</v>
      </c>
      <c r="AL19" s="46">
        <f>IFERROR(INDEX(Summary!$C$4:$E$9, MATCH($AB19, Summary!$B$4:$B$9, 0), MATCH($AC19, Summary!$C$3:$E$3, 0)), 0)</f>
        <v>200</v>
      </c>
      <c r="AM19" s="74"/>
      <c r="AN19" s="74"/>
      <c r="AO19" s="70"/>
      <c r="AR19" s="46">
        <v>4</v>
      </c>
      <c r="AS19" s="46">
        <v>1</v>
      </c>
      <c r="AT19" s="46">
        <v>1</v>
      </c>
      <c r="AU19" s="46">
        <v>1</v>
      </c>
      <c r="AV19" s="46">
        <v>1</v>
      </c>
      <c r="AW19" s="46">
        <v>0</v>
      </c>
    </row>
    <row r="20" spans="1:49" x14ac:dyDescent="0.3">
      <c r="A20" t="str">
        <v>SCAT</v>
      </c>
      <c r="B20" t="str">
        <v>P4</v>
      </c>
      <c r="C20" t="str">
        <v>CP</v>
      </c>
      <c r="D20" t="str">
        <v>P4</v>
      </c>
      <c r="E20" t="str">
        <v>P5</v>
      </c>
      <c r="H20" t="str" cm="1">
        <f t="array" aca="1" ref="H20" ca="1">IF(ROW(A20)-H$15 &lt; H$14,A20,IF(ROW(A20) - H$15 -H$16 + 1 &lt; H$14,INDIRECT(ADDRESS(MOD(ROW(A20) - H$15, H$14) + H$15, COLUMN(A20))),""))</f>
        <v>SCAT</v>
      </c>
      <c r="I20" t="str" cm="1">
        <f t="array" aca="1" ref="I20" ca="1">IF(ROW(B20)-I$15 &lt; I$14,B20,IF(ROW(B20) - I$15 -I$16 + 1 &lt; I$14,INDIRECT(ADDRESS(MOD(ROW(B20) - I$15, I$14) + I$15, COLUMN(B20))),""))</f>
        <v>P4</v>
      </c>
      <c r="J20" t="str" cm="1">
        <f t="array" aca="1" ref="J20" ca="1">IF(ROW(C20)-J$15 &lt; J$14,C20,IF(ROW(C20) - J$15 -J$16 + 1 &lt; J$14,INDIRECT(ADDRESS(MOD(ROW(C20) - J$15, J$14) + J$15, COLUMN(C20))),""))</f>
        <v>CP</v>
      </c>
      <c r="K20" t="str" cm="1">
        <f t="array" aca="1" ref="K20" ca="1">IF(ROW(D20)-K$15 &lt; K$14,D20,IF(ROW(D20) - K$15 -K$16 + 1 &lt; K$14,INDIRECT(ADDRESS(MOD(ROW(D20) - K$15, K$14) + K$15, COLUMN(D20))),""))</f>
        <v>P4</v>
      </c>
      <c r="L20" t="str" cm="1">
        <f t="array" aca="1" ref="L20" ca="1">IF(ROW(E20)-L$15 &lt; L$14,E20,IF(ROW(E20) - L$15 -L$16 + 1 &lt; L$14,INDIRECT(ADDRESS(MOD(ROW(E20) - L$15, L$14) + L$15, COLUMN(E20))),""))</f>
        <v>P5</v>
      </c>
      <c r="N20" cm="1">
        <f t="array" aca="1" ref="N20" ca="1">IF(H20&lt;&gt;"", SUMPRODUCT((OFFSET(H20,0,0,H$16,1)=$T$24) +0),"")</f>
        <v>0</v>
      </c>
      <c r="O20" cm="1">
        <f t="array" aca="1" ref="O20" ca="1">IF(I20&lt;&gt;"", SUMPRODUCT((OFFSET(I20,0,0,I$16,1)=$T$24) +0),"")</f>
        <v>0</v>
      </c>
      <c r="P20" cm="1">
        <f t="array" aca="1" ref="P20" ca="1">IF(J20&lt;&gt;"", SUMPRODUCT((OFFSET(J20,0,0,J$16,1)=$T$24) +0),"")</f>
        <v>2</v>
      </c>
      <c r="Q20" cm="1">
        <f t="array" aca="1" ref="Q20" ca="1">IF(K20&lt;&gt;"", SUMPRODUCT((OFFSET(K20,0,0,K$16,1)=$T$24) +0),"")</f>
        <v>0</v>
      </c>
      <c r="R20" cm="1">
        <f t="array" aca="1" ref="R20" ca="1">IF(L20&lt;&gt;"", SUMPRODUCT((OFFSET(L20,0,0,L$16,1)=$T$24) +0),"")</f>
        <v>0</v>
      </c>
      <c r="T20" s="5" t="str">
        <f>Summary!B6</f>
        <v>P3</v>
      </c>
      <c r="U20" s="46">
        <f t="shared" si="4"/>
        <v>11</v>
      </c>
      <c r="V20" s="46">
        <f t="shared" si="4"/>
        <v>12</v>
      </c>
      <c r="W20" s="46">
        <f t="shared" si="4"/>
        <v>10</v>
      </c>
      <c r="X20" s="46">
        <f t="shared" si="5"/>
        <v>13</v>
      </c>
      <c r="Y20" s="65">
        <f t="shared" si="5"/>
        <v>9</v>
      </c>
      <c r="Z20" s="107"/>
      <c r="AB20" s="46" t="str">
        <f>T18</f>
        <v>P1</v>
      </c>
      <c r="AC20" s="46">
        <v>3</v>
      </c>
      <c r="AD20" s="46">
        <f t="shared" si="9"/>
        <v>8</v>
      </c>
      <c r="AE20" s="46">
        <f t="shared" si="10"/>
        <v>8</v>
      </c>
      <c r="AF20" s="46">
        <f t="shared" si="11"/>
        <v>10</v>
      </c>
      <c r="AG20" s="46">
        <f t="shared" si="12"/>
        <v>68</v>
      </c>
      <c r="AH20" s="46">
        <f t="shared" si="13"/>
        <v>77</v>
      </c>
      <c r="AI20" s="46">
        <f t="shared" si="14"/>
        <v>3351040</v>
      </c>
      <c r="AJ20" s="50">
        <f t="shared" si="15"/>
        <v>1.0154806667601257E-3</v>
      </c>
      <c r="AK20" s="46">
        <f t="shared" si="8"/>
        <v>984.75533088235306</v>
      </c>
      <c r="AL20" s="46">
        <f>IFERROR(INDEX(Summary!$C$4:$E$9, MATCH($AB20, Summary!$B$4:$B$9, 0), MATCH($AC20, Summary!$C$3:$E$3, 0)), 0)</f>
        <v>50</v>
      </c>
      <c r="AM20" s="75"/>
      <c r="AN20" s="75"/>
      <c r="AO20" s="71"/>
      <c r="AR20" s="46">
        <v>3</v>
      </c>
      <c r="AS20" s="46">
        <v>1</v>
      </c>
      <c r="AT20" s="46">
        <v>1</v>
      </c>
      <c r="AU20" s="46">
        <v>1</v>
      </c>
      <c r="AV20" s="46">
        <v>0</v>
      </c>
      <c r="AW20" s="46">
        <v>-1</v>
      </c>
    </row>
    <row r="21" spans="1:49" x14ac:dyDescent="0.3">
      <c r="A21" t="str">
        <v>P6</v>
      </c>
      <c r="B21" t="str">
        <v>P3</v>
      </c>
      <c r="C21" t="str">
        <v>CP</v>
      </c>
      <c r="D21" t="str">
        <v>WILD</v>
      </c>
      <c r="E21" t="str">
        <v>P3</v>
      </c>
      <c r="H21" t="str" cm="1">
        <f t="array" aca="1" ref="H21" ca="1">IF(ROW(A21)-H$15 &lt; H$14,A21,IF(ROW(A21) - H$15 -H$16 + 1 &lt; H$14,INDIRECT(ADDRESS(MOD(ROW(A21) - H$15, H$14) + H$15, COLUMN(A21))),""))</f>
        <v>P6</v>
      </c>
      <c r="I21" t="str" cm="1">
        <f t="array" aca="1" ref="I21" ca="1">IF(ROW(B21)-I$15 &lt; I$14,B21,IF(ROW(B21) - I$15 -I$16 + 1 &lt; I$14,INDIRECT(ADDRESS(MOD(ROW(B21) - I$15, I$14) + I$15, COLUMN(B21))),""))</f>
        <v>P3</v>
      </c>
      <c r="J21" t="str" cm="1">
        <f t="array" aca="1" ref="J21" ca="1">IF(ROW(C21)-J$15 &lt; J$14,C21,IF(ROW(C21) - J$15 -J$16 + 1 &lt; J$14,INDIRECT(ADDRESS(MOD(ROW(C21) - J$15, J$14) + J$15, COLUMN(C21))),""))</f>
        <v>CP</v>
      </c>
      <c r="K21" t="str" cm="1">
        <f t="array" aca="1" ref="K21" ca="1">IF(ROW(D21)-K$15 &lt; K$14,D21,IF(ROW(D21) - K$15 -K$16 + 1 &lt; K$14,INDIRECT(ADDRESS(MOD(ROW(D21) - K$15, K$14) + K$15, COLUMN(D21))),""))</f>
        <v>WILD</v>
      </c>
      <c r="L21" t="str" cm="1">
        <f t="array" aca="1" ref="L21" ca="1">IF(ROW(E21)-L$15 &lt; L$14,E21,IF(ROW(E21) - L$15 -L$16 + 1 &lt; L$14,INDIRECT(ADDRESS(MOD(ROW(E21) - L$15, L$14) + L$15, COLUMN(E21))),""))</f>
        <v>P3</v>
      </c>
      <c r="N21" cm="1">
        <f t="array" aca="1" ref="N21" ca="1">IF(H21&lt;&gt;"", SUMPRODUCT((OFFSET(H21,0,0,H$16,1)=$T$24) +0),"")</f>
        <v>0</v>
      </c>
      <c r="O21" cm="1">
        <f t="array" aca="1" ref="O21" ca="1">IF(I21&lt;&gt;"", SUMPRODUCT((OFFSET(I21,0,0,I$16,1)=$T$24) +0),"")</f>
        <v>0</v>
      </c>
      <c r="P21" cm="1">
        <f t="array" aca="1" ref="P21" ca="1">IF(J21&lt;&gt;"", SUMPRODUCT((OFFSET(J21,0,0,J$16,1)=$T$24) +0),"")</f>
        <v>2</v>
      </c>
      <c r="Q21" cm="1">
        <f t="array" aca="1" ref="Q21" ca="1">IF(K21&lt;&gt;"", SUMPRODUCT((OFFSET(K21,0,0,K$16,1)=$T$24) +0),"")</f>
        <v>0</v>
      </c>
      <c r="R21" cm="1">
        <f t="array" aca="1" ref="R21" ca="1">IF(L21&lt;&gt;"", SUMPRODUCT((OFFSET(L21,0,0,L$16,1)=$T$24) +0),"")</f>
        <v>0</v>
      </c>
      <c r="T21" s="5" t="str">
        <f>Summary!B7</f>
        <v>P4</v>
      </c>
      <c r="U21" s="46">
        <f t="shared" si="4"/>
        <v>14</v>
      </c>
      <c r="V21" s="46">
        <f t="shared" si="4"/>
        <v>15</v>
      </c>
      <c r="W21" s="46">
        <f t="shared" si="4"/>
        <v>12</v>
      </c>
      <c r="X21" s="46">
        <f t="shared" si="5"/>
        <v>14</v>
      </c>
      <c r="Y21" s="65">
        <f t="shared" si="5"/>
        <v>12</v>
      </c>
      <c r="Z21" s="107"/>
      <c r="AB21" s="46" t="str">
        <f>T19</f>
        <v>P2</v>
      </c>
      <c r="AC21" s="46">
        <v>5</v>
      </c>
      <c r="AD21" s="46">
        <f t="shared" si="9"/>
        <v>9</v>
      </c>
      <c r="AE21" s="46">
        <f t="shared" si="10"/>
        <v>12</v>
      </c>
      <c r="AF21" s="46">
        <f t="shared" si="11"/>
        <v>11</v>
      </c>
      <c r="AG21" s="46">
        <f t="shared" si="12"/>
        <v>11</v>
      </c>
      <c r="AH21" s="46">
        <f t="shared" si="13"/>
        <v>12</v>
      </c>
      <c r="AI21" s="46">
        <f t="shared" si="14"/>
        <v>156816</v>
      </c>
      <c r="AJ21" s="50">
        <f t="shared" si="15"/>
        <v>4.7520655151432351E-5</v>
      </c>
      <c r="AK21" s="46">
        <f t="shared" si="8"/>
        <v>21043.480920314254</v>
      </c>
      <c r="AL21" s="46">
        <f>IFERROR(INDEX(Summary!$C$4:$E$9, MATCH($AB21, Summary!$B$4:$B$9, 0), MATCH($AC21, Summary!$C$3:$E$3, 0)), 0)</f>
        <v>500</v>
      </c>
      <c r="AM21" s="82">
        <f t="shared" ref="AM21" si="16">SUM(AJ21*AL21,AJ22*AL22,AJ23*AL23)</f>
        <v>8.5537179272578229E-2</v>
      </c>
      <c r="AN21" s="69">
        <v>9.2205118820475301E-2</v>
      </c>
      <c r="AO21" s="69">
        <v>1.0467551799999999</v>
      </c>
    </row>
    <row r="22" spans="1:49" x14ac:dyDescent="0.3">
      <c r="A22" t="str">
        <v>P3</v>
      </c>
      <c r="B22" t="str">
        <v>P4</v>
      </c>
      <c r="C22" t="str">
        <v>P6</v>
      </c>
      <c r="D22" t="str">
        <v>P3</v>
      </c>
      <c r="E22" t="str">
        <v>WILD</v>
      </c>
      <c r="H22" t="str" cm="1">
        <f t="array" aca="1" ref="H22" ca="1">IF(ROW(A22)-H$15 &lt; H$14,A22,IF(ROW(A22) - H$15 -H$16 + 1 &lt; H$14,INDIRECT(ADDRESS(MOD(ROW(A22) - H$15, H$14) + H$15, COLUMN(A22))),""))</f>
        <v>P3</v>
      </c>
      <c r="I22" t="str" cm="1">
        <f t="array" aca="1" ref="I22" ca="1">IF(ROW(B22)-I$15 &lt; I$14,B22,IF(ROW(B22) - I$15 -I$16 + 1 &lt; I$14,INDIRECT(ADDRESS(MOD(ROW(B22) - I$15, I$14) + I$15, COLUMN(B22))),""))</f>
        <v>P4</v>
      </c>
      <c r="J22" t="str" cm="1">
        <f t="array" aca="1" ref="J22" ca="1">IF(ROW(C22)-J$15 &lt; J$14,C22,IF(ROW(C22) - J$15 -J$16 + 1 &lt; J$14,INDIRECT(ADDRESS(MOD(ROW(C22) - J$15, J$14) + J$15, COLUMN(C22))),""))</f>
        <v>P6</v>
      </c>
      <c r="K22" t="str" cm="1">
        <f t="array" aca="1" ref="K22" ca="1">IF(ROW(D22)-K$15 &lt; K$14,D22,IF(ROW(D22) - K$15 -K$16 + 1 &lt; K$14,INDIRECT(ADDRESS(MOD(ROW(D22) - K$15, K$14) + K$15, COLUMN(D22))),""))</f>
        <v>P3</v>
      </c>
      <c r="L22" t="str" cm="1">
        <f t="array" aca="1" ref="L22" ca="1">IF(ROW(E22)-L$15 &lt; L$14,E22,IF(ROW(E22) - L$15 -L$16 + 1 &lt; L$14,INDIRECT(ADDRESS(MOD(ROW(E22) - L$15, L$14) + L$15, COLUMN(E22))),""))</f>
        <v>WILD</v>
      </c>
      <c r="N22" cm="1">
        <f t="array" aca="1" ref="N22" ca="1">IF(H22&lt;&gt;"", SUMPRODUCT((OFFSET(H22,0,0,H$16,1)=$T$24) +0),"")</f>
        <v>0</v>
      </c>
      <c r="O22" cm="1">
        <f t="array" aca="1" ref="O22" ca="1">IF(I22&lt;&gt;"", SUMPRODUCT((OFFSET(I22,0,0,I$16,1)=$T$24) +0),"")</f>
        <v>0</v>
      </c>
      <c r="P22" cm="1">
        <f t="array" aca="1" ref="P22" ca="1">IF(J22&lt;&gt;"", SUMPRODUCT((OFFSET(J22,0,0,J$16,1)=$T$24) +0),"")</f>
        <v>1</v>
      </c>
      <c r="Q22" cm="1">
        <f t="array" aca="1" ref="Q22" ca="1">IF(K22&lt;&gt;"", SUMPRODUCT((OFFSET(K22,0,0,K$16,1)=$T$24) +0),"")</f>
        <v>0</v>
      </c>
      <c r="R22" cm="1">
        <f t="array" aca="1" ref="R22" ca="1">IF(L22&lt;&gt;"", SUMPRODUCT((OFFSET(L22,0,0,L$16,1)=$T$24) +0),"")</f>
        <v>0</v>
      </c>
      <c r="T22" s="5" t="str">
        <f>Summary!B8</f>
        <v>P5</v>
      </c>
      <c r="U22" s="46">
        <f t="shared" si="4"/>
        <v>14</v>
      </c>
      <c r="V22" s="46">
        <f t="shared" si="4"/>
        <v>13</v>
      </c>
      <c r="W22" s="46">
        <f t="shared" si="4"/>
        <v>13</v>
      </c>
      <c r="X22" s="46">
        <f t="shared" si="5"/>
        <v>13</v>
      </c>
      <c r="Y22" s="65">
        <f t="shared" si="5"/>
        <v>13</v>
      </c>
      <c r="Z22" s="107"/>
      <c r="AB22" s="46" t="str">
        <f>T19</f>
        <v>P2</v>
      </c>
      <c r="AC22" s="46">
        <v>4</v>
      </c>
      <c r="AD22" s="46">
        <f t="shared" si="9"/>
        <v>9</v>
      </c>
      <c r="AE22" s="46">
        <f t="shared" si="10"/>
        <v>12</v>
      </c>
      <c r="AF22" s="46">
        <f t="shared" si="11"/>
        <v>11</v>
      </c>
      <c r="AG22" s="46">
        <f t="shared" si="12"/>
        <v>11</v>
      </c>
      <c r="AH22" s="46">
        <f t="shared" si="13"/>
        <v>65</v>
      </c>
      <c r="AI22" s="46">
        <f t="shared" si="14"/>
        <v>849420</v>
      </c>
      <c r="AJ22" s="50">
        <f t="shared" si="15"/>
        <v>2.5740354873692527E-4</v>
      </c>
      <c r="AK22" s="46">
        <f t="shared" si="8"/>
        <v>3884.9503237503236</v>
      </c>
      <c r="AL22" s="46">
        <f>IFERROR(INDEX(Summary!$C$4:$E$9, MATCH($AB22, Summary!$B$4:$B$9, 0), MATCH($AC22, Summary!$C$3:$E$3, 0)), 0)</f>
        <v>100</v>
      </c>
      <c r="AM22" s="83"/>
      <c r="AN22" s="70"/>
      <c r="AO22" s="70"/>
    </row>
    <row r="23" spans="1:49" x14ac:dyDescent="0.3">
      <c r="A23" t="str">
        <v>P3</v>
      </c>
      <c r="B23" t="str">
        <v>P6</v>
      </c>
      <c r="C23" t="str">
        <v>CP</v>
      </c>
      <c r="D23" t="str">
        <v>P3</v>
      </c>
      <c r="E23" t="str">
        <v>P6</v>
      </c>
      <c r="H23" t="str" cm="1">
        <f t="array" aca="1" ref="H23" ca="1">IF(ROW(A23)-H$15 &lt; H$14,A23,IF(ROW(A23) - H$15 -H$16 + 1 &lt; H$14,INDIRECT(ADDRESS(MOD(ROW(A23) - H$15, H$14) + H$15, COLUMN(A23))),""))</f>
        <v>P3</v>
      </c>
      <c r="I23" t="str" cm="1">
        <f t="array" aca="1" ref="I23" ca="1">IF(ROW(B23)-I$15 &lt; I$14,B23,IF(ROW(B23) - I$15 -I$16 + 1 &lt; I$14,INDIRECT(ADDRESS(MOD(ROW(B23) - I$15, I$14) + I$15, COLUMN(B23))),""))</f>
        <v>P6</v>
      </c>
      <c r="J23" t="str" cm="1">
        <f t="array" aca="1" ref="J23" ca="1">IF(ROW(C23)-J$15 &lt; J$14,C23,IF(ROW(C23) - J$15 -J$16 + 1 &lt; J$14,INDIRECT(ADDRESS(MOD(ROW(C23) - J$15, J$14) + J$15, COLUMN(C23))),""))</f>
        <v>CP</v>
      </c>
      <c r="K23" t="str" cm="1">
        <f t="array" aca="1" ref="K23" ca="1">IF(ROW(D23)-K$15 &lt; K$14,D23,IF(ROW(D23) - K$15 -K$16 + 1 &lt; K$14,INDIRECT(ADDRESS(MOD(ROW(D23) - K$15, K$14) + K$15, COLUMN(D23))),""))</f>
        <v>P3</v>
      </c>
      <c r="L23" t="str" cm="1">
        <f t="array" aca="1" ref="L23" ca="1">IF(ROW(E23)-L$15 &lt; L$14,E23,IF(ROW(E23) - L$15 -L$16 + 1 &lt; L$14,INDIRECT(ADDRESS(MOD(ROW(E23) - L$15, L$14) + L$15, COLUMN(E23))),""))</f>
        <v>P6</v>
      </c>
      <c r="N23" cm="1">
        <f t="array" aca="1" ref="N23" ca="1">IF(H23&lt;&gt;"", SUMPRODUCT((OFFSET(H23,0,0,H$16,1)=$T$24) +0),"")</f>
        <v>0</v>
      </c>
      <c r="O23" cm="1">
        <f t="array" aca="1" ref="O23" ca="1">IF(I23&lt;&gt;"", SUMPRODUCT((OFFSET(I23,0,0,I$16,1)=$T$24) +0),"")</f>
        <v>1</v>
      </c>
      <c r="P23" cm="1">
        <f t="array" aca="1" ref="P23" ca="1">IF(J23&lt;&gt;"", SUMPRODUCT((OFFSET(J23,0,0,J$16,1)=$T$24) +0),"")</f>
        <v>1</v>
      </c>
      <c r="Q23" cm="1">
        <f t="array" aca="1" ref="Q23" ca="1">IF(K23&lt;&gt;"", SUMPRODUCT((OFFSET(K23,0,0,K$16,1)=$T$24) +0),"")</f>
        <v>0</v>
      </c>
      <c r="R23" cm="1">
        <f t="array" aca="1" ref="R23" ca="1">IF(L23&lt;&gt;"", SUMPRODUCT((OFFSET(L23,0,0,L$16,1)=$T$24) +0),"")</f>
        <v>0</v>
      </c>
      <c r="T23" s="5" t="str">
        <f>Summary!B9</f>
        <v>P6</v>
      </c>
      <c r="U23" s="46">
        <f t="shared" si="4"/>
        <v>14</v>
      </c>
      <c r="V23" s="46">
        <f t="shared" si="4"/>
        <v>13</v>
      </c>
      <c r="W23" s="46">
        <f t="shared" si="4"/>
        <v>16</v>
      </c>
      <c r="X23" s="46">
        <f t="shared" si="5"/>
        <v>12</v>
      </c>
      <c r="Y23" s="65">
        <f t="shared" si="5"/>
        <v>12</v>
      </c>
      <c r="Z23" s="107"/>
      <c r="AB23" s="46" t="str">
        <f>T19</f>
        <v>P2</v>
      </c>
      <c r="AC23" s="46">
        <v>3</v>
      </c>
      <c r="AD23" s="46">
        <f t="shared" si="9"/>
        <v>9</v>
      </c>
      <c r="AE23" s="46">
        <f t="shared" si="10"/>
        <v>12</v>
      </c>
      <c r="AF23" s="46">
        <f t="shared" si="11"/>
        <v>11</v>
      </c>
      <c r="AG23" s="46">
        <f t="shared" si="12"/>
        <v>65</v>
      </c>
      <c r="AH23" s="46">
        <f t="shared" si="13"/>
        <v>77</v>
      </c>
      <c r="AI23" s="46">
        <f t="shared" si="14"/>
        <v>5945940</v>
      </c>
      <c r="AJ23" s="50">
        <f t="shared" si="15"/>
        <v>1.8018248411584767E-3</v>
      </c>
      <c r="AK23" s="46">
        <f t="shared" si="8"/>
        <v>554.99290339290337</v>
      </c>
      <c r="AL23" s="46">
        <f>IFERROR(INDEX(Summary!$C$4:$E$9, MATCH($AB23, Summary!$B$4:$B$9, 0), MATCH($AC23, Summary!$C$3:$E$3, 0)), 0)</f>
        <v>20</v>
      </c>
      <c r="AM23" s="84"/>
      <c r="AN23" s="71"/>
      <c r="AO23" s="71"/>
    </row>
    <row r="24" spans="1:49" x14ac:dyDescent="0.3">
      <c r="A24" t="str">
        <v>SCAT</v>
      </c>
      <c r="B24" t="str">
        <v>P6</v>
      </c>
      <c r="C24" t="str">
        <v>P6</v>
      </c>
      <c r="D24" t="str">
        <v>P6</v>
      </c>
      <c r="E24" t="str">
        <v>P1</v>
      </c>
      <c r="H24" t="str" cm="1">
        <f t="array" aca="1" ref="H24" ca="1">IF(ROW(A24)-H$15 &lt; H$14,A24,IF(ROW(A24) - H$15 -H$16 + 1 &lt; H$14,INDIRECT(ADDRESS(MOD(ROW(A24) - H$15, H$14) + H$15, COLUMN(A24))),""))</f>
        <v>SCAT</v>
      </c>
      <c r="I24" t="str" cm="1">
        <f t="array" aca="1" ref="I24" ca="1">IF(ROW(B24)-I$15 &lt; I$14,B24,IF(ROW(B24) - I$15 -I$16 + 1 &lt; I$14,INDIRECT(ADDRESS(MOD(ROW(B24) - I$15, I$14) + I$15, COLUMN(B24))),""))</f>
        <v>P6</v>
      </c>
      <c r="J24" t="str" cm="1">
        <f t="array" aca="1" ref="J24" ca="1">IF(ROW(C24)-J$15 &lt; J$14,C24,IF(ROW(C24) - J$15 -J$16 + 1 &lt; J$14,INDIRECT(ADDRESS(MOD(ROW(C24) - J$15, J$14) + J$15, COLUMN(C24))),""))</f>
        <v>P6</v>
      </c>
      <c r="K24" t="str" cm="1">
        <f t="array" aca="1" ref="K24" ca="1">IF(ROW(D24)-K$15 &lt; K$14,D24,IF(ROW(D24) - K$15 -K$16 + 1 &lt; K$14,INDIRECT(ADDRESS(MOD(ROW(D24) - K$15, K$14) + K$15, COLUMN(D24))),""))</f>
        <v>P6</v>
      </c>
      <c r="L24" t="str" cm="1">
        <f t="array" aca="1" ref="L24" ca="1">IF(ROW(E24)-L$15 &lt; L$14,E24,IF(ROW(E24) - L$15 -L$16 + 1 &lt; L$14,INDIRECT(ADDRESS(MOD(ROW(E24) - L$15, L$14) + L$15, COLUMN(E24))),""))</f>
        <v>P1</v>
      </c>
      <c r="N24" cm="1">
        <f t="array" aca="1" ref="N24" ca="1">IF(H24&lt;&gt;"", SUMPRODUCT((OFFSET(H24,0,0,H$16,1)=$T$24) +0),"")</f>
        <v>0</v>
      </c>
      <c r="O24" cm="1">
        <f t="array" aca="1" ref="O24" ca="1">IF(I24&lt;&gt;"", SUMPRODUCT((OFFSET(I24,0,0,I$16,1)=$T$24) +0),"")</f>
        <v>1</v>
      </c>
      <c r="P24" cm="1">
        <f t="array" aca="1" ref="P24" ca="1">IF(J24&lt;&gt;"", SUMPRODUCT((OFFSET(J24,0,0,J$16,1)=$T$24) +0),"")</f>
        <v>0</v>
      </c>
      <c r="Q24" cm="1">
        <f t="array" aca="1" ref="Q24" ca="1">IF(K24&lt;&gt;"", SUMPRODUCT((OFFSET(K24,0,0,K$16,1)=$T$24) +0),"")</f>
        <v>1</v>
      </c>
      <c r="R24" cm="1">
        <f t="array" aca="1" ref="R24" ca="1">IF(L24&lt;&gt;"", SUMPRODUCT((OFFSET(L24,0,0,L$16,1)=$T$24) +0),"")</f>
        <v>0</v>
      </c>
      <c r="T24" s="5" t="str">
        <f>Summary!B10</f>
        <v>CP</v>
      </c>
      <c r="U24" s="46">
        <f t="shared" si="4"/>
        <v>8</v>
      </c>
      <c r="V24" s="46">
        <f t="shared" si="4"/>
        <v>8</v>
      </c>
      <c r="W24" s="46">
        <f t="shared" si="4"/>
        <v>12</v>
      </c>
      <c r="X24" s="46">
        <f t="shared" si="5"/>
        <v>7</v>
      </c>
      <c r="Y24" s="65">
        <f t="shared" si="5"/>
        <v>8</v>
      </c>
      <c r="Z24" s="107"/>
      <c r="AB24" s="46" t="str">
        <f>T20</f>
        <v>P3</v>
      </c>
      <c r="AC24" s="46">
        <v>5</v>
      </c>
      <c r="AD24" s="46">
        <f t="shared" si="9"/>
        <v>11</v>
      </c>
      <c r="AE24" s="46">
        <f t="shared" si="10"/>
        <v>14</v>
      </c>
      <c r="AF24" s="46">
        <f t="shared" si="11"/>
        <v>13</v>
      </c>
      <c r="AG24" s="46">
        <f t="shared" si="12"/>
        <v>15</v>
      </c>
      <c r="AH24" s="46">
        <f t="shared" si="13"/>
        <v>13</v>
      </c>
      <c r="AI24" s="46">
        <f t="shared" si="14"/>
        <v>390390</v>
      </c>
      <c r="AJ24" s="50">
        <f t="shared" si="15"/>
        <v>1.1830163098515252E-4</v>
      </c>
      <c r="AK24" s="46">
        <f t="shared" si="8"/>
        <v>8452.9688362919132</v>
      </c>
      <c r="AL24" s="46">
        <f>IFERROR(INDEX(Summary!$C$4:$E$9, MATCH($AB24, Summary!$B$4:$B$9, 0), MATCH($AC24, Summary!$C$3:$E$3, 0)), 0)</f>
        <v>250</v>
      </c>
      <c r="AM24" s="82">
        <f t="shared" ref="AM24" si="17">SUM(AJ24*AL24,AJ25*AL25,AJ26*AL26)</f>
        <v>8.719133541121088E-2</v>
      </c>
      <c r="AN24" s="69">
        <v>2.36712E-2</v>
      </c>
      <c r="AO24" s="69">
        <v>1.0236711999999999</v>
      </c>
    </row>
    <row r="25" spans="1:49" x14ac:dyDescent="0.3">
      <c r="A25" t="str">
        <v>P2</v>
      </c>
      <c r="B25" t="str">
        <v>CP</v>
      </c>
      <c r="C25" t="str">
        <v>P3</v>
      </c>
      <c r="D25" t="str">
        <v>P2</v>
      </c>
      <c r="E25" t="str">
        <v>P6</v>
      </c>
      <c r="H25" t="str" cm="1">
        <f t="array" aca="1" ref="H25" ca="1">IF(ROW(A25)-H$15 &lt; H$14,A25,IF(ROW(A25) - H$15 -H$16 + 1 &lt; H$14,INDIRECT(ADDRESS(MOD(ROW(A25) - H$15, H$14) + H$15, COLUMN(A25))),""))</f>
        <v>P2</v>
      </c>
      <c r="I25" t="str" cm="1">
        <f t="array" aca="1" ref="I25" ca="1">IF(ROW(B25)-I$15 &lt; I$14,B25,IF(ROW(B25) - I$15 -I$16 + 1 &lt; I$14,INDIRECT(ADDRESS(MOD(ROW(B25) - I$15, I$14) + I$15, COLUMN(B25))),""))</f>
        <v>CP</v>
      </c>
      <c r="J25" t="str" cm="1">
        <f t="array" aca="1" ref="J25" ca="1">IF(ROW(C25)-J$15 &lt; J$14,C25,IF(ROW(C25) - J$15 -J$16 + 1 &lt; J$14,INDIRECT(ADDRESS(MOD(ROW(C25) - J$15, J$14) + J$15, COLUMN(C25))),""))</f>
        <v>P3</v>
      </c>
      <c r="K25" t="str" cm="1">
        <f t="array" aca="1" ref="K25" ca="1">IF(ROW(D25)-K$15 &lt; K$14,D25,IF(ROW(D25) - K$15 -K$16 + 1 &lt; K$14,INDIRECT(ADDRESS(MOD(ROW(D25) - K$15, K$14) + K$15, COLUMN(D25))),""))</f>
        <v>P2</v>
      </c>
      <c r="L25" t="str" cm="1">
        <f t="array" aca="1" ref="L25" ca="1">IF(ROW(E25)-L$15 &lt; L$14,E25,IF(ROW(E25) - L$15 -L$16 + 1 &lt; L$14,INDIRECT(ADDRESS(MOD(ROW(E25) - L$15, L$14) + L$15, COLUMN(E25))),""))</f>
        <v>P6</v>
      </c>
      <c r="N25" cm="1">
        <f t="array" aca="1" ref="N25" ca="1">IF(H25&lt;&gt;"", SUMPRODUCT((OFFSET(H25,0,0,H$16,1)=$T$24) +0),"")</f>
        <v>0</v>
      </c>
      <c r="O25" cm="1">
        <f t="array" aca="1" ref="O25" ca="1">IF(I25&lt;&gt;"", SUMPRODUCT((OFFSET(I25,0,0,I$16,1)=$T$24) +0),"")</f>
        <v>1</v>
      </c>
      <c r="P25" cm="1">
        <f t="array" aca="1" ref="P25" ca="1">IF(J25&lt;&gt;"", SUMPRODUCT((OFFSET(J25,0,0,J$16,1)=$T$24) +0),"")</f>
        <v>0</v>
      </c>
      <c r="Q25" cm="1">
        <f t="array" aca="1" ref="Q25" ca="1">IF(K25&lt;&gt;"", SUMPRODUCT((OFFSET(K25,0,0,K$16,1)=$T$24) +0),"")</f>
        <v>2</v>
      </c>
      <c r="R25" cm="1">
        <f t="array" aca="1" ref="R25" ca="1">IF(L25&lt;&gt;"", SUMPRODUCT((OFFSET(L25,0,0,L$16,1)=$T$24) +0),"")</f>
        <v>0</v>
      </c>
      <c r="T25" s="5" t="str">
        <f>Summary!B11</f>
        <v>WILD</v>
      </c>
      <c r="U25" s="46">
        <f t="shared" ref="U25:U26" si="18">COUNTIF(A$18:A$254,$T25)</f>
        <v>0</v>
      </c>
      <c r="V25" s="46">
        <f t="shared" ref="V25:V26" si="19">COUNTIF(B$18:B$254,$T25)</f>
        <v>2</v>
      </c>
      <c r="W25" s="46">
        <f t="shared" ref="W25:W26" si="20">COUNTIF(C$18:C$254,$T25)</f>
        <v>3</v>
      </c>
      <c r="X25" s="46">
        <f t="shared" si="5"/>
        <v>2</v>
      </c>
      <c r="Y25" s="65">
        <f t="shared" si="5"/>
        <v>4</v>
      </c>
      <c r="Z25" s="107"/>
      <c r="AB25" s="46" t="str">
        <f>T20</f>
        <v>P3</v>
      </c>
      <c r="AC25" s="46">
        <v>4</v>
      </c>
      <c r="AD25" s="46">
        <f t="shared" si="9"/>
        <v>11</v>
      </c>
      <c r="AE25" s="46">
        <f t="shared" si="10"/>
        <v>14</v>
      </c>
      <c r="AF25" s="46">
        <f t="shared" si="11"/>
        <v>13</v>
      </c>
      <c r="AG25" s="46">
        <f t="shared" si="12"/>
        <v>15</v>
      </c>
      <c r="AH25" s="46">
        <f t="shared" si="13"/>
        <v>64</v>
      </c>
      <c r="AI25" s="46">
        <f t="shared" si="14"/>
        <v>1921920</v>
      </c>
      <c r="AJ25" s="50">
        <f t="shared" si="15"/>
        <v>5.8240802946536621E-4</v>
      </c>
      <c r="AK25" s="46">
        <f t="shared" si="8"/>
        <v>1717.009294871795</v>
      </c>
      <c r="AL25" s="46">
        <f>IFERROR(INDEX(Summary!$C$4:$E$9, MATCH($AB25, Summary!$B$4:$B$9, 0), MATCH($AC25, Summary!$C$3:$E$3, 0)), 0)</f>
        <v>50</v>
      </c>
      <c r="AM25" s="83"/>
      <c r="AN25" s="70"/>
      <c r="AO25" s="70"/>
    </row>
    <row r="26" spans="1:49" x14ac:dyDescent="0.3">
      <c r="A26" t="str">
        <v>P4</v>
      </c>
      <c r="B26" t="str">
        <v>P5</v>
      </c>
      <c r="C26" t="str">
        <v>WILD</v>
      </c>
      <c r="D26" t="str">
        <v>CP</v>
      </c>
      <c r="E26" t="str">
        <v>P5</v>
      </c>
      <c r="H26" t="str" cm="1">
        <f t="array" aca="1" ref="H26" ca="1">IF(ROW(A26)-H$15 &lt; H$14,A26,IF(ROW(A26) - H$15 -H$16 + 1 &lt; H$14,INDIRECT(ADDRESS(MOD(ROW(A26) - H$15, H$14) + H$15, COLUMN(A26))),""))</f>
        <v>P4</v>
      </c>
      <c r="I26" t="str" cm="1">
        <f t="array" aca="1" ref="I26" ca="1">IF(ROW(B26)-I$15 &lt; I$14,B26,IF(ROW(B26) - I$15 -I$16 + 1 &lt; I$14,INDIRECT(ADDRESS(MOD(ROW(B26) - I$15, I$14) + I$15, COLUMN(B26))),""))</f>
        <v>P5</v>
      </c>
      <c r="J26" t="str" cm="1">
        <f t="array" aca="1" ref="J26" ca="1">IF(ROW(C26)-J$15 &lt; J$14,C26,IF(ROW(C26) - J$15 -J$16 + 1 &lt; J$14,INDIRECT(ADDRESS(MOD(ROW(C26) - J$15, J$14) + J$15, COLUMN(C26))),""))</f>
        <v>WILD</v>
      </c>
      <c r="K26" t="str" cm="1">
        <f t="array" aca="1" ref="K26" ca="1">IF(ROW(D26)-K$15 &lt; K$14,D26,IF(ROW(D26) - K$15 -K$16 + 1 &lt; K$14,INDIRECT(ADDRESS(MOD(ROW(D26) - K$15, K$14) + K$15, COLUMN(D26))),""))</f>
        <v>CP</v>
      </c>
      <c r="L26" t="str" cm="1">
        <f t="array" aca="1" ref="L26" ca="1">IF(ROW(E26)-L$15 &lt; L$14,E26,IF(ROW(E26) - L$15 -L$16 + 1 &lt; L$14,INDIRECT(ADDRESS(MOD(ROW(E26) - L$15, L$14) + L$15, COLUMN(E26))),""))</f>
        <v>P5</v>
      </c>
      <c r="N26" cm="1">
        <f t="array" aca="1" ref="N26" ca="1">IF(H26&lt;&gt;"", SUMPRODUCT((OFFSET(H26,0,0,H$16,1)=$T$24) +0),"")</f>
        <v>0</v>
      </c>
      <c r="O26" cm="1">
        <f t="array" aca="1" ref="O26" ca="1">IF(I26&lt;&gt;"", SUMPRODUCT((OFFSET(I26,0,0,I$16,1)=$T$24) +0),"")</f>
        <v>0</v>
      </c>
      <c r="P26" cm="1">
        <f t="array" aca="1" ref="P26" ca="1">IF(J26&lt;&gt;"", SUMPRODUCT((OFFSET(J26,0,0,J$16,1)=$T$24) +0),"")</f>
        <v>0</v>
      </c>
      <c r="Q26" cm="1">
        <f t="array" aca="1" ref="Q26" ca="1">IF(K26&lt;&gt;"", SUMPRODUCT((OFFSET(K26,0,0,K$16,1)=$T$24) +0),"")</f>
        <v>2</v>
      </c>
      <c r="R26" cm="1">
        <f t="array" aca="1" ref="R26" ca="1">IF(L26&lt;&gt;"", SUMPRODUCT((OFFSET(L26,0,0,L$16,1)=$T$24) +0),"")</f>
        <v>0</v>
      </c>
      <c r="T26" s="5" t="str">
        <f>Summary!B12</f>
        <v>SCAT</v>
      </c>
      <c r="U26" s="46">
        <f t="shared" si="18"/>
        <v>5</v>
      </c>
      <c r="V26" s="46">
        <f t="shared" si="19"/>
        <v>0</v>
      </c>
      <c r="W26" s="46">
        <f t="shared" si="20"/>
        <v>5</v>
      </c>
      <c r="X26" s="46">
        <f t="shared" si="5"/>
        <v>0</v>
      </c>
      <c r="Y26" s="65">
        <f t="shared" si="5"/>
        <v>3</v>
      </c>
      <c r="Z26" s="107"/>
      <c r="AB26" s="46" t="str">
        <f>T20</f>
        <v>P3</v>
      </c>
      <c r="AC26" s="46">
        <v>3</v>
      </c>
      <c r="AD26" s="46">
        <f t="shared" si="9"/>
        <v>11</v>
      </c>
      <c r="AE26" s="46">
        <f t="shared" si="10"/>
        <v>14</v>
      </c>
      <c r="AF26" s="46">
        <f t="shared" si="11"/>
        <v>13</v>
      </c>
      <c r="AG26" s="46">
        <f t="shared" si="12"/>
        <v>61</v>
      </c>
      <c r="AH26" s="46">
        <f t="shared" si="13"/>
        <v>77</v>
      </c>
      <c r="AI26" s="46">
        <f t="shared" si="14"/>
        <v>9403394</v>
      </c>
      <c r="AJ26" s="50">
        <f t="shared" si="15"/>
        <v>2.8495526191654429E-3</v>
      </c>
      <c r="AK26" s="46">
        <f t="shared" si="8"/>
        <v>350.93228083392017</v>
      </c>
      <c r="AL26" s="46">
        <f>IFERROR(INDEX(Summary!$C$4:$E$9, MATCH($AB26, Summary!$B$4:$B$9, 0), MATCH($AC26, Summary!$C$3:$E$3, 0)), 0)</f>
        <v>10</v>
      </c>
      <c r="AM26" s="84"/>
      <c r="AN26" s="71"/>
      <c r="AO26" s="71"/>
    </row>
    <row r="27" spans="1:49" x14ac:dyDescent="0.3">
      <c r="A27" t="str">
        <v>P5</v>
      </c>
      <c r="B27" t="str">
        <v>P3</v>
      </c>
      <c r="C27" t="str">
        <v>P5</v>
      </c>
      <c r="D27" t="str">
        <v>CP</v>
      </c>
      <c r="E27" t="str">
        <v>P4</v>
      </c>
      <c r="H27" t="str" cm="1">
        <f t="array" aca="1" ref="H27" ca="1">IF(ROW(A27)-H$15 &lt; H$14,A27,IF(ROW(A27) - H$15 -H$16 + 1 &lt; H$14,INDIRECT(ADDRESS(MOD(ROW(A27) - H$15, H$14) + H$15, COLUMN(A27))),""))</f>
        <v>P5</v>
      </c>
      <c r="I27" t="str" cm="1">
        <f t="array" aca="1" ref="I27" ca="1">IF(ROW(B27)-I$15 &lt; I$14,B27,IF(ROW(B27) - I$15 -I$16 + 1 &lt; I$14,INDIRECT(ADDRESS(MOD(ROW(B27) - I$15, I$14) + I$15, COLUMN(B27))),""))</f>
        <v>P3</v>
      </c>
      <c r="J27" t="str" cm="1">
        <f t="array" aca="1" ref="J27" ca="1">IF(ROW(C27)-J$15 &lt; J$14,C27,IF(ROW(C27) - J$15 -J$16 + 1 &lt; J$14,INDIRECT(ADDRESS(MOD(ROW(C27) - J$15, J$14) + J$15, COLUMN(C27))),""))</f>
        <v>P5</v>
      </c>
      <c r="K27" t="str" cm="1">
        <f t="array" aca="1" ref="K27" ca="1">IF(ROW(D27)-K$15 &lt; K$14,D27,IF(ROW(D27) - K$15 -K$16 + 1 &lt; K$14,INDIRECT(ADDRESS(MOD(ROW(D27) - K$15, K$14) + K$15, COLUMN(D27))),""))</f>
        <v>CP</v>
      </c>
      <c r="L27" t="str" cm="1">
        <f t="array" aca="1" ref="L27" ca="1">IF(ROW(E27)-L$15 &lt; L$14,E27,IF(ROW(E27) - L$15 -L$16 + 1 &lt; L$14,INDIRECT(ADDRESS(MOD(ROW(E27) - L$15, L$14) + L$15, COLUMN(E27))),""))</f>
        <v>P4</v>
      </c>
      <c r="N27" cm="1">
        <f t="array" aca="1" ref="N27" ca="1">IF(H27&lt;&gt;"", SUMPRODUCT((OFFSET(H27,0,0,H$16,1)=$T$24) +0),"")</f>
        <v>0</v>
      </c>
      <c r="O27" cm="1">
        <f t="array" aca="1" ref="O27" ca="1">IF(I27&lt;&gt;"", SUMPRODUCT((OFFSET(I27,0,0,I$16,1)=$T$24) +0),"")</f>
        <v>0</v>
      </c>
      <c r="P27" cm="1">
        <f t="array" aca="1" ref="P27" ca="1">IF(J27&lt;&gt;"", SUMPRODUCT((OFFSET(J27,0,0,J$16,1)=$T$24) +0),"")</f>
        <v>0</v>
      </c>
      <c r="Q27" cm="1">
        <f t="array" aca="1" ref="Q27" ca="1">IF(K27&lt;&gt;"", SUMPRODUCT((OFFSET(K27,0,0,K$16,1)=$T$24) +0),"")</f>
        <v>1</v>
      </c>
      <c r="R27" cm="1">
        <f t="array" aca="1" ref="R27" ca="1">IF(L27&lt;&gt;"", SUMPRODUCT((OFFSET(L27,0,0,L$16,1)=$T$24) +0),"")</f>
        <v>0</v>
      </c>
      <c r="T27" s="1" t="s">
        <v>39</v>
      </c>
      <c r="U27" s="9">
        <f>SUM(U18:U26)</f>
        <v>83</v>
      </c>
      <c r="V27" s="7">
        <f>SUM(V18:V26)</f>
        <v>79</v>
      </c>
      <c r="W27" s="3">
        <f>SUM(W18:W26)</f>
        <v>86</v>
      </c>
      <c r="X27" s="3">
        <f t="shared" ref="X27:Y27" si="21">SUM(X18:X26)</f>
        <v>76</v>
      </c>
      <c r="Y27" s="5">
        <f t="shared" si="21"/>
        <v>77</v>
      </c>
      <c r="Z27" s="107"/>
      <c r="AB27" s="46" t="str">
        <f>T21</f>
        <v>P4</v>
      </c>
      <c r="AC27" s="46">
        <v>5</v>
      </c>
      <c r="AD27" s="46">
        <f t="shared" si="9"/>
        <v>14</v>
      </c>
      <c r="AE27" s="46">
        <f t="shared" si="10"/>
        <v>17</v>
      </c>
      <c r="AF27" s="46">
        <f t="shared" si="11"/>
        <v>15</v>
      </c>
      <c r="AG27" s="46">
        <f t="shared" si="12"/>
        <v>16</v>
      </c>
      <c r="AH27" s="46">
        <f t="shared" si="13"/>
        <v>16</v>
      </c>
      <c r="AI27" s="46">
        <f t="shared" si="14"/>
        <v>913920</v>
      </c>
      <c r="AJ27" s="50">
        <f t="shared" si="15"/>
        <v>2.7694927275276159E-4</v>
      </c>
      <c r="AK27" s="46">
        <f t="shared" si="8"/>
        <v>3610.769546568627</v>
      </c>
      <c r="AL27" s="46">
        <f>IFERROR(INDEX(Summary!$C$4:$E$9, MATCH($AB27, Summary!$B$4:$B$9, 0), MATCH($AC27, Summary!$C$3:$E$3, 0)), 0)</f>
        <v>100</v>
      </c>
      <c r="AM27" s="82">
        <f t="shared" ref="AM27" si="22">SUM(AJ27*AL27,AJ28*AL28,AJ29*AL29)</f>
        <v>7.908199936807371E-2</v>
      </c>
      <c r="AN27" s="69"/>
      <c r="AO27" s="69"/>
    </row>
    <row r="28" spans="1:49" x14ac:dyDescent="0.3">
      <c r="A28" t="str">
        <v>P5</v>
      </c>
      <c r="B28" t="str">
        <v>P4</v>
      </c>
      <c r="C28" t="str">
        <v>P4</v>
      </c>
      <c r="D28" t="str">
        <v>P5</v>
      </c>
      <c r="E28" t="str">
        <v>P2</v>
      </c>
      <c r="H28" t="str" cm="1">
        <f t="array" aca="1" ref="H28" ca="1">IF(ROW(A28)-H$15 &lt; H$14,A28,IF(ROW(A28) - H$15 -H$16 + 1 &lt; H$14,INDIRECT(ADDRESS(MOD(ROW(A28) - H$15, H$14) + H$15, COLUMN(A28))),""))</f>
        <v>P5</v>
      </c>
      <c r="I28" t="str" cm="1">
        <f t="array" aca="1" ref="I28" ca="1">IF(ROW(B28)-I$15 &lt; I$14,B28,IF(ROW(B28) - I$15 -I$16 + 1 &lt; I$14,INDIRECT(ADDRESS(MOD(ROW(B28) - I$15, I$14) + I$15, COLUMN(B28))),""))</f>
        <v>P4</v>
      </c>
      <c r="J28" t="str" cm="1">
        <f t="array" aca="1" ref="J28" ca="1">IF(ROW(C28)-J$15 &lt; J$14,C28,IF(ROW(C28) - J$15 -J$16 + 1 &lt; J$14,INDIRECT(ADDRESS(MOD(ROW(C28) - J$15, J$14) + J$15, COLUMN(C28))),""))</f>
        <v>P4</v>
      </c>
      <c r="K28" t="str" cm="1">
        <f t="array" aca="1" ref="K28" ca="1">IF(ROW(D28)-K$15 &lt; K$14,D28,IF(ROW(D28) - K$15 -K$16 + 1 &lt; K$14,INDIRECT(ADDRESS(MOD(ROW(D28) - K$15, K$14) + K$15, COLUMN(D28))),""))</f>
        <v>P5</v>
      </c>
      <c r="L28" t="str" cm="1">
        <f t="array" aca="1" ref="L28" ca="1">IF(ROW(E28)-L$15 &lt; L$14,E28,IF(ROW(E28) - L$15 -L$16 + 1 &lt; L$14,INDIRECT(ADDRESS(MOD(ROW(E28) - L$15, L$14) + L$15, COLUMN(E28))),""))</f>
        <v>P2</v>
      </c>
      <c r="N28" cm="1">
        <f t="array" aca="1" ref="N28" ca="1">IF(H28&lt;&gt;"", SUMPRODUCT((OFFSET(H28,0,0,H$16,1)=$T$24) +0),"")</f>
        <v>0</v>
      </c>
      <c r="O28" cm="1">
        <f t="array" aca="1" ref="O28" ca="1">IF(I28&lt;&gt;"", SUMPRODUCT((OFFSET(I28,0,0,I$16,1)=$T$24) +0),"")</f>
        <v>0</v>
      </c>
      <c r="P28" cm="1">
        <f t="array" aca="1" ref="P28" ca="1">IF(J28&lt;&gt;"", SUMPRODUCT((OFFSET(J28,0,0,J$16,1)=$T$24) +0),"")</f>
        <v>0</v>
      </c>
      <c r="Q28" cm="1">
        <f t="array" aca="1" ref="Q28" ca="1">IF(K28&lt;&gt;"", SUMPRODUCT((OFFSET(K28,0,0,K$16,1)=$T$24) +0),"")</f>
        <v>0</v>
      </c>
      <c r="R28" cm="1">
        <f t="array" aca="1" ref="R28" ca="1">IF(L28&lt;&gt;"", SUMPRODUCT((OFFSET(L28,0,0,L$16,1)=$T$24) +0),"")</f>
        <v>0</v>
      </c>
      <c r="T28" s="19" t="s">
        <v>45</v>
      </c>
      <c r="U28" s="78">
        <f>PRODUCT(U27:Z27)</f>
        <v>3299954504</v>
      </c>
      <c r="V28" s="79"/>
      <c r="W28" s="79"/>
      <c r="X28" s="79"/>
      <c r="Y28" s="79"/>
      <c r="Z28" s="92"/>
      <c r="AB28" s="46" t="str">
        <f>T21</f>
        <v>P4</v>
      </c>
      <c r="AC28" s="46">
        <v>4</v>
      </c>
      <c r="AD28" s="46">
        <f t="shared" si="9"/>
        <v>14</v>
      </c>
      <c r="AE28" s="46">
        <f t="shared" si="10"/>
        <v>17</v>
      </c>
      <c r="AF28" s="46">
        <f t="shared" si="11"/>
        <v>15</v>
      </c>
      <c r="AG28" s="46">
        <f t="shared" si="12"/>
        <v>16</v>
      </c>
      <c r="AH28" s="46">
        <f t="shared" si="13"/>
        <v>61</v>
      </c>
      <c r="AI28" s="46">
        <f t="shared" si="14"/>
        <v>3484320</v>
      </c>
      <c r="AJ28" s="50">
        <f t="shared" si="15"/>
        <v>1.0558691023699034E-3</v>
      </c>
      <c r="AK28" s="46">
        <f t="shared" si="8"/>
        <v>947.08709418193507</v>
      </c>
      <c r="AL28" s="46">
        <f>IFERROR(INDEX(Summary!$C$4:$E$9, MATCH($AB28, Summary!$B$4:$B$9, 0), MATCH($AC28, Summary!$C$3:$E$3, 0)), 0)</f>
        <v>25</v>
      </c>
      <c r="AM28" s="83"/>
      <c r="AN28" s="70"/>
      <c r="AO28" s="70"/>
    </row>
    <row r="29" spans="1:49" x14ac:dyDescent="0.3">
      <c r="A29" t="str">
        <v>P4</v>
      </c>
      <c r="B29" t="str">
        <v>P6</v>
      </c>
      <c r="C29" t="str">
        <v>P6</v>
      </c>
      <c r="D29" t="str">
        <v>P6</v>
      </c>
      <c r="E29" t="str">
        <v>P5</v>
      </c>
      <c r="H29" t="str" cm="1">
        <f t="array" aca="1" ref="H29" ca="1">IF(ROW(A29)-H$15 &lt; H$14,A29,IF(ROW(A29) - H$15 -H$16 + 1 &lt; H$14,INDIRECT(ADDRESS(MOD(ROW(A29) - H$15, H$14) + H$15, COLUMN(A29))),""))</f>
        <v>P4</v>
      </c>
      <c r="I29" t="str" cm="1">
        <f t="array" aca="1" ref="I29" ca="1">IF(ROW(B29)-I$15 &lt; I$14,B29,IF(ROW(B29) - I$15 -I$16 + 1 &lt; I$14,INDIRECT(ADDRESS(MOD(ROW(B29) - I$15, I$14) + I$15, COLUMN(B29))),""))</f>
        <v>P6</v>
      </c>
      <c r="J29" t="str" cm="1">
        <f t="array" aca="1" ref="J29" ca="1">IF(ROW(C29)-J$15 &lt; J$14,C29,IF(ROW(C29) - J$15 -J$16 + 1 &lt; J$14,INDIRECT(ADDRESS(MOD(ROW(C29) - J$15, J$14) + J$15, COLUMN(C29))),""))</f>
        <v>P6</v>
      </c>
      <c r="K29" t="str" cm="1">
        <f t="array" aca="1" ref="K29" ca="1">IF(ROW(D29)-K$15 &lt; K$14,D29,IF(ROW(D29) - K$15 -K$16 + 1 &lt; K$14,INDIRECT(ADDRESS(MOD(ROW(D29) - K$15, K$14) + K$15, COLUMN(D29))),""))</f>
        <v>P6</v>
      </c>
      <c r="L29" t="str" cm="1">
        <f t="array" aca="1" ref="L29" ca="1">IF(ROW(E29)-L$15 &lt; L$14,E29,IF(ROW(E29) - L$15 -L$16 + 1 &lt; L$14,INDIRECT(ADDRESS(MOD(ROW(E29) - L$15, L$14) + L$15, COLUMN(E29))),""))</f>
        <v>P5</v>
      </c>
      <c r="N29" cm="1">
        <f t="array" aca="1" ref="N29" ca="1">IF(H29&lt;&gt;"", SUMPRODUCT((OFFSET(H29,0,0,H$16,1)=$T$24) +0),"")</f>
        <v>0</v>
      </c>
      <c r="O29" cm="1">
        <f t="array" aca="1" ref="O29" ca="1">IF(I29&lt;&gt;"", SUMPRODUCT((OFFSET(I29,0,0,I$16,1)=$T$24) +0),"")</f>
        <v>0</v>
      </c>
      <c r="P29" cm="1">
        <f t="array" aca="1" ref="P29" ca="1">IF(J29&lt;&gt;"", SUMPRODUCT((OFFSET(J29,0,0,J$16,1)=$T$24) +0),"")</f>
        <v>0</v>
      </c>
      <c r="Q29" cm="1">
        <f t="array" aca="1" ref="Q29" ca="1">IF(K29&lt;&gt;"", SUMPRODUCT((OFFSET(K29,0,0,K$16,1)=$T$24) +0),"")</f>
        <v>0</v>
      </c>
      <c r="R29" cm="1">
        <f t="array" aca="1" ref="R29" ca="1">IF(L29&lt;&gt;"", SUMPRODUCT((OFFSET(L29,0,0,L$16,1)=$T$24) +0),"")</f>
        <v>0</v>
      </c>
      <c r="AB29" s="46" t="str">
        <f>T21</f>
        <v>P4</v>
      </c>
      <c r="AC29" s="46">
        <v>3</v>
      </c>
      <c r="AD29" s="46">
        <f t="shared" si="9"/>
        <v>14</v>
      </c>
      <c r="AE29" s="46">
        <f t="shared" si="10"/>
        <v>17</v>
      </c>
      <c r="AF29" s="46">
        <f t="shared" si="11"/>
        <v>15</v>
      </c>
      <c r="AG29" s="46">
        <f t="shared" si="12"/>
        <v>60</v>
      </c>
      <c r="AH29" s="46">
        <f t="shared" si="13"/>
        <v>77</v>
      </c>
      <c r="AI29" s="46">
        <f t="shared" si="14"/>
        <v>16493400</v>
      </c>
      <c r="AJ29" s="50">
        <f t="shared" si="15"/>
        <v>4.998068906709994E-3</v>
      </c>
      <c r="AK29" s="46">
        <f t="shared" si="8"/>
        <v>200.0772735760971</v>
      </c>
      <c r="AL29" s="46">
        <f>IFERROR(INDEX(Summary!$C$4:$E$9, MATCH($AB29, Summary!$B$4:$B$9, 0), MATCH($AC29, Summary!$C$3:$E$3, 0)), 0)</f>
        <v>5</v>
      </c>
      <c r="AM29" s="84"/>
      <c r="AN29" s="71"/>
      <c r="AO29" s="71"/>
    </row>
    <row r="30" spans="1:49" x14ac:dyDescent="0.3">
      <c r="A30" t="str">
        <v>P5</v>
      </c>
      <c r="B30" t="str">
        <v>WILD</v>
      </c>
      <c r="C30" t="str">
        <v>P6</v>
      </c>
      <c r="D30" t="str">
        <v>P6</v>
      </c>
      <c r="E30" t="str">
        <v>WILD</v>
      </c>
      <c r="H30" t="str" cm="1">
        <f t="array" aca="1" ref="H30" ca="1">IF(ROW(A30)-H$15 &lt; H$14,A30,IF(ROW(A30) - H$15 -H$16 + 1 &lt; H$14,INDIRECT(ADDRESS(MOD(ROW(A30) - H$15, H$14) + H$15, COLUMN(A30))),""))</f>
        <v>P5</v>
      </c>
      <c r="I30" t="str" cm="1">
        <f t="array" aca="1" ref="I30" ca="1">IF(ROW(B30)-I$15 &lt; I$14,B30,IF(ROW(B30) - I$15 -I$16 + 1 &lt; I$14,INDIRECT(ADDRESS(MOD(ROW(B30) - I$15, I$14) + I$15, COLUMN(B30))),""))</f>
        <v>WILD</v>
      </c>
      <c r="J30" t="str" cm="1">
        <f t="array" aca="1" ref="J30" ca="1">IF(ROW(C30)-J$15 &lt; J$14,C30,IF(ROW(C30) - J$15 -J$16 + 1 &lt; J$14,INDIRECT(ADDRESS(MOD(ROW(C30) - J$15, J$14) + J$15, COLUMN(C30))),""))</f>
        <v>P6</v>
      </c>
      <c r="K30" t="str" cm="1">
        <f t="array" aca="1" ref="K30" ca="1">IF(ROW(D30)-K$15 &lt; K$14,D30,IF(ROW(D30) - K$15 -K$16 + 1 &lt; K$14,INDIRECT(ADDRESS(MOD(ROW(D30) - K$15, K$14) + K$15, COLUMN(D30))),""))</f>
        <v>P6</v>
      </c>
      <c r="L30" t="str" cm="1">
        <f t="array" aca="1" ref="L30" ca="1">IF(ROW(E30)-L$15 &lt; L$14,E30,IF(ROW(E30) - L$15 -L$16 + 1 &lt; L$14,INDIRECT(ADDRESS(MOD(ROW(E30) - L$15, L$14) + L$15, COLUMN(E30))),""))</f>
        <v>WILD</v>
      </c>
      <c r="N30" cm="1">
        <f t="array" aca="1" ref="N30" ca="1">IF(H30&lt;&gt;"", SUMPRODUCT((OFFSET(H30,0,0,H$16,1)=$T$24) +0),"")</f>
        <v>0</v>
      </c>
      <c r="O30" cm="1">
        <f t="array" aca="1" ref="O30" ca="1">IF(I30&lt;&gt;"", SUMPRODUCT((OFFSET(I30,0,0,I$16,1)=$T$24) +0),"")</f>
        <v>0</v>
      </c>
      <c r="P30" cm="1">
        <f t="array" aca="1" ref="P30" ca="1">IF(J30&lt;&gt;"", SUMPRODUCT((OFFSET(J30,0,0,J$16,1)=$T$24) +0),"")</f>
        <v>0</v>
      </c>
      <c r="Q30" cm="1">
        <f t="array" aca="1" ref="Q30" ca="1">IF(K30&lt;&gt;"", SUMPRODUCT((OFFSET(K30,0,0,K$16,1)=$T$24) +0),"")</f>
        <v>0</v>
      </c>
      <c r="R30" cm="1">
        <f t="array" aca="1" ref="R30" ca="1">IF(L30&lt;&gt;"", SUMPRODUCT((OFFSET(L30,0,0,L$16,1)=$T$24) +0),"")</f>
        <v>0</v>
      </c>
      <c r="T30" s="4"/>
      <c r="AB30" s="46" t="str">
        <f>T22</f>
        <v>P5</v>
      </c>
      <c r="AC30" s="46">
        <v>5</v>
      </c>
      <c r="AD30" s="46">
        <f t="shared" si="9"/>
        <v>14</v>
      </c>
      <c r="AE30" s="46">
        <f t="shared" si="10"/>
        <v>15</v>
      </c>
      <c r="AF30" s="46">
        <f t="shared" si="11"/>
        <v>16</v>
      </c>
      <c r="AG30" s="46">
        <f t="shared" si="12"/>
        <v>15</v>
      </c>
      <c r="AH30" s="46">
        <f t="shared" si="13"/>
        <v>17</v>
      </c>
      <c r="AI30" s="46">
        <f t="shared" si="14"/>
        <v>856800</v>
      </c>
      <c r="AJ30" s="50">
        <f t="shared" si="15"/>
        <v>2.5963994320571398E-4</v>
      </c>
      <c r="AK30" s="46">
        <f t="shared" si="8"/>
        <v>3851.4875163398692</v>
      </c>
      <c r="AL30" s="46">
        <f>IFERROR(INDEX(Summary!$C$4:$E$9, MATCH($AB30, Summary!$B$4:$B$9, 0), MATCH($AC30, Summary!$C$3:$E$3, 0)), 0)</f>
        <v>100</v>
      </c>
      <c r="AM30" s="82">
        <f t="shared" ref="AM30" si="23">SUM(AJ30*AL30,AJ31*AL31,AJ32*AL32)</f>
        <v>7.2785730745335148E-2</v>
      </c>
      <c r="AN30" s="69"/>
      <c r="AO30" s="69"/>
    </row>
    <row r="31" spans="1:49" x14ac:dyDescent="0.3">
      <c r="A31" t="str">
        <v>SCAT</v>
      </c>
      <c r="B31" t="str">
        <v>P5</v>
      </c>
      <c r="C31" t="str">
        <v>P2</v>
      </c>
      <c r="D31" t="str">
        <v>P3</v>
      </c>
      <c r="E31" t="str">
        <v>P6</v>
      </c>
      <c r="H31" t="str" cm="1">
        <f t="array" aca="1" ref="H31" ca="1">IF(ROW(A31)-H$15 &lt; H$14,A31,IF(ROW(A31) - H$15 -H$16 + 1 &lt; H$14,INDIRECT(ADDRESS(MOD(ROW(A31) - H$15, H$14) + H$15, COLUMN(A31))),""))</f>
        <v>SCAT</v>
      </c>
      <c r="I31" t="str" cm="1">
        <f t="array" aca="1" ref="I31" ca="1">IF(ROW(B31)-I$15 &lt; I$14,B31,IF(ROW(B31) - I$15 -I$16 + 1 &lt; I$14,INDIRECT(ADDRESS(MOD(ROW(B31) - I$15, I$14) + I$15, COLUMN(B31))),""))</f>
        <v>P5</v>
      </c>
      <c r="J31" t="str" cm="1">
        <f t="array" aca="1" ref="J31" ca="1">IF(ROW(C31)-J$15 &lt; J$14,C31,IF(ROW(C31) - J$15 -J$16 + 1 &lt; J$14,INDIRECT(ADDRESS(MOD(ROW(C31) - J$15, J$14) + J$15, COLUMN(C31))),""))</f>
        <v>P2</v>
      </c>
      <c r="K31" t="str" cm="1">
        <f t="array" aca="1" ref="K31" ca="1">IF(ROW(D31)-K$15 &lt; K$14,D31,IF(ROW(D31) - K$15 -K$16 + 1 &lt; K$14,INDIRECT(ADDRESS(MOD(ROW(D31) - K$15, K$14) + K$15, COLUMN(D31))),""))</f>
        <v>P3</v>
      </c>
      <c r="L31" t="str" cm="1">
        <f t="array" aca="1" ref="L31" ca="1">IF(ROW(E31)-L$15 &lt; L$14,E31,IF(ROW(E31) - L$15 -L$16 + 1 &lt; L$14,INDIRECT(ADDRESS(MOD(ROW(E31) - L$15, L$14) + L$15, COLUMN(E31))),""))</f>
        <v>P6</v>
      </c>
      <c r="N31" cm="1">
        <f t="array" aca="1" ref="N31" ca="1">IF(H31&lt;&gt;"", SUMPRODUCT((OFFSET(H31,0,0,H$16,1)=$T$24) +0),"")</f>
        <v>0</v>
      </c>
      <c r="O31" cm="1">
        <f t="array" aca="1" ref="O31" ca="1">IF(I31&lt;&gt;"", SUMPRODUCT((OFFSET(I31,0,0,I$16,1)=$T$24) +0),"")</f>
        <v>0</v>
      </c>
      <c r="P31" cm="1">
        <f t="array" aca="1" ref="P31" ca="1">IF(J31&lt;&gt;"", SUMPRODUCT((OFFSET(J31,0,0,J$16,1)=$T$24) +0),"")</f>
        <v>0</v>
      </c>
      <c r="Q31" cm="1">
        <f t="array" aca="1" ref="Q31" ca="1">IF(K31&lt;&gt;"", SUMPRODUCT((OFFSET(K31,0,0,K$16,1)=$T$24) +0),"")</f>
        <v>0</v>
      </c>
      <c r="R31" cm="1">
        <f t="array" aca="1" ref="R31" ca="1">IF(L31&lt;&gt;"", SUMPRODUCT((OFFSET(L31,0,0,L$16,1)=$T$24) +0),"")</f>
        <v>0</v>
      </c>
      <c r="AB31" s="46" t="str">
        <f>T22</f>
        <v>P5</v>
      </c>
      <c r="AC31" s="46">
        <v>4</v>
      </c>
      <c r="AD31" s="46">
        <f t="shared" si="9"/>
        <v>14</v>
      </c>
      <c r="AE31" s="46">
        <f t="shared" si="10"/>
        <v>15</v>
      </c>
      <c r="AF31" s="46">
        <f t="shared" si="11"/>
        <v>16</v>
      </c>
      <c r="AG31" s="46">
        <f t="shared" si="12"/>
        <v>15</v>
      </c>
      <c r="AH31" s="46">
        <f t="shared" si="13"/>
        <v>60</v>
      </c>
      <c r="AI31" s="46">
        <f t="shared" si="14"/>
        <v>3024000</v>
      </c>
      <c r="AJ31" s="50">
        <f t="shared" si="15"/>
        <v>9.1637627013781402E-4</v>
      </c>
      <c r="AK31" s="46">
        <f t="shared" si="8"/>
        <v>1091.2547962962963</v>
      </c>
      <c r="AL31" s="46">
        <f>IFERROR(INDEX(Summary!$C$4:$E$9, MATCH($AB31, Summary!$B$4:$B$9, 0), MATCH($AC31, Summary!$C$3:$E$3, 0)), 0)</f>
        <v>25</v>
      </c>
      <c r="AM31" s="83"/>
      <c r="AN31" s="70"/>
      <c r="AO31" s="70"/>
    </row>
    <row r="32" spans="1:49" x14ac:dyDescent="0.3">
      <c r="A32" t="str">
        <v>P6</v>
      </c>
      <c r="B32" t="str">
        <v>P3</v>
      </c>
      <c r="C32" t="str">
        <v>P5</v>
      </c>
      <c r="D32" t="str">
        <v>P4</v>
      </c>
      <c r="E32" t="str">
        <v>P1</v>
      </c>
      <c r="H32" t="str" cm="1">
        <f t="array" aca="1" ref="H32" ca="1">IF(ROW(A32)-H$15 &lt; H$14,A32,IF(ROW(A32) - H$15 -H$16 + 1 &lt; H$14,INDIRECT(ADDRESS(MOD(ROW(A32) - H$15, H$14) + H$15, COLUMN(A32))),""))</f>
        <v>P6</v>
      </c>
      <c r="I32" t="str" cm="1">
        <f t="array" aca="1" ref="I32" ca="1">IF(ROW(B32)-I$15 &lt; I$14,B32,IF(ROW(B32) - I$15 -I$16 + 1 &lt; I$14,INDIRECT(ADDRESS(MOD(ROW(B32) - I$15, I$14) + I$15, COLUMN(B32))),""))</f>
        <v>P3</v>
      </c>
      <c r="J32" t="str" cm="1">
        <f t="array" aca="1" ref="J32" ca="1">IF(ROW(C32)-J$15 &lt; J$14,C32,IF(ROW(C32) - J$15 -J$16 + 1 &lt; J$14,INDIRECT(ADDRESS(MOD(ROW(C32) - J$15, J$14) + J$15, COLUMN(C32))),""))</f>
        <v>P5</v>
      </c>
      <c r="K32" t="str" cm="1">
        <f t="array" aca="1" ref="K32" ca="1">IF(ROW(D32)-K$15 &lt; K$14,D32,IF(ROW(D32) - K$15 -K$16 + 1 &lt; K$14,INDIRECT(ADDRESS(MOD(ROW(D32) - K$15, K$14) + K$15, COLUMN(D32))),""))</f>
        <v>P4</v>
      </c>
      <c r="L32" t="str" cm="1">
        <f t="array" aca="1" ref="L32" ca="1">IF(ROW(E32)-L$15 &lt; L$14,E32,IF(ROW(E32) - L$15 -L$16 + 1 &lt; L$14,INDIRECT(ADDRESS(MOD(ROW(E32) - L$15, L$14) + L$15, COLUMN(E32))),""))</f>
        <v>P1</v>
      </c>
      <c r="N32" cm="1">
        <f t="array" aca="1" ref="N32" ca="1">IF(H32&lt;&gt;"", SUMPRODUCT((OFFSET(H32,0,0,H$16,1)=$T$24) +0),"")</f>
        <v>0</v>
      </c>
      <c r="O32" cm="1">
        <f t="array" aca="1" ref="O32" ca="1">IF(I32&lt;&gt;"", SUMPRODUCT((OFFSET(I32,0,0,I$16,1)=$T$24) +0),"")</f>
        <v>1</v>
      </c>
      <c r="P32" cm="1">
        <f t="array" aca="1" ref="P32" ca="1">IF(J32&lt;&gt;"", SUMPRODUCT((OFFSET(J32,0,0,J$16,1)=$T$24) +0),"")</f>
        <v>0</v>
      </c>
      <c r="Q32" cm="1">
        <f t="array" aca="1" ref="Q32" ca="1">IF(K32&lt;&gt;"", SUMPRODUCT((OFFSET(K32,0,0,K$16,1)=$T$24) +0),"")</f>
        <v>0</v>
      </c>
      <c r="R32" cm="1">
        <f t="array" aca="1" ref="R32" ca="1">IF(L32&lt;&gt;"", SUMPRODUCT((OFFSET(L32,0,0,L$16,1)=$T$24) +0),"")</f>
        <v>0</v>
      </c>
      <c r="AB32" s="46" t="str">
        <f>T22</f>
        <v>P5</v>
      </c>
      <c r="AC32" s="46">
        <v>3</v>
      </c>
      <c r="AD32" s="46">
        <f t="shared" si="9"/>
        <v>14</v>
      </c>
      <c r="AE32" s="46">
        <f t="shared" si="10"/>
        <v>15</v>
      </c>
      <c r="AF32" s="46">
        <f t="shared" si="11"/>
        <v>16</v>
      </c>
      <c r="AG32" s="46">
        <f t="shared" si="12"/>
        <v>61</v>
      </c>
      <c r="AH32" s="46">
        <f t="shared" si="13"/>
        <v>77</v>
      </c>
      <c r="AI32" s="46">
        <f t="shared" si="14"/>
        <v>15781920</v>
      </c>
      <c r="AJ32" s="50">
        <f t="shared" si="15"/>
        <v>4.7824659342636808E-3</v>
      </c>
      <c r="AK32" s="46">
        <f t="shared" si="8"/>
        <v>209.09715066354408</v>
      </c>
      <c r="AL32" s="46">
        <f>IFERROR(INDEX(Summary!$C$4:$E$9, MATCH($AB32, Summary!$B$4:$B$9, 0), MATCH($AC32, Summary!$C$3:$E$3, 0)), 0)</f>
        <v>5</v>
      </c>
      <c r="AM32" s="84"/>
      <c r="AN32" s="71"/>
      <c r="AO32" s="71"/>
    </row>
    <row r="33" spans="1:41" x14ac:dyDescent="0.3">
      <c r="A33" t="str">
        <v>P6</v>
      </c>
      <c r="B33" t="str">
        <v>P5</v>
      </c>
      <c r="C33" t="str">
        <v>P1</v>
      </c>
      <c r="D33" t="str">
        <v>P6</v>
      </c>
      <c r="E33" t="str">
        <v>P5</v>
      </c>
      <c r="H33" t="str" cm="1">
        <f t="array" aca="1" ref="H33" ca="1">IF(ROW(A33)-H$15 &lt; H$14,A33,IF(ROW(A33) - H$15 -H$16 + 1 &lt; H$14,INDIRECT(ADDRESS(MOD(ROW(A33) - H$15, H$14) + H$15, COLUMN(A33))),""))</f>
        <v>P6</v>
      </c>
      <c r="I33" t="str" cm="1">
        <f t="array" aca="1" ref="I33" ca="1">IF(ROW(B33)-I$15 &lt; I$14,B33,IF(ROW(B33) - I$15 -I$16 + 1 &lt; I$14,INDIRECT(ADDRESS(MOD(ROW(B33) - I$15, I$14) + I$15, COLUMN(B33))),""))</f>
        <v>P5</v>
      </c>
      <c r="J33" t="str" cm="1">
        <f t="array" aca="1" ref="J33" ca="1">IF(ROW(C33)-J$15 &lt; J$14,C33,IF(ROW(C33) - J$15 -J$16 + 1 &lt; J$14,INDIRECT(ADDRESS(MOD(ROW(C33) - J$15, J$14) + J$15, COLUMN(C33))),""))</f>
        <v>P1</v>
      </c>
      <c r="K33" t="str" cm="1">
        <f t="array" aca="1" ref="K33" ca="1">IF(ROW(D33)-K$15 &lt; K$14,D33,IF(ROW(D33) - K$15 -K$16 + 1 &lt; K$14,INDIRECT(ADDRESS(MOD(ROW(D33) - K$15, K$14) + K$15, COLUMN(D33))),""))</f>
        <v>P6</v>
      </c>
      <c r="L33" t="str" cm="1">
        <f t="array" aca="1" ref="L33" ca="1">IF(ROW(E33)-L$15 &lt; L$14,E33,IF(ROW(E33) - L$15 -L$16 + 1 &lt; L$14,INDIRECT(ADDRESS(MOD(ROW(E33) - L$15, L$14) + L$15, COLUMN(E33))),""))</f>
        <v>P5</v>
      </c>
      <c r="N33" cm="1">
        <f t="array" aca="1" ref="N33" ca="1">IF(H33&lt;&gt;"", SUMPRODUCT((OFFSET(H33,0,0,H$16,1)=$T$24) +0),"")</f>
        <v>0</v>
      </c>
      <c r="O33" cm="1">
        <f t="array" aca="1" ref="O33" ca="1">IF(I33&lt;&gt;"", SUMPRODUCT((OFFSET(I33,0,0,I$16,1)=$T$24) +0),"")</f>
        <v>1</v>
      </c>
      <c r="P33" cm="1">
        <f t="array" aca="1" ref="P33" ca="1">IF(J33&lt;&gt;"", SUMPRODUCT((OFFSET(J33,0,0,J$16,1)=$T$24) +0),"")</f>
        <v>0</v>
      </c>
      <c r="Q33" cm="1">
        <f t="array" aca="1" ref="Q33" ca="1">IF(K33&lt;&gt;"", SUMPRODUCT((OFFSET(K33,0,0,K$16,1)=$T$24) +0),"")</f>
        <v>0</v>
      </c>
      <c r="R33" cm="1">
        <f t="array" aca="1" ref="R33" ca="1">IF(L33&lt;&gt;"", SUMPRODUCT((OFFSET(L33,0,0,L$16,1)=$T$24) +0),"")</f>
        <v>0</v>
      </c>
      <c r="AB33" s="46" t="str">
        <f>T23</f>
        <v>P6</v>
      </c>
      <c r="AC33" s="46">
        <v>5</v>
      </c>
      <c r="AD33" s="46">
        <f t="shared" si="9"/>
        <v>14</v>
      </c>
      <c r="AE33" s="46">
        <f t="shared" si="10"/>
        <v>15</v>
      </c>
      <c r="AF33" s="46">
        <f t="shared" si="11"/>
        <v>19</v>
      </c>
      <c r="AG33" s="46">
        <f t="shared" si="12"/>
        <v>14</v>
      </c>
      <c r="AH33" s="46">
        <f t="shared" si="13"/>
        <v>16</v>
      </c>
      <c r="AI33" s="46">
        <f t="shared" si="14"/>
        <v>893760</v>
      </c>
      <c r="AJ33" s="50">
        <f t="shared" si="15"/>
        <v>2.7084009761850947E-4</v>
      </c>
      <c r="AK33" s="46">
        <f t="shared" si="8"/>
        <v>3692.2154761904762</v>
      </c>
      <c r="AL33" s="46">
        <f>IFERROR(INDEX(Summary!$C$4:$E$9, MATCH($AB33, Summary!$B$4:$B$9, 0), MATCH($AC33, Summary!$C$3:$E$3, 0)), 0)</f>
        <v>100</v>
      </c>
      <c r="AM33" s="82">
        <f t="shared" ref="AM33" si="24">SUM(AJ33*AL33,AJ34*AL34,AJ35*AL35)</f>
        <v>8.1759854468587551E-2</v>
      </c>
      <c r="AN33" s="69"/>
      <c r="AO33" s="69"/>
    </row>
    <row r="34" spans="1:41" x14ac:dyDescent="0.3">
      <c r="A34" t="str">
        <v>P5</v>
      </c>
      <c r="B34" t="str">
        <v>CP</v>
      </c>
      <c r="C34" t="str">
        <v>SCAT</v>
      </c>
      <c r="D34" t="str">
        <v>P5</v>
      </c>
      <c r="E34" t="str">
        <v>P5</v>
      </c>
      <c r="H34" t="str" cm="1">
        <f t="array" aca="1" ref="H34" ca="1">IF(ROW(A34)-H$15 &lt; H$14,A34,IF(ROW(A34) - H$15 -H$16 + 1 &lt; H$14,INDIRECT(ADDRESS(MOD(ROW(A34) - H$15, H$14) + H$15, COLUMN(A34))),""))</f>
        <v>P5</v>
      </c>
      <c r="I34" t="str" cm="1">
        <f t="array" aca="1" ref="I34" ca="1">IF(ROW(B34)-I$15 &lt; I$14,B34,IF(ROW(B34) - I$15 -I$16 + 1 &lt; I$14,INDIRECT(ADDRESS(MOD(ROW(B34) - I$15, I$14) + I$15, COLUMN(B34))),""))</f>
        <v>CP</v>
      </c>
      <c r="J34" t="str" cm="1">
        <f t="array" aca="1" ref="J34" ca="1">IF(ROW(C34)-J$15 &lt; J$14,C34,IF(ROW(C34) - J$15 -J$16 + 1 &lt; J$14,INDIRECT(ADDRESS(MOD(ROW(C34) - J$15, J$14) + J$15, COLUMN(C34))),""))</f>
        <v>SCAT</v>
      </c>
      <c r="K34" t="str" cm="1">
        <f t="array" aca="1" ref="K34" ca="1">IF(ROW(D34)-K$15 &lt; K$14,D34,IF(ROW(D34) - K$15 -K$16 + 1 &lt; K$14,INDIRECT(ADDRESS(MOD(ROW(D34) - K$15, K$14) + K$15, COLUMN(D34))),""))</f>
        <v>P5</v>
      </c>
      <c r="L34" t="str" cm="1">
        <f t="array" aca="1" ref="L34" ca="1">IF(ROW(E34)-L$15 &lt; L$14,E34,IF(ROW(E34) - L$15 -L$16 + 1 &lt; L$14,INDIRECT(ADDRESS(MOD(ROW(E34) - L$15, L$14) + L$15, COLUMN(E34))),""))</f>
        <v>P5</v>
      </c>
      <c r="N34" cm="1">
        <f t="array" aca="1" ref="N34" ca="1">IF(H34&lt;&gt;"", SUMPRODUCT((OFFSET(H34,0,0,H$16,1)=$T$24) +0),"")</f>
        <v>0</v>
      </c>
      <c r="O34" cm="1">
        <f t="array" aca="1" ref="O34" ca="1">IF(I34&lt;&gt;"", SUMPRODUCT((OFFSET(I34,0,0,I$16,1)=$T$24) +0),"")</f>
        <v>1</v>
      </c>
      <c r="P34" cm="1">
        <f t="array" aca="1" ref="P34" ca="1">IF(J34&lt;&gt;"", SUMPRODUCT((OFFSET(J34,0,0,J$16,1)=$T$24) +0),"")</f>
        <v>0</v>
      </c>
      <c r="Q34" cm="1">
        <f t="array" aca="1" ref="Q34" ca="1">IF(K34&lt;&gt;"", SUMPRODUCT((OFFSET(K34,0,0,K$16,1)=$T$24) +0),"")</f>
        <v>0</v>
      </c>
      <c r="R34" cm="1">
        <f t="array" aca="1" ref="R34" ca="1">IF(L34&lt;&gt;"", SUMPRODUCT((OFFSET(L34,0,0,L$16,1)=$T$24) +0),"")</f>
        <v>0</v>
      </c>
      <c r="AB34" s="46" t="str">
        <f>T23</f>
        <v>P6</v>
      </c>
      <c r="AC34" s="46">
        <v>4</v>
      </c>
      <c r="AD34" s="46">
        <f t="shared" si="9"/>
        <v>14</v>
      </c>
      <c r="AE34" s="46">
        <f t="shared" si="10"/>
        <v>15</v>
      </c>
      <c r="AF34" s="46">
        <f t="shared" si="11"/>
        <v>19</v>
      </c>
      <c r="AG34" s="46">
        <f t="shared" si="12"/>
        <v>14</v>
      </c>
      <c r="AH34" s="46">
        <f t="shared" si="13"/>
        <v>61</v>
      </c>
      <c r="AI34" s="46">
        <f t="shared" si="14"/>
        <v>3407460</v>
      </c>
      <c r="AJ34" s="50">
        <f t="shared" si="15"/>
        <v>1.0325778721705673E-3</v>
      </c>
      <c r="AK34" s="46">
        <f t="shared" si="8"/>
        <v>968.44996096799377</v>
      </c>
      <c r="AL34" s="46">
        <f>IFERROR(INDEX(Summary!$C$4:$E$9, MATCH($AB34, Summary!$B$4:$B$9, 0), MATCH($AC34, Summary!$C$3:$E$3, 0)), 0)</f>
        <v>25</v>
      </c>
      <c r="AM34" s="83"/>
      <c r="AN34" s="70"/>
      <c r="AO34" s="70"/>
    </row>
    <row r="35" spans="1:41" x14ac:dyDescent="0.3">
      <c r="A35" t="str">
        <v>P3</v>
      </c>
      <c r="B35" t="str">
        <v>P6</v>
      </c>
      <c r="C35" t="str">
        <v>P6</v>
      </c>
      <c r="D35" t="str">
        <v>P3</v>
      </c>
      <c r="E35" t="str">
        <v>P6</v>
      </c>
      <c r="H35" t="str" cm="1">
        <f t="array" aca="1" ref="H35" ca="1">IF(ROW(A35)-H$15 &lt; H$14,A35,IF(ROW(A35) - H$15 -H$16 + 1 &lt; H$14,INDIRECT(ADDRESS(MOD(ROW(A35) - H$15, H$14) + H$15, COLUMN(A35))),""))</f>
        <v>P3</v>
      </c>
      <c r="I35" t="str" cm="1">
        <f t="array" aca="1" ref="I35" ca="1">IF(ROW(B35)-I$15 &lt; I$14,B35,IF(ROW(B35) - I$15 -I$16 + 1 &lt; I$14,INDIRECT(ADDRESS(MOD(ROW(B35) - I$15, I$14) + I$15, COLUMN(B35))),""))</f>
        <v>P6</v>
      </c>
      <c r="J35" t="str" cm="1">
        <f t="array" aca="1" ref="J35" ca="1">IF(ROW(C35)-J$15 &lt; J$14,C35,IF(ROW(C35) - J$15 -J$16 + 1 &lt; J$14,INDIRECT(ADDRESS(MOD(ROW(C35) - J$15, J$14) + J$15, COLUMN(C35))),""))</f>
        <v>P6</v>
      </c>
      <c r="K35" t="str" cm="1">
        <f t="array" aca="1" ref="K35" ca="1">IF(ROW(D35)-K$15 &lt; K$14,D35,IF(ROW(D35) - K$15 -K$16 + 1 &lt; K$14,INDIRECT(ADDRESS(MOD(ROW(D35) - K$15, K$14) + K$15, COLUMN(D35))),""))</f>
        <v>P3</v>
      </c>
      <c r="L35" t="str" cm="1">
        <f t="array" aca="1" ref="L35" ca="1">IF(ROW(E35)-L$15 &lt; L$14,E35,IF(ROW(E35) - L$15 -L$16 + 1 &lt; L$14,INDIRECT(ADDRESS(MOD(ROW(E35) - L$15, L$14) + L$15, COLUMN(E35))),""))</f>
        <v>P6</v>
      </c>
      <c r="N35" cm="1">
        <f t="array" aca="1" ref="N35" ca="1">IF(H35&lt;&gt;"", SUMPRODUCT((OFFSET(H35,0,0,H$16,1)=$T$24) +0),"")</f>
        <v>0</v>
      </c>
      <c r="O35" cm="1">
        <f t="array" aca="1" ref="O35" ca="1">IF(I35&lt;&gt;"", SUMPRODUCT((OFFSET(I35,0,0,I$16,1)=$T$24) +0),"")</f>
        <v>0</v>
      </c>
      <c r="P35" cm="1">
        <f t="array" aca="1" ref="P35" ca="1">IF(J35&lt;&gt;"", SUMPRODUCT((OFFSET(J35,0,0,J$16,1)=$T$24) +0),"")</f>
        <v>0</v>
      </c>
      <c r="Q35" cm="1">
        <f t="array" aca="1" ref="Q35" ca="1">IF(K35&lt;&gt;"", SUMPRODUCT((OFFSET(K35,0,0,K$16,1)=$T$24) +0),"")</f>
        <v>0</v>
      </c>
      <c r="R35" cm="1">
        <f t="array" aca="1" ref="R35" ca="1">IF(L35&lt;&gt;"", SUMPRODUCT((OFFSET(L35,0,0,L$16,1)=$T$24) +0),"")</f>
        <v>0</v>
      </c>
      <c r="AB35" s="46" t="str">
        <f>T23</f>
        <v>P6</v>
      </c>
      <c r="AC35" s="46">
        <v>3</v>
      </c>
      <c r="AD35" s="46">
        <f t="shared" si="9"/>
        <v>14</v>
      </c>
      <c r="AE35" s="46">
        <f t="shared" si="10"/>
        <v>15</v>
      </c>
      <c r="AF35" s="46">
        <f t="shared" si="11"/>
        <v>19</v>
      </c>
      <c r="AG35" s="46">
        <f t="shared" si="12"/>
        <v>62</v>
      </c>
      <c r="AH35" s="46">
        <f t="shared" si="13"/>
        <v>77</v>
      </c>
      <c r="AI35" s="46">
        <f t="shared" si="14"/>
        <v>19048260</v>
      </c>
      <c r="AJ35" s="50">
        <f t="shared" si="15"/>
        <v>5.7722795804944832E-3</v>
      </c>
      <c r="AK35" s="46">
        <f t="shared" si="8"/>
        <v>173.24178187403993</v>
      </c>
      <c r="AL35" s="46">
        <f>IFERROR(INDEX(Summary!$C$4:$E$9, MATCH($AB35, Summary!$B$4:$B$9, 0), MATCH($AC35, Summary!$C$3:$E$3, 0)), 0)</f>
        <v>5</v>
      </c>
      <c r="AM35" s="84"/>
      <c r="AN35" s="71"/>
      <c r="AO35" s="71"/>
    </row>
    <row r="36" spans="1:41" x14ac:dyDescent="0.3">
      <c r="A36" t="str">
        <v>P5</v>
      </c>
      <c r="B36" t="str">
        <v>P5</v>
      </c>
      <c r="C36" t="str">
        <v>P5</v>
      </c>
      <c r="D36" t="str">
        <v>P5</v>
      </c>
      <c r="E36" t="str">
        <v>P4</v>
      </c>
      <c r="H36" t="str" cm="1">
        <f t="array" aca="1" ref="H36" ca="1">IF(ROW(A36)-H$15 &lt; H$14,A36,IF(ROW(A36) - H$15 -H$16 + 1 &lt; H$14,INDIRECT(ADDRESS(MOD(ROW(A36) - H$15, H$14) + H$15, COLUMN(A36))),""))</f>
        <v>P5</v>
      </c>
      <c r="I36" t="str" cm="1">
        <f t="array" aca="1" ref="I36" ca="1">IF(ROW(B36)-I$15 &lt; I$14,B36,IF(ROW(B36) - I$15 -I$16 + 1 &lt; I$14,INDIRECT(ADDRESS(MOD(ROW(B36) - I$15, I$14) + I$15, COLUMN(B36))),""))</f>
        <v>P5</v>
      </c>
      <c r="J36" t="str" cm="1">
        <f t="array" aca="1" ref="J36" ca="1">IF(ROW(C36)-J$15 &lt; J$14,C36,IF(ROW(C36) - J$15 -J$16 + 1 &lt; J$14,INDIRECT(ADDRESS(MOD(ROW(C36) - J$15, J$14) + J$15, COLUMN(C36))),""))</f>
        <v>P5</v>
      </c>
      <c r="K36" t="str" cm="1">
        <f t="array" aca="1" ref="K36" ca="1">IF(ROW(D36)-K$15 &lt; K$14,D36,IF(ROW(D36) - K$15 -K$16 + 1 &lt; K$14,INDIRECT(ADDRESS(MOD(ROW(D36) - K$15, K$14) + K$15, COLUMN(D36))),""))</f>
        <v>P5</v>
      </c>
      <c r="L36" t="str" cm="1">
        <f t="array" aca="1" ref="L36" ca="1">IF(ROW(E36)-L$15 &lt; L$14,E36,IF(ROW(E36) - L$15 -L$16 + 1 &lt; L$14,INDIRECT(ADDRESS(MOD(ROW(E36) - L$15, L$14) + L$15, COLUMN(E36))),""))</f>
        <v>P4</v>
      </c>
      <c r="N36" cm="1">
        <f t="array" aca="1" ref="N36" ca="1">IF(H36&lt;&gt;"", SUMPRODUCT((OFFSET(H36,0,0,H$16,1)=$T$24) +0),"")</f>
        <v>0</v>
      </c>
      <c r="O36" cm="1">
        <f t="array" aca="1" ref="O36" ca="1">IF(I36&lt;&gt;"", SUMPRODUCT((OFFSET(I36,0,0,I$16,1)=$T$24) +0),"")</f>
        <v>0</v>
      </c>
      <c r="P36" cm="1">
        <f t="array" aca="1" ref="P36" ca="1">IF(J36&lt;&gt;"", SUMPRODUCT((OFFSET(J36,0,0,J$16,1)=$T$24) +0),"")</f>
        <v>0</v>
      </c>
      <c r="Q36" cm="1">
        <f t="array" aca="1" ref="Q36" ca="1">IF(K36&lt;&gt;"", SUMPRODUCT((OFFSET(K36,0,0,K$16,1)=$T$24) +0),"")</f>
        <v>0</v>
      </c>
      <c r="R36" cm="1">
        <f t="array" aca="1" ref="R36" ca="1">IF(L36&lt;&gt;"", SUMPRODUCT((OFFSET(L36,0,0,L$16,1)=$T$24) +0),"")</f>
        <v>0</v>
      </c>
      <c r="T36" s="46" t="s">
        <v>24</v>
      </c>
      <c r="U36" s="46">
        <f>SUM(AJ18:AJ35)*Summary!C17</f>
        <v>0.52314054569765667</v>
      </c>
      <c r="AM36" s="29">
        <f>SUM(AM18:AM35)</f>
        <v>0.49591854615459874</v>
      </c>
    </row>
    <row r="37" spans="1:41" x14ac:dyDescent="0.3">
      <c r="A37" t="str">
        <v>P4</v>
      </c>
      <c r="B37" t="str">
        <v>P3</v>
      </c>
      <c r="C37" t="str">
        <v>P5</v>
      </c>
      <c r="D37" t="str">
        <v>P2</v>
      </c>
      <c r="E37" t="str">
        <v>P3</v>
      </c>
      <c r="H37" t="str" cm="1">
        <f t="array" aca="1" ref="H37" ca="1">IF(ROW(A37)-H$15 &lt; H$14,A37,IF(ROW(A37) - H$15 -H$16 + 1 &lt; H$14,INDIRECT(ADDRESS(MOD(ROW(A37) - H$15, H$14) + H$15, COLUMN(A37))),""))</f>
        <v>P4</v>
      </c>
      <c r="I37" t="str" cm="1">
        <f t="array" aca="1" ref="I37" ca="1">IF(ROW(B37)-I$15 &lt; I$14,B37,IF(ROW(B37) - I$15 -I$16 + 1 &lt; I$14,INDIRECT(ADDRESS(MOD(ROW(B37) - I$15, I$14) + I$15, COLUMN(B37))),""))</f>
        <v>P3</v>
      </c>
      <c r="J37" t="str" cm="1">
        <f t="array" aca="1" ref="J37" ca="1">IF(ROW(C37)-J$15 &lt; J$14,C37,IF(ROW(C37) - J$15 -J$16 + 1 &lt; J$14,INDIRECT(ADDRESS(MOD(ROW(C37) - J$15, J$14) + J$15, COLUMN(C37))),""))</f>
        <v>P5</v>
      </c>
      <c r="K37" t="str" cm="1">
        <f t="array" aca="1" ref="K37" ca="1">IF(ROW(D37)-K$15 &lt; K$14,D37,IF(ROW(D37) - K$15 -K$16 + 1 &lt; K$14,INDIRECT(ADDRESS(MOD(ROW(D37) - K$15, K$14) + K$15, COLUMN(D37))),""))</f>
        <v>P2</v>
      </c>
      <c r="L37" t="str" cm="1">
        <f t="array" aca="1" ref="L37" ca="1">IF(ROW(E37)-L$15 &lt; L$14,E37,IF(ROW(E37) - L$15 -L$16 + 1 &lt; L$14,INDIRECT(ADDRESS(MOD(ROW(E37) - L$15, L$14) + L$15, COLUMN(E37))),""))</f>
        <v>P3</v>
      </c>
      <c r="N37" cm="1">
        <f t="array" aca="1" ref="N37" ca="1">IF(H37&lt;&gt;"", SUMPRODUCT((OFFSET(H37,0,0,H$16,1)=$T$24) +0),"")</f>
        <v>0</v>
      </c>
      <c r="O37" cm="1">
        <f t="array" aca="1" ref="O37" ca="1">IF(I37&lt;&gt;"", SUMPRODUCT((OFFSET(I37,0,0,I$16,1)=$T$24) +0),"")</f>
        <v>0</v>
      </c>
      <c r="P37" cm="1">
        <f t="array" aca="1" ref="P37" ca="1">IF(J37&lt;&gt;"", SUMPRODUCT((OFFSET(J37,0,0,J$16,1)=$T$24) +0),"")</f>
        <v>0</v>
      </c>
      <c r="Q37" cm="1">
        <f t="array" aca="1" ref="Q37" ca="1">IF(K37&lt;&gt;"", SUMPRODUCT((OFFSET(K37,0,0,K$16,1)=$T$24) +0),"")</f>
        <v>0</v>
      </c>
      <c r="R37" cm="1">
        <f t="array" aca="1" ref="R37" ca="1">IF(L37&lt;&gt;"", SUMPRODUCT((OFFSET(L37,0,0,L$16,1)=$T$24) +0),"")</f>
        <v>0</v>
      </c>
      <c r="T37" s="46" t="s">
        <v>25</v>
      </c>
      <c r="U37" s="46"/>
    </row>
    <row r="38" spans="1:41" x14ac:dyDescent="0.3">
      <c r="A38" t="str">
        <v>SCAT</v>
      </c>
      <c r="B38" t="str">
        <v>WILD</v>
      </c>
      <c r="C38" t="str">
        <v>P6</v>
      </c>
      <c r="D38" t="str">
        <v>P5</v>
      </c>
      <c r="E38" t="str">
        <v>P5</v>
      </c>
      <c r="H38" t="str" cm="1">
        <f t="array" aca="1" ref="H38" ca="1">IF(ROW(A38)-H$15 &lt; H$14,A38,IF(ROW(A38) - H$15 -H$16 + 1 &lt; H$14,INDIRECT(ADDRESS(MOD(ROW(A38) - H$15, H$14) + H$15, COLUMN(A38))),""))</f>
        <v>SCAT</v>
      </c>
      <c r="I38" t="str" cm="1">
        <f t="array" aca="1" ref="I38" ca="1">IF(ROW(B38)-I$15 &lt; I$14,B38,IF(ROW(B38) - I$15 -I$16 + 1 &lt; I$14,INDIRECT(ADDRESS(MOD(ROW(B38) - I$15, I$14) + I$15, COLUMN(B38))),""))</f>
        <v>WILD</v>
      </c>
      <c r="J38" t="str" cm="1">
        <f t="array" aca="1" ref="J38" ca="1">IF(ROW(C38)-J$15 &lt; J$14,C38,IF(ROW(C38) - J$15 -J$16 + 1 &lt; J$14,INDIRECT(ADDRESS(MOD(ROW(C38) - J$15, J$14) + J$15, COLUMN(C38))),""))</f>
        <v>P6</v>
      </c>
      <c r="K38" t="str" cm="1">
        <f t="array" aca="1" ref="K38" ca="1">IF(ROW(D38)-K$15 &lt; K$14,D38,IF(ROW(D38) - K$15 -K$16 + 1 &lt; K$14,INDIRECT(ADDRESS(MOD(ROW(D38) - K$15, K$14) + K$15, COLUMN(D38))),""))</f>
        <v>P5</v>
      </c>
      <c r="L38" t="str" cm="1">
        <f t="array" aca="1" ref="L38" ca="1">IF(ROW(E38)-L$15 &lt; L$14,E38,IF(ROW(E38) - L$15 -L$16 + 1 &lt; L$14,INDIRECT(ADDRESS(MOD(ROW(E38) - L$15, L$14) + L$15, COLUMN(E38))),""))</f>
        <v>P5</v>
      </c>
      <c r="N38" cm="1">
        <f t="array" aca="1" ref="N38" ca="1">IF(H38&lt;&gt;"", SUMPRODUCT((OFFSET(H38,0,0,H$16,1)=$T$24) +0),"")</f>
        <v>0</v>
      </c>
      <c r="O38" cm="1">
        <f t="array" aca="1" ref="O38" ca="1">IF(I38&lt;&gt;"", SUMPRODUCT((OFFSET(I38,0,0,I$16,1)=$T$24) +0),"")</f>
        <v>0</v>
      </c>
      <c r="P38" cm="1">
        <f t="array" aca="1" ref="P38" ca="1">IF(J38&lt;&gt;"", SUMPRODUCT((OFFSET(J38,0,0,J$16,1)=$T$24) +0),"")</f>
        <v>0</v>
      </c>
      <c r="Q38" cm="1">
        <f t="array" aca="1" ref="Q38" ca="1">IF(K38&lt;&gt;"", SUMPRODUCT((OFFSET(K38,0,0,K$16,1)=$T$24) +0),"")</f>
        <v>0</v>
      </c>
      <c r="R38" cm="1">
        <f t="array" aca="1" ref="R38" ca="1">IF(L38&lt;&gt;"", SUMPRODUCT((OFFSET(L38,0,0,L$16,1)=$T$24) +0),"")</f>
        <v>0</v>
      </c>
      <c r="T38" s="46" t="s">
        <v>16</v>
      </c>
      <c r="U38" s="53">
        <f>AM36</f>
        <v>0.49591854615459874</v>
      </c>
    </row>
    <row r="39" spans="1:41" x14ac:dyDescent="0.3">
      <c r="A39" t="str">
        <v>P6</v>
      </c>
      <c r="B39" t="str">
        <v>P4</v>
      </c>
      <c r="C39" t="str">
        <v>P4</v>
      </c>
      <c r="D39" t="str">
        <v>P3</v>
      </c>
      <c r="E39" t="str">
        <v>P2</v>
      </c>
      <c r="H39" t="str" cm="1">
        <f t="array" aca="1" ref="H39" ca="1">IF(ROW(A39)-H$15 &lt; H$14,A39,IF(ROW(A39) - H$15 -H$16 + 1 &lt; H$14,INDIRECT(ADDRESS(MOD(ROW(A39) - H$15, H$14) + H$15, COLUMN(A39))),""))</f>
        <v>P6</v>
      </c>
      <c r="I39" t="str" cm="1">
        <f t="array" aca="1" ref="I39" ca="1">IF(ROW(B39)-I$15 &lt; I$14,B39,IF(ROW(B39) - I$15 -I$16 + 1 &lt; I$14,INDIRECT(ADDRESS(MOD(ROW(B39) - I$15, I$14) + I$15, COLUMN(B39))),""))</f>
        <v>P4</v>
      </c>
      <c r="J39" t="str" cm="1">
        <f t="array" aca="1" ref="J39" ca="1">IF(ROW(C39)-J$15 &lt; J$14,C39,IF(ROW(C39) - J$15 -J$16 + 1 &lt; J$14,INDIRECT(ADDRESS(MOD(ROW(C39) - J$15, J$14) + J$15, COLUMN(C39))),""))</f>
        <v>P4</v>
      </c>
      <c r="K39" t="str" cm="1">
        <f t="array" aca="1" ref="K39" ca="1">IF(ROW(D39)-K$15 &lt; K$14,D39,IF(ROW(D39) - K$15 -K$16 + 1 &lt; K$14,INDIRECT(ADDRESS(MOD(ROW(D39) - K$15, K$14) + K$15, COLUMN(D39))),""))</f>
        <v>P3</v>
      </c>
      <c r="L39" t="str" cm="1">
        <f t="array" aca="1" ref="L39" ca="1">IF(ROW(E39)-L$15 &lt; L$14,E39,IF(ROW(E39) - L$15 -L$16 + 1 &lt; L$14,INDIRECT(ADDRESS(MOD(ROW(E39) - L$15, L$14) + L$15, COLUMN(E39))),""))</f>
        <v>P2</v>
      </c>
      <c r="N39" cm="1">
        <f t="array" aca="1" ref="N39" ca="1">IF(H39&lt;&gt;"", SUMPRODUCT((OFFSET(H39,0,0,H$16,1)=$T$24) +0),"")</f>
        <v>0</v>
      </c>
      <c r="O39" cm="1">
        <f t="array" aca="1" ref="O39" ca="1">IF(I39&lt;&gt;"", SUMPRODUCT((OFFSET(I39,0,0,I$16,1)=$T$24) +0),"")</f>
        <v>0</v>
      </c>
      <c r="P39" cm="1">
        <f t="array" aca="1" ref="P39" ca="1">IF(J39&lt;&gt;"", SUMPRODUCT((OFFSET(J39,0,0,J$16,1)=$T$24) +0),"")</f>
        <v>0</v>
      </c>
      <c r="Q39" cm="1">
        <f t="array" aca="1" ref="Q39" ca="1">IF(K39&lt;&gt;"", SUMPRODUCT((OFFSET(K39,0,0,K$16,1)=$T$24) +0),"")</f>
        <v>0</v>
      </c>
      <c r="R39" cm="1">
        <f t="array" aca="1" ref="R39" ca="1">IF(L39&lt;&gt;"", SUMPRODUCT((OFFSET(L39,0,0,L$16,1)=$T$24) +0),"")</f>
        <v>1</v>
      </c>
      <c r="T39" s="46" t="s">
        <v>17</v>
      </c>
      <c r="U39" s="53">
        <f ca="1">AL52</f>
        <v>0.15793014442153516</v>
      </c>
      <c r="V39" s="29"/>
      <c r="W39" s="29"/>
      <c r="AG39" t="s">
        <v>91</v>
      </c>
      <c r="AH39" t="s">
        <v>6</v>
      </c>
    </row>
    <row r="40" spans="1:41" x14ac:dyDescent="0.3">
      <c r="A40" t="str">
        <v>P3</v>
      </c>
      <c r="B40" t="str">
        <v>P5</v>
      </c>
      <c r="C40" t="str">
        <v>SCAT</v>
      </c>
      <c r="D40" t="str">
        <v>P4</v>
      </c>
      <c r="E40" t="str">
        <v>SCAT</v>
      </c>
      <c r="H40" t="str" cm="1">
        <f t="array" aca="1" ref="H40" ca="1">IF(ROW(A40)-H$15 &lt; H$14,A40,IF(ROW(A40) - H$15 -H$16 + 1 &lt; H$14,INDIRECT(ADDRESS(MOD(ROW(A40) - H$15, H$14) + H$15, COLUMN(A40))),""))</f>
        <v>P3</v>
      </c>
      <c r="I40" t="str" cm="1">
        <f t="array" aca="1" ref="I40" ca="1">IF(ROW(B40)-I$15 &lt; I$14,B40,IF(ROW(B40) - I$15 -I$16 + 1 &lt; I$14,INDIRECT(ADDRESS(MOD(ROW(B40) - I$15, I$14) + I$15, COLUMN(B40))),""))</f>
        <v>P5</v>
      </c>
      <c r="J40" t="str" cm="1">
        <f t="array" aca="1" ref="J40" ca="1">IF(ROW(C40)-J$15 &lt; J$14,C40,IF(ROW(C40) - J$15 -J$16 + 1 &lt; J$14,INDIRECT(ADDRESS(MOD(ROW(C40) - J$15, J$14) + J$15, COLUMN(C40))),""))</f>
        <v>SCAT</v>
      </c>
      <c r="K40" t="str" cm="1">
        <f t="array" aca="1" ref="K40" ca="1">IF(ROW(D40)-K$15 &lt; K$14,D40,IF(ROW(D40) - K$15 -K$16 + 1 &lt; K$14,INDIRECT(ADDRESS(MOD(ROW(D40) - K$15, K$14) + K$15, COLUMN(D40))),""))</f>
        <v>P4</v>
      </c>
      <c r="L40" t="str" cm="1">
        <f t="array" aca="1" ref="L40" ca="1">IF(ROW(E40)-L$15 &lt; L$14,E40,IF(ROW(E40) - L$15 -L$16 + 1 &lt; L$14,INDIRECT(ADDRESS(MOD(ROW(E40) - L$15, L$14) + L$15, COLUMN(E40))),""))</f>
        <v>SCAT</v>
      </c>
      <c r="N40" cm="1">
        <f t="array" aca="1" ref="N40" ca="1">IF(H40&lt;&gt;"", SUMPRODUCT((OFFSET(H40,0,0,H$16,1)=$T$24) +0),"")</f>
        <v>0</v>
      </c>
      <c r="O40" cm="1">
        <f t="array" aca="1" ref="O40" ca="1">IF(I40&lt;&gt;"", SUMPRODUCT((OFFSET(I40,0,0,I$16,1)=$T$24) +0),"")</f>
        <v>0</v>
      </c>
      <c r="P40" cm="1">
        <f t="array" aca="1" ref="P40" ca="1">IF(J40&lt;&gt;"", SUMPRODUCT((OFFSET(J40,0,0,J$16,1)=$T$24) +0),"")</f>
        <v>0</v>
      </c>
      <c r="Q40" cm="1">
        <f t="array" aca="1" ref="Q40" ca="1">IF(K40&lt;&gt;"", SUMPRODUCT((OFFSET(K40,0,0,K$16,1)=$T$24) +0),"")</f>
        <v>0</v>
      </c>
      <c r="R40" cm="1">
        <f t="array" aca="1" ref="R40" ca="1">IF(L40&lt;&gt;"", SUMPRODUCT((OFFSET(L40,0,0,L$16,1)=$T$24) +0),"")</f>
        <v>2</v>
      </c>
      <c r="T40" s="46" t="s">
        <v>94</v>
      </c>
      <c r="U40" s="51">
        <f ca="1">AH42</f>
        <v>0.10926498047700683</v>
      </c>
      <c r="AB40" t="s">
        <v>64</v>
      </c>
      <c r="AC40">
        <v>5</v>
      </c>
      <c r="AD40">
        <f>U26*H16*I16*J16*K16*L16*V26*W26*X26*Y26</f>
        <v>0</v>
      </c>
      <c r="AE40">
        <f>AD40/$U$28</f>
        <v>0</v>
      </c>
      <c r="AF40" t="e">
        <f>1/AE40</f>
        <v>#DIV/0!</v>
      </c>
      <c r="AG40">
        <v>7</v>
      </c>
      <c r="AH40">
        <f ca="1">AG40*Freespins!$U$40*AE40</f>
        <v>0</v>
      </c>
    </row>
    <row r="41" spans="1:41" x14ac:dyDescent="0.3">
      <c r="A41" t="str">
        <v>P6</v>
      </c>
      <c r="B41" t="str">
        <v>P2</v>
      </c>
      <c r="C41" t="str">
        <v>P3</v>
      </c>
      <c r="D41" t="str">
        <v>P5</v>
      </c>
      <c r="E41" t="str">
        <v>CP</v>
      </c>
      <c r="H41" t="str" cm="1">
        <f t="array" aca="1" ref="H41" ca="1">IF(ROW(A41)-H$15 &lt; H$14,A41,IF(ROW(A41) - H$15 -H$16 + 1 &lt; H$14,INDIRECT(ADDRESS(MOD(ROW(A41) - H$15, H$14) + H$15, COLUMN(A41))),""))</f>
        <v>P6</v>
      </c>
      <c r="I41" t="str" cm="1">
        <f t="array" aca="1" ref="I41" ca="1">IF(ROW(B41)-I$15 &lt; I$14,B41,IF(ROW(B41) - I$15 -I$16 + 1 &lt; I$14,INDIRECT(ADDRESS(MOD(ROW(B41) - I$15, I$14) + I$15, COLUMN(B41))),""))</f>
        <v>P2</v>
      </c>
      <c r="J41" t="str" cm="1">
        <f t="array" aca="1" ref="J41" ca="1">IF(ROW(C41)-J$15 &lt; J$14,C41,IF(ROW(C41) - J$15 -J$16 + 1 &lt; J$14,INDIRECT(ADDRESS(MOD(ROW(C41) - J$15, J$14) + J$15, COLUMN(C41))),""))</f>
        <v>P3</v>
      </c>
      <c r="K41" t="str" cm="1">
        <f t="array" aca="1" ref="K41" ca="1">IF(ROW(D41)-K$15 &lt; K$14,D41,IF(ROW(D41) - K$15 -K$16 + 1 &lt; K$14,INDIRECT(ADDRESS(MOD(ROW(D41) - K$15, K$14) + K$15, COLUMN(D41))),""))</f>
        <v>P5</v>
      </c>
      <c r="L41" t="str" cm="1">
        <f t="array" aca="1" ref="L41" ca="1">IF(ROW(E41)-L$15 &lt; L$14,E41,IF(ROW(E41) - L$15 -L$16 + 1 &lt; L$14,INDIRECT(ADDRESS(MOD(ROW(E41) - L$15, L$14) + L$15, COLUMN(E41))),""))</f>
        <v>CP</v>
      </c>
      <c r="N41" cm="1">
        <f t="array" aca="1" ref="N41" ca="1">IF(H41&lt;&gt;"", SUMPRODUCT((OFFSET(H41,0,0,H$16,1)=$T$24) +0),"")</f>
        <v>0</v>
      </c>
      <c r="O41" cm="1">
        <f t="array" aca="1" ref="O41" ca="1">IF(I41&lt;&gt;"", SUMPRODUCT((OFFSET(I41,0,0,I$16,1)=$T$24) +0),"")</f>
        <v>0</v>
      </c>
      <c r="P41" cm="1">
        <f t="array" aca="1" ref="P41" ca="1">IF(J41&lt;&gt;"", SUMPRODUCT((OFFSET(J41,0,0,J$16,1)=$T$24) +0),"")</f>
        <v>0</v>
      </c>
      <c r="Q41" cm="1">
        <f t="array" aca="1" ref="Q41" ca="1">IF(K41&lt;&gt;"", SUMPRODUCT((OFFSET(K41,0,0,K$16,1)=$T$24) +0),"")</f>
        <v>0</v>
      </c>
      <c r="R41" cm="1">
        <f t="array" aca="1" ref="R41" ca="1">IF(L41&lt;&gt;"", SUMPRODUCT((OFFSET(L41,0,0,L$16,1)=$T$24) +0),"")</f>
        <v>2</v>
      </c>
      <c r="T41" s="45" t="s">
        <v>26</v>
      </c>
      <c r="U41" s="118">
        <f ca="1">SUM(U38:U40)</f>
        <v>0.76311367105314076</v>
      </c>
      <c r="AB41" t="s">
        <v>64</v>
      </c>
      <c r="AC41">
        <v>4</v>
      </c>
      <c r="AD41">
        <f>(U26*$H$16*V26*$I$16*W26*$J$16*X26*$K$16*(Y27-Y26)*$L$16)+(U26*$H$16*V26*$I$16*W26*$J$16*(X27-X26)*$K$16*Y26*$L$16)+(U26*$H$16*V26*$I$16*(W27-W26)*$J$16*X26*$K$16*Y26*$L$16)+(U26*$H$16*(V27-V26)*$I$16*W26*$J$16*X26*$K$16*Y26*$L$16)+((U27-U26)*$H$16*V26*$I$16*W26*$J$16*X26*$K$16*Y26*$L$16)</f>
        <v>0</v>
      </c>
      <c r="AE41">
        <f t="shared" ref="AE41:AE42" si="25">AD41/$U$28</f>
        <v>0</v>
      </c>
      <c r="AF41" t="e">
        <f t="shared" ref="AF41:AF42" si="26">1/AE41</f>
        <v>#DIV/0!</v>
      </c>
      <c r="AG41">
        <v>5</v>
      </c>
      <c r="AH41">
        <f ca="1">AG41*Freespins!$U$40*AE41</f>
        <v>0</v>
      </c>
    </row>
    <row r="42" spans="1:41" x14ac:dyDescent="0.3">
      <c r="A42" t="str">
        <v>P3</v>
      </c>
      <c r="B42" t="str">
        <v>P5</v>
      </c>
      <c r="C42" t="str">
        <v>P5</v>
      </c>
      <c r="D42" t="str">
        <v>P6</v>
      </c>
      <c r="E42" t="str">
        <v>CP</v>
      </c>
      <c r="H42" t="str" cm="1">
        <f t="array" aca="1" ref="H42" ca="1">IF(ROW(A42)-H$15 &lt; H$14,A42,IF(ROW(A42) - H$15 -H$16 + 1 &lt; H$14,INDIRECT(ADDRESS(MOD(ROW(A42) - H$15, H$14) + H$15, COLUMN(A42))),""))</f>
        <v>P3</v>
      </c>
      <c r="I42" t="str" cm="1">
        <f t="array" aca="1" ref="I42" ca="1">IF(ROW(B42)-I$15 &lt; I$14,B42,IF(ROW(B42) - I$15 -I$16 + 1 &lt; I$14,INDIRECT(ADDRESS(MOD(ROW(B42) - I$15, I$14) + I$15, COLUMN(B42))),""))</f>
        <v>P5</v>
      </c>
      <c r="J42" t="str" cm="1">
        <f t="array" aca="1" ref="J42" ca="1">IF(ROW(C42)-J$15 &lt; J$14,C42,IF(ROW(C42) - J$15 -J$16 + 1 &lt; J$14,INDIRECT(ADDRESS(MOD(ROW(C42) - J$15, J$14) + J$15, COLUMN(C42))),""))</f>
        <v>P5</v>
      </c>
      <c r="K42" t="str" cm="1">
        <f t="array" aca="1" ref="K42" ca="1">IF(ROW(D42)-K$15 &lt; K$14,D42,IF(ROW(D42) - K$15 -K$16 + 1 &lt; K$14,INDIRECT(ADDRESS(MOD(ROW(D42) - K$15, K$14) + K$15, COLUMN(D42))),""))</f>
        <v>P6</v>
      </c>
      <c r="L42" t="str" cm="1">
        <f t="array" aca="1" ref="L42" ca="1">IF(ROW(E42)-L$15 &lt; L$14,E42,IF(ROW(E42) - L$15 -L$16 + 1 &lt; L$14,INDIRECT(ADDRESS(MOD(ROW(E42) - L$15, L$14) + L$15, COLUMN(E42))),""))</f>
        <v>CP</v>
      </c>
      <c r="N42" cm="1">
        <f t="array" aca="1" ref="N42" ca="1">IF(H42&lt;&gt;"", SUMPRODUCT((OFFSET(H42,0,0,H$16,1)=$T$24) +0),"")</f>
        <v>0</v>
      </c>
      <c r="O42" cm="1">
        <f t="array" aca="1" ref="O42" ca="1">IF(I42&lt;&gt;"", SUMPRODUCT((OFFSET(I42,0,0,I$16,1)=$T$24) +0),"")</f>
        <v>0</v>
      </c>
      <c r="P42" cm="1">
        <f t="array" aca="1" ref="P42" ca="1">IF(J42&lt;&gt;"", SUMPRODUCT((OFFSET(J42,0,0,J$16,1)=$T$24) +0),"")</f>
        <v>0</v>
      </c>
      <c r="Q42" cm="1">
        <f t="array" aca="1" ref="Q42" ca="1">IF(K42&lt;&gt;"", SUMPRODUCT((OFFSET(K42,0,0,K$16,1)=$T$24) +0),"")</f>
        <v>0</v>
      </c>
      <c r="R42" cm="1">
        <f t="array" aca="1" ref="R42" ca="1">IF(L42&lt;&gt;"", SUMPRODUCT((OFFSET(L42,0,0,L$16,1)=$T$24) +0),"")</f>
        <v>1</v>
      </c>
      <c r="AB42" t="s">
        <v>64</v>
      </c>
      <c r="AC42">
        <v>3</v>
      </c>
      <c r="AD42">
        <f>U26*H16*V27*X27*W26*Y26*L16*J16</f>
        <v>12158100</v>
      </c>
      <c r="AE42">
        <f t="shared" si="25"/>
        <v>3.6843235218130149E-3</v>
      </c>
      <c r="AF42">
        <f t="shared" si="26"/>
        <v>271.42024691358023</v>
      </c>
      <c r="AG42">
        <v>5</v>
      </c>
      <c r="AH42">
        <f ca="1">AG42*Freespins!$U$40*AE42</f>
        <v>0.10926498047700683</v>
      </c>
    </row>
    <row r="43" spans="1:41" x14ac:dyDescent="0.3">
      <c r="A43" t="str">
        <v>P4</v>
      </c>
      <c r="B43" t="str">
        <v>P3</v>
      </c>
      <c r="C43" t="str">
        <v>P2</v>
      </c>
      <c r="D43" t="str">
        <v>P5</v>
      </c>
      <c r="E43" t="str">
        <v>P6</v>
      </c>
      <c r="H43" t="str" cm="1">
        <f t="array" aca="1" ref="H43" ca="1">IF(ROW(A43)-H$15 &lt; H$14,A43,IF(ROW(A43) - H$15 -H$16 + 1 &lt; H$14,INDIRECT(ADDRESS(MOD(ROW(A43) - H$15, H$14) + H$15, COLUMN(A43))),""))</f>
        <v>P4</v>
      </c>
      <c r="I43" t="str" cm="1">
        <f t="array" aca="1" ref="I43" ca="1">IF(ROW(B43)-I$15 &lt; I$14,B43,IF(ROW(B43) - I$15 -I$16 + 1 &lt; I$14,INDIRECT(ADDRESS(MOD(ROW(B43) - I$15, I$14) + I$15, COLUMN(B43))),""))</f>
        <v>P3</v>
      </c>
      <c r="J43" t="str" cm="1">
        <f t="array" aca="1" ref="J43" ca="1">IF(ROW(C43)-J$15 &lt; J$14,C43,IF(ROW(C43) - J$15 -J$16 + 1 &lt; J$14,INDIRECT(ADDRESS(MOD(ROW(C43) - J$15, J$14) + J$15, COLUMN(C43))),""))</f>
        <v>P2</v>
      </c>
      <c r="K43" t="str" cm="1">
        <f t="array" aca="1" ref="K43" ca="1">IF(ROW(D43)-K$15 &lt; K$14,D43,IF(ROW(D43) - K$15 -K$16 + 1 &lt; K$14,INDIRECT(ADDRESS(MOD(ROW(D43) - K$15, K$14) + K$15, COLUMN(D43))),""))</f>
        <v>P5</v>
      </c>
      <c r="L43" t="str" cm="1">
        <f t="array" aca="1" ref="L43" ca="1">IF(ROW(E43)-L$15 &lt; L$14,E43,IF(ROW(E43) - L$15 -L$16 + 1 &lt; L$14,INDIRECT(ADDRESS(MOD(ROW(E43) - L$15, L$14) + L$15, COLUMN(E43))),""))</f>
        <v>P6</v>
      </c>
      <c r="N43" cm="1">
        <f t="array" aca="1" ref="N43" ca="1">IF(H43&lt;&gt;"", SUMPRODUCT((OFFSET(H43,0,0,H$16,1)=$T$24) +0),"")</f>
        <v>1</v>
      </c>
      <c r="O43" cm="1">
        <f t="array" aca="1" ref="O43" ca="1">IF(I43&lt;&gt;"", SUMPRODUCT((OFFSET(I43,0,0,I$16,1)=$T$24) +0),"")</f>
        <v>0</v>
      </c>
      <c r="P43" cm="1">
        <f t="array" aca="1" ref="P43" ca="1">IF(J43&lt;&gt;"", SUMPRODUCT((OFFSET(J43,0,0,J$16,1)=$T$24) +0),"")</f>
        <v>0</v>
      </c>
      <c r="Q43" cm="1">
        <f t="array" aca="1" ref="Q43" ca="1">IF(K43&lt;&gt;"", SUMPRODUCT((OFFSET(K43,0,0,K$16,1)=$T$24) +0),"")</f>
        <v>0</v>
      </c>
      <c r="R43" cm="1">
        <f t="array" aca="1" ref="R43" ca="1">IF(L43&lt;&gt;"", SUMPRODUCT((OFFSET(L43,0,0,L$16,1)=$T$24) +0),"")</f>
        <v>0</v>
      </c>
      <c r="U43" s="4"/>
      <c r="V43" s="4"/>
      <c r="W43" s="4"/>
      <c r="AE43" s="58"/>
    </row>
    <row r="44" spans="1:41" x14ac:dyDescent="0.3">
      <c r="A44" t="str">
        <v>P5</v>
      </c>
      <c r="B44" t="str">
        <v>P4</v>
      </c>
      <c r="C44" t="str">
        <v>P6</v>
      </c>
      <c r="D44" t="str">
        <v>P1</v>
      </c>
      <c r="E44" t="str">
        <v>P6</v>
      </c>
      <c r="H44" t="str" cm="1">
        <f t="array" aca="1" ref="H44" ca="1">IF(ROW(A44)-H$15 &lt; H$14,A44,IF(ROW(A44) - H$15 -H$16 + 1 &lt; H$14,INDIRECT(ADDRESS(MOD(ROW(A44) - H$15, H$14) + H$15, COLUMN(A44))),""))</f>
        <v>P5</v>
      </c>
      <c r="I44" t="str" cm="1">
        <f t="array" aca="1" ref="I44" ca="1">IF(ROW(B44)-I$15 &lt; I$14,B44,IF(ROW(B44) - I$15 -I$16 + 1 &lt; I$14,INDIRECT(ADDRESS(MOD(ROW(B44) - I$15, I$14) + I$15, COLUMN(B44))),""))</f>
        <v>P4</v>
      </c>
      <c r="J44" t="str" cm="1">
        <f t="array" aca="1" ref="J44" ca="1">IF(ROW(C44)-J$15 &lt; J$14,C44,IF(ROW(C44) - J$15 -J$16 + 1 &lt; J$14,INDIRECT(ADDRESS(MOD(ROW(C44) - J$15, J$14) + J$15, COLUMN(C44))),""))</f>
        <v>P6</v>
      </c>
      <c r="K44" t="str" cm="1">
        <f t="array" aca="1" ref="K44" ca="1">IF(ROW(D44)-K$15 &lt; K$14,D44,IF(ROW(D44) - K$15 -K$16 + 1 &lt; K$14,INDIRECT(ADDRESS(MOD(ROW(D44) - K$15, K$14) + K$15, COLUMN(D44))),""))</f>
        <v>P1</v>
      </c>
      <c r="L44" t="str" cm="1">
        <f t="array" aca="1" ref="L44" ca="1">IF(ROW(E44)-L$15 &lt; L$14,E44,IF(ROW(E44) - L$15 -L$16 + 1 &lt; L$14,INDIRECT(ADDRESS(MOD(ROW(E44) - L$15, L$14) + L$15, COLUMN(E44))),""))</f>
        <v>P6</v>
      </c>
      <c r="N44" cm="1">
        <f t="array" aca="1" ref="N44" ca="1">IF(H44&lt;&gt;"", SUMPRODUCT((OFFSET(H44,0,0,H$16,1)=$T$24) +0),"")</f>
        <v>2</v>
      </c>
      <c r="O44" cm="1">
        <f t="array" aca="1" ref="O44" ca="1">IF(I44&lt;&gt;"", SUMPRODUCT((OFFSET(I44,0,0,I$16,1)=$T$24) +0),"")</f>
        <v>0</v>
      </c>
      <c r="P44" cm="1">
        <f t="array" aca="1" ref="P44" ca="1">IF(J44&lt;&gt;"", SUMPRODUCT((OFFSET(J44,0,0,J$16,1)=$T$24) +0),"")</f>
        <v>1</v>
      </c>
      <c r="Q44" cm="1">
        <f t="array" aca="1" ref="Q44" ca="1">IF(K44&lt;&gt;"", SUMPRODUCT((OFFSET(K44,0,0,K$16,1)=$T$24) +0),"")</f>
        <v>0</v>
      </c>
      <c r="R44" cm="1">
        <f t="array" aca="1" ref="R44" ca="1">IF(L44&lt;&gt;"", SUMPRODUCT((OFFSET(L44,0,0,L$16,1)=$T$24) +0),"")</f>
        <v>0</v>
      </c>
    </row>
    <row r="45" spans="1:41" x14ac:dyDescent="0.3">
      <c r="A45" t="str">
        <v>CP</v>
      </c>
      <c r="B45" t="str">
        <v>P4</v>
      </c>
      <c r="C45" t="str">
        <v>SCAT</v>
      </c>
      <c r="D45" t="str">
        <v>WILD</v>
      </c>
      <c r="E45" t="str">
        <v>P2</v>
      </c>
      <c r="H45" t="str" cm="1">
        <f t="array" aca="1" ref="H45" ca="1">IF(ROW(A45)-H$15 &lt; H$14,A45,IF(ROW(A45) - H$15 -H$16 + 1 &lt; H$14,INDIRECT(ADDRESS(MOD(ROW(A45) - H$15, H$14) + H$15, COLUMN(A45))),""))</f>
        <v>CP</v>
      </c>
      <c r="I45" t="str" cm="1">
        <f t="array" aca="1" ref="I45" ca="1">IF(ROW(B45)-I$15 &lt; I$14,B45,IF(ROW(B45) - I$15 -I$16 + 1 &lt; I$14,INDIRECT(ADDRESS(MOD(ROW(B45) - I$15, I$14) + I$15, COLUMN(B45))),""))</f>
        <v>P4</v>
      </c>
      <c r="J45" t="str" cm="1">
        <f t="array" aca="1" ref="J45" ca="1">IF(ROW(C45)-J$15 &lt; J$14,C45,IF(ROW(C45) - J$15 -J$16 + 1 &lt; J$14,INDIRECT(ADDRESS(MOD(ROW(C45) - J$15, J$14) + J$15, COLUMN(C45))),""))</f>
        <v>SCAT</v>
      </c>
      <c r="K45" t="str" cm="1">
        <f t="array" aca="1" ref="K45" ca="1">IF(ROW(D45)-K$15 &lt; K$14,D45,IF(ROW(D45) - K$15 -K$16 + 1 &lt; K$14,INDIRECT(ADDRESS(MOD(ROW(D45) - K$15, K$14) + K$15, COLUMN(D45))),""))</f>
        <v>WILD</v>
      </c>
      <c r="L45" t="str" cm="1">
        <f t="array" aca="1" ref="L45" ca="1">IF(ROW(E45)-L$15 &lt; L$14,E45,IF(ROW(E45) - L$15 -L$16 + 1 &lt; L$14,INDIRECT(ADDRESS(MOD(ROW(E45) - L$15, L$14) + L$15, COLUMN(E45))),""))</f>
        <v>P2</v>
      </c>
      <c r="N45" cm="1">
        <f t="array" aca="1" ref="N45" ca="1">IF(H45&lt;&gt;"", SUMPRODUCT((OFFSET(H45,0,0,H$16,1)=$T$24) +0),"")</f>
        <v>2</v>
      </c>
      <c r="O45" cm="1">
        <f t="array" aca="1" ref="O45" ca="1">IF(I45&lt;&gt;"", SUMPRODUCT((OFFSET(I45,0,0,I$16,1)=$T$24) +0),"")</f>
        <v>0</v>
      </c>
      <c r="P45" cm="1">
        <f t="array" aca="1" ref="P45" ca="1">IF(J45&lt;&gt;"", SUMPRODUCT((OFFSET(J45,0,0,J$16,1)=$T$24) +0),"")</f>
        <v>2</v>
      </c>
      <c r="Q45" cm="1">
        <f t="array" aca="1" ref="Q45" ca="1">IF(K45&lt;&gt;"", SUMPRODUCT((OFFSET(K45,0,0,K$16,1)=$T$24) +0),"")</f>
        <v>0</v>
      </c>
      <c r="R45" cm="1">
        <f t="array" aca="1" ref="R45" ca="1">IF(L45&lt;&gt;"", SUMPRODUCT((OFFSET(L45,0,0,L$16,1)=$T$24) +0),"")</f>
        <v>0</v>
      </c>
      <c r="AL45" s="25"/>
    </row>
    <row r="46" spans="1:41" x14ac:dyDescent="0.3">
      <c r="A46" t="str">
        <v>CP</v>
      </c>
      <c r="B46" t="str">
        <v>P5</v>
      </c>
      <c r="C46" t="str">
        <v>CP</v>
      </c>
      <c r="D46" t="str">
        <v>P4</v>
      </c>
      <c r="E46" t="str">
        <v>P4</v>
      </c>
      <c r="H46" t="str" cm="1">
        <f t="array" aca="1" ref="H46" ca="1">IF(ROW(A46)-H$15 &lt; H$14,A46,IF(ROW(A46) - H$15 -H$16 + 1 &lt; H$14,INDIRECT(ADDRESS(MOD(ROW(A46) - H$15, H$14) + H$15, COLUMN(A46))),""))</f>
        <v>CP</v>
      </c>
      <c r="I46" t="str" cm="1">
        <f t="array" aca="1" ref="I46" ca="1">IF(ROW(B46)-I$15 &lt; I$14,B46,IF(ROW(B46) - I$15 -I$16 + 1 &lt; I$14,INDIRECT(ADDRESS(MOD(ROW(B46) - I$15, I$14) + I$15, COLUMN(B46))),""))</f>
        <v>P5</v>
      </c>
      <c r="J46" t="str" cm="1">
        <f t="array" aca="1" ref="J46" ca="1">IF(ROW(C46)-J$15 &lt; J$14,C46,IF(ROW(C46) - J$15 -J$16 + 1 &lt; J$14,INDIRECT(ADDRESS(MOD(ROW(C46) - J$15, J$14) + J$15, COLUMN(C46))),""))</f>
        <v>CP</v>
      </c>
      <c r="K46" t="str" cm="1">
        <f t="array" aca="1" ref="K46" ca="1">IF(ROW(D46)-K$15 &lt; K$14,D46,IF(ROW(D46) - K$15 -K$16 + 1 &lt; K$14,INDIRECT(ADDRESS(MOD(ROW(D46) - K$15, K$14) + K$15, COLUMN(D46))),""))</f>
        <v>P4</v>
      </c>
      <c r="L46" t="str" cm="1">
        <f t="array" aca="1" ref="L46" ca="1">IF(ROW(E46)-L$15 &lt; L$14,E46,IF(ROW(E46) - L$15 -L$16 + 1 &lt; L$14,INDIRECT(ADDRESS(MOD(ROW(E46) - L$15, L$14) + L$15, COLUMN(E46))),""))</f>
        <v>P4</v>
      </c>
      <c r="N46" cm="1">
        <f t="array" aca="1" ref="N46" ca="1">IF(H46&lt;&gt;"", SUMPRODUCT((OFFSET(H46,0,0,H$16,1)=$T$24) +0),"")</f>
        <v>1</v>
      </c>
      <c r="O46" cm="1">
        <f t="array" aca="1" ref="O46" ca="1">IF(I46&lt;&gt;"", SUMPRODUCT((OFFSET(I46,0,0,I$16,1)=$T$24) +0),"")</f>
        <v>0</v>
      </c>
      <c r="P46" cm="1">
        <f t="array" aca="1" ref="P46" ca="1">IF(J46&lt;&gt;"", SUMPRODUCT((OFFSET(J46,0,0,J$16,1)=$T$24) +0),"")</f>
        <v>2</v>
      </c>
      <c r="Q46" cm="1">
        <f t="array" aca="1" ref="Q46" ca="1">IF(K46&lt;&gt;"", SUMPRODUCT((OFFSET(K46,0,0,K$16,1)=$T$24) +0),"")</f>
        <v>0</v>
      </c>
      <c r="R46" cm="1">
        <f t="array" aca="1" ref="R46" ca="1">IF(L46&lt;&gt;"", SUMPRODUCT((OFFSET(L46,0,0,L$16,1)=$T$24) +0),"")</f>
        <v>0</v>
      </c>
    </row>
    <row r="47" spans="1:41" x14ac:dyDescent="0.3">
      <c r="A47" t="str">
        <v>P2</v>
      </c>
      <c r="B47" t="str">
        <v>P1</v>
      </c>
      <c r="C47" t="str">
        <v>CP</v>
      </c>
      <c r="D47" t="str">
        <v>P4</v>
      </c>
      <c r="E47" t="str">
        <v>P5</v>
      </c>
      <c r="H47" t="str" cm="1">
        <f t="array" aca="1" ref="H47" ca="1">IF(ROW(A47)-H$15 &lt; H$14,A47,IF(ROW(A47) - H$15 -H$16 + 1 &lt; H$14,INDIRECT(ADDRESS(MOD(ROW(A47) - H$15, H$14) + H$15, COLUMN(A47))),""))</f>
        <v>P2</v>
      </c>
      <c r="I47" t="str" cm="1">
        <f t="array" aca="1" ref="I47" ca="1">IF(ROW(B47)-I$15 &lt; I$14,B47,IF(ROW(B47) - I$15 -I$16 + 1 &lt; I$14,INDIRECT(ADDRESS(MOD(ROW(B47) - I$15, I$14) + I$15, COLUMN(B47))),""))</f>
        <v>P1</v>
      </c>
      <c r="J47" t="str" cm="1">
        <f t="array" aca="1" ref="J47" ca="1">IF(ROW(C47)-J$15 &lt; J$14,C47,IF(ROW(C47) - J$15 -J$16 + 1 &lt; J$14,INDIRECT(ADDRESS(MOD(ROW(C47) - J$15, J$14) + J$15, COLUMN(C47))),""))</f>
        <v>CP</v>
      </c>
      <c r="K47" t="str" cm="1">
        <f t="array" aca="1" ref="K47" ca="1">IF(ROW(D47)-K$15 &lt; K$14,D47,IF(ROW(D47) - K$15 -K$16 + 1 &lt; K$14,INDIRECT(ADDRESS(MOD(ROW(D47) - K$15, K$14) + K$15, COLUMN(D47))),""))</f>
        <v>P4</v>
      </c>
      <c r="L47" t="str" cm="1">
        <f t="array" aca="1" ref="L47" ca="1">IF(ROW(E47)-L$15 &lt; L$14,E47,IF(ROW(E47) - L$15 -L$16 + 1 &lt; L$14,INDIRECT(ADDRESS(MOD(ROW(E47) - L$15, L$14) + L$15, COLUMN(E47))),""))</f>
        <v>P5</v>
      </c>
      <c r="N47" cm="1">
        <f t="array" aca="1" ref="N47" ca="1">IF(H47&lt;&gt;"", SUMPRODUCT((OFFSET(H47,0,0,H$16,1)=$T$24) +0),"")</f>
        <v>0</v>
      </c>
      <c r="O47" cm="1">
        <f t="array" aca="1" ref="O47" ca="1">IF(I47&lt;&gt;"", SUMPRODUCT((OFFSET(I47,0,0,I$16,1)=$T$24) +0),"")</f>
        <v>0</v>
      </c>
      <c r="P47" cm="1">
        <f t="array" aca="1" ref="P47" ca="1">IF(J47&lt;&gt;"", SUMPRODUCT((OFFSET(J47,0,0,J$16,1)=$T$24) +0),"")</f>
        <v>1</v>
      </c>
      <c r="Q47" cm="1">
        <f t="array" aca="1" ref="Q47" ca="1">IF(K47&lt;&gt;"", SUMPRODUCT((OFFSET(K47,0,0,K$16,1)=$T$24) +0),"")</f>
        <v>0</v>
      </c>
      <c r="R47" cm="1">
        <f t="array" aca="1" ref="R47" ca="1">IF(L47&lt;&gt;"", SUMPRODUCT((OFFSET(L47,0,0,L$16,1)=$T$24) +0),"")</f>
        <v>0</v>
      </c>
    </row>
    <row r="48" spans="1:41" x14ac:dyDescent="0.3">
      <c r="A48" t="str">
        <v>SCAT</v>
      </c>
      <c r="B48" t="str">
        <v>P3</v>
      </c>
      <c r="C48" t="str">
        <v>P2</v>
      </c>
      <c r="D48" t="str">
        <v>P5</v>
      </c>
      <c r="E48" t="str">
        <v>P1</v>
      </c>
      <c r="H48" t="str" cm="1">
        <f t="array" aca="1" ref="H48" ca="1">IF(ROW(A48)-H$15 &lt; H$14,A48,IF(ROW(A48) - H$15 -H$16 + 1 &lt; H$14,INDIRECT(ADDRESS(MOD(ROW(A48) - H$15, H$14) + H$15, COLUMN(A48))),""))</f>
        <v>SCAT</v>
      </c>
      <c r="I48" t="str" cm="1">
        <f t="array" aca="1" ref="I48" ca="1">IF(ROW(B48)-I$15 &lt; I$14,B48,IF(ROW(B48) - I$15 -I$16 + 1 &lt; I$14,INDIRECT(ADDRESS(MOD(ROW(B48) - I$15, I$14) + I$15, COLUMN(B48))),""))</f>
        <v>P3</v>
      </c>
      <c r="J48" t="str" cm="1">
        <f t="array" aca="1" ref="J48" ca="1">IF(ROW(C48)-J$15 &lt; J$14,C48,IF(ROW(C48) - J$15 -J$16 + 1 &lt; J$14,INDIRECT(ADDRESS(MOD(ROW(C48) - J$15, J$14) + J$15, COLUMN(C48))),""))</f>
        <v>P2</v>
      </c>
      <c r="K48" t="str" cm="1">
        <f t="array" aca="1" ref="K48" ca="1">IF(ROW(D48)-K$15 &lt; K$14,D48,IF(ROW(D48) - K$15 -K$16 + 1 &lt; K$14,INDIRECT(ADDRESS(MOD(ROW(D48) - K$15, K$14) + K$15, COLUMN(D48))),""))</f>
        <v>P5</v>
      </c>
      <c r="L48" t="str" cm="1">
        <f t="array" aca="1" ref="L48" ca="1">IF(ROW(E48)-L$15 &lt; L$14,E48,IF(ROW(E48) - L$15 -L$16 + 1 &lt; L$14,INDIRECT(ADDRESS(MOD(ROW(E48) - L$15, L$14) + L$15, COLUMN(E48))),""))</f>
        <v>P1</v>
      </c>
      <c r="N48" cm="1">
        <f t="array" aca="1" ref="N48" ca="1">IF(H48&lt;&gt;"", SUMPRODUCT((OFFSET(H48,0,0,H$16,1)=$T$24) +0),"")</f>
        <v>0</v>
      </c>
      <c r="O48" cm="1">
        <f t="array" aca="1" ref="O48" ca="1">IF(I48&lt;&gt;"", SUMPRODUCT((OFFSET(I48,0,0,I$16,1)=$T$24) +0),"")</f>
        <v>0</v>
      </c>
      <c r="P48" cm="1">
        <f t="array" aca="1" ref="P48" ca="1">IF(J48&lt;&gt;"", SUMPRODUCT((OFFSET(J48,0,0,J$16,1)=$T$24) +0),"")</f>
        <v>0</v>
      </c>
      <c r="Q48" cm="1">
        <f t="array" aca="1" ref="Q48" ca="1">IF(K48&lt;&gt;"", SUMPRODUCT((OFFSET(K48,0,0,K$16,1)=$T$24) +0),"")</f>
        <v>0</v>
      </c>
      <c r="R48" cm="1">
        <f t="array" aca="1" ref="R48" ca="1">IF(L48&lt;&gt;"", SUMPRODUCT((OFFSET(L48,0,0,L$16,1)=$T$24) +0),"")</f>
        <v>0</v>
      </c>
    </row>
    <row r="49" spans="1:40" x14ac:dyDescent="0.3">
      <c r="A49" t="str">
        <v>P6</v>
      </c>
      <c r="B49" t="str">
        <v>P5</v>
      </c>
      <c r="C49" t="str">
        <v>WILD</v>
      </c>
      <c r="D49" t="str">
        <v>P3</v>
      </c>
      <c r="E49" t="str">
        <v>P4</v>
      </c>
      <c r="H49" t="str" cm="1">
        <f t="array" aca="1" ref="H49" ca="1">IF(ROW(A49)-H$15 &lt; H$14,A49,IF(ROW(A49) - H$15 -H$16 + 1 &lt; H$14,INDIRECT(ADDRESS(MOD(ROW(A49) - H$15, H$14) + H$15, COLUMN(A49))),""))</f>
        <v>P6</v>
      </c>
      <c r="I49" t="str" cm="1">
        <f t="array" aca="1" ref="I49" ca="1">IF(ROW(B49)-I$15 &lt; I$14,B49,IF(ROW(B49) - I$15 -I$16 + 1 &lt; I$14,INDIRECT(ADDRESS(MOD(ROW(B49) - I$15, I$14) + I$15, COLUMN(B49))),""))</f>
        <v>P5</v>
      </c>
      <c r="J49" t="str" cm="1">
        <f t="array" aca="1" ref="J49" ca="1">IF(ROW(C49)-J$15 &lt; J$14,C49,IF(ROW(C49) - J$15 -J$16 + 1 &lt; J$14,INDIRECT(ADDRESS(MOD(ROW(C49) - J$15, J$14) + J$15, COLUMN(C49))),""))</f>
        <v>WILD</v>
      </c>
      <c r="K49" t="str" cm="1">
        <f t="array" aca="1" ref="K49" ca="1">IF(ROW(D49)-K$15 &lt; K$14,D49,IF(ROW(D49) - K$15 -K$16 + 1 &lt; K$14,INDIRECT(ADDRESS(MOD(ROW(D49) - K$15, K$14) + K$15, COLUMN(D49))),""))</f>
        <v>P3</v>
      </c>
      <c r="L49" t="str" cm="1">
        <f t="array" aca="1" ref="L49" ca="1">IF(ROW(E49)-L$15 &lt; L$14,E49,IF(ROW(E49) - L$15 -L$16 + 1 &lt; L$14,INDIRECT(ADDRESS(MOD(ROW(E49) - L$15, L$14) + L$15, COLUMN(E49))),""))</f>
        <v>P4</v>
      </c>
      <c r="N49" cm="1">
        <f t="array" aca="1" ref="N49" ca="1">IF(H49&lt;&gt;"", SUMPRODUCT((OFFSET(H49,0,0,H$16,1)=$T$24) +0),"")</f>
        <v>1</v>
      </c>
      <c r="O49" cm="1">
        <f t="array" aca="1" ref="O49" ca="1">IF(I49&lt;&gt;"", SUMPRODUCT((OFFSET(I49,0,0,I$16,1)=$T$24) +0),"")</f>
        <v>0</v>
      </c>
      <c r="P49" cm="1">
        <f t="array" aca="1" ref="P49" ca="1">IF(J49&lt;&gt;"", SUMPRODUCT((OFFSET(J49,0,0,J$16,1)=$T$24) +0),"")</f>
        <v>0</v>
      </c>
      <c r="Q49" cm="1">
        <f t="array" aca="1" ref="Q49" ca="1">IF(K49&lt;&gt;"", SUMPRODUCT((OFFSET(K49,0,0,K$16,1)=$T$24) +0),"")</f>
        <v>0</v>
      </c>
      <c r="R49" cm="1">
        <f t="array" aca="1" ref="R49" ca="1">IF(L49&lt;&gt;"", SUMPRODUCT((OFFSET(L49,0,0,L$16,1)=$T$24) +0),"")</f>
        <v>1</v>
      </c>
    </row>
    <row r="50" spans="1:40" x14ac:dyDescent="0.3">
      <c r="A50" t="str">
        <v>P5</v>
      </c>
      <c r="B50" t="str">
        <v>P2</v>
      </c>
      <c r="C50" t="str">
        <v>P4</v>
      </c>
      <c r="D50" t="str">
        <v>P1</v>
      </c>
      <c r="E50" t="str">
        <v>P5</v>
      </c>
      <c r="H50" t="str" cm="1">
        <f t="array" aca="1" ref="H50" ca="1">IF(ROW(A50)-H$15 &lt; H$14,A50,IF(ROW(A50) - H$15 -H$16 + 1 &lt; H$14,INDIRECT(ADDRESS(MOD(ROW(A50) - H$15, H$14) + H$15, COLUMN(A50))),""))</f>
        <v>P5</v>
      </c>
      <c r="I50" t="str" cm="1">
        <f t="array" aca="1" ref="I50" ca="1">IF(ROW(B50)-I$15 &lt; I$14,B50,IF(ROW(B50) - I$15 -I$16 + 1 &lt; I$14,INDIRECT(ADDRESS(MOD(ROW(B50) - I$15, I$14) + I$15, COLUMN(B50))),""))</f>
        <v>P2</v>
      </c>
      <c r="J50" t="str" cm="1">
        <f t="array" aca="1" ref="J50" ca="1">IF(ROW(C50)-J$15 &lt; J$14,C50,IF(ROW(C50) - J$15 -J$16 + 1 &lt; J$14,INDIRECT(ADDRESS(MOD(ROW(C50) - J$15, J$14) + J$15, COLUMN(C50))),""))</f>
        <v>P4</v>
      </c>
      <c r="K50" t="str" cm="1">
        <f t="array" aca="1" ref="K50" ca="1">IF(ROW(D50)-K$15 &lt; K$14,D50,IF(ROW(D50) - K$15 -K$16 + 1 &lt; K$14,INDIRECT(ADDRESS(MOD(ROW(D50) - K$15, K$14) + K$15, COLUMN(D50))),""))</f>
        <v>P1</v>
      </c>
      <c r="L50" t="str" cm="1">
        <f t="array" aca="1" ref="L50" ca="1">IF(ROW(E50)-L$15 &lt; L$14,E50,IF(ROW(E50) - L$15 -L$16 + 1 &lt; L$14,INDIRECT(ADDRESS(MOD(ROW(E50) - L$15, L$14) + L$15, COLUMN(E50))),""))</f>
        <v>P5</v>
      </c>
      <c r="N50" cm="1">
        <f t="array" aca="1" ref="N50" ca="1">IF(H50&lt;&gt;"", SUMPRODUCT((OFFSET(H50,0,0,H$16,1)=$T$24) +0),"")</f>
        <v>2</v>
      </c>
      <c r="O50" cm="1">
        <f t="array" aca="1" ref="O50" ca="1">IF(I50&lt;&gt;"", SUMPRODUCT((OFFSET(I50,0,0,I$16,1)=$T$24) +0),"")</f>
        <v>0</v>
      </c>
      <c r="P50" cm="1">
        <f t="array" aca="1" ref="P50" ca="1">IF(J50&lt;&gt;"", SUMPRODUCT((OFFSET(J50,0,0,J$16,1)=$T$24) +0),"")</f>
        <v>0</v>
      </c>
      <c r="Q50" cm="1">
        <f t="array" aca="1" ref="Q50" ca="1">IF(K50&lt;&gt;"", SUMPRODUCT((OFFSET(K50,0,0,K$16,1)=$T$24) +0),"")</f>
        <v>0</v>
      </c>
      <c r="R50" cm="1">
        <f t="array" aca="1" ref="R50" ca="1">IF(L50&lt;&gt;"", SUMPRODUCT((OFFSET(L50,0,0,L$16,1)=$T$24) +0),"")</f>
        <v>1</v>
      </c>
      <c r="T50" s="1" t="s">
        <v>46</v>
      </c>
      <c r="U50" s="41" t="s">
        <v>18</v>
      </c>
      <c r="V50" s="16" t="s">
        <v>19</v>
      </c>
      <c r="W50" s="1" t="s">
        <v>20</v>
      </c>
      <c r="X50" s="1" t="s">
        <v>56</v>
      </c>
      <c r="Y50" s="1" t="s">
        <v>57</v>
      </c>
      <c r="AB50">
        <f>1</f>
        <v>1</v>
      </c>
      <c r="AC50">
        <f>AB50*(H16+1)</f>
        <v>4</v>
      </c>
      <c r="AD50">
        <f>AC50*(I16+1)</f>
        <v>16</v>
      </c>
      <c r="AE50">
        <f>AD50*(J16+1)</f>
        <v>64</v>
      </c>
      <c r="AF50">
        <f>AE50*(K16+1)</f>
        <v>256</v>
      </c>
    </row>
    <row r="51" spans="1:40" x14ac:dyDescent="0.3">
      <c r="A51" t="str">
        <v>CP</v>
      </c>
      <c r="B51" t="str">
        <v>P4</v>
      </c>
      <c r="C51" t="str">
        <v>P6</v>
      </c>
      <c r="D51" t="str">
        <v>P5</v>
      </c>
      <c r="E51" t="str">
        <v>CP</v>
      </c>
      <c r="H51" t="str" cm="1">
        <f t="array" aca="1" ref="H51" ca="1">IF(ROW(A51)-H$15 &lt; H$14,A51,IF(ROW(A51) - H$15 -H$16 + 1 &lt; H$14,INDIRECT(ADDRESS(MOD(ROW(A51) - H$15, H$14) + H$15, COLUMN(A51))),""))</f>
        <v>CP</v>
      </c>
      <c r="I51" t="str" cm="1">
        <f t="array" aca="1" ref="I51" ca="1">IF(ROW(B51)-I$15 &lt; I$14,B51,IF(ROW(B51) - I$15 -I$16 + 1 &lt; I$14,INDIRECT(ADDRESS(MOD(ROW(B51) - I$15, I$14) + I$15, COLUMN(B51))),""))</f>
        <v>P4</v>
      </c>
      <c r="J51" t="str" cm="1">
        <f t="array" aca="1" ref="J51" ca="1">IF(ROW(C51)-J$15 &lt; J$14,C51,IF(ROW(C51) - J$15 -J$16 + 1 &lt; J$14,INDIRECT(ADDRESS(MOD(ROW(C51) - J$15, J$14) + J$15, COLUMN(C51))),""))</f>
        <v>P6</v>
      </c>
      <c r="K51" t="str" cm="1">
        <f t="array" aca="1" ref="K51" ca="1">IF(ROW(D51)-K$15 &lt; K$14,D51,IF(ROW(D51) - K$15 -K$16 + 1 &lt; K$14,INDIRECT(ADDRESS(MOD(ROW(D51) - K$15, K$14) + K$15, COLUMN(D51))),""))</f>
        <v>P5</v>
      </c>
      <c r="L51" t="str" cm="1">
        <f t="array" aca="1" ref="L51" ca="1">IF(ROW(E51)-L$15 &lt; L$14,E51,IF(ROW(E51) - L$15 -L$16 + 1 &lt; L$14,INDIRECT(ADDRESS(MOD(ROW(E51) - L$15, L$14) + L$15, COLUMN(E51))),""))</f>
        <v>CP</v>
      </c>
      <c r="N51" cm="1">
        <f t="array" aca="1" ref="N51" ca="1">IF(H51&lt;&gt;"", SUMPRODUCT((OFFSET(H51,0,0,H$16,1)=$T$24) +0),"")</f>
        <v>2</v>
      </c>
      <c r="O51" cm="1">
        <f t="array" aca="1" ref="O51" ca="1">IF(I51&lt;&gt;"", SUMPRODUCT((OFFSET(I51,0,0,I$16,1)=$T$24) +0),"")</f>
        <v>0</v>
      </c>
      <c r="P51" cm="1">
        <f t="array" aca="1" ref="P51" ca="1">IF(J51&lt;&gt;"", SUMPRODUCT((OFFSET(J51,0,0,J$16,1)=$T$24) +0),"")</f>
        <v>0</v>
      </c>
      <c r="Q51" cm="1">
        <f t="array" aca="1" ref="Q51" ca="1">IF(K51&lt;&gt;"", SUMPRODUCT((OFFSET(K51,0,0,K$16,1)=$T$24) +0),"")</f>
        <v>0</v>
      </c>
      <c r="R51" cm="1">
        <f t="array" aca="1" ref="R51" ca="1">IF(L51&lt;&gt;"", SUMPRODUCT((OFFSET(L51,0,0,L$16,1)=$T$24) +0),"")</f>
        <v>1</v>
      </c>
      <c r="T51" s="42">
        <v>0</v>
      </c>
      <c r="U51" s="43">
        <f t="shared" ref="U51:Y55" ca="1" si="27">COUNTIF(N:N,$T51)</f>
        <v>64</v>
      </c>
      <c r="V51" s="43">
        <f t="shared" ca="1" si="27"/>
        <v>59</v>
      </c>
      <c r="W51" s="43">
        <f t="shared" ca="1" si="27"/>
        <v>61</v>
      </c>
      <c r="X51" s="43">
        <f t="shared" ca="1" si="27"/>
        <v>63</v>
      </c>
      <c r="Y51" s="43">
        <f t="shared" ca="1" si="27"/>
        <v>61</v>
      </c>
      <c r="AA51">
        <f>ROW(AA52)</f>
        <v>52</v>
      </c>
      <c r="AB51" s="80" t="s">
        <v>47</v>
      </c>
      <c r="AC51" s="76"/>
      <c r="AD51" s="76"/>
      <c r="AE51" s="76"/>
      <c r="AF51" s="81"/>
      <c r="AG51" s="45" t="s">
        <v>53</v>
      </c>
      <c r="AH51" s="45" t="s">
        <v>37</v>
      </c>
      <c r="AI51" s="45" t="s">
        <v>34</v>
      </c>
      <c r="AJ51" s="45" t="s">
        <v>6</v>
      </c>
      <c r="AL51" s="4" t="s">
        <v>54</v>
      </c>
      <c r="AN51" s="4"/>
    </row>
    <row r="52" spans="1:40" x14ac:dyDescent="0.3">
      <c r="A52" t="str">
        <v>CP</v>
      </c>
      <c r="B52" t="str">
        <v>P6</v>
      </c>
      <c r="C52" t="str">
        <v>P5</v>
      </c>
      <c r="D52" t="str">
        <v>P6</v>
      </c>
      <c r="E52" t="str">
        <v>WILD</v>
      </c>
      <c r="H52" t="str" cm="1">
        <f t="array" aca="1" ref="H52" ca="1">IF(ROW(A52)-H$15 &lt; H$14,A52,IF(ROW(A52) - H$15 -H$16 + 1 &lt; H$14,INDIRECT(ADDRESS(MOD(ROW(A52) - H$15, H$14) + H$15, COLUMN(A52))),""))</f>
        <v>CP</v>
      </c>
      <c r="I52" t="str" cm="1">
        <f t="array" aca="1" ref="I52" ca="1">IF(ROW(B52)-I$15 &lt; I$14,B52,IF(ROW(B52) - I$15 -I$16 + 1 &lt; I$14,INDIRECT(ADDRESS(MOD(ROW(B52) - I$15, I$14) + I$15, COLUMN(B52))),""))</f>
        <v>P6</v>
      </c>
      <c r="J52" t="str" cm="1">
        <f t="array" aca="1" ref="J52" ca="1">IF(ROW(C52)-J$15 &lt; J$14,C52,IF(ROW(C52) - J$15 -J$16 + 1 &lt; J$14,INDIRECT(ADDRESS(MOD(ROW(C52) - J$15, J$14) + J$15, COLUMN(C52))),""))</f>
        <v>P5</v>
      </c>
      <c r="K52" t="str" cm="1">
        <f t="array" aca="1" ref="K52" ca="1">IF(ROW(D52)-K$15 &lt; K$14,D52,IF(ROW(D52) - K$15 -K$16 + 1 &lt; K$14,INDIRECT(ADDRESS(MOD(ROW(D52) - K$15, K$14) + K$15, COLUMN(D52))),""))</f>
        <v>P6</v>
      </c>
      <c r="L52" t="str" cm="1">
        <f t="array" aca="1" ref="L52" ca="1">IF(ROW(E52)-L$15 &lt; L$14,E52,IF(ROW(E52) - L$15 -L$16 + 1 &lt; L$14,INDIRECT(ADDRESS(MOD(ROW(E52) - L$15, L$14) + L$15, COLUMN(E52))),""))</f>
        <v>WILD</v>
      </c>
      <c r="N52" cm="1">
        <f t="array" aca="1" ref="N52" ca="1">IF(H52&lt;&gt;"", SUMPRODUCT((OFFSET(H52,0,0,H$16,1)=$T$24) +0),"")</f>
        <v>1</v>
      </c>
      <c r="O52" cm="1">
        <f t="array" aca="1" ref="O52" ca="1">IF(I52&lt;&gt;"", SUMPRODUCT((OFFSET(I52,0,0,I$16,1)=$T$24) +0),"")</f>
        <v>0</v>
      </c>
      <c r="P52" cm="1">
        <f t="array" aca="1" ref="P52" ca="1">IF(J52&lt;&gt;"", SUMPRODUCT((OFFSET(J52,0,0,J$16,1)=$T$24) +0),"")</f>
        <v>0</v>
      </c>
      <c r="Q52" cm="1">
        <f t="array" aca="1" ref="Q52" ca="1">IF(K52&lt;&gt;"", SUMPRODUCT((OFFSET(K52,0,0,K$16,1)=$T$24) +0),"")</f>
        <v>0</v>
      </c>
      <c r="R52" cm="1">
        <f t="array" aca="1" ref="R52" ca="1">IF(L52&lt;&gt;"", SUMPRODUCT((OFFSET(L52,0,0,L$16,1)=$T$24) +0),"")</f>
        <v>1</v>
      </c>
      <c r="T52" s="1">
        <v>1</v>
      </c>
      <c r="U52" s="43">
        <f t="shared" ca="1" si="27"/>
        <v>12</v>
      </c>
      <c r="V52" s="43">
        <f t="shared" ca="1" si="27"/>
        <v>18</v>
      </c>
      <c r="W52" s="43">
        <f t="shared" ca="1" si="27"/>
        <v>14</v>
      </c>
      <c r="X52" s="43">
        <f t="shared" ca="1" si="27"/>
        <v>9</v>
      </c>
      <c r="Y52" s="43">
        <f t="shared" ca="1" si="27"/>
        <v>12</v>
      </c>
      <c r="AB52">
        <f t="shared" ref="AB52:AB115" si="28">IF(ROW()-$AA$51 &lt; (H$16+1)^5, MOD(_xlfn.FLOOR.MATH((ROW()-$AA$51)/AB$50), H$16+1), "")</f>
        <v>0</v>
      </c>
      <c r="AC52">
        <f t="shared" ref="AC52:AC115" si="29">IF(ROW()-$AA$51 &lt; (I$16+1)^5, MOD(_xlfn.FLOOR.MATH((ROW()-$AA$51)/AC$50), I$16+1), "")</f>
        <v>0</v>
      </c>
      <c r="AD52">
        <f t="shared" ref="AD52:AD115" si="30">IF(ROW()-$AA$51 &lt; (J$16+1)^5, MOD(_xlfn.FLOOR.MATH((ROW()-$AA$51)/AD$50), J$16+1), "")</f>
        <v>0</v>
      </c>
      <c r="AE52">
        <f t="shared" ref="AE52:AE115" si="31">IF(ROW()-$AA$51 &lt; (K$16+1)^5, MOD(_xlfn.FLOOR.MATH((ROW()-$AA$51)/AE$50), K$16+1), "")</f>
        <v>0</v>
      </c>
      <c r="AF52">
        <f t="shared" ref="AF52:AF115" si="32">IF(ROW()-$AA$51 &lt; (L$16+1)^5, MOD(_xlfn.FLOOR.MATH((ROW()-$AA$51)/AF$50), L$16+1), "")</f>
        <v>0</v>
      </c>
      <c r="AG52">
        <f t="shared" ref="AG52:AG115" si="33">IF(ROW($AA52) - $AA$51 &lt; ($H$16+1)^5, SUM(AB52:AF52), "")</f>
        <v>0</v>
      </c>
      <c r="AH52">
        <f t="shared" ref="AH52:AH115" ca="1" si="34">IF(ROW($AA52) - $AA$51 &lt; (4)^5,
    (_xlfn.XLOOKUP(AB52,$T$51:$T$55,U$51:U$55,0)/U$27) * (_xlfn.XLOOKUP(AC52,$T$51:$T$55,V$51:V$55,0)/V$27) * (_xlfn.XLOOKUP(AD52,$T$51:$T$55,W$51:W$55,0)/W$27) * (_xlfn.XLOOKUP(AE52,$T$51:$T$55,X$51:X$55,0)/X$27) * (_xlfn.XLOOKUP(AF52,$T$51:$T$55,Y$51:Y$55,0)/Y$27),
"")</f>
        <v>0.26824043995971408</v>
      </c>
      <c r="AI52">
        <f>IF(ROW($AA52) - $AA$51 &lt; ($H$16+1)^5, IF(AG52 &gt;= BaseBonus!$C$16, AG52*BaseBonus!$E$31, 0), "")</f>
        <v>0</v>
      </c>
      <c r="AJ52">
        <f t="shared" ref="AJ52:AJ115" ca="1" si="35">IF(ROW($AA52) - $AA$51 &lt; ($H$16+1)^5, AH52*AI52, "")</f>
        <v>0</v>
      </c>
      <c r="AL52" s="40">
        <f ca="1">SUM(AJ52:AJ1019)</f>
        <v>0.15793014442153516</v>
      </c>
      <c r="AN52" s="47"/>
    </row>
    <row r="53" spans="1:40" x14ac:dyDescent="0.3">
      <c r="A53" t="str">
        <v>P6</v>
      </c>
      <c r="B53" t="str">
        <v>P6</v>
      </c>
      <c r="C53" t="str">
        <v>P1</v>
      </c>
      <c r="D53" t="str">
        <v>P4</v>
      </c>
      <c r="E53" t="str">
        <v>P6</v>
      </c>
      <c r="H53" t="str" cm="1">
        <f t="array" aca="1" ref="H53" ca="1">IF(ROW(A53)-H$15 &lt; H$14,A53,IF(ROW(A53) - H$15 -H$16 + 1 &lt; H$14,INDIRECT(ADDRESS(MOD(ROW(A53) - H$15, H$14) + H$15, COLUMN(A53))),""))</f>
        <v>P6</v>
      </c>
      <c r="I53" t="str" cm="1">
        <f t="array" aca="1" ref="I53" ca="1">IF(ROW(B53)-I$15 &lt; I$14,B53,IF(ROW(B53) - I$15 -I$16 + 1 &lt; I$14,INDIRECT(ADDRESS(MOD(ROW(B53) - I$15, I$14) + I$15, COLUMN(B53))),""))</f>
        <v>P6</v>
      </c>
      <c r="J53" t="str" cm="1">
        <f t="array" aca="1" ref="J53" ca="1">IF(ROW(C53)-J$15 &lt; J$14,C53,IF(ROW(C53) - J$15 -J$16 + 1 &lt; J$14,INDIRECT(ADDRESS(MOD(ROW(C53) - J$15, J$14) + J$15, COLUMN(C53))),""))</f>
        <v>P1</v>
      </c>
      <c r="K53" t="str" cm="1">
        <f t="array" aca="1" ref="K53" ca="1">IF(ROW(D53)-K$15 &lt; K$14,D53,IF(ROW(D53) - K$15 -K$16 + 1 &lt; K$14,INDIRECT(ADDRESS(MOD(ROW(D53) - K$15, K$14) + K$15, COLUMN(D53))),""))</f>
        <v>P4</v>
      </c>
      <c r="L53" t="str" cm="1">
        <f t="array" aca="1" ref="L53" ca="1">IF(ROW(E53)-L$15 &lt; L$14,E53,IF(ROW(E53) - L$15 -L$16 + 1 &lt; L$14,INDIRECT(ADDRESS(MOD(ROW(E53) - L$15, L$14) + L$15, COLUMN(E53))),""))</f>
        <v>P6</v>
      </c>
      <c r="N53" cm="1">
        <f t="array" aca="1" ref="N53" ca="1">IF(H53&lt;&gt;"", SUMPRODUCT((OFFSET(H53,0,0,H$16,1)=$T$24) +0),"")</f>
        <v>0</v>
      </c>
      <c r="O53" cm="1">
        <f t="array" aca="1" ref="O53" ca="1">IF(I53&lt;&gt;"", SUMPRODUCT((OFFSET(I53,0,0,I$16,1)=$T$24) +0),"")</f>
        <v>0</v>
      </c>
      <c r="P53" cm="1">
        <f t="array" aca="1" ref="P53" ca="1">IF(J53&lt;&gt;"", SUMPRODUCT((OFFSET(J53,0,0,J$16,1)=$T$24) +0),"")</f>
        <v>0</v>
      </c>
      <c r="Q53" cm="1">
        <f t="array" aca="1" ref="Q53" ca="1">IF(K53&lt;&gt;"", SUMPRODUCT((OFFSET(K53,0,0,K$16,1)=$T$24) +0),"")</f>
        <v>0</v>
      </c>
      <c r="R53" cm="1">
        <f t="array" aca="1" ref="R53" ca="1">IF(L53&lt;&gt;"", SUMPRODUCT((OFFSET(L53,0,0,L$16,1)=$T$24) +0),"")</f>
        <v>1</v>
      </c>
      <c r="T53" s="1">
        <v>2</v>
      </c>
      <c r="U53" s="43">
        <f t="shared" ca="1" si="27"/>
        <v>6</v>
      </c>
      <c r="V53" s="43">
        <f t="shared" ca="1" si="27"/>
        <v>3</v>
      </c>
      <c r="W53" s="43">
        <f t="shared" ca="1" si="27"/>
        <v>11</v>
      </c>
      <c r="X53" s="43">
        <f t="shared" ca="1" si="27"/>
        <v>6</v>
      </c>
      <c r="Y53" s="43">
        <f t="shared" ca="1" si="27"/>
        <v>6</v>
      </c>
      <c r="AB53">
        <f t="shared" si="28"/>
        <v>1</v>
      </c>
      <c r="AC53">
        <f t="shared" si="29"/>
        <v>0</v>
      </c>
      <c r="AD53">
        <f t="shared" si="30"/>
        <v>0</v>
      </c>
      <c r="AE53">
        <f t="shared" si="31"/>
        <v>0</v>
      </c>
      <c r="AF53">
        <f t="shared" si="32"/>
        <v>0</v>
      </c>
      <c r="AG53">
        <f t="shared" si="33"/>
        <v>1</v>
      </c>
      <c r="AH53">
        <f t="shared" ca="1" si="34"/>
        <v>5.0295082492446387E-2</v>
      </c>
      <c r="AI53">
        <f>IF(ROW($AA53) - $AA$51 &lt; ($H$16+1)^5, IF(AG53 &gt;= BaseBonus!$C$16, AG53*BaseBonus!$E$31, 0), "")</f>
        <v>0</v>
      </c>
      <c r="AJ53">
        <f t="shared" ca="1" si="35"/>
        <v>0</v>
      </c>
      <c r="AN53" s="47"/>
    </row>
    <row r="54" spans="1:40" x14ac:dyDescent="0.3">
      <c r="A54" t="str">
        <v>P3</v>
      </c>
      <c r="B54" t="str">
        <v>P4</v>
      </c>
      <c r="C54" t="str">
        <v>P4</v>
      </c>
      <c r="D54" t="str">
        <v>P4</v>
      </c>
      <c r="E54" t="str">
        <v>CP</v>
      </c>
      <c r="H54" t="str" cm="1">
        <f t="array" aca="1" ref="H54" ca="1">IF(ROW(A54)-H$15 &lt; H$14,A54,IF(ROW(A54) - H$15 -H$16 + 1 &lt; H$14,INDIRECT(ADDRESS(MOD(ROW(A54) - H$15, H$14) + H$15, COLUMN(A54))),""))</f>
        <v>P3</v>
      </c>
      <c r="I54" t="str" cm="1">
        <f t="array" aca="1" ref="I54" ca="1">IF(ROW(B54)-I$15 &lt; I$14,B54,IF(ROW(B54) - I$15 -I$16 + 1 &lt; I$14,INDIRECT(ADDRESS(MOD(ROW(B54) - I$15, I$14) + I$15, COLUMN(B54))),""))</f>
        <v>P4</v>
      </c>
      <c r="J54" t="str" cm="1">
        <f t="array" aca="1" ref="J54" ca="1">IF(ROW(C54)-J$15 &lt; J$14,C54,IF(ROW(C54) - J$15 -J$16 + 1 &lt; J$14,INDIRECT(ADDRESS(MOD(ROW(C54) - J$15, J$14) + J$15, COLUMN(C54))),""))</f>
        <v>P4</v>
      </c>
      <c r="K54" t="str" cm="1">
        <f t="array" aca="1" ref="K54" ca="1">IF(ROW(D54)-K$15 &lt; K$14,D54,IF(ROW(D54) - K$15 -K$16 + 1 &lt; K$14,INDIRECT(ADDRESS(MOD(ROW(D54) - K$15, K$14) + K$15, COLUMN(D54))),""))</f>
        <v>P4</v>
      </c>
      <c r="L54" t="str" cm="1">
        <f t="array" aca="1" ref="L54" ca="1">IF(ROW(E54)-L$15 &lt; L$14,E54,IF(ROW(E54) - L$15 -L$16 + 1 &lt; L$14,INDIRECT(ADDRESS(MOD(ROW(E54) - L$15, L$14) + L$15, COLUMN(E54))),""))</f>
        <v>CP</v>
      </c>
      <c r="N54" cm="1">
        <f t="array" aca="1" ref="N54" ca="1">IF(H54&lt;&gt;"", SUMPRODUCT((OFFSET(H54,0,0,H$16,1)=$T$24) +0),"")</f>
        <v>0</v>
      </c>
      <c r="O54" cm="1">
        <f t="array" aca="1" ref="O54" ca="1">IF(I54&lt;&gt;"", SUMPRODUCT((OFFSET(I54,0,0,I$16,1)=$T$24) +0),"")</f>
        <v>1</v>
      </c>
      <c r="P54" cm="1">
        <f t="array" aca="1" ref="P54" ca="1">IF(J54&lt;&gt;"", SUMPRODUCT((OFFSET(J54,0,0,J$16,1)=$T$24) +0),"")</f>
        <v>0</v>
      </c>
      <c r="Q54" cm="1">
        <f t="array" aca="1" ref="Q54" ca="1">IF(K54&lt;&gt;"", SUMPRODUCT((OFFSET(K54,0,0,K$16,1)=$T$24) +0),"")</f>
        <v>1</v>
      </c>
      <c r="R54" cm="1">
        <f t="array" aca="1" ref="R54" ca="1">IF(L54&lt;&gt;"", SUMPRODUCT((OFFSET(L54,0,0,L$16,1)=$T$24) +0),"")</f>
        <v>1</v>
      </c>
      <c r="T54" s="1">
        <v>3</v>
      </c>
      <c r="U54" s="43">
        <f t="shared" ca="1" si="27"/>
        <v>0</v>
      </c>
      <c r="V54" s="43">
        <f t="shared" ca="1" si="27"/>
        <v>0</v>
      </c>
      <c r="W54" s="43">
        <f t="shared" ca="1" si="27"/>
        <v>0</v>
      </c>
      <c r="X54" s="43">
        <f t="shared" ca="1" si="27"/>
        <v>0</v>
      </c>
      <c r="Y54" s="43">
        <f t="shared" ca="1" si="27"/>
        <v>0</v>
      </c>
      <c r="AB54">
        <f t="shared" si="28"/>
        <v>2</v>
      </c>
      <c r="AC54">
        <f t="shared" si="29"/>
        <v>0</v>
      </c>
      <c r="AD54">
        <f t="shared" si="30"/>
        <v>0</v>
      </c>
      <c r="AE54">
        <f t="shared" si="31"/>
        <v>0</v>
      </c>
      <c r="AF54">
        <f t="shared" si="32"/>
        <v>0</v>
      </c>
      <c r="AG54">
        <f t="shared" si="33"/>
        <v>2</v>
      </c>
      <c r="AH54">
        <f t="shared" ca="1" si="34"/>
        <v>2.5147541246223194E-2</v>
      </c>
      <c r="AI54">
        <f>IF(ROW($AA54) - $AA$51 &lt; ($H$16+1)^5, IF(AG54 &gt;= BaseBonus!$C$16, AG54*BaseBonus!$E$31, 0), "")</f>
        <v>0</v>
      </c>
      <c r="AJ54">
        <f t="shared" ca="1" si="35"/>
        <v>0</v>
      </c>
      <c r="AN54" s="47"/>
    </row>
    <row r="55" spans="1:40" x14ac:dyDescent="0.3">
      <c r="A55" t="str">
        <v>P4</v>
      </c>
      <c r="B55" t="str">
        <v>P2</v>
      </c>
      <c r="C55" t="str">
        <v>P5</v>
      </c>
      <c r="D55" t="str">
        <v>P6</v>
      </c>
      <c r="E55" t="str">
        <v>P3</v>
      </c>
      <c r="H55" t="str" cm="1">
        <f t="array" aca="1" ref="H55" ca="1">IF(ROW(A55)-H$15 &lt; H$14,A55,IF(ROW(A55) - H$15 -H$16 + 1 &lt; H$14,INDIRECT(ADDRESS(MOD(ROW(A55) - H$15, H$14) + H$15, COLUMN(A55))),""))</f>
        <v>P4</v>
      </c>
      <c r="I55" t="str" cm="1">
        <f t="array" aca="1" ref="I55" ca="1">IF(ROW(B55)-I$15 &lt; I$14,B55,IF(ROW(B55) - I$15 -I$16 + 1 &lt; I$14,INDIRECT(ADDRESS(MOD(ROW(B55) - I$15, I$14) + I$15, COLUMN(B55))),""))</f>
        <v>P2</v>
      </c>
      <c r="J55" t="str" cm="1">
        <f t="array" aca="1" ref="J55" ca="1">IF(ROW(C55)-J$15 &lt; J$14,C55,IF(ROW(C55) - J$15 -J$16 + 1 &lt; J$14,INDIRECT(ADDRESS(MOD(ROW(C55) - J$15, J$14) + J$15, COLUMN(C55))),""))</f>
        <v>P5</v>
      </c>
      <c r="K55" t="str" cm="1">
        <f t="array" aca="1" ref="K55" ca="1">IF(ROW(D55)-K$15 &lt; K$14,D55,IF(ROW(D55) - K$15 -K$16 + 1 &lt; K$14,INDIRECT(ADDRESS(MOD(ROW(D55) - K$15, K$14) + K$15, COLUMN(D55))),""))</f>
        <v>P6</v>
      </c>
      <c r="L55" t="str" cm="1">
        <f t="array" aca="1" ref="L55" ca="1">IF(ROW(E55)-L$15 &lt; L$14,E55,IF(ROW(E55) - L$15 -L$16 + 1 &lt; L$14,INDIRECT(ADDRESS(MOD(ROW(E55) - L$15, L$14) + L$15, COLUMN(E55))),""))</f>
        <v>P3</v>
      </c>
      <c r="N55" cm="1">
        <f t="array" aca="1" ref="N55" ca="1">IF(H55&lt;&gt;"", SUMPRODUCT((OFFSET(H55,0,0,H$16,1)=$T$24) +0),"")</f>
        <v>0</v>
      </c>
      <c r="O55" cm="1">
        <f t="array" aca="1" ref="O55" ca="1">IF(I55&lt;&gt;"", SUMPRODUCT((OFFSET(I55,0,0,I$16,1)=$T$24) +0),"")</f>
        <v>1</v>
      </c>
      <c r="P55" cm="1">
        <f t="array" aca="1" ref="P55" ca="1">IF(J55&lt;&gt;"", SUMPRODUCT((OFFSET(J55,0,0,J$16,1)=$T$24) +0),"")</f>
        <v>0</v>
      </c>
      <c r="Q55" cm="1">
        <f t="array" aca="1" ref="Q55" ca="1">IF(K55&lt;&gt;"", SUMPRODUCT((OFFSET(K55,0,0,K$16,1)=$T$24) +0),"")</f>
        <v>1</v>
      </c>
      <c r="R55" cm="1">
        <f t="array" aca="1" ref="R55" ca="1">IF(L55&lt;&gt;"", SUMPRODUCT((OFFSET(L55,0,0,L$16,1)=$T$24) +0),"")</f>
        <v>0</v>
      </c>
      <c r="T55" s="1">
        <v>4</v>
      </c>
      <c r="U55" s="43">
        <f t="shared" ca="1" si="27"/>
        <v>0</v>
      </c>
      <c r="V55" s="43">
        <f t="shared" ca="1" si="27"/>
        <v>0</v>
      </c>
      <c r="W55" s="43">
        <f t="shared" ca="1" si="27"/>
        <v>0</v>
      </c>
      <c r="X55" s="43">
        <f t="shared" ca="1" si="27"/>
        <v>0</v>
      </c>
      <c r="Y55" s="43">
        <f t="shared" ca="1" si="27"/>
        <v>0</v>
      </c>
      <c r="AB55">
        <f t="shared" si="28"/>
        <v>3</v>
      </c>
      <c r="AC55">
        <f t="shared" si="29"/>
        <v>0</v>
      </c>
      <c r="AD55">
        <f t="shared" si="30"/>
        <v>0</v>
      </c>
      <c r="AE55">
        <f t="shared" si="31"/>
        <v>0</v>
      </c>
      <c r="AF55">
        <f t="shared" si="32"/>
        <v>0</v>
      </c>
      <c r="AG55">
        <f t="shared" si="33"/>
        <v>3</v>
      </c>
      <c r="AH55">
        <f t="shared" ca="1" si="34"/>
        <v>0</v>
      </c>
      <c r="AI55">
        <f>IF(ROW($AA55) - $AA$51 &lt; ($H$16+1)^5, IF(AG55 &gt;= BaseBonus!$C$16, AG55*BaseBonus!$E$31, 0), "")</f>
        <v>0</v>
      </c>
      <c r="AJ55">
        <f t="shared" ca="1" si="35"/>
        <v>0</v>
      </c>
      <c r="AN55" s="47"/>
    </row>
    <row r="56" spans="1:40" x14ac:dyDescent="0.3">
      <c r="A56" t="str">
        <v>P3</v>
      </c>
      <c r="B56" t="str">
        <v>CP</v>
      </c>
      <c r="C56" t="str">
        <v>P6</v>
      </c>
      <c r="D56" t="str">
        <v>CP</v>
      </c>
      <c r="E56" t="str">
        <v>P2</v>
      </c>
      <c r="H56" t="str" cm="1">
        <f t="array" aca="1" ref="H56" ca="1">IF(ROW(A56)-H$15 &lt; H$14,A56,IF(ROW(A56) - H$15 -H$16 + 1 &lt; H$14,INDIRECT(ADDRESS(MOD(ROW(A56) - H$15, H$14) + H$15, COLUMN(A56))),""))</f>
        <v>P3</v>
      </c>
      <c r="I56" t="str" cm="1">
        <f t="array" aca="1" ref="I56" ca="1">IF(ROW(B56)-I$15 &lt; I$14,B56,IF(ROW(B56) - I$15 -I$16 + 1 &lt; I$14,INDIRECT(ADDRESS(MOD(ROW(B56) - I$15, I$14) + I$15, COLUMN(B56))),""))</f>
        <v>CP</v>
      </c>
      <c r="J56" t="str" cm="1">
        <f t="array" aca="1" ref="J56" ca="1">IF(ROW(C56)-J$15 &lt; J$14,C56,IF(ROW(C56) - J$15 -J$16 + 1 &lt; J$14,INDIRECT(ADDRESS(MOD(ROW(C56) - J$15, J$14) + J$15, COLUMN(C56))),""))</f>
        <v>P6</v>
      </c>
      <c r="K56" t="str" cm="1">
        <f t="array" aca="1" ref="K56" ca="1">IF(ROW(D56)-K$15 &lt; K$14,D56,IF(ROW(D56) - K$15 -K$16 + 1 &lt; K$14,INDIRECT(ADDRESS(MOD(ROW(D56) - K$15, K$14) + K$15, COLUMN(D56))),""))</f>
        <v>CP</v>
      </c>
      <c r="L56" t="str" cm="1">
        <f t="array" aca="1" ref="L56" ca="1">IF(ROW(E56)-L$15 &lt; L$14,E56,IF(ROW(E56) - L$15 -L$16 + 1 &lt; L$14,INDIRECT(ADDRESS(MOD(ROW(E56) - L$15, L$14) + L$15, COLUMN(E56))),""))</f>
        <v>P2</v>
      </c>
      <c r="N56" cm="1">
        <f t="array" aca="1" ref="N56" ca="1">IF(H56&lt;&gt;"", SUMPRODUCT((OFFSET(H56,0,0,H$16,1)=$T$24) +0),"")</f>
        <v>1</v>
      </c>
      <c r="O56" cm="1">
        <f t="array" aca="1" ref="O56" ca="1">IF(I56&lt;&gt;"", SUMPRODUCT((OFFSET(I56,0,0,I$16,1)=$T$24) +0),"")</f>
        <v>1</v>
      </c>
      <c r="P56" cm="1">
        <f t="array" aca="1" ref="P56" ca="1">IF(J56&lt;&gt;"", SUMPRODUCT((OFFSET(J56,0,0,J$16,1)=$T$24) +0),"")</f>
        <v>1</v>
      </c>
      <c r="Q56" cm="1">
        <f t="array" aca="1" ref="Q56" ca="1">IF(K56&lt;&gt;"", SUMPRODUCT((OFFSET(K56,0,0,K$16,1)=$T$24) +0),"")</f>
        <v>1</v>
      </c>
      <c r="R56" cm="1">
        <f t="array" aca="1" ref="R56" ca="1">IF(L56&lt;&gt;"", SUMPRODUCT((OFFSET(L56,0,0,L$16,1)=$T$24) +0),"")</f>
        <v>0</v>
      </c>
      <c r="AB56">
        <f t="shared" si="28"/>
        <v>0</v>
      </c>
      <c r="AC56">
        <f t="shared" si="29"/>
        <v>1</v>
      </c>
      <c r="AD56">
        <f t="shared" si="30"/>
        <v>0</v>
      </c>
      <c r="AE56">
        <f t="shared" si="31"/>
        <v>0</v>
      </c>
      <c r="AF56">
        <f t="shared" si="32"/>
        <v>0</v>
      </c>
      <c r="AG56">
        <f t="shared" si="33"/>
        <v>1</v>
      </c>
      <c r="AH56">
        <f t="shared" ca="1" si="34"/>
        <v>8.1836066428387352E-2</v>
      </c>
      <c r="AI56">
        <f>IF(ROW($AA56) - $AA$51 &lt; ($H$16+1)^5, IF(AG56 &gt;= BaseBonus!$C$16, AG56*BaseBonus!$E$31, 0), "")</f>
        <v>0</v>
      </c>
      <c r="AJ56">
        <f t="shared" ca="1" si="35"/>
        <v>0</v>
      </c>
      <c r="AN56" s="47"/>
    </row>
    <row r="57" spans="1:40" x14ac:dyDescent="0.3">
      <c r="A57" t="str">
        <v>P3</v>
      </c>
      <c r="B57" t="str">
        <v>P5</v>
      </c>
      <c r="C57" t="str">
        <v>P6</v>
      </c>
      <c r="D57" t="str">
        <v>P5</v>
      </c>
      <c r="E57" t="str">
        <v>P5</v>
      </c>
      <c r="H57" t="str" cm="1">
        <f t="array" aca="1" ref="H57" ca="1">IF(ROW(A57)-H$15 &lt; H$14,A57,IF(ROW(A57) - H$15 -H$16 + 1 &lt; H$14,INDIRECT(ADDRESS(MOD(ROW(A57) - H$15, H$14) + H$15, COLUMN(A57))),""))</f>
        <v>P3</v>
      </c>
      <c r="I57" t="str" cm="1">
        <f t="array" aca="1" ref="I57" ca="1">IF(ROW(B57)-I$15 &lt; I$14,B57,IF(ROW(B57) - I$15 -I$16 + 1 &lt; I$14,INDIRECT(ADDRESS(MOD(ROW(B57) - I$15, I$14) + I$15, COLUMN(B57))),""))</f>
        <v>P5</v>
      </c>
      <c r="J57" t="str" cm="1">
        <f t="array" aca="1" ref="J57" ca="1">IF(ROW(C57)-J$15 &lt; J$14,C57,IF(ROW(C57) - J$15 -J$16 + 1 &lt; J$14,INDIRECT(ADDRESS(MOD(ROW(C57) - J$15, J$14) + J$15, COLUMN(C57))),""))</f>
        <v>P6</v>
      </c>
      <c r="K57" t="str" cm="1">
        <f t="array" aca="1" ref="K57" ca="1">IF(ROW(D57)-K$15 &lt; K$14,D57,IF(ROW(D57) - K$15 -K$16 + 1 &lt; K$14,INDIRECT(ADDRESS(MOD(ROW(D57) - K$15, K$14) + K$15, COLUMN(D57))),""))</f>
        <v>P5</v>
      </c>
      <c r="L57" t="str" cm="1">
        <f t="array" aca="1" ref="L57" ca="1">IF(ROW(E57)-L$15 &lt; L$14,E57,IF(ROW(E57) - L$15 -L$16 + 1 &lt; L$14,INDIRECT(ADDRESS(MOD(ROW(E57) - L$15, L$14) + L$15, COLUMN(E57))),""))</f>
        <v>P5</v>
      </c>
      <c r="N57" cm="1">
        <f t="array" aca="1" ref="N57" ca="1">IF(H57&lt;&gt;"", SUMPRODUCT((OFFSET(H57,0,0,H$16,1)=$T$24) +0),"")</f>
        <v>1</v>
      </c>
      <c r="O57" cm="1">
        <f t="array" aca="1" ref="O57" ca="1">IF(I57&lt;&gt;"", SUMPRODUCT((OFFSET(I57,0,0,I$16,1)=$T$24) +0),"")</f>
        <v>0</v>
      </c>
      <c r="P57" cm="1">
        <f t="array" aca="1" ref="P57" ca="1">IF(J57&lt;&gt;"", SUMPRODUCT((OFFSET(J57,0,0,J$16,1)=$T$24) +0),"")</f>
        <v>2</v>
      </c>
      <c r="Q57" cm="1">
        <f t="array" aca="1" ref="Q57" ca="1">IF(K57&lt;&gt;"", SUMPRODUCT((OFFSET(K57,0,0,K$16,1)=$T$24) +0),"")</f>
        <v>0</v>
      </c>
      <c r="R57" cm="1">
        <f t="array" aca="1" ref="R57" ca="1">IF(L57&lt;&gt;"", SUMPRODUCT((OFFSET(L57,0,0,L$16,1)=$T$24) +0),"")</f>
        <v>0</v>
      </c>
      <c r="AB57">
        <f t="shared" si="28"/>
        <v>1</v>
      </c>
      <c r="AC57">
        <f t="shared" si="29"/>
        <v>1</v>
      </c>
      <c r="AD57">
        <f t="shared" si="30"/>
        <v>0</v>
      </c>
      <c r="AE57">
        <f t="shared" si="31"/>
        <v>0</v>
      </c>
      <c r="AF57">
        <f t="shared" si="32"/>
        <v>0</v>
      </c>
      <c r="AG57">
        <f t="shared" si="33"/>
        <v>2</v>
      </c>
      <c r="AH57">
        <f t="shared" ca="1" si="34"/>
        <v>1.5344262455322629E-2</v>
      </c>
      <c r="AI57">
        <f>IF(ROW($AA57) - $AA$51 &lt; ($H$16+1)^5, IF(AG57 &gt;= BaseBonus!$C$16, AG57*BaseBonus!$E$31, 0), "")</f>
        <v>0</v>
      </c>
      <c r="AJ57">
        <f t="shared" ca="1" si="35"/>
        <v>0</v>
      </c>
      <c r="AL57" s="29"/>
      <c r="AN57" s="47"/>
    </row>
    <row r="58" spans="1:40" x14ac:dyDescent="0.3">
      <c r="A58" t="str">
        <v>CP</v>
      </c>
      <c r="B58" t="str">
        <v>P2</v>
      </c>
      <c r="C58" t="str">
        <v>CP</v>
      </c>
      <c r="D58" t="str">
        <v>P2</v>
      </c>
      <c r="E58" t="str">
        <v>P3</v>
      </c>
      <c r="H58" t="str" cm="1">
        <f t="array" aca="1" ref="H58" ca="1">IF(ROW(A58)-H$15 &lt; H$14,A58,IF(ROW(A58) - H$15 -H$16 + 1 &lt; H$14,INDIRECT(ADDRESS(MOD(ROW(A58) - H$15, H$14) + H$15, COLUMN(A58))),""))</f>
        <v>CP</v>
      </c>
      <c r="I58" t="str" cm="1">
        <f t="array" aca="1" ref="I58" ca="1">IF(ROW(B58)-I$15 &lt; I$14,B58,IF(ROW(B58) - I$15 -I$16 + 1 &lt; I$14,INDIRECT(ADDRESS(MOD(ROW(B58) - I$15, I$14) + I$15, COLUMN(B58))),""))</f>
        <v>P2</v>
      </c>
      <c r="J58" t="str" cm="1">
        <f t="array" aca="1" ref="J58" ca="1">IF(ROW(C58)-J$15 &lt; J$14,C58,IF(ROW(C58) - J$15 -J$16 + 1 &lt; J$14,INDIRECT(ADDRESS(MOD(ROW(C58) - J$15, J$14) + J$15, COLUMN(C58))),""))</f>
        <v>CP</v>
      </c>
      <c r="K58" t="str" cm="1">
        <f t="array" aca="1" ref="K58" ca="1">IF(ROW(D58)-K$15 &lt; K$14,D58,IF(ROW(D58) - K$15 -K$16 + 1 &lt; K$14,INDIRECT(ADDRESS(MOD(ROW(D58) - K$15, K$14) + K$15, COLUMN(D58))),""))</f>
        <v>P2</v>
      </c>
      <c r="L58" t="str" cm="1">
        <f t="array" aca="1" ref="L58" ca="1">IF(ROW(E58)-L$15 &lt; L$14,E58,IF(ROW(E58) - L$15 -L$16 + 1 &lt; L$14,INDIRECT(ADDRESS(MOD(ROW(E58) - L$15, L$14) + L$15, COLUMN(E58))),""))</f>
        <v>P3</v>
      </c>
      <c r="N58" cm="1">
        <f t="array" aca="1" ref="N58" ca="1">IF(H58&lt;&gt;"", SUMPRODUCT((OFFSET(H58,0,0,H$16,1)=$T$24) +0),"")</f>
        <v>1</v>
      </c>
      <c r="O58" cm="1">
        <f t="array" aca="1" ref="O58" ca="1">IF(I58&lt;&gt;"", SUMPRODUCT((OFFSET(I58,0,0,I$16,1)=$T$24) +0),"")</f>
        <v>0</v>
      </c>
      <c r="P58" cm="1">
        <f t="array" aca="1" ref="P58" ca="1">IF(J58&lt;&gt;"", SUMPRODUCT((OFFSET(J58,0,0,J$16,1)=$T$24) +0),"")</f>
        <v>2</v>
      </c>
      <c r="Q58" cm="1">
        <f t="array" aca="1" ref="Q58" ca="1">IF(K58&lt;&gt;"", SUMPRODUCT((OFFSET(K58,0,0,K$16,1)=$T$24) +0),"")</f>
        <v>0</v>
      </c>
      <c r="R58" cm="1">
        <f t="array" aca="1" ref="R58" ca="1">IF(L58&lt;&gt;"", SUMPRODUCT((OFFSET(L58,0,0,L$16,1)=$T$24) +0),"")</f>
        <v>0</v>
      </c>
      <c r="AB58">
        <f t="shared" si="28"/>
        <v>2</v>
      </c>
      <c r="AC58">
        <f t="shared" si="29"/>
        <v>1</v>
      </c>
      <c r="AD58">
        <f t="shared" si="30"/>
        <v>0</v>
      </c>
      <c r="AE58">
        <f t="shared" si="31"/>
        <v>0</v>
      </c>
      <c r="AF58">
        <f t="shared" si="32"/>
        <v>0</v>
      </c>
      <c r="AG58">
        <f t="shared" si="33"/>
        <v>3</v>
      </c>
      <c r="AH58">
        <f t="shared" ca="1" si="34"/>
        <v>7.6721312276613147E-3</v>
      </c>
      <c r="AI58">
        <f>IF(ROW($AA58) - $AA$51 &lt; ($H$16+1)^5, IF(AG58 &gt;= BaseBonus!$C$16, AG58*BaseBonus!$E$31, 0), "")</f>
        <v>0</v>
      </c>
      <c r="AJ58">
        <f t="shared" ca="1" si="35"/>
        <v>0</v>
      </c>
      <c r="AN58" s="47"/>
    </row>
    <row r="59" spans="1:40" x14ac:dyDescent="0.3">
      <c r="A59" t="str">
        <v>P4</v>
      </c>
      <c r="B59" t="str">
        <v>P6</v>
      </c>
      <c r="C59" t="str">
        <v>CP</v>
      </c>
      <c r="D59" t="str">
        <v>P2</v>
      </c>
      <c r="E59" t="str">
        <v>SCAT</v>
      </c>
      <c r="H59" t="str" cm="1">
        <f t="array" aca="1" ref="H59" ca="1">IF(ROW(A59)-H$15 &lt; H$14,A59,IF(ROW(A59) - H$15 -H$16 + 1 &lt; H$14,INDIRECT(ADDRESS(MOD(ROW(A59) - H$15, H$14) + H$15, COLUMN(A59))),""))</f>
        <v>P4</v>
      </c>
      <c r="I59" t="str" cm="1">
        <f t="array" aca="1" ref="I59" ca="1">IF(ROW(B59)-I$15 &lt; I$14,B59,IF(ROW(B59) - I$15 -I$16 + 1 &lt; I$14,INDIRECT(ADDRESS(MOD(ROW(B59) - I$15, I$14) + I$15, COLUMN(B59))),""))</f>
        <v>P6</v>
      </c>
      <c r="J59" t="str" cm="1">
        <f t="array" aca="1" ref="J59" ca="1">IF(ROW(C59)-J$15 &lt; J$14,C59,IF(ROW(C59) - J$15 -J$16 + 1 &lt; J$14,INDIRECT(ADDRESS(MOD(ROW(C59) - J$15, J$14) + J$15, COLUMN(C59))),""))</f>
        <v>CP</v>
      </c>
      <c r="K59" t="str" cm="1">
        <f t="array" aca="1" ref="K59" ca="1">IF(ROW(D59)-K$15 &lt; K$14,D59,IF(ROW(D59) - K$15 -K$16 + 1 &lt; K$14,INDIRECT(ADDRESS(MOD(ROW(D59) - K$15, K$14) + K$15, COLUMN(D59))),""))</f>
        <v>P2</v>
      </c>
      <c r="L59" t="str" cm="1">
        <f t="array" aca="1" ref="L59" ca="1">IF(ROW(E59)-L$15 &lt; L$14,E59,IF(ROW(E59) - L$15 -L$16 + 1 &lt; L$14,INDIRECT(ADDRESS(MOD(ROW(E59) - L$15, L$14) + L$15, COLUMN(E59))),""))</f>
        <v>SCAT</v>
      </c>
      <c r="N59" cm="1">
        <f t="array" aca="1" ref="N59" ca="1">IF(H59&lt;&gt;"", SUMPRODUCT((OFFSET(H59,0,0,H$16,1)=$T$24) +0),"")</f>
        <v>0</v>
      </c>
      <c r="O59" cm="1">
        <f t="array" aca="1" ref="O59" ca="1">IF(I59&lt;&gt;"", SUMPRODUCT((OFFSET(I59,0,0,I$16,1)=$T$24) +0),"")</f>
        <v>0</v>
      </c>
      <c r="P59" cm="1">
        <f t="array" aca="1" ref="P59" ca="1">IF(J59&lt;&gt;"", SUMPRODUCT((OFFSET(J59,0,0,J$16,1)=$T$24) +0),"")</f>
        <v>1</v>
      </c>
      <c r="Q59" cm="1">
        <f t="array" aca="1" ref="Q59" ca="1">IF(K59&lt;&gt;"", SUMPRODUCT((OFFSET(K59,0,0,K$16,1)=$T$24) +0),"")</f>
        <v>0</v>
      </c>
      <c r="R59" cm="1">
        <f t="array" aca="1" ref="R59" ca="1">IF(L59&lt;&gt;"", SUMPRODUCT((OFFSET(L59,0,0,L$16,1)=$T$24) +0),"")</f>
        <v>0</v>
      </c>
      <c r="AB59">
        <f t="shared" si="28"/>
        <v>3</v>
      </c>
      <c r="AC59">
        <f t="shared" si="29"/>
        <v>1</v>
      </c>
      <c r="AD59">
        <f t="shared" si="30"/>
        <v>0</v>
      </c>
      <c r="AE59">
        <f t="shared" si="31"/>
        <v>0</v>
      </c>
      <c r="AF59">
        <f t="shared" si="32"/>
        <v>0</v>
      </c>
      <c r="AG59">
        <f t="shared" si="33"/>
        <v>4</v>
      </c>
      <c r="AH59">
        <f t="shared" ca="1" si="34"/>
        <v>0</v>
      </c>
      <c r="AI59">
        <f>IF(ROW($AA59) - $AA$51 &lt; ($H$16+1)^5, IF(AG59 &gt;= BaseBonus!$C$16, AG59*BaseBonus!$E$31, 0), "")</f>
        <v>0</v>
      </c>
      <c r="AJ59">
        <f t="shared" ca="1" si="35"/>
        <v>0</v>
      </c>
      <c r="AN59" s="47"/>
    </row>
    <row r="60" spans="1:40" x14ac:dyDescent="0.3">
      <c r="A60" t="str">
        <v>P2</v>
      </c>
      <c r="B60" t="str">
        <v>P2</v>
      </c>
      <c r="C60" t="str">
        <v>P3</v>
      </c>
      <c r="D60" t="str">
        <v>P3</v>
      </c>
      <c r="E60" t="str">
        <v>P2</v>
      </c>
      <c r="H60" t="str" cm="1">
        <f t="array" aca="1" ref="H60" ca="1">IF(ROW(A60)-H$15 &lt; H$14,A60,IF(ROW(A60) - H$15 -H$16 + 1 &lt; H$14,INDIRECT(ADDRESS(MOD(ROW(A60) - H$15, H$14) + H$15, COLUMN(A60))),""))</f>
        <v>P2</v>
      </c>
      <c r="I60" t="str" cm="1">
        <f t="array" aca="1" ref="I60" ca="1">IF(ROW(B60)-I$15 &lt; I$14,B60,IF(ROW(B60) - I$15 -I$16 + 1 &lt; I$14,INDIRECT(ADDRESS(MOD(ROW(B60) - I$15, I$14) + I$15, COLUMN(B60))),""))</f>
        <v>P2</v>
      </c>
      <c r="J60" t="str" cm="1">
        <f t="array" aca="1" ref="J60" ca="1">IF(ROW(C60)-J$15 &lt; J$14,C60,IF(ROW(C60) - J$15 -J$16 + 1 &lt; J$14,INDIRECT(ADDRESS(MOD(ROW(C60) - J$15, J$14) + J$15, COLUMN(C60))),""))</f>
        <v>P3</v>
      </c>
      <c r="K60" t="str" cm="1">
        <f t="array" aca="1" ref="K60" ca="1">IF(ROW(D60)-K$15 &lt; K$14,D60,IF(ROW(D60) - K$15 -K$16 + 1 &lt; K$14,INDIRECT(ADDRESS(MOD(ROW(D60) - K$15, K$14) + K$15, COLUMN(D60))),""))</f>
        <v>P3</v>
      </c>
      <c r="L60" t="str" cm="1">
        <f t="array" aca="1" ref="L60" ca="1">IF(ROW(E60)-L$15 &lt; L$14,E60,IF(ROW(E60) - L$15 -L$16 + 1 &lt; L$14,INDIRECT(ADDRESS(MOD(ROW(E60) - L$15, L$14) + L$15, COLUMN(E60))),""))</f>
        <v>P2</v>
      </c>
      <c r="N60" cm="1">
        <f t="array" aca="1" ref="N60" ca="1">IF(H60&lt;&gt;"", SUMPRODUCT((OFFSET(H60,0,0,H$16,1)=$T$24) +0),"")</f>
        <v>0</v>
      </c>
      <c r="O60" cm="1">
        <f t="array" aca="1" ref="O60" ca="1">IF(I60&lt;&gt;"", SUMPRODUCT((OFFSET(I60,0,0,I$16,1)=$T$24) +0),"")</f>
        <v>0</v>
      </c>
      <c r="P60" cm="1">
        <f t="array" aca="1" ref="P60" ca="1">IF(J60&lt;&gt;"", SUMPRODUCT((OFFSET(J60,0,0,J$16,1)=$T$24) +0),"")</f>
        <v>0</v>
      </c>
      <c r="Q60" cm="1">
        <f t="array" aca="1" ref="Q60" ca="1">IF(K60&lt;&gt;"", SUMPRODUCT((OFFSET(K60,0,0,K$16,1)=$T$24) +0),"")</f>
        <v>0</v>
      </c>
      <c r="R60" cm="1">
        <f t="array" aca="1" ref="R60" ca="1">IF(L60&lt;&gt;"", SUMPRODUCT((OFFSET(L60,0,0,L$16,1)=$T$24) +0),"")</f>
        <v>0</v>
      </c>
      <c r="AB60">
        <f t="shared" si="28"/>
        <v>0</v>
      </c>
      <c r="AC60">
        <f t="shared" si="29"/>
        <v>2</v>
      </c>
      <c r="AD60">
        <f t="shared" si="30"/>
        <v>0</v>
      </c>
      <c r="AE60">
        <f t="shared" si="31"/>
        <v>0</v>
      </c>
      <c r="AF60">
        <f t="shared" si="32"/>
        <v>0</v>
      </c>
      <c r="AG60">
        <f t="shared" si="33"/>
        <v>2</v>
      </c>
      <c r="AH60">
        <f t="shared" ca="1" si="34"/>
        <v>1.3639344404731227E-2</v>
      </c>
      <c r="AI60">
        <f>IF(ROW($AA60) - $AA$51 &lt; ($H$16+1)^5, IF(AG60 &gt;= BaseBonus!$C$16, AG60*BaseBonus!$E$31, 0), "")</f>
        <v>0</v>
      </c>
      <c r="AJ60">
        <f t="shared" ca="1" si="35"/>
        <v>0</v>
      </c>
      <c r="AN60" s="47"/>
    </row>
    <row r="61" spans="1:40" x14ac:dyDescent="0.3">
      <c r="A61" t="str">
        <v>P5</v>
      </c>
      <c r="B61" t="str">
        <v>P3</v>
      </c>
      <c r="C61" t="str">
        <v>P2</v>
      </c>
      <c r="D61" t="str">
        <v>P5</v>
      </c>
      <c r="E61" t="str">
        <v>P3</v>
      </c>
      <c r="H61" t="str" cm="1">
        <f t="array" aca="1" ref="H61" ca="1">IF(ROW(A61)-H$15 &lt; H$14,A61,IF(ROW(A61) - H$15 -H$16 + 1 &lt; H$14,INDIRECT(ADDRESS(MOD(ROW(A61) - H$15, H$14) + H$15, COLUMN(A61))),""))</f>
        <v>P5</v>
      </c>
      <c r="I61" t="str" cm="1">
        <f t="array" aca="1" ref="I61" ca="1">IF(ROW(B61)-I$15 &lt; I$14,B61,IF(ROW(B61) - I$15 -I$16 + 1 &lt; I$14,INDIRECT(ADDRESS(MOD(ROW(B61) - I$15, I$14) + I$15, COLUMN(B61))),""))</f>
        <v>P3</v>
      </c>
      <c r="J61" t="str" cm="1">
        <f t="array" aca="1" ref="J61" ca="1">IF(ROW(C61)-J$15 &lt; J$14,C61,IF(ROW(C61) - J$15 -J$16 + 1 &lt; J$14,INDIRECT(ADDRESS(MOD(ROW(C61) - J$15, J$14) + J$15, COLUMN(C61))),""))</f>
        <v>P2</v>
      </c>
      <c r="K61" t="str" cm="1">
        <f t="array" aca="1" ref="K61" ca="1">IF(ROW(D61)-K$15 &lt; K$14,D61,IF(ROW(D61) - K$15 -K$16 + 1 &lt; K$14,INDIRECT(ADDRESS(MOD(ROW(D61) - K$15, K$14) + K$15, COLUMN(D61))),""))</f>
        <v>P5</v>
      </c>
      <c r="L61" t="str" cm="1">
        <f t="array" aca="1" ref="L61" ca="1">IF(ROW(E61)-L$15 &lt; L$14,E61,IF(ROW(E61) - L$15 -L$16 + 1 &lt; L$14,INDIRECT(ADDRESS(MOD(ROW(E61) - L$15, L$14) + L$15, COLUMN(E61))),""))</f>
        <v>P3</v>
      </c>
      <c r="N61" cm="1">
        <f t="array" aca="1" ref="N61" ca="1">IF(H61&lt;&gt;"", SUMPRODUCT((OFFSET(H61,0,0,H$16,1)=$T$24) +0),"")</f>
        <v>1</v>
      </c>
      <c r="O61" cm="1">
        <f t="array" aca="1" ref="O61" ca="1">IF(I61&lt;&gt;"", SUMPRODUCT((OFFSET(I61,0,0,I$16,1)=$T$24) +0),"")</f>
        <v>0</v>
      </c>
      <c r="P61" cm="1">
        <f t="array" aca="1" ref="P61" ca="1">IF(J61&lt;&gt;"", SUMPRODUCT((OFFSET(J61,0,0,J$16,1)=$T$24) +0),"")</f>
        <v>0</v>
      </c>
      <c r="Q61" cm="1">
        <f t="array" aca="1" ref="Q61" ca="1">IF(K61&lt;&gt;"", SUMPRODUCT((OFFSET(K61,0,0,K$16,1)=$T$24) +0),"")</f>
        <v>0</v>
      </c>
      <c r="R61" cm="1">
        <f t="array" aca="1" ref="R61" ca="1">IF(L61&lt;&gt;"", SUMPRODUCT((OFFSET(L61,0,0,L$16,1)=$T$24) +0),"")</f>
        <v>0</v>
      </c>
      <c r="AB61">
        <f t="shared" si="28"/>
        <v>1</v>
      </c>
      <c r="AC61">
        <f t="shared" si="29"/>
        <v>2</v>
      </c>
      <c r="AD61">
        <f t="shared" si="30"/>
        <v>0</v>
      </c>
      <c r="AE61">
        <f t="shared" si="31"/>
        <v>0</v>
      </c>
      <c r="AF61">
        <f t="shared" si="32"/>
        <v>0</v>
      </c>
      <c r="AG61">
        <f t="shared" si="33"/>
        <v>3</v>
      </c>
      <c r="AH61">
        <f t="shared" ca="1" si="34"/>
        <v>2.5573770758871048E-3</v>
      </c>
      <c r="AI61">
        <f>IF(ROW($AA61) - $AA$51 &lt; ($H$16+1)^5, IF(AG61 &gt;= BaseBonus!$C$16, AG61*BaseBonus!$E$31, 0), "")</f>
        <v>0</v>
      </c>
      <c r="AJ61">
        <f t="shared" ca="1" si="35"/>
        <v>0</v>
      </c>
      <c r="AN61" s="47"/>
    </row>
    <row r="62" spans="1:40" x14ac:dyDescent="0.3">
      <c r="A62" t="str">
        <v>P6</v>
      </c>
      <c r="B62" t="str">
        <v>P5</v>
      </c>
      <c r="C62" t="str">
        <v>P5</v>
      </c>
      <c r="D62" t="str">
        <v>P3</v>
      </c>
      <c r="E62" t="str">
        <v>P2</v>
      </c>
      <c r="H62" t="str" cm="1">
        <f t="array" aca="1" ref="H62" ca="1">IF(ROW(A62)-H$15 &lt; H$14,A62,IF(ROW(A62) - H$15 -H$16 + 1 &lt; H$14,INDIRECT(ADDRESS(MOD(ROW(A62) - H$15, H$14) + H$15, COLUMN(A62))),""))</f>
        <v>P6</v>
      </c>
      <c r="I62" t="str" cm="1">
        <f t="array" aca="1" ref="I62" ca="1">IF(ROW(B62)-I$15 &lt; I$14,B62,IF(ROW(B62) - I$15 -I$16 + 1 &lt; I$14,INDIRECT(ADDRESS(MOD(ROW(B62) - I$15, I$14) + I$15, COLUMN(B62))),""))</f>
        <v>P5</v>
      </c>
      <c r="J62" t="str" cm="1">
        <f t="array" aca="1" ref="J62" ca="1">IF(ROW(C62)-J$15 &lt; J$14,C62,IF(ROW(C62) - J$15 -J$16 + 1 &lt; J$14,INDIRECT(ADDRESS(MOD(ROW(C62) - J$15, J$14) + J$15, COLUMN(C62))),""))</f>
        <v>P5</v>
      </c>
      <c r="K62" t="str" cm="1">
        <f t="array" aca="1" ref="K62" ca="1">IF(ROW(D62)-K$15 &lt; K$14,D62,IF(ROW(D62) - K$15 -K$16 + 1 &lt; K$14,INDIRECT(ADDRESS(MOD(ROW(D62) - K$15, K$14) + K$15, COLUMN(D62))),""))</f>
        <v>P3</v>
      </c>
      <c r="L62" t="str" cm="1">
        <f t="array" aca="1" ref="L62" ca="1">IF(ROW(E62)-L$15 &lt; L$14,E62,IF(ROW(E62) - L$15 -L$16 + 1 &lt; L$14,INDIRECT(ADDRESS(MOD(ROW(E62) - L$15, L$14) + L$15, COLUMN(E62))),""))</f>
        <v>P2</v>
      </c>
      <c r="N62" cm="1">
        <f t="array" aca="1" ref="N62" ca="1">IF(H62&lt;&gt;"", SUMPRODUCT((OFFSET(H62,0,0,H$16,1)=$T$24) +0),"")</f>
        <v>1</v>
      </c>
      <c r="O62" cm="1">
        <f t="array" aca="1" ref="O62" ca="1">IF(I62&lt;&gt;"", SUMPRODUCT((OFFSET(I62,0,0,I$16,1)=$T$24) +0),"")</f>
        <v>0</v>
      </c>
      <c r="P62" cm="1">
        <f t="array" aca="1" ref="P62" ca="1">IF(J62&lt;&gt;"", SUMPRODUCT((OFFSET(J62,0,0,J$16,1)=$T$24) +0),"")</f>
        <v>0</v>
      </c>
      <c r="Q62" cm="1">
        <f t="array" aca="1" ref="Q62" ca="1">IF(K62&lt;&gt;"", SUMPRODUCT((OFFSET(K62,0,0,K$16,1)=$T$24) +0),"")</f>
        <v>0</v>
      </c>
      <c r="R62" cm="1">
        <f t="array" aca="1" ref="R62" ca="1">IF(L62&lt;&gt;"", SUMPRODUCT((OFFSET(L62,0,0,L$16,1)=$T$24) +0),"")</f>
        <v>0</v>
      </c>
      <c r="AB62">
        <f t="shared" si="28"/>
        <v>2</v>
      </c>
      <c r="AC62">
        <f t="shared" si="29"/>
        <v>2</v>
      </c>
      <c r="AD62">
        <f t="shared" si="30"/>
        <v>0</v>
      </c>
      <c r="AE62">
        <f t="shared" si="31"/>
        <v>0</v>
      </c>
      <c r="AF62">
        <f t="shared" si="32"/>
        <v>0</v>
      </c>
      <c r="AG62">
        <f t="shared" si="33"/>
        <v>4</v>
      </c>
      <c r="AH62">
        <f t="shared" ca="1" si="34"/>
        <v>1.2786885379435524E-3</v>
      </c>
      <c r="AI62">
        <f>IF(ROW($AA62) - $AA$51 &lt; ($H$16+1)^5, IF(AG62 &gt;= BaseBonus!$C$16, AG62*BaseBonus!$E$31, 0), "")</f>
        <v>0</v>
      </c>
      <c r="AJ62">
        <f t="shared" ca="1" si="35"/>
        <v>0</v>
      </c>
      <c r="AN62" s="47"/>
    </row>
    <row r="63" spans="1:40" x14ac:dyDescent="0.3">
      <c r="A63" t="str">
        <v>CP</v>
      </c>
      <c r="B63" t="str">
        <v>P1</v>
      </c>
      <c r="C63" t="str">
        <v>SCAT</v>
      </c>
      <c r="D63" t="str">
        <v>P3</v>
      </c>
      <c r="E63" t="str">
        <v>WILD</v>
      </c>
      <c r="H63" t="str" cm="1">
        <f t="array" aca="1" ref="H63" ca="1">IF(ROW(A63)-H$15 &lt; H$14,A63,IF(ROW(A63) - H$15 -H$16 + 1 &lt; H$14,INDIRECT(ADDRESS(MOD(ROW(A63) - H$15, H$14) + H$15, COLUMN(A63))),""))</f>
        <v>CP</v>
      </c>
      <c r="I63" t="str" cm="1">
        <f t="array" aca="1" ref="I63" ca="1">IF(ROW(B63)-I$15 &lt; I$14,B63,IF(ROW(B63) - I$15 -I$16 + 1 &lt; I$14,INDIRECT(ADDRESS(MOD(ROW(B63) - I$15, I$14) + I$15, COLUMN(B63))),""))</f>
        <v>P1</v>
      </c>
      <c r="J63" t="str" cm="1">
        <f t="array" aca="1" ref="J63" ca="1">IF(ROW(C63)-J$15 &lt; J$14,C63,IF(ROW(C63) - J$15 -J$16 + 1 &lt; J$14,INDIRECT(ADDRESS(MOD(ROW(C63) - J$15, J$14) + J$15, COLUMN(C63))),""))</f>
        <v>SCAT</v>
      </c>
      <c r="K63" t="str" cm="1">
        <f t="array" aca="1" ref="K63" ca="1">IF(ROW(D63)-K$15 &lt; K$14,D63,IF(ROW(D63) - K$15 -K$16 + 1 &lt; K$14,INDIRECT(ADDRESS(MOD(ROW(D63) - K$15, K$14) + K$15, COLUMN(D63))),""))</f>
        <v>P3</v>
      </c>
      <c r="L63" t="str" cm="1">
        <f t="array" aca="1" ref="L63" ca="1">IF(ROW(E63)-L$15 &lt; L$14,E63,IF(ROW(E63) - L$15 -L$16 + 1 &lt; L$14,INDIRECT(ADDRESS(MOD(ROW(E63) - L$15, L$14) + L$15, COLUMN(E63))),""))</f>
        <v>WILD</v>
      </c>
      <c r="N63" cm="1">
        <f t="array" aca="1" ref="N63" ca="1">IF(H63&lt;&gt;"", SUMPRODUCT((OFFSET(H63,0,0,H$16,1)=$T$24) +0),"")</f>
        <v>1</v>
      </c>
      <c r="O63" cm="1">
        <f t="array" aca="1" ref="O63" ca="1">IF(I63&lt;&gt;"", SUMPRODUCT((OFFSET(I63,0,0,I$16,1)=$T$24) +0),"")</f>
        <v>0</v>
      </c>
      <c r="P63" cm="1">
        <f t="array" aca="1" ref="P63" ca="1">IF(J63&lt;&gt;"", SUMPRODUCT((OFFSET(J63,0,0,J$16,1)=$T$24) +0),"")</f>
        <v>0</v>
      </c>
      <c r="Q63" cm="1">
        <f t="array" aca="1" ref="Q63" ca="1">IF(K63&lt;&gt;"", SUMPRODUCT((OFFSET(K63,0,0,K$16,1)=$T$24) +0),"")</f>
        <v>1</v>
      </c>
      <c r="R63" cm="1">
        <f t="array" aca="1" ref="R63" ca="1">IF(L63&lt;&gt;"", SUMPRODUCT((OFFSET(L63,0,0,L$16,1)=$T$24) +0),"")</f>
        <v>0</v>
      </c>
      <c r="AB63">
        <f t="shared" si="28"/>
        <v>3</v>
      </c>
      <c r="AC63">
        <f t="shared" si="29"/>
        <v>2</v>
      </c>
      <c r="AD63">
        <f t="shared" si="30"/>
        <v>0</v>
      </c>
      <c r="AE63">
        <f t="shared" si="31"/>
        <v>0</v>
      </c>
      <c r="AF63">
        <f t="shared" si="32"/>
        <v>0</v>
      </c>
      <c r="AG63">
        <f t="shared" si="33"/>
        <v>5</v>
      </c>
      <c r="AH63">
        <f t="shared" ca="1" si="34"/>
        <v>0</v>
      </c>
      <c r="AI63">
        <f>IF(ROW($AA63) - $AA$51 &lt; ($H$16+1)^5, IF(AG63 &gt;= BaseBonus!$C$16, AG63*BaseBonus!$E$31, 0), "")</f>
        <v>4.6952679064628979</v>
      </c>
      <c r="AJ63">
        <f t="shared" ca="1" si="35"/>
        <v>0</v>
      </c>
      <c r="AM63" t="str">
        <f>IF(AN62&lt;&gt;"",IF(SUM($H$16:$J$16)&gt;=AN62+1,AN62+1,""),"")</f>
        <v/>
      </c>
    </row>
    <row r="64" spans="1:40" x14ac:dyDescent="0.3">
      <c r="A64" t="str">
        <v>P5</v>
      </c>
      <c r="B64" t="str">
        <v>P3</v>
      </c>
      <c r="C64" t="str">
        <v>P3</v>
      </c>
      <c r="D64" t="str">
        <v>P1</v>
      </c>
      <c r="E64" t="str">
        <v>P4</v>
      </c>
      <c r="H64" t="str" cm="1">
        <f t="array" aca="1" ref="H64" ca="1">IF(ROW(A64)-H$15 &lt; H$14,A64,IF(ROW(A64) - H$15 -H$16 + 1 &lt; H$14,INDIRECT(ADDRESS(MOD(ROW(A64) - H$15, H$14) + H$15, COLUMN(A64))),""))</f>
        <v>P5</v>
      </c>
      <c r="I64" t="str" cm="1">
        <f t="array" aca="1" ref="I64" ca="1">IF(ROW(B64)-I$15 &lt; I$14,B64,IF(ROW(B64) - I$15 -I$16 + 1 &lt; I$14,INDIRECT(ADDRESS(MOD(ROW(B64) - I$15, I$14) + I$15, COLUMN(B64))),""))</f>
        <v>P3</v>
      </c>
      <c r="J64" t="str" cm="1">
        <f t="array" aca="1" ref="J64" ca="1">IF(ROW(C64)-J$15 &lt; J$14,C64,IF(ROW(C64) - J$15 -J$16 + 1 &lt; J$14,INDIRECT(ADDRESS(MOD(ROW(C64) - J$15, J$14) + J$15, COLUMN(C64))),""))</f>
        <v>P3</v>
      </c>
      <c r="K64" t="str" cm="1">
        <f t="array" aca="1" ref="K64" ca="1">IF(ROW(D64)-K$15 &lt; K$14,D64,IF(ROW(D64) - K$15 -K$16 + 1 &lt; K$14,INDIRECT(ADDRESS(MOD(ROW(D64) - K$15, K$14) + K$15, COLUMN(D64))),""))</f>
        <v>P1</v>
      </c>
      <c r="L64" t="str" cm="1">
        <f t="array" aca="1" ref="L64" ca="1">IF(ROW(E64)-L$15 &lt; L$14,E64,IF(ROW(E64) - L$15 -L$16 + 1 &lt; L$14,INDIRECT(ADDRESS(MOD(ROW(E64) - L$15, L$14) + L$15, COLUMN(E64))),""))</f>
        <v>P4</v>
      </c>
      <c r="N64" cm="1">
        <f t="array" aca="1" ref="N64" ca="1">IF(H64&lt;&gt;"", SUMPRODUCT((OFFSET(H64,0,0,H$16,1)=$T$24) +0),"")</f>
        <v>0</v>
      </c>
      <c r="O64" cm="1">
        <f t="array" aca="1" ref="O64" ca="1">IF(I64&lt;&gt;"", SUMPRODUCT((OFFSET(I64,0,0,I$16,1)=$T$24) +0),"")</f>
        <v>1</v>
      </c>
      <c r="P64" cm="1">
        <f t="array" aca="1" ref="P64" ca="1">IF(J64&lt;&gt;"", SUMPRODUCT((OFFSET(J64,0,0,J$16,1)=$T$24) +0),"")</f>
        <v>0</v>
      </c>
      <c r="Q64" cm="1">
        <f t="array" aca="1" ref="Q64" ca="1">IF(K64&lt;&gt;"", SUMPRODUCT((OFFSET(K64,0,0,K$16,1)=$T$24) +0),"")</f>
        <v>2</v>
      </c>
      <c r="R64" cm="1">
        <f t="array" aca="1" ref="R64" ca="1">IF(L64&lt;&gt;"", SUMPRODUCT((OFFSET(L64,0,0,L$16,1)=$T$24) +0),"")</f>
        <v>0</v>
      </c>
      <c r="AB64">
        <f t="shared" si="28"/>
        <v>0</v>
      </c>
      <c r="AC64">
        <f t="shared" si="29"/>
        <v>3</v>
      </c>
      <c r="AD64">
        <f t="shared" si="30"/>
        <v>0</v>
      </c>
      <c r="AE64">
        <f t="shared" si="31"/>
        <v>0</v>
      </c>
      <c r="AF64">
        <f t="shared" si="32"/>
        <v>0</v>
      </c>
      <c r="AG64">
        <f t="shared" si="33"/>
        <v>3</v>
      </c>
      <c r="AH64">
        <f t="shared" ca="1" si="34"/>
        <v>0</v>
      </c>
      <c r="AI64">
        <f>IF(ROW($AA64) - $AA$51 &lt; ($H$16+1)^5, IF(AG64 &gt;= BaseBonus!$C$16, AG64*BaseBonus!$E$31, 0), "")</f>
        <v>0</v>
      </c>
      <c r="AJ64">
        <f t="shared" ca="1" si="35"/>
        <v>0</v>
      </c>
      <c r="AM64" t="str">
        <f>IF(AM63&lt;&gt;"",IF(SUM($H$16:$J$16)&gt;=AM63+1,AM63+1,""),"")</f>
        <v/>
      </c>
    </row>
    <row r="65" spans="1:39" x14ac:dyDescent="0.3">
      <c r="A65" t="str">
        <v>P6</v>
      </c>
      <c r="B65" t="str">
        <v>P1</v>
      </c>
      <c r="C65" t="str">
        <v>P6</v>
      </c>
      <c r="D65" t="str">
        <v>CP</v>
      </c>
      <c r="E65" t="str">
        <v>P2</v>
      </c>
      <c r="H65" t="str" cm="1">
        <f t="array" aca="1" ref="H65" ca="1">IF(ROW(A65)-H$15 &lt; H$14,A65,IF(ROW(A65) - H$15 -H$16 + 1 &lt; H$14,INDIRECT(ADDRESS(MOD(ROW(A65) - H$15, H$14) + H$15, COLUMN(A65))),""))</f>
        <v>P6</v>
      </c>
      <c r="I65" t="str" cm="1">
        <f t="array" aca="1" ref="I65" ca="1">IF(ROW(B65)-I$15 &lt; I$14,B65,IF(ROW(B65) - I$15 -I$16 + 1 &lt; I$14,INDIRECT(ADDRESS(MOD(ROW(B65) - I$15, I$14) + I$15, COLUMN(B65))),""))</f>
        <v>P1</v>
      </c>
      <c r="J65" t="str" cm="1">
        <f t="array" aca="1" ref="J65" ca="1">IF(ROW(C65)-J$15 &lt; J$14,C65,IF(ROW(C65) - J$15 -J$16 + 1 &lt; J$14,INDIRECT(ADDRESS(MOD(ROW(C65) - J$15, J$14) + J$15, COLUMN(C65))),""))</f>
        <v>P6</v>
      </c>
      <c r="K65" t="str" cm="1">
        <f t="array" aca="1" ref="K65" ca="1">IF(ROW(D65)-K$15 &lt; K$14,D65,IF(ROW(D65) - K$15 -K$16 + 1 &lt; K$14,INDIRECT(ADDRESS(MOD(ROW(D65) - K$15, K$14) + K$15, COLUMN(D65))),""))</f>
        <v>CP</v>
      </c>
      <c r="L65" t="str" cm="1">
        <f t="array" aca="1" ref="L65" ca="1">IF(ROW(E65)-L$15 &lt; L$14,E65,IF(ROW(E65) - L$15 -L$16 + 1 &lt; L$14,INDIRECT(ADDRESS(MOD(ROW(E65) - L$15, L$14) + L$15, COLUMN(E65))),""))</f>
        <v>P2</v>
      </c>
      <c r="N65" cm="1">
        <f t="array" aca="1" ref="N65" ca="1">IF(H65&lt;&gt;"", SUMPRODUCT((OFFSET(H65,0,0,H$16,1)=$T$24) +0),"")</f>
        <v>0</v>
      </c>
      <c r="O65" cm="1">
        <f t="array" aca="1" ref="O65" ca="1">IF(I65&lt;&gt;"", SUMPRODUCT((OFFSET(I65,0,0,I$16,1)=$T$24) +0),"")</f>
        <v>1</v>
      </c>
      <c r="P65" cm="1">
        <f t="array" aca="1" ref="P65" ca="1">IF(J65&lt;&gt;"", SUMPRODUCT((OFFSET(J65,0,0,J$16,1)=$T$24) +0),"")</f>
        <v>0</v>
      </c>
      <c r="Q65" cm="1">
        <f t="array" aca="1" ref="Q65" ca="1">IF(K65&lt;&gt;"", SUMPRODUCT((OFFSET(K65,0,0,K$16,1)=$T$24) +0),"")</f>
        <v>2</v>
      </c>
      <c r="R65" cm="1">
        <f t="array" aca="1" ref="R65" ca="1">IF(L65&lt;&gt;"", SUMPRODUCT((OFFSET(L65,0,0,L$16,1)=$T$24) +0),"")</f>
        <v>0</v>
      </c>
      <c r="AB65">
        <f t="shared" si="28"/>
        <v>1</v>
      </c>
      <c r="AC65">
        <f t="shared" si="29"/>
        <v>3</v>
      </c>
      <c r="AD65">
        <f t="shared" si="30"/>
        <v>0</v>
      </c>
      <c r="AE65">
        <f t="shared" si="31"/>
        <v>0</v>
      </c>
      <c r="AF65">
        <f t="shared" si="32"/>
        <v>0</v>
      </c>
      <c r="AG65">
        <f t="shared" si="33"/>
        <v>4</v>
      </c>
      <c r="AH65">
        <f t="shared" ca="1" si="34"/>
        <v>0</v>
      </c>
      <c r="AI65">
        <f>IF(ROW($AA65) - $AA$51 &lt; ($H$16+1)^5, IF(AG65 &gt;= BaseBonus!$C$16, AG65*BaseBonus!$E$31, 0), "")</f>
        <v>0</v>
      </c>
      <c r="AJ65">
        <f t="shared" ca="1" si="35"/>
        <v>0</v>
      </c>
      <c r="AM65" t="str">
        <f t="shared" ref="AM65:AM72" si="36">IF(AM64&lt;&gt;"",IF(SUM($H$16:$J$16)&gt;=AM64+1,AM64+1,""),"")</f>
        <v/>
      </c>
    </row>
    <row r="66" spans="1:39" x14ac:dyDescent="0.3">
      <c r="A66" t="str">
        <v>P2</v>
      </c>
      <c r="B66" t="str">
        <v>CP</v>
      </c>
      <c r="C66" t="str">
        <v>P2</v>
      </c>
      <c r="D66" t="str">
        <v>CP</v>
      </c>
      <c r="E66" t="str">
        <v>SCAT</v>
      </c>
      <c r="H66" t="str" cm="1">
        <f t="array" aca="1" ref="H66" ca="1">IF(ROW(A66)-H$15 &lt; H$14,A66,IF(ROW(A66) - H$15 -H$16 + 1 &lt; H$14,INDIRECT(ADDRESS(MOD(ROW(A66) - H$15, H$14) + H$15, COLUMN(A66))),""))</f>
        <v>P2</v>
      </c>
      <c r="I66" t="str" cm="1">
        <f t="array" aca="1" ref="I66" ca="1">IF(ROW(B66)-I$15 &lt; I$14,B66,IF(ROW(B66) - I$15 -I$16 + 1 &lt; I$14,INDIRECT(ADDRESS(MOD(ROW(B66) - I$15, I$14) + I$15, COLUMN(B66))),""))</f>
        <v>CP</v>
      </c>
      <c r="J66" t="str" cm="1">
        <f t="array" aca="1" ref="J66" ca="1">IF(ROW(C66)-J$15 &lt; J$14,C66,IF(ROW(C66) - J$15 -J$16 + 1 &lt; J$14,INDIRECT(ADDRESS(MOD(ROW(C66) - J$15, J$14) + J$15, COLUMN(C66))),""))</f>
        <v>P2</v>
      </c>
      <c r="K66" t="str" cm="1">
        <f t="array" aca="1" ref="K66" ca="1">IF(ROW(D66)-K$15 &lt; K$14,D66,IF(ROW(D66) - K$15 -K$16 + 1 &lt; K$14,INDIRECT(ADDRESS(MOD(ROW(D66) - K$15, K$14) + K$15, COLUMN(D66))),""))</f>
        <v>CP</v>
      </c>
      <c r="L66" t="str" cm="1">
        <f t="array" aca="1" ref="L66" ca="1">IF(ROW(E66)-L$15 &lt; L$14,E66,IF(ROW(E66) - L$15 -L$16 + 1 &lt; L$14,INDIRECT(ADDRESS(MOD(ROW(E66) - L$15, L$14) + L$15, COLUMN(E66))),""))</f>
        <v>SCAT</v>
      </c>
      <c r="N66" cm="1">
        <f t="array" aca="1" ref="N66" ca="1">IF(H66&lt;&gt;"", SUMPRODUCT((OFFSET(H66,0,0,H$16,1)=$T$24) +0),"")</f>
        <v>0</v>
      </c>
      <c r="O66" cm="1">
        <f t="array" aca="1" ref="O66" ca="1">IF(I66&lt;&gt;"", SUMPRODUCT((OFFSET(I66,0,0,I$16,1)=$T$24) +0),"")</f>
        <v>2</v>
      </c>
      <c r="P66" cm="1">
        <f t="array" aca="1" ref="P66" ca="1">IF(J66&lt;&gt;"", SUMPRODUCT((OFFSET(J66,0,0,J$16,1)=$T$24) +0),"")</f>
        <v>0</v>
      </c>
      <c r="Q66" cm="1">
        <f t="array" aca="1" ref="Q66" ca="1">IF(K66&lt;&gt;"", SUMPRODUCT((OFFSET(K66,0,0,K$16,1)=$T$24) +0),"")</f>
        <v>1</v>
      </c>
      <c r="R66" cm="1">
        <f t="array" aca="1" ref="R66" ca="1">IF(L66&lt;&gt;"", SUMPRODUCT((OFFSET(L66,0,0,L$16,1)=$T$24) +0),"")</f>
        <v>0</v>
      </c>
      <c r="AB66">
        <f t="shared" si="28"/>
        <v>2</v>
      </c>
      <c r="AC66">
        <f t="shared" si="29"/>
        <v>3</v>
      </c>
      <c r="AD66">
        <f t="shared" si="30"/>
        <v>0</v>
      </c>
      <c r="AE66">
        <f t="shared" si="31"/>
        <v>0</v>
      </c>
      <c r="AF66">
        <f t="shared" si="32"/>
        <v>0</v>
      </c>
      <c r="AG66">
        <f t="shared" si="33"/>
        <v>5</v>
      </c>
      <c r="AH66">
        <f t="shared" ca="1" si="34"/>
        <v>0</v>
      </c>
      <c r="AI66">
        <f>IF(ROW($AA66) - $AA$51 &lt; ($H$16+1)^5, IF(AG66 &gt;= BaseBonus!$C$16, AG66*BaseBonus!$E$31, 0), "")</f>
        <v>4.6952679064628979</v>
      </c>
      <c r="AJ66">
        <f t="shared" ca="1" si="35"/>
        <v>0</v>
      </c>
      <c r="AM66" t="str">
        <f t="shared" si="36"/>
        <v/>
      </c>
    </row>
    <row r="67" spans="1:39" x14ac:dyDescent="0.3">
      <c r="A67" t="str">
        <v>P4</v>
      </c>
      <c r="B67" t="str">
        <v>P6</v>
      </c>
      <c r="C67" t="str">
        <v>WILD</v>
      </c>
      <c r="D67" t="str">
        <v>P3</v>
      </c>
      <c r="E67" t="str">
        <v>P5</v>
      </c>
      <c r="H67" t="str" cm="1">
        <f t="array" aca="1" ref="H67" ca="1">IF(ROW(A67)-H$15 &lt; H$14,A67,IF(ROW(A67) - H$15 -H$16 + 1 &lt; H$14,INDIRECT(ADDRESS(MOD(ROW(A67) - H$15, H$14) + H$15, COLUMN(A67))),""))</f>
        <v>P4</v>
      </c>
      <c r="I67" t="str" cm="1">
        <f t="array" aca="1" ref="I67" ca="1">IF(ROW(B67)-I$15 &lt; I$14,B67,IF(ROW(B67) - I$15 -I$16 + 1 &lt; I$14,INDIRECT(ADDRESS(MOD(ROW(B67) - I$15, I$14) + I$15, COLUMN(B67))),""))</f>
        <v>P6</v>
      </c>
      <c r="J67" t="str" cm="1">
        <f t="array" aca="1" ref="J67" ca="1">IF(ROW(C67)-J$15 &lt; J$14,C67,IF(ROW(C67) - J$15 -J$16 + 1 &lt; J$14,INDIRECT(ADDRESS(MOD(ROW(C67) - J$15, J$14) + J$15, COLUMN(C67))),""))</f>
        <v>WILD</v>
      </c>
      <c r="K67" t="str" cm="1">
        <f t="array" aca="1" ref="K67" ca="1">IF(ROW(D67)-K$15 &lt; K$14,D67,IF(ROW(D67) - K$15 -K$16 + 1 &lt; K$14,INDIRECT(ADDRESS(MOD(ROW(D67) - K$15, K$14) + K$15, COLUMN(D67))),""))</f>
        <v>P3</v>
      </c>
      <c r="L67" t="str" cm="1">
        <f t="array" aca="1" ref="L67" ca="1">IF(ROW(E67)-L$15 &lt; L$14,E67,IF(ROW(E67) - L$15 -L$16 + 1 &lt; L$14,INDIRECT(ADDRESS(MOD(ROW(E67) - L$15, L$14) + L$15, COLUMN(E67))),""))</f>
        <v>P5</v>
      </c>
      <c r="N67" cm="1">
        <f t="array" aca="1" ref="N67" ca="1">IF(H67&lt;&gt;"", SUMPRODUCT((OFFSET(H67,0,0,H$16,1)=$T$24) +0),"")</f>
        <v>0</v>
      </c>
      <c r="O67" cm="1">
        <f t="array" aca="1" ref="O67" ca="1">IF(I67&lt;&gt;"", SUMPRODUCT((OFFSET(I67,0,0,I$16,1)=$T$24) +0),"")</f>
        <v>1</v>
      </c>
      <c r="P67" cm="1">
        <f t="array" aca="1" ref="P67" ca="1">IF(J67&lt;&gt;"", SUMPRODUCT((OFFSET(J67,0,0,J$16,1)=$T$24) +0),"")</f>
        <v>0</v>
      </c>
      <c r="Q67" cm="1">
        <f t="array" aca="1" ref="Q67" ca="1">IF(K67&lt;&gt;"", SUMPRODUCT((OFFSET(K67,0,0,K$16,1)=$T$24) +0),"")</f>
        <v>0</v>
      </c>
      <c r="R67" cm="1">
        <f t="array" aca="1" ref="R67" ca="1">IF(L67&lt;&gt;"", SUMPRODUCT((OFFSET(L67,0,0,L$16,1)=$T$24) +0),"")</f>
        <v>0</v>
      </c>
      <c r="AB67">
        <f t="shared" si="28"/>
        <v>3</v>
      </c>
      <c r="AC67">
        <f t="shared" si="29"/>
        <v>3</v>
      </c>
      <c r="AD67">
        <f t="shared" si="30"/>
        <v>0</v>
      </c>
      <c r="AE67">
        <f t="shared" si="31"/>
        <v>0</v>
      </c>
      <c r="AF67">
        <f t="shared" si="32"/>
        <v>0</v>
      </c>
      <c r="AG67">
        <f t="shared" si="33"/>
        <v>6</v>
      </c>
      <c r="AH67">
        <f t="shared" ca="1" si="34"/>
        <v>0</v>
      </c>
      <c r="AI67">
        <f>IF(ROW($AA67) - $AA$51 &lt; ($H$16+1)^5, IF(AG67 &gt;= BaseBonus!$C$16, AG67*BaseBonus!$E$31, 0), "")</f>
        <v>5.6343214877554777</v>
      </c>
      <c r="AJ67">
        <f t="shared" ca="1" si="35"/>
        <v>0</v>
      </c>
      <c r="AM67" t="str">
        <f t="shared" si="36"/>
        <v/>
      </c>
    </row>
    <row r="68" spans="1:39" x14ac:dyDescent="0.3">
      <c r="A68" t="str">
        <v>P3</v>
      </c>
      <c r="B68" t="str">
        <v>CP</v>
      </c>
      <c r="C68" t="str">
        <v>P3</v>
      </c>
      <c r="D68" t="str">
        <v>P4</v>
      </c>
      <c r="E68" t="str">
        <v>P1</v>
      </c>
      <c r="H68" t="str" cm="1">
        <f t="array" aca="1" ref="H68" ca="1">IF(ROW(A68)-H$15 &lt; H$14,A68,IF(ROW(A68) - H$15 -H$16 + 1 &lt; H$14,INDIRECT(ADDRESS(MOD(ROW(A68) - H$15, H$14) + H$15, COLUMN(A68))),""))</f>
        <v>P3</v>
      </c>
      <c r="I68" t="str" cm="1">
        <f t="array" aca="1" ref="I68" ca="1">IF(ROW(B68)-I$15 &lt; I$14,B68,IF(ROW(B68) - I$15 -I$16 + 1 &lt; I$14,INDIRECT(ADDRESS(MOD(ROW(B68) - I$15, I$14) + I$15, COLUMN(B68))),""))</f>
        <v>CP</v>
      </c>
      <c r="J68" t="str" cm="1">
        <f t="array" aca="1" ref="J68" ca="1">IF(ROW(C68)-J$15 &lt; J$14,C68,IF(ROW(C68) - J$15 -J$16 + 1 &lt; J$14,INDIRECT(ADDRESS(MOD(ROW(C68) - J$15, J$14) + J$15, COLUMN(C68))),""))</f>
        <v>P3</v>
      </c>
      <c r="K68" t="str" cm="1">
        <f t="array" aca="1" ref="K68" ca="1">IF(ROW(D68)-K$15 &lt; K$14,D68,IF(ROW(D68) - K$15 -K$16 + 1 &lt; K$14,INDIRECT(ADDRESS(MOD(ROW(D68) - K$15, K$14) + K$15, COLUMN(D68))),""))</f>
        <v>P4</v>
      </c>
      <c r="L68" t="str" cm="1">
        <f t="array" aca="1" ref="L68" ca="1">IF(ROW(E68)-L$15 &lt; L$14,E68,IF(ROW(E68) - L$15 -L$16 + 1 &lt; L$14,INDIRECT(ADDRESS(MOD(ROW(E68) - L$15, L$14) + L$15, COLUMN(E68))),""))</f>
        <v>P1</v>
      </c>
      <c r="N68" cm="1">
        <f t="array" aca="1" ref="N68" ca="1">IF(H68&lt;&gt;"", SUMPRODUCT((OFFSET(H68,0,0,H$16,1)=$T$24) +0),"")</f>
        <v>0</v>
      </c>
      <c r="O68" cm="1">
        <f t="array" aca="1" ref="O68" ca="1">IF(I68&lt;&gt;"", SUMPRODUCT((OFFSET(I68,0,0,I$16,1)=$T$24) +0),"")</f>
        <v>1</v>
      </c>
      <c r="P68" cm="1">
        <f t="array" aca="1" ref="P68" ca="1">IF(J68&lt;&gt;"", SUMPRODUCT((OFFSET(J68,0,0,J$16,1)=$T$24) +0),"")</f>
        <v>0</v>
      </c>
      <c r="Q68" cm="1">
        <f t="array" aca="1" ref="Q68" ca="1">IF(K68&lt;&gt;"", SUMPRODUCT((OFFSET(K68,0,0,K$16,1)=$T$24) +0),"")</f>
        <v>0</v>
      </c>
      <c r="R68" cm="1">
        <f t="array" aca="1" ref="R68" ca="1">IF(L68&lt;&gt;"", SUMPRODUCT((OFFSET(L68,0,0,L$16,1)=$T$24) +0),"")</f>
        <v>0</v>
      </c>
      <c r="AB68">
        <f t="shared" si="28"/>
        <v>0</v>
      </c>
      <c r="AC68">
        <f t="shared" si="29"/>
        <v>0</v>
      </c>
      <c r="AD68">
        <f t="shared" si="30"/>
        <v>1</v>
      </c>
      <c r="AE68">
        <f t="shared" si="31"/>
        <v>0</v>
      </c>
      <c r="AF68">
        <f t="shared" si="32"/>
        <v>0</v>
      </c>
      <c r="AG68">
        <f t="shared" si="33"/>
        <v>1</v>
      </c>
      <c r="AH68">
        <f t="shared" ca="1" si="34"/>
        <v>6.15633796628852E-2</v>
      </c>
      <c r="AI68">
        <f>IF(ROW($AA68) - $AA$51 &lt; ($H$16+1)^5, IF(AG68 &gt;= BaseBonus!$C$16, AG68*BaseBonus!$E$31, 0), "")</f>
        <v>0</v>
      </c>
      <c r="AJ68">
        <f t="shared" ca="1" si="35"/>
        <v>0</v>
      </c>
      <c r="AM68" t="str">
        <f t="shared" si="36"/>
        <v/>
      </c>
    </row>
    <row r="69" spans="1:39" x14ac:dyDescent="0.3">
      <c r="A69" t="str">
        <v>P6</v>
      </c>
      <c r="B69" t="str">
        <v>P3</v>
      </c>
      <c r="C69" t="str">
        <v>P2</v>
      </c>
      <c r="D69" t="str">
        <v>P6</v>
      </c>
      <c r="E69" t="str">
        <v>P3</v>
      </c>
      <c r="H69" t="str" cm="1">
        <f t="array" aca="1" ref="H69" ca="1">IF(ROW(A69)-H$15 &lt; H$14,A69,IF(ROW(A69) - H$15 -H$16 + 1 &lt; H$14,INDIRECT(ADDRESS(MOD(ROW(A69) - H$15, H$14) + H$15, COLUMN(A69))),""))</f>
        <v>P6</v>
      </c>
      <c r="I69" t="str" cm="1">
        <f t="array" aca="1" ref="I69" ca="1">IF(ROW(B69)-I$15 &lt; I$14,B69,IF(ROW(B69) - I$15 -I$16 + 1 &lt; I$14,INDIRECT(ADDRESS(MOD(ROW(B69) - I$15, I$14) + I$15, COLUMN(B69))),""))</f>
        <v>P3</v>
      </c>
      <c r="J69" t="str" cm="1">
        <f t="array" aca="1" ref="J69" ca="1">IF(ROW(C69)-J$15 &lt; J$14,C69,IF(ROW(C69) - J$15 -J$16 + 1 &lt; J$14,INDIRECT(ADDRESS(MOD(ROW(C69) - J$15, J$14) + J$15, COLUMN(C69))),""))</f>
        <v>P2</v>
      </c>
      <c r="K69" t="str" cm="1">
        <f t="array" aca="1" ref="K69" ca="1">IF(ROW(D69)-K$15 &lt; K$14,D69,IF(ROW(D69) - K$15 -K$16 + 1 &lt; K$14,INDIRECT(ADDRESS(MOD(ROW(D69) - K$15, K$14) + K$15, COLUMN(D69))),""))</f>
        <v>P6</v>
      </c>
      <c r="L69" t="str" cm="1">
        <f t="array" aca="1" ref="L69" ca="1">IF(ROW(E69)-L$15 &lt; L$14,E69,IF(ROW(E69) - L$15 -L$16 + 1 &lt; L$14,INDIRECT(ADDRESS(MOD(ROW(E69) - L$15, L$14) + L$15, COLUMN(E69))),""))</f>
        <v>P3</v>
      </c>
      <c r="N69" cm="1">
        <f t="array" aca="1" ref="N69" ca="1">IF(H69&lt;&gt;"", SUMPRODUCT((OFFSET(H69,0,0,H$16,1)=$T$24) +0),"")</f>
        <v>0</v>
      </c>
      <c r="O69" cm="1">
        <f t="array" aca="1" ref="O69" ca="1">IF(I69&lt;&gt;"", SUMPRODUCT((OFFSET(I69,0,0,I$16,1)=$T$24) +0),"")</f>
        <v>0</v>
      </c>
      <c r="P69" cm="1">
        <f t="array" aca="1" ref="P69" ca="1">IF(J69&lt;&gt;"", SUMPRODUCT((OFFSET(J69,0,0,J$16,1)=$T$24) +0),"")</f>
        <v>0</v>
      </c>
      <c r="Q69" cm="1">
        <f t="array" aca="1" ref="Q69" ca="1">IF(K69&lt;&gt;"", SUMPRODUCT((OFFSET(K69,0,0,K$16,1)=$T$24) +0),"")</f>
        <v>0</v>
      </c>
      <c r="R69" cm="1">
        <f t="array" aca="1" ref="R69" ca="1">IF(L69&lt;&gt;"", SUMPRODUCT((OFFSET(L69,0,0,L$16,1)=$T$24) +0),"")</f>
        <v>0</v>
      </c>
      <c r="AB69">
        <f t="shared" si="28"/>
        <v>1</v>
      </c>
      <c r="AC69">
        <f t="shared" si="29"/>
        <v>0</v>
      </c>
      <c r="AD69">
        <f t="shared" si="30"/>
        <v>1</v>
      </c>
      <c r="AE69">
        <f t="shared" si="31"/>
        <v>0</v>
      </c>
      <c r="AF69">
        <f t="shared" si="32"/>
        <v>0</v>
      </c>
      <c r="AG69">
        <f t="shared" si="33"/>
        <v>2</v>
      </c>
      <c r="AH69">
        <f t="shared" ca="1" si="34"/>
        <v>1.1543133686790975E-2</v>
      </c>
      <c r="AI69">
        <f>IF(ROW($AA69) - $AA$51 &lt; ($H$16+1)^5, IF(AG69 &gt;= BaseBonus!$C$16, AG69*BaseBonus!$E$31, 0), "")</f>
        <v>0</v>
      </c>
      <c r="AJ69">
        <f t="shared" ca="1" si="35"/>
        <v>0</v>
      </c>
      <c r="AM69" t="str">
        <f t="shared" si="36"/>
        <v/>
      </c>
    </row>
    <row r="70" spans="1:39" x14ac:dyDescent="0.3">
      <c r="A70" t="str">
        <v>P4</v>
      </c>
      <c r="B70" t="str">
        <v>P4</v>
      </c>
      <c r="C70" t="str">
        <v>P6</v>
      </c>
      <c r="D70" t="str">
        <v>P2</v>
      </c>
      <c r="E70" t="str">
        <v>P4</v>
      </c>
      <c r="H70" t="str" cm="1">
        <f t="array" aca="1" ref="H70" ca="1">IF(ROW(A70)-H$15 &lt; H$14,A70,IF(ROW(A70) - H$15 -H$16 + 1 &lt; H$14,INDIRECT(ADDRESS(MOD(ROW(A70) - H$15, H$14) + H$15, COLUMN(A70))),""))</f>
        <v>P4</v>
      </c>
      <c r="I70" t="str" cm="1">
        <f t="array" aca="1" ref="I70" ca="1">IF(ROW(B70)-I$15 &lt; I$14,B70,IF(ROW(B70) - I$15 -I$16 + 1 &lt; I$14,INDIRECT(ADDRESS(MOD(ROW(B70) - I$15, I$14) + I$15, COLUMN(B70))),""))</f>
        <v>P4</v>
      </c>
      <c r="J70" t="str" cm="1">
        <f t="array" aca="1" ref="J70" ca="1">IF(ROW(C70)-J$15 &lt; J$14,C70,IF(ROW(C70) - J$15 -J$16 + 1 &lt; J$14,INDIRECT(ADDRESS(MOD(ROW(C70) - J$15, J$14) + J$15, COLUMN(C70))),""))</f>
        <v>P6</v>
      </c>
      <c r="K70" t="str" cm="1">
        <f t="array" aca="1" ref="K70" ca="1">IF(ROW(D70)-K$15 &lt; K$14,D70,IF(ROW(D70) - K$15 -K$16 + 1 &lt; K$14,INDIRECT(ADDRESS(MOD(ROW(D70) - K$15, K$14) + K$15, COLUMN(D70))),""))</f>
        <v>P2</v>
      </c>
      <c r="L70" t="str" cm="1">
        <f t="array" aca="1" ref="L70" ca="1">IF(ROW(E70)-L$15 &lt; L$14,E70,IF(ROW(E70) - L$15 -L$16 + 1 &lt; L$14,INDIRECT(ADDRESS(MOD(ROW(E70) - L$15, L$14) + L$15, COLUMN(E70))),""))</f>
        <v>P4</v>
      </c>
      <c r="N70" cm="1">
        <f t="array" aca="1" ref="N70" ca="1">IF(H70&lt;&gt;"", SUMPRODUCT((OFFSET(H70,0,0,H$16,1)=$T$24) +0),"")</f>
        <v>0</v>
      </c>
      <c r="O70" cm="1">
        <f t="array" aca="1" ref="O70" ca="1">IF(I70&lt;&gt;"", SUMPRODUCT((OFFSET(I70,0,0,I$16,1)=$T$24) +0),"")</f>
        <v>0</v>
      </c>
      <c r="P70" cm="1">
        <f t="array" aca="1" ref="P70" ca="1">IF(J70&lt;&gt;"", SUMPRODUCT((OFFSET(J70,0,0,J$16,1)=$T$24) +0),"")</f>
        <v>0</v>
      </c>
      <c r="Q70" cm="1">
        <f t="array" aca="1" ref="Q70" ca="1">IF(K70&lt;&gt;"", SUMPRODUCT((OFFSET(K70,0,0,K$16,1)=$T$24) +0),"")</f>
        <v>0</v>
      </c>
      <c r="R70" cm="1">
        <f t="array" aca="1" ref="R70" ca="1">IF(L70&lt;&gt;"", SUMPRODUCT((OFFSET(L70,0,0,L$16,1)=$T$24) +0),"")</f>
        <v>0</v>
      </c>
      <c r="AB70">
        <f t="shared" si="28"/>
        <v>2</v>
      </c>
      <c r="AC70">
        <f t="shared" si="29"/>
        <v>0</v>
      </c>
      <c r="AD70">
        <f t="shared" si="30"/>
        <v>1</v>
      </c>
      <c r="AE70">
        <f t="shared" si="31"/>
        <v>0</v>
      </c>
      <c r="AF70">
        <f t="shared" si="32"/>
        <v>0</v>
      </c>
      <c r="AG70">
        <f t="shared" si="33"/>
        <v>3</v>
      </c>
      <c r="AH70">
        <f t="shared" ca="1" si="34"/>
        <v>5.7715668433954877E-3</v>
      </c>
      <c r="AI70">
        <f>IF(ROW($AA70) - $AA$51 &lt; ($H$16+1)^5, IF(AG70 &gt;= BaseBonus!$C$16, AG70*BaseBonus!$E$31, 0), "")</f>
        <v>0</v>
      </c>
      <c r="AJ70">
        <f t="shared" ca="1" si="35"/>
        <v>0</v>
      </c>
      <c r="AK70" s="28"/>
      <c r="AM70" t="str">
        <f t="shared" si="36"/>
        <v/>
      </c>
    </row>
    <row r="71" spans="1:39" x14ac:dyDescent="0.3">
      <c r="A71" t="str">
        <v>P5</v>
      </c>
      <c r="B71" t="str">
        <v>P6</v>
      </c>
      <c r="C71" t="str">
        <v>P6</v>
      </c>
      <c r="D71" t="str">
        <v>P3</v>
      </c>
      <c r="E71" t="str">
        <v>P6</v>
      </c>
      <c r="H71" t="str" cm="1">
        <f t="array" aca="1" ref="H71" ca="1">IF(ROW(A71)-H$15 &lt; H$14,A71,IF(ROW(A71) - H$15 -H$16 + 1 &lt; H$14,INDIRECT(ADDRESS(MOD(ROW(A71) - H$15, H$14) + H$15, COLUMN(A71))),""))</f>
        <v>P5</v>
      </c>
      <c r="I71" t="str" cm="1">
        <f t="array" aca="1" ref="I71" ca="1">IF(ROW(B71)-I$15 &lt; I$14,B71,IF(ROW(B71) - I$15 -I$16 + 1 &lt; I$14,INDIRECT(ADDRESS(MOD(ROW(B71) - I$15, I$14) + I$15, COLUMN(B71))),""))</f>
        <v>P6</v>
      </c>
      <c r="J71" t="str" cm="1">
        <f t="array" aca="1" ref="J71" ca="1">IF(ROW(C71)-J$15 &lt; J$14,C71,IF(ROW(C71) - J$15 -J$16 + 1 &lt; J$14,INDIRECT(ADDRESS(MOD(ROW(C71) - J$15, J$14) + J$15, COLUMN(C71))),""))</f>
        <v>P6</v>
      </c>
      <c r="K71" t="str" cm="1">
        <f t="array" aca="1" ref="K71" ca="1">IF(ROW(D71)-K$15 &lt; K$14,D71,IF(ROW(D71) - K$15 -K$16 + 1 &lt; K$14,INDIRECT(ADDRESS(MOD(ROW(D71) - K$15, K$14) + K$15, COLUMN(D71))),""))</f>
        <v>P3</v>
      </c>
      <c r="L71" t="str" cm="1">
        <f t="array" aca="1" ref="L71" ca="1">IF(ROW(E71)-L$15 &lt; L$14,E71,IF(ROW(E71) - L$15 -L$16 + 1 &lt; L$14,INDIRECT(ADDRESS(MOD(ROW(E71) - L$15, L$14) + L$15, COLUMN(E71))),""))</f>
        <v>P6</v>
      </c>
      <c r="N71" cm="1">
        <f t="array" aca="1" ref="N71" ca="1">IF(H71&lt;&gt;"", SUMPRODUCT((OFFSET(H71,0,0,H$16,1)=$T$24) +0),"")</f>
        <v>0</v>
      </c>
      <c r="O71" cm="1">
        <f t="array" aca="1" ref="O71" ca="1">IF(I71&lt;&gt;"", SUMPRODUCT((OFFSET(I71,0,0,I$16,1)=$T$24) +0),"")</f>
        <v>0</v>
      </c>
      <c r="P71" cm="1">
        <f t="array" aca="1" ref="P71" ca="1">IF(J71&lt;&gt;"", SUMPRODUCT((OFFSET(J71,0,0,J$16,1)=$T$24) +0),"")</f>
        <v>1</v>
      </c>
      <c r="Q71" cm="1">
        <f t="array" aca="1" ref="Q71" ca="1">IF(K71&lt;&gt;"", SUMPRODUCT((OFFSET(K71,0,0,K$16,1)=$T$24) +0),"")</f>
        <v>0</v>
      </c>
      <c r="R71" cm="1">
        <f t="array" aca="1" ref="R71" ca="1">IF(L71&lt;&gt;"", SUMPRODUCT((OFFSET(L71,0,0,L$16,1)=$T$24) +0),"")</f>
        <v>1</v>
      </c>
      <c r="AB71">
        <f t="shared" si="28"/>
        <v>3</v>
      </c>
      <c r="AC71">
        <f t="shared" si="29"/>
        <v>0</v>
      </c>
      <c r="AD71">
        <f t="shared" si="30"/>
        <v>1</v>
      </c>
      <c r="AE71">
        <f t="shared" si="31"/>
        <v>0</v>
      </c>
      <c r="AF71">
        <f t="shared" si="32"/>
        <v>0</v>
      </c>
      <c r="AG71">
        <f t="shared" si="33"/>
        <v>4</v>
      </c>
      <c r="AH71">
        <f t="shared" ca="1" si="34"/>
        <v>0</v>
      </c>
      <c r="AI71">
        <f>IF(ROW($AA71) - $AA$51 &lt; ($H$16+1)^5, IF(AG71 &gt;= BaseBonus!$C$16, AG71*BaseBonus!$E$31, 0), "")</f>
        <v>0</v>
      </c>
      <c r="AJ71">
        <f t="shared" ca="1" si="35"/>
        <v>0</v>
      </c>
      <c r="AM71" t="str">
        <f t="shared" si="36"/>
        <v/>
      </c>
    </row>
    <row r="72" spans="1:39" x14ac:dyDescent="0.3">
      <c r="A72" t="str">
        <v>P2</v>
      </c>
      <c r="B72" t="str">
        <v>P2</v>
      </c>
      <c r="C72" t="str">
        <v>P4</v>
      </c>
      <c r="D72" t="str">
        <v>P2</v>
      </c>
      <c r="E72" t="str">
        <v>P1</v>
      </c>
      <c r="H72" t="str" cm="1">
        <f t="array" aca="1" ref="H72" ca="1">IF(ROW(A72)-H$15 &lt; H$14,A72,IF(ROW(A72) - H$15 -H$16 + 1 &lt; H$14,INDIRECT(ADDRESS(MOD(ROW(A72) - H$15, H$14) + H$15, COLUMN(A72))),""))</f>
        <v>P2</v>
      </c>
      <c r="I72" t="str" cm="1">
        <f t="array" aca="1" ref="I72" ca="1">IF(ROW(B72)-I$15 &lt; I$14,B72,IF(ROW(B72) - I$15 -I$16 + 1 &lt; I$14,INDIRECT(ADDRESS(MOD(ROW(B72) - I$15, I$14) + I$15, COLUMN(B72))),""))</f>
        <v>P2</v>
      </c>
      <c r="J72" t="str" cm="1">
        <f t="array" aca="1" ref="J72" ca="1">IF(ROW(C72)-J$15 &lt; J$14,C72,IF(ROW(C72) - J$15 -J$16 + 1 &lt; J$14,INDIRECT(ADDRESS(MOD(ROW(C72) - J$15, J$14) + J$15, COLUMN(C72))),""))</f>
        <v>P4</v>
      </c>
      <c r="K72" t="str" cm="1">
        <f t="array" aca="1" ref="K72" ca="1">IF(ROW(D72)-K$15 &lt; K$14,D72,IF(ROW(D72) - K$15 -K$16 + 1 &lt; K$14,INDIRECT(ADDRESS(MOD(ROW(D72) - K$15, K$14) + K$15, COLUMN(D72))),""))</f>
        <v>P2</v>
      </c>
      <c r="L72" t="str" cm="1">
        <f t="array" aca="1" ref="L72" ca="1">IF(ROW(E72)-L$15 &lt; L$14,E72,IF(ROW(E72) - L$15 -L$16 + 1 &lt; L$14,INDIRECT(ADDRESS(MOD(ROW(E72) - L$15, L$14) + L$15, COLUMN(E72))),""))</f>
        <v>P1</v>
      </c>
      <c r="N72" cm="1">
        <f t="array" aca="1" ref="N72" ca="1">IF(H72&lt;&gt;"", SUMPRODUCT((OFFSET(H72,0,0,H$16,1)=$T$24) +0),"")</f>
        <v>0</v>
      </c>
      <c r="O72" cm="1">
        <f t="array" aca="1" ref="O72" ca="1">IF(I72&lt;&gt;"", SUMPRODUCT((OFFSET(I72,0,0,I$16,1)=$T$24) +0),"")</f>
        <v>0</v>
      </c>
      <c r="P72" cm="1">
        <f t="array" aca="1" ref="P72" ca="1">IF(J72&lt;&gt;"", SUMPRODUCT((OFFSET(J72,0,0,J$16,1)=$T$24) +0),"")</f>
        <v>1</v>
      </c>
      <c r="Q72" cm="1">
        <f t="array" aca="1" ref="Q72" ca="1">IF(K72&lt;&gt;"", SUMPRODUCT((OFFSET(K72,0,0,K$16,1)=$T$24) +0),"")</f>
        <v>0</v>
      </c>
      <c r="R72" cm="1">
        <f t="array" aca="1" ref="R72" ca="1">IF(L72&lt;&gt;"", SUMPRODUCT((OFFSET(L72,0,0,L$16,1)=$T$24) +0),"")</f>
        <v>2</v>
      </c>
      <c r="AB72">
        <f t="shared" si="28"/>
        <v>0</v>
      </c>
      <c r="AC72">
        <f t="shared" si="29"/>
        <v>1</v>
      </c>
      <c r="AD72">
        <f t="shared" si="30"/>
        <v>1</v>
      </c>
      <c r="AE72">
        <f t="shared" si="31"/>
        <v>0</v>
      </c>
      <c r="AF72">
        <f t="shared" si="32"/>
        <v>0</v>
      </c>
      <c r="AG72">
        <f t="shared" si="33"/>
        <v>2</v>
      </c>
      <c r="AH72">
        <f t="shared" ca="1" si="34"/>
        <v>1.8782048032744639E-2</v>
      </c>
      <c r="AI72">
        <f>IF(ROW($AA72) - $AA$51 &lt; ($H$16+1)^5, IF(AG72 &gt;= BaseBonus!$C$16, AG72*BaseBonus!$E$31, 0), "")</f>
        <v>0</v>
      </c>
      <c r="AJ72">
        <f t="shared" ca="1" si="35"/>
        <v>0</v>
      </c>
      <c r="AK72" s="44"/>
      <c r="AM72" t="str">
        <f t="shared" si="36"/>
        <v/>
      </c>
    </row>
    <row r="73" spans="1:39" x14ac:dyDescent="0.3">
      <c r="A73" t="str">
        <v>P4</v>
      </c>
      <c r="B73" t="str">
        <v>P3</v>
      </c>
      <c r="C73" t="str">
        <v>CP</v>
      </c>
      <c r="D73" t="str">
        <v>P3</v>
      </c>
      <c r="E73" t="str">
        <v>CP</v>
      </c>
      <c r="H73" t="str" cm="1">
        <f t="array" aca="1" ref="H73" ca="1">IF(ROW(A73)-H$15 &lt; H$14,A73,IF(ROW(A73) - H$15 -H$16 + 1 &lt; H$14,INDIRECT(ADDRESS(MOD(ROW(A73) - H$15, H$14) + H$15, COLUMN(A73))),""))</f>
        <v>P4</v>
      </c>
      <c r="I73" t="str" cm="1">
        <f t="array" aca="1" ref="I73" ca="1">IF(ROW(B73)-I$15 &lt; I$14,B73,IF(ROW(B73) - I$15 -I$16 + 1 &lt; I$14,INDIRECT(ADDRESS(MOD(ROW(B73) - I$15, I$14) + I$15, COLUMN(B73))),""))</f>
        <v>P3</v>
      </c>
      <c r="J73" t="str" cm="1">
        <f t="array" aca="1" ref="J73" ca="1">IF(ROW(C73)-J$15 &lt; J$14,C73,IF(ROW(C73) - J$15 -J$16 + 1 &lt; J$14,INDIRECT(ADDRESS(MOD(ROW(C73) - J$15, J$14) + J$15, COLUMN(C73))),""))</f>
        <v>CP</v>
      </c>
      <c r="K73" t="str" cm="1">
        <f t="array" aca="1" ref="K73" ca="1">IF(ROW(D73)-K$15 &lt; K$14,D73,IF(ROW(D73) - K$15 -K$16 + 1 &lt; K$14,INDIRECT(ADDRESS(MOD(ROW(D73) - K$15, K$14) + K$15, COLUMN(D73))),""))</f>
        <v>P3</v>
      </c>
      <c r="L73" t="str" cm="1">
        <f t="array" aca="1" ref="L73" ca="1">IF(ROW(E73)-L$15 &lt; L$14,E73,IF(ROW(E73) - L$15 -L$16 + 1 &lt; L$14,INDIRECT(ADDRESS(MOD(ROW(E73) - L$15, L$14) + L$15, COLUMN(E73))),""))</f>
        <v>CP</v>
      </c>
      <c r="N73" cm="1">
        <f t="array" aca="1" ref="N73" ca="1">IF(H73&lt;&gt;"", SUMPRODUCT((OFFSET(H73,0,0,H$16,1)=$T$24) +0),"")</f>
        <v>0</v>
      </c>
      <c r="O73" cm="1">
        <f t="array" aca="1" ref="O73" ca="1">IF(I73&lt;&gt;"", SUMPRODUCT((OFFSET(I73,0,0,I$16,1)=$T$24) +0),"")</f>
        <v>0</v>
      </c>
      <c r="P73" cm="1">
        <f t="array" aca="1" ref="P73" ca="1">IF(J73&lt;&gt;"", SUMPRODUCT((OFFSET(J73,0,0,J$16,1)=$T$24) +0),"")</f>
        <v>1</v>
      </c>
      <c r="Q73" cm="1">
        <f t="array" aca="1" ref="Q73" ca="1">IF(K73&lt;&gt;"", SUMPRODUCT((OFFSET(K73,0,0,K$16,1)=$T$24) +0),"")</f>
        <v>0</v>
      </c>
      <c r="R73" cm="1">
        <f t="array" aca="1" ref="R73" ca="1">IF(L73&lt;&gt;"", SUMPRODUCT((OFFSET(L73,0,0,L$16,1)=$T$24) +0),"")</f>
        <v>2</v>
      </c>
      <c r="AB73">
        <f t="shared" si="28"/>
        <v>1</v>
      </c>
      <c r="AC73">
        <f t="shared" si="29"/>
        <v>1</v>
      </c>
      <c r="AD73">
        <f t="shared" si="30"/>
        <v>1</v>
      </c>
      <c r="AE73">
        <f t="shared" si="31"/>
        <v>0</v>
      </c>
      <c r="AF73">
        <f t="shared" si="32"/>
        <v>0</v>
      </c>
      <c r="AG73">
        <f t="shared" si="33"/>
        <v>3</v>
      </c>
      <c r="AH73">
        <f t="shared" ca="1" si="34"/>
        <v>3.5216340061396197E-3</v>
      </c>
      <c r="AI73">
        <f>IF(ROW($AA73) - $AA$51 &lt; ($H$16+1)^5, IF(AG73 &gt;= BaseBonus!$C$16, AG73*BaseBonus!$E$31, 0), "")</f>
        <v>0</v>
      </c>
      <c r="AJ73">
        <f t="shared" ca="1" si="35"/>
        <v>0</v>
      </c>
      <c r="AK73" s="44"/>
    </row>
    <row r="74" spans="1:39" x14ac:dyDescent="0.3">
      <c r="A74" t="str">
        <v>P1</v>
      </c>
      <c r="B74" t="str">
        <v>P2</v>
      </c>
      <c r="C74" t="str">
        <v>P2</v>
      </c>
      <c r="D74" t="str">
        <v>P6</v>
      </c>
      <c r="E74" t="str">
        <v>CP</v>
      </c>
      <c r="H74" t="str" cm="1">
        <f t="array" aca="1" ref="H74" ca="1">IF(ROW(A74)-H$15 &lt; H$14,A74,IF(ROW(A74) - H$15 -H$16 + 1 &lt; H$14,INDIRECT(ADDRESS(MOD(ROW(A74) - H$15, H$14) + H$15, COLUMN(A74))),""))</f>
        <v>P1</v>
      </c>
      <c r="I74" t="str" cm="1">
        <f t="array" aca="1" ref="I74" ca="1">IF(ROW(B74)-I$15 &lt; I$14,B74,IF(ROW(B74) - I$15 -I$16 + 1 &lt; I$14,INDIRECT(ADDRESS(MOD(ROW(B74) - I$15, I$14) + I$15, COLUMN(B74))),""))</f>
        <v>P2</v>
      </c>
      <c r="J74" t="str" cm="1">
        <f t="array" aca="1" ref="J74" ca="1">IF(ROW(C74)-J$15 &lt; J$14,C74,IF(ROW(C74) - J$15 -J$16 + 1 &lt; J$14,INDIRECT(ADDRESS(MOD(ROW(C74) - J$15, J$14) + J$15, COLUMN(C74))),""))</f>
        <v>P2</v>
      </c>
      <c r="K74" t="str" cm="1">
        <f t="array" aca="1" ref="K74" ca="1">IF(ROW(D74)-K$15 &lt; K$14,D74,IF(ROW(D74) - K$15 -K$16 + 1 &lt; K$14,INDIRECT(ADDRESS(MOD(ROW(D74) - K$15, K$14) + K$15, COLUMN(D74))),""))</f>
        <v>P6</v>
      </c>
      <c r="L74" t="str" cm="1">
        <f t="array" aca="1" ref="L74" ca="1">IF(ROW(E74)-L$15 &lt; L$14,E74,IF(ROW(E74) - L$15 -L$16 + 1 &lt; L$14,INDIRECT(ADDRESS(MOD(ROW(E74) - L$15, L$14) + L$15, COLUMN(E74))),""))</f>
        <v>CP</v>
      </c>
      <c r="N74" cm="1">
        <f t="array" aca="1" ref="N74" ca="1">IF(H74&lt;&gt;"", SUMPRODUCT((OFFSET(H74,0,0,H$16,1)=$T$24) +0),"")</f>
        <v>0</v>
      </c>
      <c r="O74" cm="1">
        <f t="array" aca="1" ref="O74" ca="1">IF(I74&lt;&gt;"", SUMPRODUCT((OFFSET(I74,0,0,I$16,1)=$T$24) +0),"")</f>
        <v>0</v>
      </c>
      <c r="P74" cm="1">
        <f t="array" aca="1" ref="P74" ca="1">IF(J74&lt;&gt;"", SUMPRODUCT((OFFSET(J74,0,0,J$16,1)=$T$24) +0),"")</f>
        <v>0</v>
      </c>
      <c r="Q74" cm="1">
        <f t="array" aca="1" ref="Q74" ca="1">IF(K74&lt;&gt;"", SUMPRODUCT((OFFSET(K74,0,0,K$16,1)=$T$24) +0),"")</f>
        <v>0</v>
      </c>
      <c r="R74" cm="1">
        <f t="array" aca="1" ref="R74" ca="1">IF(L74&lt;&gt;"", SUMPRODUCT((OFFSET(L74,0,0,L$16,1)=$T$24) +0),"")</f>
        <v>1</v>
      </c>
      <c r="AB74">
        <f t="shared" si="28"/>
        <v>2</v>
      </c>
      <c r="AC74">
        <f t="shared" si="29"/>
        <v>1</v>
      </c>
      <c r="AD74">
        <f t="shared" si="30"/>
        <v>1</v>
      </c>
      <c r="AE74">
        <f t="shared" si="31"/>
        <v>0</v>
      </c>
      <c r="AF74">
        <f t="shared" si="32"/>
        <v>0</v>
      </c>
      <c r="AG74">
        <f t="shared" si="33"/>
        <v>4</v>
      </c>
      <c r="AH74">
        <f t="shared" ca="1" si="34"/>
        <v>1.7608170030698098E-3</v>
      </c>
      <c r="AI74">
        <f>IF(ROW($AA74) - $AA$51 &lt; ($H$16+1)^5, IF(AG74 &gt;= BaseBonus!$C$16, AG74*BaseBonus!$E$31, 0), "")</f>
        <v>0</v>
      </c>
      <c r="AJ74">
        <f t="shared" ca="1" si="35"/>
        <v>0</v>
      </c>
      <c r="AK74" s="44"/>
    </row>
    <row r="75" spans="1:39" x14ac:dyDescent="0.3">
      <c r="A75" t="str">
        <v>P6</v>
      </c>
      <c r="B75" t="str">
        <v>P3</v>
      </c>
      <c r="C75" t="str">
        <v>P5</v>
      </c>
      <c r="D75" t="str">
        <v>P4</v>
      </c>
      <c r="E75" t="str">
        <v>P4</v>
      </c>
      <c r="H75" t="str" cm="1">
        <f t="array" aca="1" ref="H75" ca="1">IF(ROW(A75)-H$15 &lt; H$14,A75,IF(ROW(A75) - H$15 -H$16 + 1 &lt; H$14,INDIRECT(ADDRESS(MOD(ROW(A75) - H$15, H$14) + H$15, COLUMN(A75))),""))</f>
        <v>P6</v>
      </c>
      <c r="I75" t="str" cm="1">
        <f t="array" aca="1" ref="I75" ca="1">IF(ROW(B75)-I$15 &lt; I$14,B75,IF(ROW(B75) - I$15 -I$16 + 1 &lt; I$14,INDIRECT(ADDRESS(MOD(ROW(B75) - I$15, I$14) + I$15, COLUMN(B75))),""))</f>
        <v>P3</v>
      </c>
      <c r="J75" t="str" cm="1">
        <f t="array" aca="1" ref="J75" ca="1">IF(ROW(C75)-J$15 &lt; J$14,C75,IF(ROW(C75) - J$15 -J$16 + 1 &lt; J$14,INDIRECT(ADDRESS(MOD(ROW(C75) - J$15, J$14) + J$15, COLUMN(C75))),""))</f>
        <v>P5</v>
      </c>
      <c r="K75" t="str" cm="1">
        <f t="array" aca="1" ref="K75" ca="1">IF(ROW(D75)-K$15 &lt; K$14,D75,IF(ROW(D75) - K$15 -K$16 + 1 &lt; K$14,INDIRECT(ADDRESS(MOD(ROW(D75) - K$15, K$14) + K$15, COLUMN(D75))),""))</f>
        <v>P4</v>
      </c>
      <c r="L75" t="str" cm="1">
        <f t="array" aca="1" ref="L75" ca="1">IF(ROW(E75)-L$15 &lt; L$14,E75,IF(ROW(E75) - L$15 -L$16 + 1 &lt; L$14,INDIRECT(ADDRESS(MOD(ROW(E75) - L$15, L$14) + L$15, COLUMN(E75))),""))</f>
        <v>P4</v>
      </c>
      <c r="N75" cm="1">
        <f t="array" aca="1" ref="N75" ca="1">IF(H75&lt;&gt;"", SUMPRODUCT((OFFSET(H75,0,0,H$16,1)=$T$24) +0),"")</f>
        <v>0</v>
      </c>
      <c r="O75" cm="1">
        <f t="array" aca="1" ref="O75" ca="1">IF(I75&lt;&gt;"", SUMPRODUCT((OFFSET(I75,0,0,I$16,1)=$T$24) +0),"")</f>
        <v>0</v>
      </c>
      <c r="P75" cm="1">
        <f t="array" aca="1" ref="P75" ca="1">IF(J75&lt;&gt;"", SUMPRODUCT((OFFSET(J75,0,0,J$16,1)=$T$24) +0),"")</f>
        <v>0</v>
      </c>
      <c r="Q75" cm="1">
        <f t="array" aca="1" ref="Q75" ca="1">IF(K75&lt;&gt;"", SUMPRODUCT((OFFSET(K75,0,0,K$16,1)=$T$24) +0),"")</f>
        <v>0</v>
      </c>
      <c r="R75" cm="1">
        <f t="array" aca="1" ref="R75" ca="1">IF(L75&lt;&gt;"", SUMPRODUCT((OFFSET(L75,0,0,L$16,1)=$T$24) +0),"")</f>
        <v>0</v>
      </c>
      <c r="AB75">
        <f t="shared" si="28"/>
        <v>3</v>
      </c>
      <c r="AC75">
        <f t="shared" si="29"/>
        <v>1</v>
      </c>
      <c r="AD75">
        <f t="shared" si="30"/>
        <v>1</v>
      </c>
      <c r="AE75">
        <f t="shared" si="31"/>
        <v>0</v>
      </c>
      <c r="AF75">
        <f t="shared" si="32"/>
        <v>0</v>
      </c>
      <c r="AG75">
        <f t="shared" si="33"/>
        <v>5</v>
      </c>
      <c r="AH75">
        <f t="shared" ca="1" si="34"/>
        <v>0</v>
      </c>
      <c r="AI75">
        <f>IF(ROW($AA75) - $AA$51 &lt; ($H$16+1)^5, IF(AG75 &gt;= BaseBonus!$C$16, AG75*BaseBonus!$E$31, 0), "")</f>
        <v>4.6952679064628979</v>
      </c>
      <c r="AJ75">
        <f t="shared" ca="1" si="35"/>
        <v>0</v>
      </c>
      <c r="AK75" s="44"/>
    </row>
    <row r="76" spans="1:39" x14ac:dyDescent="0.3">
      <c r="A76" t="str">
        <v>P6</v>
      </c>
      <c r="B76" t="str">
        <v>P6</v>
      </c>
      <c r="C76" t="str">
        <v>P1</v>
      </c>
      <c r="D76" t="str">
        <v>P3</v>
      </c>
      <c r="E76" t="str">
        <v>P6</v>
      </c>
      <c r="H76" t="str" cm="1">
        <f t="array" aca="1" ref="H76" ca="1">IF(ROW(A76)-H$15 &lt; H$14,A76,IF(ROW(A76) - H$15 -H$16 + 1 &lt; H$14,INDIRECT(ADDRESS(MOD(ROW(A76) - H$15, H$14) + H$15, COLUMN(A76))),""))</f>
        <v>P6</v>
      </c>
      <c r="I76" t="str" cm="1">
        <f t="array" aca="1" ref="I76" ca="1">IF(ROW(B76)-I$15 &lt; I$14,B76,IF(ROW(B76) - I$15 -I$16 + 1 &lt; I$14,INDIRECT(ADDRESS(MOD(ROW(B76) - I$15, I$14) + I$15, COLUMN(B76))),""))</f>
        <v>P6</v>
      </c>
      <c r="J76" t="str" cm="1">
        <f t="array" aca="1" ref="J76" ca="1">IF(ROW(C76)-J$15 &lt; J$14,C76,IF(ROW(C76) - J$15 -J$16 + 1 &lt; J$14,INDIRECT(ADDRESS(MOD(ROW(C76) - J$15, J$14) + J$15, COLUMN(C76))),""))</f>
        <v>P1</v>
      </c>
      <c r="K76" t="str" cm="1">
        <f t="array" aca="1" ref="K76" ca="1">IF(ROW(D76)-K$15 &lt; K$14,D76,IF(ROW(D76) - K$15 -K$16 + 1 &lt; K$14,INDIRECT(ADDRESS(MOD(ROW(D76) - K$15, K$14) + K$15, COLUMN(D76))),""))</f>
        <v>P3</v>
      </c>
      <c r="L76" t="str" cm="1">
        <f t="array" aca="1" ref="L76" ca="1">IF(ROW(E76)-L$15 &lt; L$14,E76,IF(ROW(E76) - L$15 -L$16 + 1 &lt; L$14,INDIRECT(ADDRESS(MOD(ROW(E76) - L$15, L$14) + L$15, COLUMN(E76))),""))</f>
        <v>P6</v>
      </c>
      <c r="N76" cm="1">
        <f t="array" aca="1" ref="N76" ca="1">IF(H76&lt;&gt;"", SUMPRODUCT((OFFSET(H76,0,0,H$16,1)=$T$24) +0),"")</f>
        <v>0</v>
      </c>
      <c r="O76" cm="1">
        <f t="array" aca="1" ref="O76" ca="1">IF(I76&lt;&gt;"", SUMPRODUCT((OFFSET(I76,0,0,I$16,1)=$T$24) +0),"")</f>
        <v>0</v>
      </c>
      <c r="P76" cm="1">
        <f t="array" aca="1" ref="P76" ca="1">IF(J76&lt;&gt;"", SUMPRODUCT((OFFSET(J76,0,0,J$16,1)=$T$24) +0),"")</f>
        <v>0</v>
      </c>
      <c r="Q76" cm="1">
        <f t="array" aca="1" ref="Q76" ca="1">IF(K76&lt;&gt;"", SUMPRODUCT((OFFSET(K76,0,0,K$16,1)=$T$24) +0),"")</f>
        <v>0</v>
      </c>
      <c r="R76" cm="1">
        <f t="array" aca="1" ref="R76" ca="1">IF(L76&lt;&gt;"", SUMPRODUCT((OFFSET(L76,0,0,L$16,1)=$T$24) +0),"")</f>
        <v>0</v>
      </c>
      <c r="AB76">
        <f t="shared" si="28"/>
        <v>0</v>
      </c>
      <c r="AC76">
        <f t="shared" si="29"/>
        <v>2</v>
      </c>
      <c r="AD76">
        <f t="shared" si="30"/>
        <v>1</v>
      </c>
      <c r="AE76">
        <f t="shared" si="31"/>
        <v>0</v>
      </c>
      <c r="AF76">
        <f t="shared" si="32"/>
        <v>0</v>
      </c>
      <c r="AG76">
        <f t="shared" si="33"/>
        <v>3</v>
      </c>
      <c r="AH76">
        <f t="shared" ca="1" si="34"/>
        <v>3.1303413387907732E-3</v>
      </c>
      <c r="AI76">
        <f>IF(ROW($AA76) - $AA$51 &lt; ($H$16+1)^5, IF(AG76 &gt;= BaseBonus!$C$16, AG76*BaseBonus!$E$31, 0), "")</f>
        <v>0</v>
      </c>
      <c r="AJ76">
        <f t="shared" ca="1" si="35"/>
        <v>0</v>
      </c>
      <c r="AK76" s="44"/>
    </row>
    <row r="77" spans="1:39" x14ac:dyDescent="0.3">
      <c r="A77" t="str">
        <v>P4</v>
      </c>
      <c r="B77" t="str">
        <v>P4</v>
      </c>
      <c r="C77" t="str">
        <v>SCAT</v>
      </c>
      <c r="D77" t="str">
        <v>P2</v>
      </c>
      <c r="E77" t="str">
        <v>P4</v>
      </c>
      <c r="H77" t="str" cm="1">
        <f t="array" aca="1" ref="H77" ca="1">IF(ROW(A77)-H$15 &lt; H$14,A77,IF(ROW(A77) - H$15 -H$16 + 1 &lt; H$14,INDIRECT(ADDRESS(MOD(ROW(A77) - H$15, H$14) + H$15, COLUMN(A77))),""))</f>
        <v>P4</v>
      </c>
      <c r="I77" t="str" cm="1">
        <f t="array" aca="1" ref="I77" ca="1">IF(ROW(B77)-I$15 &lt; I$14,B77,IF(ROW(B77) - I$15 -I$16 + 1 &lt; I$14,INDIRECT(ADDRESS(MOD(ROW(B77) - I$15, I$14) + I$15, COLUMN(B77))),""))</f>
        <v>P4</v>
      </c>
      <c r="J77" t="str" cm="1">
        <f t="array" aca="1" ref="J77" ca="1">IF(ROW(C77)-J$15 &lt; J$14,C77,IF(ROW(C77) - J$15 -J$16 + 1 &lt; J$14,INDIRECT(ADDRESS(MOD(ROW(C77) - J$15, J$14) + J$15, COLUMN(C77))),""))</f>
        <v>SCAT</v>
      </c>
      <c r="K77" t="str" cm="1">
        <f t="array" aca="1" ref="K77" ca="1">IF(ROW(D77)-K$15 &lt; K$14,D77,IF(ROW(D77) - K$15 -K$16 + 1 &lt; K$14,INDIRECT(ADDRESS(MOD(ROW(D77) - K$15, K$14) + K$15, COLUMN(D77))),""))</f>
        <v>P2</v>
      </c>
      <c r="L77" t="str" cm="1">
        <f t="array" aca="1" ref="L77" ca="1">IF(ROW(E77)-L$15 &lt; L$14,E77,IF(ROW(E77) - L$15 -L$16 + 1 &lt; L$14,INDIRECT(ADDRESS(MOD(ROW(E77) - L$15, L$14) + L$15, COLUMN(E77))),""))</f>
        <v>P4</v>
      </c>
      <c r="N77" cm="1">
        <f t="array" aca="1" ref="N77" ca="1">IF(H77&lt;&gt;"", SUMPRODUCT((OFFSET(H77,0,0,H$16,1)=$T$24) +0),"")</f>
        <v>0</v>
      </c>
      <c r="O77" cm="1">
        <f t="array" aca="1" ref="O77" ca="1">IF(I77&lt;&gt;"", SUMPRODUCT((OFFSET(I77,0,0,I$16,1)=$T$24) +0),"")</f>
        <v>0</v>
      </c>
      <c r="P77" cm="1">
        <f t="array" aca="1" ref="P77" ca="1">IF(J77&lt;&gt;"", SUMPRODUCT((OFFSET(J77,0,0,J$16,1)=$T$24) +0),"")</f>
        <v>0</v>
      </c>
      <c r="Q77" cm="1">
        <f t="array" aca="1" ref="Q77" ca="1">IF(K77&lt;&gt;"", SUMPRODUCT((OFFSET(K77,0,0,K$16,1)=$T$24) +0),"")</f>
        <v>0</v>
      </c>
      <c r="R77" cm="1">
        <f t="array" aca="1" ref="R77" ca="1">IF(L77&lt;&gt;"", SUMPRODUCT((OFFSET(L77,0,0,L$16,1)=$T$24) +0),"")</f>
        <v>0</v>
      </c>
      <c r="AB77">
        <f t="shared" si="28"/>
        <v>1</v>
      </c>
      <c r="AC77">
        <f t="shared" si="29"/>
        <v>2</v>
      </c>
      <c r="AD77">
        <f t="shared" si="30"/>
        <v>1</v>
      </c>
      <c r="AE77">
        <f t="shared" si="31"/>
        <v>0</v>
      </c>
      <c r="AF77">
        <f t="shared" si="32"/>
        <v>0</v>
      </c>
      <c r="AG77">
        <f t="shared" si="33"/>
        <v>4</v>
      </c>
      <c r="AH77">
        <f t="shared" ca="1" si="34"/>
        <v>5.8693900102326987E-4</v>
      </c>
      <c r="AI77">
        <f>IF(ROW($AA77) - $AA$51 &lt; ($H$16+1)^5, IF(AG77 &gt;= BaseBonus!$C$16, AG77*BaseBonus!$E$31, 0), "")</f>
        <v>0</v>
      </c>
      <c r="AJ77">
        <f t="shared" ca="1" si="35"/>
        <v>0</v>
      </c>
      <c r="AK77" s="44"/>
    </row>
    <row r="78" spans="1:39" x14ac:dyDescent="0.3">
      <c r="A78" t="str">
        <v>P2</v>
      </c>
      <c r="B78" t="str">
        <v>P3</v>
      </c>
      <c r="C78" t="str">
        <v>P3</v>
      </c>
      <c r="D78" t="str">
        <v>P1</v>
      </c>
      <c r="E78" t="str">
        <v>P1</v>
      </c>
      <c r="H78" t="str" cm="1">
        <f t="array" aca="1" ref="H78" ca="1">IF(ROW(A78)-H$15 &lt; H$14,A78,IF(ROW(A78) - H$15 -H$16 + 1 &lt; H$14,INDIRECT(ADDRESS(MOD(ROW(A78) - H$15, H$14) + H$15, COLUMN(A78))),""))</f>
        <v>P2</v>
      </c>
      <c r="I78" t="str" cm="1">
        <f t="array" aca="1" ref="I78" ca="1">IF(ROW(B78)-I$15 &lt; I$14,B78,IF(ROW(B78) - I$15 -I$16 + 1 &lt; I$14,INDIRECT(ADDRESS(MOD(ROW(B78) - I$15, I$14) + I$15, COLUMN(B78))),""))</f>
        <v>P3</v>
      </c>
      <c r="J78" t="str" cm="1">
        <f t="array" aca="1" ref="J78" ca="1">IF(ROW(C78)-J$15 &lt; J$14,C78,IF(ROW(C78) - J$15 -J$16 + 1 &lt; J$14,INDIRECT(ADDRESS(MOD(ROW(C78) - J$15, J$14) + J$15, COLUMN(C78))),""))</f>
        <v>P3</v>
      </c>
      <c r="K78" t="str" cm="1">
        <f t="array" aca="1" ref="K78" ca="1">IF(ROW(D78)-K$15 &lt; K$14,D78,IF(ROW(D78) - K$15 -K$16 + 1 &lt; K$14,INDIRECT(ADDRESS(MOD(ROW(D78) - K$15, K$14) + K$15, COLUMN(D78))),""))</f>
        <v>P1</v>
      </c>
      <c r="L78" t="str" cm="1">
        <f t="array" aca="1" ref="L78" ca="1">IF(ROW(E78)-L$15 &lt; L$14,E78,IF(ROW(E78) - L$15 -L$16 + 1 &lt; L$14,INDIRECT(ADDRESS(MOD(ROW(E78) - L$15, L$14) + L$15, COLUMN(E78))),""))</f>
        <v>P1</v>
      </c>
      <c r="N78" cm="1">
        <f t="array" aca="1" ref="N78" ca="1">IF(H78&lt;&gt;"", SUMPRODUCT((OFFSET(H78,0,0,H$16,1)=$T$24) +0),"")</f>
        <v>0</v>
      </c>
      <c r="O78" cm="1">
        <f t="array" aca="1" ref="O78" ca="1">IF(I78&lt;&gt;"", SUMPRODUCT((OFFSET(I78,0,0,I$16,1)=$T$24) +0),"")</f>
        <v>0</v>
      </c>
      <c r="P78" cm="1">
        <f t="array" aca="1" ref="P78" ca="1">IF(J78&lt;&gt;"", SUMPRODUCT((OFFSET(J78,0,0,J$16,1)=$T$24) +0),"")</f>
        <v>0</v>
      </c>
      <c r="Q78" cm="1">
        <f t="array" aca="1" ref="Q78" ca="1">IF(K78&lt;&gt;"", SUMPRODUCT((OFFSET(K78,0,0,K$16,1)=$T$24) +0),"")</f>
        <v>0</v>
      </c>
      <c r="R78" cm="1">
        <f t="array" aca="1" ref="R78" ca="1">IF(L78&lt;&gt;"", SUMPRODUCT((OFFSET(L78,0,0,L$16,1)=$T$24) +0),"")</f>
        <v>0</v>
      </c>
      <c r="AB78">
        <f t="shared" si="28"/>
        <v>2</v>
      </c>
      <c r="AC78">
        <f t="shared" si="29"/>
        <v>2</v>
      </c>
      <c r="AD78">
        <f t="shared" si="30"/>
        <v>1</v>
      </c>
      <c r="AE78">
        <f t="shared" si="31"/>
        <v>0</v>
      </c>
      <c r="AF78">
        <f t="shared" si="32"/>
        <v>0</v>
      </c>
      <c r="AG78">
        <f t="shared" si="33"/>
        <v>5</v>
      </c>
      <c r="AH78">
        <f t="shared" ca="1" si="34"/>
        <v>2.9346950051163494E-4</v>
      </c>
      <c r="AI78">
        <f>IF(ROW($AA78) - $AA$51 &lt; ($H$16+1)^5, IF(AG78 &gt;= BaseBonus!$C$16, AG78*BaseBonus!$E$31, 0), "")</f>
        <v>4.6952679064628979</v>
      </c>
      <c r="AJ78">
        <f t="shared" ca="1" si="35"/>
        <v>1.3779179272779766E-3</v>
      </c>
      <c r="AK78" s="44"/>
    </row>
    <row r="79" spans="1:39" x14ac:dyDescent="0.3">
      <c r="A79" t="str">
        <v>P2</v>
      </c>
      <c r="B79" t="str">
        <v>P2</v>
      </c>
      <c r="C79" t="str">
        <v>P4</v>
      </c>
      <c r="D79" t="str">
        <v>P5</v>
      </c>
      <c r="E79" t="str">
        <v>P6</v>
      </c>
      <c r="H79" t="str" cm="1">
        <f t="array" aca="1" ref="H79" ca="1">IF(ROW(A79)-H$15 &lt; H$14,A79,IF(ROW(A79) - H$15 -H$16 + 1 &lt; H$14,INDIRECT(ADDRESS(MOD(ROW(A79) - H$15, H$14) + H$15, COLUMN(A79))),""))</f>
        <v>P2</v>
      </c>
      <c r="I79" t="str" cm="1">
        <f t="array" aca="1" ref="I79" ca="1">IF(ROW(B79)-I$15 &lt; I$14,B79,IF(ROW(B79) - I$15 -I$16 + 1 &lt; I$14,INDIRECT(ADDRESS(MOD(ROW(B79) - I$15, I$14) + I$15, COLUMN(B79))),""))</f>
        <v>P2</v>
      </c>
      <c r="J79" t="str" cm="1">
        <f t="array" aca="1" ref="J79" ca="1">IF(ROW(C79)-J$15 &lt; J$14,C79,IF(ROW(C79) - J$15 -J$16 + 1 &lt; J$14,INDIRECT(ADDRESS(MOD(ROW(C79) - J$15, J$14) + J$15, COLUMN(C79))),""))</f>
        <v>P4</v>
      </c>
      <c r="K79" t="str" cm="1">
        <f t="array" aca="1" ref="K79" ca="1">IF(ROW(D79)-K$15 &lt; K$14,D79,IF(ROW(D79) - K$15 -K$16 + 1 &lt; K$14,INDIRECT(ADDRESS(MOD(ROW(D79) - K$15, K$14) + K$15, COLUMN(D79))),""))</f>
        <v>P5</v>
      </c>
      <c r="L79" t="str" cm="1">
        <f t="array" aca="1" ref="L79" ca="1">IF(ROW(E79)-L$15 &lt; L$14,E79,IF(ROW(E79) - L$15 -L$16 + 1 &lt; L$14,INDIRECT(ADDRESS(MOD(ROW(E79) - L$15, L$14) + L$15, COLUMN(E79))),""))</f>
        <v>P6</v>
      </c>
      <c r="N79" cm="1">
        <f t="array" aca="1" ref="N79" ca="1">IF(H79&lt;&gt;"", SUMPRODUCT((OFFSET(H79,0,0,H$16,1)=$T$24) +0),"")</f>
        <v>0</v>
      </c>
      <c r="O79" cm="1">
        <f t="array" aca="1" ref="O79" ca="1">IF(I79&lt;&gt;"", SUMPRODUCT((OFFSET(I79,0,0,I$16,1)=$T$24) +0),"")</f>
        <v>0</v>
      </c>
      <c r="P79" cm="1">
        <f t="array" aca="1" ref="P79" ca="1">IF(J79&lt;&gt;"", SUMPRODUCT((OFFSET(J79,0,0,J$16,1)=$T$24) +0),"")</f>
        <v>0</v>
      </c>
      <c r="Q79" cm="1">
        <f t="array" aca="1" ref="Q79" ca="1">IF(K79&lt;&gt;"", SUMPRODUCT((OFFSET(K79,0,0,K$16,1)=$T$24) +0),"")</f>
        <v>0</v>
      </c>
      <c r="R79" cm="1">
        <f t="array" aca="1" ref="R79" ca="1">IF(L79&lt;&gt;"", SUMPRODUCT((OFFSET(L79,0,0,L$16,1)=$T$24) +0),"")</f>
        <v>0</v>
      </c>
      <c r="AB79">
        <f t="shared" si="28"/>
        <v>3</v>
      </c>
      <c r="AC79">
        <f t="shared" si="29"/>
        <v>2</v>
      </c>
      <c r="AD79">
        <f t="shared" si="30"/>
        <v>1</v>
      </c>
      <c r="AE79">
        <f t="shared" si="31"/>
        <v>0</v>
      </c>
      <c r="AF79">
        <f t="shared" si="32"/>
        <v>0</v>
      </c>
      <c r="AG79">
        <f t="shared" si="33"/>
        <v>6</v>
      </c>
      <c r="AH79">
        <f t="shared" ca="1" si="34"/>
        <v>0</v>
      </c>
      <c r="AI79">
        <f>IF(ROW($AA79) - $AA$51 &lt; ($H$16+1)^5, IF(AG79 &gt;= BaseBonus!$C$16, AG79*BaseBonus!$E$31, 0), "")</f>
        <v>5.6343214877554777</v>
      </c>
      <c r="AJ79">
        <f t="shared" ca="1" si="35"/>
        <v>0</v>
      </c>
      <c r="AK79" s="44"/>
    </row>
    <row r="80" spans="1:39" x14ac:dyDescent="0.3">
      <c r="A80" t="str">
        <v>P1</v>
      </c>
      <c r="B80" t="str">
        <v>P1</v>
      </c>
      <c r="C80" t="str">
        <v>P6</v>
      </c>
      <c r="D80" t="str">
        <v>P2</v>
      </c>
      <c r="E80" t="str">
        <v>P5</v>
      </c>
      <c r="H80" t="str" cm="1">
        <f t="array" aca="1" ref="H80" ca="1">IF(ROW(A80)-H$15 &lt; H$14,A80,IF(ROW(A80) - H$15 -H$16 + 1 &lt; H$14,INDIRECT(ADDRESS(MOD(ROW(A80) - H$15, H$14) + H$15, COLUMN(A80))),""))</f>
        <v>P1</v>
      </c>
      <c r="I80" t="str" cm="1">
        <f t="array" aca="1" ref="I80" ca="1">IF(ROW(B80)-I$15 &lt; I$14,B80,IF(ROW(B80) - I$15 -I$16 + 1 &lt; I$14,INDIRECT(ADDRESS(MOD(ROW(B80) - I$15, I$14) + I$15, COLUMN(B80))),""))</f>
        <v>P1</v>
      </c>
      <c r="J80" t="str" cm="1">
        <f t="array" aca="1" ref="J80" ca="1">IF(ROW(C80)-J$15 &lt; J$14,C80,IF(ROW(C80) - J$15 -J$16 + 1 &lt; J$14,INDIRECT(ADDRESS(MOD(ROW(C80) - J$15, J$14) + J$15, COLUMN(C80))),""))</f>
        <v>P6</v>
      </c>
      <c r="K80" t="str" cm="1">
        <f t="array" aca="1" ref="K80" ca="1">IF(ROW(D80)-K$15 &lt; K$14,D80,IF(ROW(D80) - K$15 -K$16 + 1 &lt; K$14,INDIRECT(ADDRESS(MOD(ROW(D80) - K$15, K$14) + K$15, COLUMN(D80))),""))</f>
        <v>P2</v>
      </c>
      <c r="L80" t="str" cm="1">
        <f t="array" aca="1" ref="L80" ca="1">IF(ROW(E80)-L$15 &lt; L$14,E80,IF(ROW(E80) - L$15 -L$16 + 1 &lt; L$14,INDIRECT(ADDRESS(MOD(ROW(E80) - L$15, L$14) + L$15, COLUMN(E80))),""))</f>
        <v>P5</v>
      </c>
      <c r="N80" cm="1">
        <f t="array" aca="1" ref="N80" ca="1">IF(H80&lt;&gt;"", SUMPRODUCT((OFFSET(H80,0,0,H$16,1)=$T$24) +0),"")</f>
        <v>0</v>
      </c>
      <c r="O80" cm="1">
        <f t="array" aca="1" ref="O80" ca="1">IF(I80&lt;&gt;"", SUMPRODUCT((OFFSET(I80,0,0,I$16,1)=$T$24) +0),"")</f>
        <v>0</v>
      </c>
      <c r="P80" cm="1">
        <f t="array" aca="1" ref="P80" ca="1">IF(J80&lt;&gt;"", SUMPRODUCT((OFFSET(J80,0,0,J$16,1)=$T$24) +0),"")</f>
        <v>1</v>
      </c>
      <c r="Q80" cm="1">
        <f t="array" aca="1" ref="Q80" ca="1">IF(K80&lt;&gt;"", SUMPRODUCT((OFFSET(K80,0,0,K$16,1)=$T$24) +0),"")</f>
        <v>0</v>
      </c>
      <c r="R80" cm="1">
        <f t="array" aca="1" ref="R80" ca="1">IF(L80&lt;&gt;"", SUMPRODUCT((OFFSET(L80,0,0,L$16,1)=$T$24) +0),"")</f>
        <v>0</v>
      </c>
      <c r="AB80">
        <f t="shared" si="28"/>
        <v>0</v>
      </c>
      <c r="AC80">
        <f t="shared" si="29"/>
        <v>3</v>
      </c>
      <c r="AD80">
        <f t="shared" si="30"/>
        <v>1</v>
      </c>
      <c r="AE80">
        <f t="shared" si="31"/>
        <v>0</v>
      </c>
      <c r="AF80">
        <f t="shared" si="32"/>
        <v>0</v>
      </c>
      <c r="AG80">
        <f t="shared" si="33"/>
        <v>4</v>
      </c>
      <c r="AH80">
        <f t="shared" ca="1" si="34"/>
        <v>0</v>
      </c>
      <c r="AI80">
        <f>IF(ROW($AA80) - $AA$51 &lt; ($H$16+1)^5, IF(AG80 &gt;= BaseBonus!$C$16, AG80*BaseBonus!$E$31, 0), "")</f>
        <v>0</v>
      </c>
      <c r="AJ80">
        <f t="shared" ca="1" si="35"/>
        <v>0</v>
      </c>
      <c r="AK80" s="44"/>
    </row>
    <row r="81" spans="1:37" x14ac:dyDescent="0.3">
      <c r="A81" t="str">
        <v>P4</v>
      </c>
      <c r="B81" t="str">
        <v>P5</v>
      </c>
      <c r="C81" t="str">
        <v>P1</v>
      </c>
      <c r="D81" t="str">
        <v>P4</v>
      </c>
      <c r="E81" t="str">
        <v>P2</v>
      </c>
      <c r="H81" t="str" cm="1">
        <f t="array" aca="1" ref="H81" ca="1">IF(ROW(A81)-H$15 &lt; H$14,A81,IF(ROW(A81) - H$15 -H$16 + 1 &lt; H$14,INDIRECT(ADDRESS(MOD(ROW(A81) - H$15, H$14) + H$15, COLUMN(A81))),""))</f>
        <v>P4</v>
      </c>
      <c r="I81" t="str" cm="1">
        <f t="array" aca="1" ref="I81" ca="1">IF(ROW(B81)-I$15 &lt; I$14,B81,IF(ROW(B81) - I$15 -I$16 + 1 &lt; I$14,INDIRECT(ADDRESS(MOD(ROW(B81) - I$15, I$14) + I$15, COLUMN(B81))),""))</f>
        <v>P5</v>
      </c>
      <c r="J81" t="str" cm="1">
        <f t="array" aca="1" ref="J81" ca="1">IF(ROW(C81)-J$15 &lt; J$14,C81,IF(ROW(C81) - J$15 -J$16 + 1 &lt; J$14,INDIRECT(ADDRESS(MOD(ROW(C81) - J$15, J$14) + J$15, COLUMN(C81))),""))</f>
        <v>P1</v>
      </c>
      <c r="K81" t="str" cm="1">
        <f t="array" aca="1" ref="K81" ca="1">IF(ROW(D81)-K$15 &lt; K$14,D81,IF(ROW(D81) - K$15 -K$16 + 1 &lt; K$14,INDIRECT(ADDRESS(MOD(ROW(D81) - K$15, K$14) + K$15, COLUMN(D81))),""))</f>
        <v>P4</v>
      </c>
      <c r="L81" t="str" cm="1">
        <f t="array" aca="1" ref="L81" ca="1">IF(ROW(E81)-L$15 &lt; L$14,E81,IF(ROW(E81) - L$15 -L$16 + 1 &lt; L$14,INDIRECT(ADDRESS(MOD(ROW(E81) - L$15, L$14) + L$15, COLUMN(E81))),""))</f>
        <v>P2</v>
      </c>
      <c r="N81" cm="1">
        <f t="array" aca="1" ref="N81" ca="1">IF(H81&lt;&gt;"", SUMPRODUCT((OFFSET(H81,0,0,H$16,1)=$T$24) +0),"")</f>
        <v>0</v>
      </c>
      <c r="O81" cm="1">
        <f t="array" aca="1" ref="O81" ca="1">IF(I81&lt;&gt;"", SUMPRODUCT((OFFSET(I81,0,0,I$16,1)=$T$24) +0),"")</f>
        <v>0</v>
      </c>
      <c r="P81" cm="1">
        <f t="array" aca="1" ref="P81" ca="1">IF(J81&lt;&gt;"", SUMPRODUCT((OFFSET(J81,0,0,J$16,1)=$T$24) +0),"")</f>
        <v>2</v>
      </c>
      <c r="Q81" cm="1">
        <f t="array" aca="1" ref="Q81" ca="1">IF(K81&lt;&gt;"", SUMPRODUCT((OFFSET(K81,0,0,K$16,1)=$T$24) +0),"")</f>
        <v>0</v>
      </c>
      <c r="R81" cm="1">
        <f t="array" aca="1" ref="R81" ca="1">IF(L81&lt;&gt;"", SUMPRODUCT((OFFSET(L81,0,0,L$16,1)=$T$24) +0),"")</f>
        <v>0</v>
      </c>
      <c r="AB81">
        <f t="shared" si="28"/>
        <v>1</v>
      </c>
      <c r="AC81">
        <f t="shared" si="29"/>
        <v>3</v>
      </c>
      <c r="AD81">
        <f t="shared" si="30"/>
        <v>1</v>
      </c>
      <c r="AE81">
        <f t="shared" si="31"/>
        <v>0</v>
      </c>
      <c r="AF81">
        <f t="shared" si="32"/>
        <v>0</v>
      </c>
      <c r="AG81">
        <f t="shared" si="33"/>
        <v>5</v>
      </c>
      <c r="AH81">
        <f t="shared" ca="1" si="34"/>
        <v>0</v>
      </c>
      <c r="AI81">
        <f>IF(ROW($AA81) - $AA$51 &lt; ($H$16+1)^5, IF(AG81 &gt;= BaseBonus!$C$16, AG81*BaseBonus!$E$31, 0), "")</f>
        <v>4.6952679064628979</v>
      </c>
      <c r="AJ81">
        <f t="shared" ca="1" si="35"/>
        <v>0</v>
      </c>
      <c r="AK81" s="44"/>
    </row>
    <row r="82" spans="1:37" x14ac:dyDescent="0.3">
      <c r="A82" t="str">
        <v>P1</v>
      </c>
      <c r="B82" t="str">
        <v>P2</v>
      </c>
      <c r="C82" t="str">
        <v>CP</v>
      </c>
      <c r="D82" t="str">
        <v>P2</v>
      </c>
      <c r="E82" t="str">
        <v>P4</v>
      </c>
      <c r="H82" t="str" cm="1">
        <f t="array" aca="1" ref="H82" ca="1">IF(ROW(A82)-H$15 &lt; H$14,A82,IF(ROW(A82) - H$15 -H$16 + 1 &lt; H$14,INDIRECT(ADDRESS(MOD(ROW(A82) - H$15, H$14) + H$15, COLUMN(A82))),""))</f>
        <v>P1</v>
      </c>
      <c r="I82" t="str" cm="1">
        <f t="array" aca="1" ref="I82" ca="1">IF(ROW(B82)-I$15 &lt; I$14,B82,IF(ROW(B82) - I$15 -I$16 + 1 &lt; I$14,INDIRECT(ADDRESS(MOD(ROW(B82) - I$15, I$14) + I$15, COLUMN(B82))),""))</f>
        <v>P2</v>
      </c>
      <c r="J82" t="str" cm="1">
        <f t="array" aca="1" ref="J82" ca="1">IF(ROW(C82)-J$15 &lt; J$14,C82,IF(ROW(C82) - J$15 -J$16 + 1 &lt; J$14,INDIRECT(ADDRESS(MOD(ROW(C82) - J$15, J$14) + J$15, COLUMN(C82))),""))</f>
        <v>CP</v>
      </c>
      <c r="K82" t="str" cm="1">
        <f t="array" aca="1" ref="K82" ca="1">IF(ROW(D82)-K$15 &lt; K$14,D82,IF(ROW(D82) - K$15 -K$16 + 1 &lt; K$14,INDIRECT(ADDRESS(MOD(ROW(D82) - K$15, K$14) + K$15, COLUMN(D82))),""))</f>
        <v>P2</v>
      </c>
      <c r="L82" t="str" cm="1">
        <f t="array" aca="1" ref="L82" ca="1">IF(ROW(E82)-L$15 &lt; L$14,E82,IF(ROW(E82) - L$15 -L$16 + 1 &lt; L$14,INDIRECT(ADDRESS(MOD(ROW(E82) - L$15, L$14) + L$15, COLUMN(E82))),""))</f>
        <v>P4</v>
      </c>
      <c r="N82" cm="1">
        <f t="array" aca="1" ref="N82" ca="1">IF(H82&lt;&gt;"", SUMPRODUCT((OFFSET(H82,0,0,H$16,1)=$T$24) +0),"")</f>
        <v>0</v>
      </c>
      <c r="O82" cm="1">
        <f t="array" aca="1" ref="O82" ca="1">IF(I82&lt;&gt;"", SUMPRODUCT((OFFSET(I82,0,0,I$16,1)=$T$24) +0),"")</f>
        <v>0</v>
      </c>
      <c r="P82" cm="1">
        <f t="array" aca="1" ref="P82" ca="1">IF(J82&lt;&gt;"", SUMPRODUCT((OFFSET(J82,0,0,J$16,1)=$T$24) +0),"")</f>
        <v>2</v>
      </c>
      <c r="Q82" cm="1">
        <f t="array" aca="1" ref="Q82" ca="1">IF(K82&lt;&gt;"", SUMPRODUCT((OFFSET(K82,0,0,K$16,1)=$T$24) +0),"")</f>
        <v>0</v>
      </c>
      <c r="R82" cm="1">
        <f t="array" aca="1" ref="R82" ca="1">IF(L82&lt;&gt;"", SUMPRODUCT((OFFSET(L82,0,0,L$16,1)=$T$24) +0),"")</f>
        <v>0</v>
      </c>
      <c r="AB82">
        <f t="shared" si="28"/>
        <v>2</v>
      </c>
      <c r="AC82">
        <f t="shared" si="29"/>
        <v>3</v>
      </c>
      <c r="AD82">
        <f t="shared" si="30"/>
        <v>1</v>
      </c>
      <c r="AE82">
        <f t="shared" si="31"/>
        <v>0</v>
      </c>
      <c r="AF82">
        <f t="shared" si="32"/>
        <v>0</v>
      </c>
      <c r="AG82">
        <f t="shared" si="33"/>
        <v>6</v>
      </c>
      <c r="AH82">
        <f t="shared" ca="1" si="34"/>
        <v>0</v>
      </c>
      <c r="AI82">
        <f>IF(ROW($AA82) - $AA$51 &lt; ($H$16+1)^5, IF(AG82 &gt;= BaseBonus!$C$16, AG82*BaseBonus!$E$31, 0), "")</f>
        <v>5.6343214877554777</v>
      </c>
      <c r="AJ82">
        <f t="shared" ca="1" si="35"/>
        <v>0</v>
      </c>
      <c r="AK82" s="44"/>
    </row>
    <row r="83" spans="1:37" x14ac:dyDescent="0.3">
      <c r="A83" t="str">
        <v>P5</v>
      </c>
      <c r="B83" t="str">
        <v>P4</v>
      </c>
      <c r="C83" t="str">
        <v>CP</v>
      </c>
      <c r="D83" t="str">
        <v>P5</v>
      </c>
      <c r="E83" t="str">
        <v>P4</v>
      </c>
      <c r="H83" t="str" cm="1">
        <f t="array" aca="1" ref="H83" ca="1">IF(ROW(A83)-H$15 &lt; H$14,A83,IF(ROW(A83) - H$15 -H$16 + 1 &lt; H$14,INDIRECT(ADDRESS(MOD(ROW(A83) - H$15, H$14) + H$15, COLUMN(A83))),""))</f>
        <v>P5</v>
      </c>
      <c r="I83" t="str" cm="1">
        <f t="array" aca="1" ref="I83" ca="1">IF(ROW(B83)-I$15 &lt; I$14,B83,IF(ROW(B83) - I$15 -I$16 + 1 &lt; I$14,INDIRECT(ADDRESS(MOD(ROW(B83) - I$15, I$14) + I$15, COLUMN(B83))),""))</f>
        <v>P4</v>
      </c>
      <c r="J83" t="str" cm="1">
        <f t="array" aca="1" ref="J83" ca="1">IF(ROW(C83)-J$15 &lt; J$14,C83,IF(ROW(C83) - J$15 -J$16 + 1 &lt; J$14,INDIRECT(ADDRESS(MOD(ROW(C83) - J$15, J$14) + J$15, COLUMN(C83))),""))</f>
        <v>CP</v>
      </c>
      <c r="K83" t="str" cm="1">
        <f t="array" aca="1" ref="K83" ca="1">IF(ROW(D83)-K$15 &lt; K$14,D83,IF(ROW(D83) - K$15 -K$16 + 1 &lt; K$14,INDIRECT(ADDRESS(MOD(ROW(D83) - K$15, K$14) + K$15, COLUMN(D83))),""))</f>
        <v>P5</v>
      </c>
      <c r="L83" t="str" cm="1">
        <f t="array" aca="1" ref="L83" ca="1">IF(ROW(E83)-L$15 &lt; L$14,E83,IF(ROW(E83) - L$15 -L$16 + 1 &lt; L$14,INDIRECT(ADDRESS(MOD(ROW(E83) - L$15, L$14) + L$15, COLUMN(E83))),""))</f>
        <v>P4</v>
      </c>
      <c r="N83" cm="1">
        <f t="array" aca="1" ref="N83" ca="1">IF(H83&lt;&gt;"", SUMPRODUCT((OFFSET(H83,0,0,H$16,1)=$T$24) +0),"")</f>
        <v>0</v>
      </c>
      <c r="O83" cm="1">
        <f t="array" aca="1" ref="O83" ca="1">IF(I83&lt;&gt;"", SUMPRODUCT((OFFSET(I83,0,0,I$16,1)=$T$24) +0),"")</f>
        <v>0</v>
      </c>
      <c r="P83" cm="1">
        <f t="array" aca="1" ref="P83" ca="1">IF(J83&lt;&gt;"", SUMPRODUCT((OFFSET(J83,0,0,J$16,1)=$T$24) +0),"")</f>
        <v>1</v>
      </c>
      <c r="Q83" cm="1">
        <f t="array" aca="1" ref="Q83" ca="1">IF(K83&lt;&gt;"", SUMPRODUCT((OFFSET(K83,0,0,K$16,1)=$T$24) +0),"")</f>
        <v>0</v>
      </c>
      <c r="R83" cm="1">
        <f t="array" aca="1" ref="R83" ca="1">IF(L83&lt;&gt;"", SUMPRODUCT((OFFSET(L83,0,0,L$16,1)=$T$24) +0),"")</f>
        <v>0</v>
      </c>
      <c r="AB83">
        <f t="shared" si="28"/>
        <v>3</v>
      </c>
      <c r="AC83">
        <f t="shared" si="29"/>
        <v>3</v>
      </c>
      <c r="AD83">
        <f t="shared" si="30"/>
        <v>1</v>
      </c>
      <c r="AE83">
        <f t="shared" si="31"/>
        <v>0</v>
      </c>
      <c r="AF83">
        <f t="shared" si="32"/>
        <v>0</v>
      </c>
      <c r="AG83">
        <f t="shared" si="33"/>
        <v>7</v>
      </c>
      <c r="AH83">
        <f t="shared" ca="1" si="34"/>
        <v>0</v>
      </c>
      <c r="AI83">
        <f>IF(ROW($AA83) - $AA$51 &lt; ($H$16+1)^5, IF(AG83 &gt;= BaseBonus!$C$16, AG83*BaseBonus!$E$31, 0), "")</f>
        <v>6.5733750690480575</v>
      </c>
      <c r="AJ83">
        <f t="shared" ca="1" si="35"/>
        <v>0</v>
      </c>
      <c r="AK83" s="44"/>
    </row>
    <row r="84" spans="1:37" x14ac:dyDescent="0.3">
      <c r="A84" t="str">
        <v>P1</v>
      </c>
      <c r="B84" t="str">
        <v>P2</v>
      </c>
      <c r="C84" t="str">
        <v>P4</v>
      </c>
      <c r="D84" t="str">
        <v>P1</v>
      </c>
      <c r="E84" t="str">
        <v>P5</v>
      </c>
      <c r="H84" t="str" cm="1">
        <f t="array" aca="1" ref="H84" ca="1">IF(ROW(A84)-H$15 &lt; H$14,A84,IF(ROW(A84) - H$15 -H$16 + 1 &lt; H$14,INDIRECT(ADDRESS(MOD(ROW(A84) - H$15, H$14) + H$15, COLUMN(A84))),""))</f>
        <v>P1</v>
      </c>
      <c r="I84" t="str" cm="1">
        <f t="array" aca="1" ref="I84" ca="1">IF(ROW(B84)-I$15 &lt; I$14,B84,IF(ROW(B84) - I$15 -I$16 + 1 &lt; I$14,INDIRECT(ADDRESS(MOD(ROW(B84) - I$15, I$14) + I$15, COLUMN(B84))),""))</f>
        <v>P2</v>
      </c>
      <c r="J84" t="str" cm="1">
        <f t="array" aca="1" ref="J84" ca="1">IF(ROW(C84)-J$15 &lt; J$14,C84,IF(ROW(C84) - J$15 -J$16 + 1 &lt; J$14,INDIRECT(ADDRESS(MOD(ROW(C84) - J$15, J$14) + J$15, COLUMN(C84))),""))</f>
        <v>P4</v>
      </c>
      <c r="K84" t="str" cm="1">
        <f t="array" aca="1" ref="K84" ca="1">IF(ROW(D84)-K$15 &lt; K$14,D84,IF(ROW(D84) - K$15 -K$16 + 1 &lt; K$14,INDIRECT(ADDRESS(MOD(ROW(D84) - K$15, K$14) + K$15, COLUMN(D84))),""))</f>
        <v>P1</v>
      </c>
      <c r="L84" t="str" cm="1">
        <f t="array" aca="1" ref="L84" ca="1">IF(ROW(E84)-L$15 &lt; L$14,E84,IF(ROW(E84) - L$15 -L$16 + 1 &lt; L$14,INDIRECT(ADDRESS(MOD(ROW(E84) - L$15, L$14) + L$15, COLUMN(E84))),""))</f>
        <v>P5</v>
      </c>
      <c r="N84" cm="1">
        <f t="array" aca="1" ref="N84" ca="1">IF(H84&lt;&gt;"", SUMPRODUCT((OFFSET(H84,0,0,H$16,1)=$T$24) +0),"")</f>
        <v>0</v>
      </c>
      <c r="O84" cm="1">
        <f t="array" aca="1" ref="O84" ca="1">IF(I84&lt;&gt;"", SUMPRODUCT((OFFSET(I84,0,0,I$16,1)=$T$24) +0),"")</f>
        <v>0</v>
      </c>
      <c r="P84" cm="1">
        <f t="array" aca="1" ref="P84" ca="1">IF(J84&lt;&gt;"", SUMPRODUCT((OFFSET(J84,0,0,J$16,1)=$T$24) +0),"")</f>
        <v>0</v>
      </c>
      <c r="Q84" cm="1">
        <f t="array" aca="1" ref="Q84" ca="1">IF(K84&lt;&gt;"", SUMPRODUCT((OFFSET(K84,0,0,K$16,1)=$T$24) +0),"")</f>
        <v>0</v>
      </c>
      <c r="R84" cm="1">
        <f t="array" aca="1" ref="R84" ca="1">IF(L84&lt;&gt;"", SUMPRODUCT((OFFSET(L84,0,0,L$16,1)=$T$24) +0),"")</f>
        <v>0</v>
      </c>
      <c r="AB84">
        <f t="shared" si="28"/>
        <v>0</v>
      </c>
      <c r="AC84">
        <f t="shared" si="29"/>
        <v>0</v>
      </c>
      <c r="AD84">
        <f t="shared" si="30"/>
        <v>2</v>
      </c>
      <c r="AE84">
        <f t="shared" si="31"/>
        <v>0</v>
      </c>
      <c r="AF84">
        <f t="shared" si="32"/>
        <v>0</v>
      </c>
      <c r="AG84">
        <f t="shared" si="33"/>
        <v>2</v>
      </c>
      <c r="AH84">
        <f t="shared" ca="1" si="34"/>
        <v>4.8371226877981226E-2</v>
      </c>
      <c r="AI84">
        <f>IF(ROW($AA84) - $AA$51 &lt; ($H$16+1)^5, IF(AG84 &gt;= BaseBonus!$C$16, AG84*BaseBonus!$E$31, 0), "")</f>
        <v>0</v>
      </c>
      <c r="AJ84">
        <f t="shared" ca="1" si="35"/>
        <v>0</v>
      </c>
      <c r="AK84" s="44"/>
    </row>
    <row r="85" spans="1:37" x14ac:dyDescent="0.3">
      <c r="A85" t="str">
        <v>P1</v>
      </c>
      <c r="B85" t="str">
        <v>P5</v>
      </c>
      <c r="C85" t="str">
        <v>P6</v>
      </c>
      <c r="D85" t="str">
        <v>P4</v>
      </c>
      <c r="E85" t="str">
        <v>P1</v>
      </c>
      <c r="H85" t="str" cm="1">
        <f t="array" aca="1" ref="H85" ca="1">IF(ROW(A85)-H$15 &lt; H$14,A85,IF(ROW(A85) - H$15 -H$16 + 1 &lt; H$14,INDIRECT(ADDRESS(MOD(ROW(A85) - H$15, H$14) + H$15, COLUMN(A85))),""))</f>
        <v>P1</v>
      </c>
      <c r="I85" t="str" cm="1">
        <f t="array" aca="1" ref="I85" ca="1">IF(ROW(B85)-I$15 &lt; I$14,B85,IF(ROW(B85) - I$15 -I$16 + 1 &lt; I$14,INDIRECT(ADDRESS(MOD(ROW(B85) - I$15, I$14) + I$15, COLUMN(B85))),""))</f>
        <v>P5</v>
      </c>
      <c r="J85" t="str" cm="1">
        <f t="array" aca="1" ref="J85" ca="1">IF(ROW(C85)-J$15 &lt; J$14,C85,IF(ROW(C85) - J$15 -J$16 + 1 &lt; J$14,INDIRECT(ADDRESS(MOD(ROW(C85) - J$15, J$14) + J$15, COLUMN(C85))),""))</f>
        <v>P6</v>
      </c>
      <c r="K85" t="str" cm="1">
        <f t="array" aca="1" ref="K85" ca="1">IF(ROW(D85)-K$15 &lt; K$14,D85,IF(ROW(D85) - K$15 -K$16 + 1 &lt; K$14,INDIRECT(ADDRESS(MOD(ROW(D85) - K$15, K$14) + K$15, COLUMN(D85))),""))</f>
        <v>P4</v>
      </c>
      <c r="L85" t="str" cm="1">
        <f t="array" aca="1" ref="L85" ca="1">IF(ROW(E85)-L$15 &lt; L$14,E85,IF(ROW(E85) - L$15 -L$16 + 1 &lt; L$14,INDIRECT(ADDRESS(MOD(ROW(E85) - L$15, L$14) + L$15, COLUMN(E85))),""))</f>
        <v>P1</v>
      </c>
      <c r="N85" cm="1">
        <f t="array" aca="1" ref="N85" ca="1">IF(H85&lt;&gt;"", SUMPRODUCT((OFFSET(H85,0,0,H$16,1)=$T$24) +0),"")</f>
        <v>0</v>
      </c>
      <c r="O85" cm="1">
        <f t="array" aca="1" ref="O85" ca="1">IF(I85&lt;&gt;"", SUMPRODUCT((OFFSET(I85,0,0,I$16,1)=$T$24) +0),"")</f>
        <v>0</v>
      </c>
      <c r="P85" cm="1">
        <f t="array" aca="1" ref="P85" ca="1">IF(J85&lt;&gt;"", SUMPRODUCT((OFFSET(J85,0,0,J$16,1)=$T$24) +0),"")</f>
        <v>0</v>
      </c>
      <c r="Q85" cm="1">
        <f t="array" aca="1" ref="Q85" ca="1">IF(K85&lt;&gt;"", SUMPRODUCT((OFFSET(K85,0,0,K$16,1)=$T$24) +0),"")</f>
        <v>0</v>
      </c>
      <c r="R85" cm="1">
        <f t="array" aca="1" ref="R85" ca="1">IF(L85&lt;&gt;"", SUMPRODUCT((OFFSET(L85,0,0,L$16,1)=$T$24) +0),"")</f>
        <v>0</v>
      </c>
      <c r="AB85">
        <f t="shared" si="28"/>
        <v>1</v>
      </c>
      <c r="AC85">
        <f t="shared" si="29"/>
        <v>0</v>
      </c>
      <c r="AD85">
        <f t="shared" si="30"/>
        <v>2</v>
      </c>
      <c r="AE85">
        <f t="shared" si="31"/>
        <v>0</v>
      </c>
      <c r="AF85">
        <f t="shared" si="32"/>
        <v>0</v>
      </c>
      <c r="AG85">
        <f t="shared" si="33"/>
        <v>3</v>
      </c>
      <c r="AH85">
        <f t="shared" ca="1" si="34"/>
        <v>9.0696050396214794E-3</v>
      </c>
      <c r="AI85">
        <f>IF(ROW($AA85) - $AA$51 &lt; ($H$16+1)^5, IF(AG85 &gt;= BaseBonus!$C$16, AG85*BaseBonus!$E$31, 0), "")</f>
        <v>0</v>
      </c>
      <c r="AJ85">
        <f t="shared" ca="1" si="35"/>
        <v>0</v>
      </c>
      <c r="AK85" s="44"/>
    </row>
    <row r="86" spans="1:37" x14ac:dyDescent="0.3">
      <c r="A86" t="str">
        <v>P5</v>
      </c>
      <c r="B86" t="str">
        <v>P1</v>
      </c>
      <c r="C86" t="str">
        <v>P4</v>
      </c>
      <c r="D86" t="str">
        <v>P4</v>
      </c>
      <c r="E86" t="str">
        <v>P3</v>
      </c>
      <c r="H86" t="str" cm="1">
        <f t="array" aca="1" ref="H86" ca="1">IF(ROW(A86)-H$15 &lt; H$14,A86,IF(ROW(A86) - H$15 -H$16 + 1 &lt; H$14,INDIRECT(ADDRESS(MOD(ROW(A86) - H$15, H$14) + H$15, COLUMN(A86))),""))</f>
        <v>P5</v>
      </c>
      <c r="I86" t="str" cm="1">
        <f t="array" aca="1" ref="I86" ca="1">IF(ROW(B86)-I$15 &lt; I$14,B86,IF(ROW(B86) - I$15 -I$16 + 1 &lt; I$14,INDIRECT(ADDRESS(MOD(ROW(B86) - I$15, I$14) + I$15, COLUMN(B86))),""))</f>
        <v>P1</v>
      </c>
      <c r="J86" t="str" cm="1">
        <f t="array" aca="1" ref="J86" ca="1">IF(ROW(C86)-J$15 &lt; J$14,C86,IF(ROW(C86) - J$15 -J$16 + 1 &lt; J$14,INDIRECT(ADDRESS(MOD(ROW(C86) - J$15, J$14) + J$15, COLUMN(C86))),""))</f>
        <v>P4</v>
      </c>
      <c r="K86" t="str" cm="1">
        <f t="array" aca="1" ref="K86" ca="1">IF(ROW(D86)-K$15 &lt; K$14,D86,IF(ROW(D86) - K$15 -K$16 + 1 &lt; K$14,INDIRECT(ADDRESS(MOD(ROW(D86) - K$15, K$14) + K$15, COLUMN(D86))),""))</f>
        <v>P4</v>
      </c>
      <c r="L86" t="str" cm="1">
        <f t="array" aca="1" ref="L86" ca="1">IF(ROW(E86)-L$15 &lt; L$14,E86,IF(ROW(E86) - L$15 -L$16 + 1 &lt; L$14,INDIRECT(ADDRESS(MOD(ROW(E86) - L$15, L$14) + L$15, COLUMN(E86))),""))</f>
        <v>P3</v>
      </c>
      <c r="N86" cm="1">
        <f t="array" aca="1" ref="N86" ca="1">IF(H86&lt;&gt;"", SUMPRODUCT((OFFSET(H86,0,0,H$16,1)=$T$24) +0),"")</f>
        <v>0</v>
      </c>
      <c r="O86" cm="1">
        <f t="array" aca="1" ref="O86" ca="1">IF(I86&lt;&gt;"", SUMPRODUCT((OFFSET(I86,0,0,I$16,1)=$T$24) +0),"")</f>
        <v>0</v>
      </c>
      <c r="P86" cm="1">
        <f t="array" aca="1" ref="P86" ca="1">IF(J86&lt;&gt;"", SUMPRODUCT((OFFSET(J86,0,0,J$16,1)=$T$24) +0),"")</f>
        <v>0</v>
      </c>
      <c r="Q86" cm="1">
        <f t="array" aca="1" ref="Q86" ca="1">IF(K86&lt;&gt;"", SUMPRODUCT((OFFSET(K86,0,0,K$16,1)=$T$24) +0),"")</f>
        <v>0</v>
      </c>
      <c r="R86" cm="1">
        <f t="array" aca="1" ref="R86" ca="1">IF(L86&lt;&gt;"", SUMPRODUCT((OFFSET(L86,0,0,L$16,1)=$T$24) +0),"")</f>
        <v>1</v>
      </c>
      <c r="AB86">
        <f t="shared" si="28"/>
        <v>2</v>
      </c>
      <c r="AC86">
        <f t="shared" si="29"/>
        <v>0</v>
      </c>
      <c r="AD86">
        <f t="shared" si="30"/>
        <v>2</v>
      </c>
      <c r="AE86">
        <f t="shared" si="31"/>
        <v>0</v>
      </c>
      <c r="AF86">
        <f t="shared" si="32"/>
        <v>0</v>
      </c>
      <c r="AG86">
        <f t="shared" si="33"/>
        <v>4</v>
      </c>
      <c r="AH86">
        <f t="shared" ca="1" si="34"/>
        <v>4.5348025198107397E-3</v>
      </c>
      <c r="AI86">
        <f>IF(ROW($AA86) - $AA$51 &lt; ($H$16+1)^5, IF(AG86 &gt;= BaseBonus!$C$16, AG86*BaseBonus!$E$31, 0), "")</f>
        <v>0</v>
      </c>
      <c r="AJ86">
        <f t="shared" ca="1" si="35"/>
        <v>0</v>
      </c>
      <c r="AK86" s="44"/>
    </row>
    <row r="87" spans="1:37" x14ac:dyDescent="0.3">
      <c r="A87" t="str">
        <v>P1</v>
      </c>
      <c r="B87" t="str">
        <v>P4</v>
      </c>
      <c r="C87" t="str">
        <v>P1</v>
      </c>
      <c r="D87" t="str">
        <v>P1</v>
      </c>
      <c r="E87" t="str">
        <v>P4</v>
      </c>
      <c r="H87" t="str" cm="1">
        <f t="array" aca="1" ref="H87" ca="1">IF(ROW(A87)-H$15 &lt; H$14,A87,IF(ROW(A87) - H$15 -H$16 + 1 &lt; H$14,INDIRECT(ADDRESS(MOD(ROW(A87) - H$15, H$14) + H$15, COLUMN(A87))),""))</f>
        <v>P1</v>
      </c>
      <c r="I87" t="str" cm="1">
        <f t="array" aca="1" ref="I87" ca="1">IF(ROW(B87)-I$15 &lt; I$14,B87,IF(ROW(B87) - I$15 -I$16 + 1 &lt; I$14,INDIRECT(ADDRESS(MOD(ROW(B87) - I$15, I$14) + I$15, COLUMN(B87))),""))</f>
        <v>P4</v>
      </c>
      <c r="J87" t="str" cm="1">
        <f t="array" aca="1" ref="J87" ca="1">IF(ROW(C87)-J$15 &lt; J$14,C87,IF(ROW(C87) - J$15 -J$16 + 1 &lt; J$14,INDIRECT(ADDRESS(MOD(ROW(C87) - J$15, J$14) + J$15, COLUMN(C87))),""))</f>
        <v>P1</v>
      </c>
      <c r="K87" t="str" cm="1">
        <f t="array" aca="1" ref="K87" ca="1">IF(ROW(D87)-K$15 &lt; K$14,D87,IF(ROW(D87) - K$15 -K$16 + 1 &lt; K$14,INDIRECT(ADDRESS(MOD(ROW(D87) - K$15, K$14) + K$15, COLUMN(D87))),""))</f>
        <v>P1</v>
      </c>
      <c r="L87" t="str" cm="1">
        <f t="array" aca="1" ref="L87" ca="1">IF(ROW(E87)-L$15 &lt; L$14,E87,IF(ROW(E87) - L$15 -L$16 + 1 &lt; L$14,INDIRECT(ADDRESS(MOD(ROW(E87) - L$15, L$14) + L$15, COLUMN(E87))),""))</f>
        <v>P4</v>
      </c>
      <c r="N87" cm="1">
        <f t="array" aca="1" ref="N87" ca="1">IF(H87&lt;&gt;"", SUMPRODUCT((OFFSET(H87,0,0,H$16,1)=$T$24) +0),"")</f>
        <v>0</v>
      </c>
      <c r="O87" cm="1">
        <f t="array" aca="1" ref="O87" ca="1">IF(I87&lt;&gt;"", SUMPRODUCT((OFFSET(I87,0,0,I$16,1)=$T$24) +0),"")</f>
        <v>0</v>
      </c>
      <c r="P87" cm="1">
        <f t="array" aca="1" ref="P87" ca="1">IF(J87&lt;&gt;"", SUMPRODUCT((OFFSET(J87,0,0,J$16,1)=$T$24) +0),"")</f>
        <v>0</v>
      </c>
      <c r="Q87" cm="1">
        <f t="array" aca="1" ref="Q87" ca="1">IF(K87&lt;&gt;"", SUMPRODUCT((OFFSET(K87,0,0,K$16,1)=$T$24) +0),"")</f>
        <v>0</v>
      </c>
      <c r="R87" cm="1">
        <f t="array" aca="1" ref="R87" ca="1">IF(L87&lt;&gt;"", SUMPRODUCT((OFFSET(L87,0,0,L$16,1)=$T$24) +0),"")</f>
        <v>2</v>
      </c>
      <c r="AB87">
        <f t="shared" si="28"/>
        <v>3</v>
      </c>
      <c r="AC87">
        <f t="shared" si="29"/>
        <v>0</v>
      </c>
      <c r="AD87">
        <f t="shared" si="30"/>
        <v>2</v>
      </c>
      <c r="AE87">
        <f t="shared" si="31"/>
        <v>0</v>
      </c>
      <c r="AF87">
        <f t="shared" si="32"/>
        <v>0</v>
      </c>
      <c r="AG87">
        <f t="shared" si="33"/>
        <v>5</v>
      </c>
      <c r="AH87">
        <f t="shared" ca="1" si="34"/>
        <v>0</v>
      </c>
      <c r="AI87">
        <f>IF(ROW($AA87) - $AA$51 &lt; ($H$16+1)^5, IF(AG87 &gt;= BaseBonus!$C$16, AG87*BaseBonus!$E$31, 0), "")</f>
        <v>4.6952679064628979</v>
      </c>
      <c r="AJ87">
        <f t="shared" ca="1" si="35"/>
        <v>0</v>
      </c>
      <c r="AK87" s="44"/>
    </row>
    <row r="88" spans="1:37" x14ac:dyDescent="0.3">
      <c r="A88" t="str">
        <v>P4</v>
      </c>
      <c r="B88" t="str">
        <v>P4</v>
      </c>
      <c r="C88" t="str">
        <v>P6</v>
      </c>
      <c r="D88" t="str">
        <v>P6</v>
      </c>
      <c r="E88" t="str">
        <v>CP</v>
      </c>
      <c r="H88" t="str" cm="1">
        <f t="array" aca="1" ref="H88" ca="1">IF(ROW(A88)-H$15 &lt; H$14,A88,IF(ROW(A88) - H$15 -H$16 + 1 &lt; H$14,INDIRECT(ADDRESS(MOD(ROW(A88) - H$15, H$14) + H$15, COLUMN(A88))),""))</f>
        <v>P4</v>
      </c>
      <c r="I88" t="str" cm="1">
        <f t="array" aca="1" ref="I88" ca="1">IF(ROW(B88)-I$15 &lt; I$14,B88,IF(ROW(B88) - I$15 -I$16 + 1 &lt; I$14,INDIRECT(ADDRESS(MOD(ROW(B88) - I$15, I$14) + I$15, COLUMN(B88))),""))</f>
        <v>P4</v>
      </c>
      <c r="J88" t="str" cm="1">
        <f t="array" aca="1" ref="J88" ca="1">IF(ROW(C88)-J$15 &lt; J$14,C88,IF(ROW(C88) - J$15 -J$16 + 1 &lt; J$14,INDIRECT(ADDRESS(MOD(ROW(C88) - J$15, J$14) + J$15, COLUMN(C88))),""))</f>
        <v>P6</v>
      </c>
      <c r="K88" t="str" cm="1">
        <f t="array" aca="1" ref="K88" ca="1">IF(ROW(D88)-K$15 &lt; K$14,D88,IF(ROW(D88) - K$15 -K$16 + 1 &lt; K$14,INDIRECT(ADDRESS(MOD(ROW(D88) - K$15, K$14) + K$15, COLUMN(D88))),""))</f>
        <v>P6</v>
      </c>
      <c r="L88" t="str" cm="1">
        <f t="array" aca="1" ref="L88" ca="1">IF(ROW(E88)-L$15 &lt; L$14,E88,IF(ROW(E88) - L$15 -L$16 + 1 &lt; L$14,INDIRECT(ADDRESS(MOD(ROW(E88) - L$15, L$14) + L$15, COLUMN(E88))),""))</f>
        <v>CP</v>
      </c>
      <c r="N88" cm="1">
        <f t="array" aca="1" ref="N88" ca="1">IF(H88&lt;&gt;"", SUMPRODUCT((OFFSET(H88,0,0,H$16,1)=$T$24) +0),"")</f>
        <v>0</v>
      </c>
      <c r="O88" cm="1">
        <f t="array" aca="1" ref="O88" ca="1">IF(I88&lt;&gt;"", SUMPRODUCT((OFFSET(I88,0,0,I$16,1)=$T$24) +0),"")</f>
        <v>1</v>
      </c>
      <c r="P88" cm="1">
        <f t="array" aca="1" ref="P88" ca="1">IF(J88&lt;&gt;"", SUMPRODUCT((OFFSET(J88,0,0,J$16,1)=$T$24) +0),"")</f>
        <v>0</v>
      </c>
      <c r="Q88" cm="1">
        <f t="array" aca="1" ref="Q88" ca="1">IF(K88&lt;&gt;"", SUMPRODUCT((OFFSET(K88,0,0,K$16,1)=$T$24) +0),"")</f>
        <v>0</v>
      </c>
      <c r="R88" cm="1">
        <f t="array" aca="1" ref="R88" ca="1">IF(L88&lt;&gt;"", SUMPRODUCT((OFFSET(L88,0,0,L$16,1)=$T$24) +0),"")</f>
        <v>2</v>
      </c>
      <c r="AB88">
        <f t="shared" si="28"/>
        <v>0</v>
      </c>
      <c r="AC88">
        <f t="shared" si="29"/>
        <v>1</v>
      </c>
      <c r="AD88">
        <f t="shared" si="30"/>
        <v>2</v>
      </c>
      <c r="AE88">
        <f t="shared" si="31"/>
        <v>0</v>
      </c>
      <c r="AF88">
        <f t="shared" si="32"/>
        <v>0</v>
      </c>
      <c r="AG88">
        <f t="shared" si="33"/>
        <v>3</v>
      </c>
      <c r="AH88">
        <f t="shared" ca="1" si="34"/>
        <v>1.475732345429936E-2</v>
      </c>
      <c r="AI88">
        <f>IF(ROW($AA88) - $AA$51 &lt; ($H$16+1)^5, IF(AG88 &gt;= BaseBonus!$C$16, AG88*BaseBonus!$E$31, 0), "")</f>
        <v>0</v>
      </c>
      <c r="AJ88">
        <f t="shared" ca="1" si="35"/>
        <v>0</v>
      </c>
      <c r="AK88" s="44"/>
    </row>
    <row r="89" spans="1:37" x14ac:dyDescent="0.3">
      <c r="A89" t="str">
        <v>P6</v>
      </c>
      <c r="B89" t="str">
        <v>P1</v>
      </c>
      <c r="C89" t="str">
        <v>P5</v>
      </c>
      <c r="D89" t="str">
        <v>P4</v>
      </c>
      <c r="E89" t="str">
        <v>CP</v>
      </c>
      <c r="H89" t="str" cm="1">
        <f t="array" aca="1" ref="H89" ca="1">IF(ROW(A89)-H$15 &lt; H$14,A89,IF(ROW(A89) - H$15 -H$16 + 1 &lt; H$14,INDIRECT(ADDRESS(MOD(ROW(A89) - H$15, H$14) + H$15, COLUMN(A89))),""))</f>
        <v>P6</v>
      </c>
      <c r="I89" t="str" cm="1">
        <f t="array" aca="1" ref="I89" ca="1">IF(ROW(B89)-I$15 &lt; I$14,B89,IF(ROW(B89) - I$15 -I$16 + 1 &lt; I$14,INDIRECT(ADDRESS(MOD(ROW(B89) - I$15, I$14) + I$15, COLUMN(B89))),""))</f>
        <v>P1</v>
      </c>
      <c r="J89" t="str" cm="1">
        <f t="array" aca="1" ref="J89" ca="1">IF(ROW(C89)-J$15 &lt; J$14,C89,IF(ROW(C89) - J$15 -J$16 + 1 &lt; J$14,INDIRECT(ADDRESS(MOD(ROW(C89) - J$15, J$14) + J$15, COLUMN(C89))),""))</f>
        <v>P5</v>
      </c>
      <c r="K89" t="str" cm="1">
        <f t="array" aca="1" ref="K89" ca="1">IF(ROW(D89)-K$15 &lt; K$14,D89,IF(ROW(D89) - K$15 -K$16 + 1 &lt; K$14,INDIRECT(ADDRESS(MOD(ROW(D89) - K$15, K$14) + K$15, COLUMN(D89))),""))</f>
        <v>P4</v>
      </c>
      <c r="L89" t="str" cm="1">
        <f t="array" aca="1" ref="L89" ca="1">IF(ROW(E89)-L$15 &lt; L$14,E89,IF(ROW(E89) - L$15 -L$16 + 1 &lt; L$14,INDIRECT(ADDRESS(MOD(ROW(E89) - L$15, L$14) + L$15, COLUMN(E89))),""))</f>
        <v>CP</v>
      </c>
      <c r="N89" cm="1">
        <f t="array" aca="1" ref="N89" ca="1">IF(H89&lt;&gt;"", SUMPRODUCT((OFFSET(H89,0,0,H$16,1)=$T$24) +0),"")</f>
        <v>0</v>
      </c>
      <c r="O89" cm="1">
        <f t="array" aca="1" ref="O89" ca="1">IF(I89&lt;&gt;"", SUMPRODUCT((OFFSET(I89,0,0,I$16,1)=$T$24) +0),"")</f>
        <v>2</v>
      </c>
      <c r="P89" cm="1">
        <f t="array" aca="1" ref="P89" ca="1">IF(J89&lt;&gt;"", SUMPRODUCT((OFFSET(J89,0,0,J$16,1)=$T$24) +0),"")</f>
        <v>0</v>
      </c>
      <c r="Q89" cm="1">
        <f t="array" aca="1" ref="Q89" ca="1">IF(K89&lt;&gt;"", SUMPRODUCT((OFFSET(K89,0,0,K$16,1)=$T$24) +0),"")</f>
        <v>1</v>
      </c>
      <c r="R89" cm="1">
        <f t="array" aca="1" ref="R89" ca="1">IF(L89&lt;&gt;"", SUMPRODUCT((OFFSET(L89,0,0,L$16,1)=$T$24) +0),"")</f>
        <v>1</v>
      </c>
      <c r="AB89">
        <f t="shared" si="28"/>
        <v>1</v>
      </c>
      <c r="AC89">
        <f t="shared" si="29"/>
        <v>1</v>
      </c>
      <c r="AD89">
        <f t="shared" si="30"/>
        <v>2</v>
      </c>
      <c r="AE89">
        <f t="shared" si="31"/>
        <v>0</v>
      </c>
      <c r="AF89">
        <f t="shared" si="32"/>
        <v>0</v>
      </c>
      <c r="AG89">
        <f t="shared" si="33"/>
        <v>4</v>
      </c>
      <c r="AH89">
        <f t="shared" ca="1" si="34"/>
        <v>2.76699814768113E-3</v>
      </c>
      <c r="AI89">
        <f>IF(ROW($AA89) - $AA$51 &lt; ($H$16+1)^5, IF(AG89 &gt;= BaseBonus!$C$16, AG89*BaseBonus!$E$31, 0), "")</f>
        <v>0</v>
      </c>
      <c r="AJ89">
        <f t="shared" ca="1" si="35"/>
        <v>0</v>
      </c>
      <c r="AK89" s="44"/>
    </row>
    <row r="90" spans="1:37" x14ac:dyDescent="0.3">
      <c r="A90" t="str">
        <v>P3</v>
      </c>
      <c r="B90" t="str">
        <v>CP</v>
      </c>
      <c r="C90" t="str">
        <v>P2</v>
      </c>
      <c r="D90" t="str">
        <v>P6</v>
      </c>
      <c r="E90" t="str">
        <v>P5</v>
      </c>
      <c r="H90" t="str" cm="1">
        <f t="array" aca="1" ref="H90" ca="1">IF(ROW(A90)-H$15 &lt; H$14,A90,IF(ROW(A90) - H$15 -H$16 + 1 &lt; H$14,INDIRECT(ADDRESS(MOD(ROW(A90) - H$15, H$14) + H$15, COLUMN(A90))),""))</f>
        <v>P3</v>
      </c>
      <c r="I90" t="str" cm="1">
        <f t="array" aca="1" ref="I90" ca="1">IF(ROW(B90)-I$15 &lt; I$14,B90,IF(ROW(B90) - I$15 -I$16 + 1 &lt; I$14,INDIRECT(ADDRESS(MOD(ROW(B90) - I$15, I$14) + I$15, COLUMN(B90))),""))</f>
        <v>CP</v>
      </c>
      <c r="J90" t="str" cm="1">
        <f t="array" aca="1" ref="J90" ca="1">IF(ROW(C90)-J$15 &lt; J$14,C90,IF(ROW(C90) - J$15 -J$16 + 1 &lt; J$14,INDIRECT(ADDRESS(MOD(ROW(C90) - J$15, J$14) + J$15, COLUMN(C90))),""))</f>
        <v>P2</v>
      </c>
      <c r="K90" t="str" cm="1">
        <f t="array" aca="1" ref="K90" ca="1">IF(ROW(D90)-K$15 &lt; K$14,D90,IF(ROW(D90) - K$15 -K$16 + 1 &lt; K$14,INDIRECT(ADDRESS(MOD(ROW(D90) - K$15, K$14) + K$15, COLUMN(D90))),""))</f>
        <v>P6</v>
      </c>
      <c r="L90" t="str" cm="1">
        <f t="array" aca="1" ref="L90" ca="1">IF(ROW(E90)-L$15 &lt; L$14,E90,IF(ROW(E90) - L$15 -L$16 + 1 &lt; L$14,INDIRECT(ADDRESS(MOD(ROW(E90) - L$15, L$14) + L$15, COLUMN(E90))),""))</f>
        <v>P5</v>
      </c>
      <c r="N90" cm="1">
        <f t="array" aca="1" ref="N90" ca="1">IF(H90&lt;&gt;"", SUMPRODUCT((OFFSET(H90,0,0,H$16,1)=$T$24) +0),"")</f>
        <v>0</v>
      </c>
      <c r="O90" cm="1">
        <f t="array" aca="1" ref="O90" ca="1">IF(I90&lt;&gt;"", SUMPRODUCT((OFFSET(I90,0,0,I$16,1)=$T$24) +0),"")</f>
        <v>2</v>
      </c>
      <c r="P90" cm="1">
        <f t="array" aca="1" ref="P90" ca="1">IF(J90&lt;&gt;"", SUMPRODUCT((OFFSET(J90,0,0,J$16,1)=$T$24) +0),"")</f>
        <v>0</v>
      </c>
      <c r="Q90" cm="1">
        <f t="array" aca="1" ref="Q90" ca="1">IF(K90&lt;&gt;"", SUMPRODUCT((OFFSET(K90,0,0,K$16,1)=$T$24) +0),"")</f>
        <v>2</v>
      </c>
      <c r="R90" cm="1">
        <f t="array" aca="1" ref="R90" ca="1">IF(L90&lt;&gt;"", SUMPRODUCT((OFFSET(L90,0,0,L$16,1)=$T$24) +0),"")</f>
        <v>0</v>
      </c>
      <c r="AB90">
        <f t="shared" si="28"/>
        <v>2</v>
      </c>
      <c r="AC90">
        <f t="shared" si="29"/>
        <v>1</v>
      </c>
      <c r="AD90">
        <f t="shared" si="30"/>
        <v>2</v>
      </c>
      <c r="AE90">
        <f t="shared" si="31"/>
        <v>0</v>
      </c>
      <c r="AF90">
        <f t="shared" si="32"/>
        <v>0</v>
      </c>
      <c r="AG90">
        <f t="shared" si="33"/>
        <v>5</v>
      </c>
      <c r="AH90">
        <f t="shared" ca="1" si="34"/>
        <v>1.383499073840565E-3</v>
      </c>
      <c r="AI90">
        <f>IF(ROW($AA90) - $AA$51 &lt; ($H$16+1)^5, IF(AG90 &gt;= BaseBonus!$C$16, AG90*BaseBonus!$E$31, 0), "")</f>
        <v>4.6952679064628979</v>
      </c>
      <c r="AJ90">
        <f t="shared" ca="1" si="35"/>
        <v>6.4958988000247478E-3</v>
      </c>
      <c r="AK90" s="44"/>
    </row>
    <row r="91" spans="1:37" x14ac:dyDescent="0.3">
      <c r="A91" t="str">
        <v>P2</v>
      </c>
      <c r="B91" t="str">
        <v>CP</v>
      </c>
      <c r="C91" t="str">
        <v>P4</v>
      </c>
      <c r="D91" t="str">
        <v>CP</v>
      </c>
      <c r="E91" t="str">
        <v>P1</v>
      </c>
      <c r="H91" t="str" cm="1">
        <f t="array" aca="1" ref="H91" ca="1">IF(ROW(A91)-H$15 &lt; H$14,A91,IF(ROW(A91) - H$15 -H$16 + 1 &lt; H$14,INDIRECT(ADDRESS(MOD(ROW(A91) - H$15, H$14) + H$15, COLUMN(A91))),""))</f>
        <v>P2</v>
      </c>
      <c r="I91" t="str" cm="1">
        <f t="array" aca="1" ref="I91" ca="1">IF(ROW(B91)-I$15 &lt; I$14,B91,IF(ROW(B91) - I$15 -I$16 + 1 &lt; I$14,INDIRECT(ADDRESS(MOD(ROW(B91) - I$15, I$14) + I$15, COLUMN(B91))),""))</f>
        <v>CP</v>
      </c>
      <c r="J91" t="str" cm="1">
        <f t="array" aca="1" ref="J91" ca="1">IF(ROW(C91)-J$15 &lt; J$14,C91,IF(ROW(C91) - J$15 -J$16 + 1 &lt; J$14,INDIRECT(ADDRESS(MOD(ROW(C91) - J$15, J$14) + J$15, COLUMN(C91))),""))</f>
        <v>P4</v>
      </c>
      <c r="K91" t="str" cm="1">
        <f t="array" aca="1" ref="K91" ca="1">IF(ROW(D91)-K$15 &lt; K$14,D91,IF(ROW(D91) - K$15 -K$16 + 1 &lt; K$14,INDIRECT(ADDRESS(MOD(ROW(D91) - K$15, K$14) + K$15, COLUMN(D91))),""))</f>
        <v>CP</v>
      </c>
      <c r="L91" t="str" cm="1">
        <f t="array" aca="1" ref="L91" ca="1">IF(ROW(E91)-L$15 &lt; L$14,E91,IF(ROW(E91) - L$15 -L$16 + 1 &lt; L$14,INDIRECT(ADDRESS(MOD(ROW(E91) - L$15, L$14) + L$15, COLUMN(E91))),""))</f>
        <v>P1</v>
      </c>
      <c r="N91" cm="1">
        <f t="array" aca="1" ref="N91" ca="1">IF(H91&lt;&gt;"", SUMPRODUCT((OFFSET(H91,0,0,H$16,1)=$T$24) +0),"")</f>
        <v>0</v>
      </c>
      <c r="O91" cm="1">
        <f t="array" aca="1" ref="O91" ca="1">IF(I91&lt;&gt;"", SUMPRODUCT((OFFSET(I91,0,0,I$16,1)=$T$24) +0),"")</f>
        <v>1</v>
      </c>
      <c r="P91" cm="1">
        <f t="array" aca="1" ref="P91" ca="1">IF(J91&lt;&gt;"", SUMPRODUCT((OFFSET(J91,0,0,J$16,1)=$T$24) +0),"")</f>
        <v>0</v>
      </c>
      <c r="Q91" cm="1">
        <f t="array" aca="1" ref="Q91" ca="1">IF(K91&lt;&gt;"", SUMPRODUCT((OFFSET(K91,0,0,K$16,1)=$T$24) +0),"")</f>
        <v>2</v>
      </c>
      <c r="R91" cm="1">
        <f t="array" aca="1" ref="R91" ca="1">IF(L91&lt;&gt;"", SUMPRODUCT((OFFSET(L91,0,0,L$16,1)=$T$24) +0),"")</f>
        <v>0</v>
      </c>
      <c r="AB91">
        <f t="shared" si="28"/>
        <v>3</v>
      </c>
      <c r="AC91">
        <f t="shared" si="29"/>
        <v>1</v>
      </c>
      <c r="AD91">
        <f t="shared" si="30"/>
        <v>2</v>
      </c>
      <c r="AE91">
        <f t="shared" si="31"/>
        <v>0</v>
      </c>
      <c r="AF91">
        <f t="shared" si="32"/>
        <v>0</v>
      </c>
      <c r="AG91">
        <f t="shared" si="33"/>
        <v>6</v>
      </c>
      <c r="AH91">
        <f t="shared" ca="1" si="34"/>
        <v>0</v>
      </c>
      <c r="AI91">
        <f>IF(ROW($AA91) - $AA$51 &lt; ($H$16+1)^5, IF(AG91 &gt;= BaseBonus!$C$16, AG91*BaseBonus!$E$31, 0), "")</f>
        <v>5.6343214877554777</v>
      </c>
      <c r="AJ91">
        <f t="shared" ca="1" si="35"/>
        <v>0</v>
      </c>
      <c r="AK91" s="44"/>
    </row>
    <row r="92" spans="1:37" x14ac:dyDescent="0.3">
      <c r="A92" t="str">
        <v>P1</v>
      </c>
      <c r="B92" t="str">
        <v>P6</v>
      </c>
      <c r="C92" t="str">
        <v>P4</v>
      </c>
      <c r="D92" t="str">
        <v>CP</v>
      </c>
      <c r="E92" t="str">
        <v>P3</v>
      </c>
      <c r="H92" t="str" cm="1">
        <f t="array" aca="1" ref="H92" ca="1">IF(ROW(A92)-H$15 &lt; H$14,A92,IF(ROW(A92) - H$15 -H$16 + 1 &lt; H$14,INDIRECT(ADDRESS(MOD(ROW(A92) - H$15, H$14) + H$15, COLUMN(A92))),""))</f>
        <v>P1</v>
      </c>
      <c r="I92" t="str" cm="1">
        <f t="array" aca="1" ref="I92" ca="1">IF(ROW(B92)-I$15 &lt; I$14,B92,IF(ROW(B92) - I$15 -I$16 + 1 &lt; I$14,INDIRECT(ADDRESS(MOD(ROW(B92) - I$15, I$14) + I$15, COLUMN(B92))),""))</f>
        <v>P6</v>
      </c>
      <c r="J92" t="str" cm="1">
        <f t="array" aca="1" ref="J92" ca="1">IF(ROW(C92)-J$15 &lt; J$14,C92,IF(ROW(C92) - J$15 -J$16 + 1 &lt; J$14,INDIRECT(ADDRESS(MOD(ROW(C92) - J$15, J$14) + J$15, COLUMN(C92))),""))</f>
        <v>P4</v>
      </c>
      <c r="K92" t="str" cm="1">
        <f t="array" aca="1" ref="K92" ca="1">IF(ROW(D92)-K$15 &lt; K$14,D92,IF(ROW(D92) - K$15 -K$16 + 1 &lt; K$14,INDIRECT(ADDRESS(MOD(ROW(D92) - K$15, K$14) + K$15, COLUMN(D92))),""))</f>
        <v>CP</v>
      </c>
      <c r="L92" t="str" cm="1">
        <f t="array" aca="1" ref="L92" ca="1">IF(ROW(E92)-L$15 &lt; L$14,E92,IF(ROW(E92) - L$15 -L$16 + 1 &lt; L$14,INDIRECT(ADDRESS(MOD(ROW(E92) - L$15, L$14) + L$15, COLUMN(E92))),""))</f>
        <v>P3</v>
      </c>
      <c r="N92" cm="1">
        <f t="array" aca="1" ref="N92" ca="1">IF(H92&lt;&gt;"", SUMPRODUCT((OFFSET(H92,0,0,H$16,1)=$T$24) +0),"")</f>
        <v>0</v>
      </c>
      <c r="O92" cm="1">
        <f t="array" aca="1" ref="O92" ca="1">IF(I92&lt;&gt;"", SUMPRODUCT((OFFSET(I92,0,0,I$16,1)=$T$24) +0),"")</f>
        <v>0</v>
      </c>
      <c r="P92" cm="1">
        <f t="array" aca="1" ref="P92" ca="1">IF(J92&lt;&gt;"", SUMPRODUCT((OFFSET(J92,0,0,J$16,1)=$T$24) +0),"")</f>
        <v>0</v>
      </c>
      <c r="Q92" cm="1">
        <f t="array" aca="1" ref="Q92" ca="1">IF(K92&lt;&gt;"", SUMPRODUCT((OFFSET(K92,0,0,K$16,1)=$T$24) +0),"")</f>
        <v>1</v>
      </c>
      <c r="R92" cm="1">
        <f t="array" aca="1" ref="R92" ca="1">IF(L92&lt;&gt;"", SUMPRODUCT((OFFSET(L92,0,0,L$16,1)=$T$24) +0),"")</f>
        <v>0</v>
      </c>
      <c r="AB92">
        <f t="shared" si="28"/>
        <v>0</v>
      </c>
      <c r="AC92">
        <f t="shared" si="29"/>
        <v>2</v>
      </c>
      <c r="AD92">
        <f t="shared" si="30"/>
        <v>2</v>
      </c>
      <c r="AE92">
        <f t="shared" si="31"/>
        <v>0</v>
      </c>
      <c r="AF92">
        <f t="shared" si="32"/>
        <v>0</v>
      </c>
      <c r="AG92">
        <f t="shared" si="33"/>
        <v>4</v>
      </c>
      <c r="AH92">
        <f t="shared" ca="1" si="34"/>
        <v>2.4595539090498933E-3</v>
      </c>
      <c r="AI92">
        <f>IF(ROW($AA92) - $AA$51 &lt; ($H$16+1)^5, IF(AG92 &gt;= BaseBonus!$C$16, AG92*BaseBonus!$E$31, 0), "")</f>
        <v>0</v>
      </c>
      <c r="AJ92">
        <f t="shared" ca="1" si="35"/>
        <v>0</v>
      </c>
      <c r="AK92" s="44"/>
    </row>
    <row r="93" spans="1:37" x14ac:dyDescent="0.3">
      <c r="A93" t="str">
        <v>P5</v>
      </c>
      <c r="B93" t="str">
        <v>P4</v>
      </c>
      <c r="C93" t="str">
        <v>P5</v>
      </c>
      <c r="D93" t="str">
        <v>P4</v>
      </c>
      <c r="E93" t="str">
        <v>P4</v>
      </c>
      <c r="H93" t="str" cm="1">
        <f t="array" aca="1" ref="H93" ca="1">IF(ROW(A93)-H$15 &lt; H$14,A93,IF(ROW(A93) - H$15 -H$16 + 1 &lt; H$14,INDIRECT(ADDRESS(MOD(ROW(A93) - H$15, H$14) + H$15, COLUMN(A93))),""))</f>
        <v>P5</v>
      </c>
      <c r="I93" t="str" cm="1">
        <f t="array" aca="1" ref="I93" ca="1">IF(ROW(B93)-I$15 &lt; I$14,B93,IF(ROW(B93) - I$15 -I$16 + 1 &lt; I$14,INDIRECT(ADDRESS(MOD(ROW(B93) - I$15, I$14) + I$15, COLUMN(B93))),""))</f>
        <v>P4</v>
      </c>
      <c r="J93" t="str" cm="1">
        <f t="array" aca="1" ref="J93" ca="1">IF(ROW(C93)-J$15 &lt; J$14,C93,IF(ROW(C93) - J$15 -J$16 + 1 &lt; J$14,INDIRECT(ADDRESS(MOD(ROW(C93) - J$15, J$14) + J$15, COLUMN(C93))),""))</f>
        <v>P5</v>
      </c>
      <c r="K93" t="str" cm="1">
        <f t="array" aca="1" ref="K93" ca="1">IF(ROW(D93)-K$15 &lt; K$14,D93,IF(ROW(D93) - K$15 -K$16 + 1 &lt; K$14,INDIRECT(ADDRESS(MOD(ROW(D93) - K$15, K$14) + K$15, COLUMN(D93))),""))</f>
        <v>P4</v>
      </c>
      <c r="L93" t="str" cm="1">
        <f t="array" aca="1" ref="L93" ca="1">IF(ROW(E93)-L$15 &lt; L$14,E93,IF(ROW(E93) - L$15 -L$16 + 1 &lt; L$14,INDIRECT(ADDRESS(MOD(ROW(E93) - L$15, L$14) + L$15, COLUMN(E93))),""))</f>
        <v>P4</v>
      </c>
      <c r="N93" cm="1">
        <f t="array" aca="1" ref="N93" ca="1">IF(H93&lt;&gt;"", SUMPRODUCT((OFFSET(H93,0,0,H$16,1)=$T$24) +0),"")</f>
        <v>0</v>
      </c>
      <c r="O93" cm="1">
        <f t="array" aca="1" ref="O93" ca="1">IF(I93&lt;&gt;"", SUMPRODUCT((OFFSET(I93,0,0,I$16,1)=$T$24) +0),"")</f>
        <v>1</v>
      </c>
      <c r="P93" cm="1">
        <f t="array" aca="1" ref="P93" ca="1">IF(J93&lt;&gt;"", SUMPRODUCT((OFFSET(J93,0,0,J$16,1)=$T$24) +0),"")</f>
        <v>0</v>
      </c>
      <c r="Q93" cm="1">
        <f t="array" aca="1" ref="Q93" ca="1">IF(K93&lt;&gt;"", SUMPRODUCT((OFFSET(K93,0,0,K$16,1)=$T$24) +0),"")</f>
        <v>0</v>
      </c>
      <c r="R93" cm="1">
        <f t="array" aca="1" ref="R93" ca="1">IF(L93&lt;&gt;"", SUMPRODUCT((OFFSET(L93,0,0,L$16,1)=$T$24) +0),"")</f>
        <v>0</v>
      </c>
      <c r="AB93">
        <f t="shared" si="28"/>
        <v>1</v>
      </c>
      <c r="AC93">
        <f t="shared" si="29"/>
        <v>2</v>
      </c>
      <c r="AD93">
        <f t="shared" si="30"/>
        <v>2</v>
      </c>
      <c r="AE93">
        <f t="shared" si="31"/>
        <v>0</v>
      </c>
      <c r="AF93">
        <f t="shared" si="32"/>
        <v>0</v>
      </c>
      <c r="AG93">
        <f t="shared" si="33"/>
        <v>5</v>
      </c>
      <c r="AH93">
        <f t="shared" ca="1" si="34"/>
        <v>4.6116635794685488E-4</v>
      </c>
      <c r="AI93">
        <f>IF(ROW($AA93) - $AA$51 &lt; ($H$16+1)^5, IF(AG93 &gt;= BaseBonus!$C$16, AG93*BaseBonus!$E$31, 0), "")</f>
        <v>4.6952679064628979</v>
      </c>
      <c r="AJ93">
        <f t="shared" ca="1" si="35"/>
        <v>2.1652996000082487E-3</v>
      </c>
      <c r="AK93" s="44"/>
    </row>
    <row r="94" spans="1:37" x14ac:dyDescent="0.3">
      <c r="A94" t="str">
        <v>P6</v>
      </c>
      <c r="B94" t="str">
        <v>P6</v>
      </c>
      <c r="C94" t="str">
        <v>P1</v>
      </c>
      <c r="E94" t="str">
        <v>P3</v>
      </c>
      <c r="H94" t="str" cm="1">
        <f t="array" aca="1" ref="H94" ca="1">IF(ROW(A94)-H$15 &lt; H$14,A94,IF(ROW(A94) - H$15 -H$16 + 1 &lt; H$14,INDIRECT(ADDRESS(MOD(ROW(A94) - H$15, H$14) + H$15, COLUMN(A94))),""))</f>
        <v>P6</v>
      </c>
      <c r="I94" t="str" cm="1">
        <f t="array" aca="1" ref="I94" ca="1">IF(ROW(B94)-I$15 &lt; I$14,B94,IF(ROW(B94) - I$15 -I$16 + 1 &lt; I$14,INDIRECT(ADDRESS(MOD(ROW(B94) - I$15, I$14) + I$15, COLUMN(B94))),""))</f>
        <v>P6</v>
      </c>
      <c r="J94" t="str" cm="1">
        <f t="array" aca="1" ref="J94" ca="1">IF(ROW(C94)-J$15 &lt; J$14,C94,IF(ROW(C94) - J$15 -J$16 + 1 &lt; J$14,INDIRECT(ADDRESS(MOD(ROW(C94) - J$15, J$14) + J$15, COLUMN(C94))),""))</f>
        <v>P1</v>
      </c>
      <c r="K94" t="str" cm="1">
        <f t="array" aca="1" ref="K94" ca="1">IF(ROW(D94)-K$15 &lt; K$14,D94,IF(ROW(D94) - K$15 -K$16 + 1 &lt; K$14,INDIRECT(ADDRESS(MOD(ROW(D94) - K$15, K$14) + K$15, COLUMN(D94))),""))</f>
        <v>P6</v>
      </c>
      <c r="L94" t="str" cm="1">
        <f t="array" aca="1" ref="L94" ca="1">IF(ROW(E94)-L$15 &lt; L$14,E94,IF(ROW(E94) - L$15 -L$16 + 1 &lt; L$14,INDIRECT(ADDRESS(MOD(ROW(E94) - L$15, L$14) + L$15, COLUMN(E94))),""))</f>
        <v>P3</v>
      </c>
      <c r="N94" cm="1">
        <f t="array" aca="1" ref="N94" ca="1">IF(H94&lt;&gt;"", SUMPRODUCT((OFFSET(H94,0,0,H$16,1)=$T$24) +0),"")</f>
        <v>1</v>
      </c>
      <c r="O94" cm="1">
        <f t="array" aca="1" ref="O94" ca="1">IF(I94&lt;&gt;"", SUMPRODUCT((OFFSET(I94,0,0,I$16,1)=$T$24) +0),"")</f>
        <v>1</v>
      </c>
      <c r="P94" cm="1">
        <f t="array" aca="1" ref="P94" ca="1">IF(J94&lt;&gt;"", SUMPRODUCT((OFFSET(J94,0,0,J$16,1)=$T$24) +0),"")</f>
        <v>0</v>
      </c>
      <c r="Q94" cm="1">
        <f t="array" aca="1" ref="Q94" ca="1">IF(K94&lt;&gt;"", SUMPRODUCT((OFFSET(K94,0,0,K$16,1)=$T$24) +0),"")</f>
        <v>0</v>
      </c>
      <c r="R94" cm="1">
        <f t="array" aca="1" ref="R94" ca="1">IF(L94&lt;&gt;"", SUMPRODUCT((OFFSET(L94,0,0,L$16,1)=$T$24) +0),"")</f>
        <v>0</v>
      </c>
      <c r="AB94">
        <f t="shared" si="28"/>
        <v>2</v>
      </c>
      <c r="AC94">
        <f t="shared" si="29"/>
        <v>2</v>
      </c>
      <c r="AD94">
        <f t="shared" si="30"/>
        <v>2</v>
      </c>
      <c r="AE94">
        <f t="shared" si="31"/>
        <v>0</v>
      </c>
      <c r="AF94">
        <f t="shared" si="32"/>
        <v>0</v>
      </c>
      <c r="AG94">
        <f t="shared" si="33"/>
        <v>6</v>
      </c>
      <c r="AH94">
        <f t="shared" ca="1" si="34"/>
        <v>2.3058317897342744E-4</v>
      </c>
      <c r="AI94">
        <f>IF(ROW($AA94) - $AA$51 &lt; ($H$16+1)^5, IF(AG94 &gt;= BaseBonus!$C$16, AG94*BaseBonus!$E$31, 0), "")</f>
        <v>5.6343214877554777</v>
      </c>
      <c r="AJ94">
        <f t="shared" ca="1" si="35"/>
        <v>1.2991797600049493E-3</v>
      </c>
      <c r="AK94" s="44"/>
    </row>
    <row r="95" spans="1:37" x14ac:dyDescent="0.3">
      <c r="A95" t="str">
        <v>P2</v>
      </c>
      <c r="B95" t="str">
        <v>CP</v>
      </c>
      <c r="C95" t="str">
        <v>P3</v>
      </c>
      <c r="H95" t="str" cm="1">
        <f t="array" aca="1" ref="H95" ca="1">IF(ROW(A95)-H$15 &lt; H$14,A95,IF(ROW(A95) - H$15 -H$16 + 1 &lt; H$14,INDIRECT(ADDRESS(MOD(ROW(A95) - H$15, H$14) + H$15, COLUMN(A95))),""))</f>
        <v>P2</v>
      </c>
      <c r="I95" t="str" cm="1">
        <f t="array" aca="1" ref="I95" ca="1">IF(ROW(B95)-I$15 &lt; I$14,B95,IF(ROW(B95) - I$15 -I$16 + 1 &lt; I$14,INDIRECT(ADDRESS(MOD(ROW(B95) - I$15, I$14) + I$15, COLUMN(B95))),""))</f>
        <v>CP</v>
      </c>
      <c r="J95" t="str" cm="1">
        <f t="array" aca="1" ref="J95" ca="1">IF(ROW(C95)-J$15 &lt; J$14,C95,IF(ROW(C95) - J$15 -J$16 + 1 &lt; J$14,INDIRECT(ADDRESS(MOD(ROW(C95) - J$15, J$14) + J$15, COLUMN(C95))),""))</f>
        <v>P3</v>
      </c>
      <c r="K95" t="str" cm="1">
        <f t="array" aca="1" ref="K95" ca="1">IF(ROW(D95)-K$15 &lt; K$14,D95,IF(ROW(D95) - K$15 -K$16 + 1 &lt; K$14,INDIRECT(ADDRESS(MOD(ROW(D95) - K$15, K$14) + K$15, COLUMN(D95))),""))</f>
        <v>P5</v>
      </c>
      <c r="L95" t="str" cm="1">
        <f t="array" aca="1" ref="L95" ca="1">IF(ROW(E95)-L$15 &lt; L$14,E95,IF(ROW(E95) - L$15 -L$16 + 1 &lt; L$14,INDIRECT(ADDRESS(MOD(ROW(E95) - L$15, L$14) + L$15, COLUMN(E95))),""))</f>
        <v>P6</v>
      </c>
      <c r="N95" cm="1">
        <f t="array" aca="1" ref="N95" ca="1">IF(H95&lt;&gt;"", SUMPRODUCT((OFFSET(H95,0,0,H$16,1)=$T$24) +0),"")</f>
        <v>2</v>
      </c>
      <c r="O95" cm="1">
        <f t="array" aca="1" ref="O95" ca="1">IF(I95&lt;&gt;"", SUMPRODUCT((OFFSET(I95,0,0,I$16,1)=$T$24) +0),"")</f>
        <v>1</v>
      </c>
      <c r="P95" cm="1">
        <f t="array" aca="1" ref="P95" ca="1">IF(J95&lt;&gt;"", SUMPRODUCT((OFFSET(J95,0,0,J$16,1)=$T$24) +0),"")</f>
        <v>1</v>
      </c>
      <c r="Q95" cm="1">
        <f t="array" aca="1" ref="Q95" ca="1">IF(K95&lt;&gt;"", SUMPRODUCT((OFFSET(K95,0,0,K$16,1)=$T$24) +0),"")</f>
        <v>0</v>
      </c>
      <c r="R95" cm="1">
        <f t="array" aca="1" ref="R95" ca="1">IF(L95&lt;&gt;"", SUMPRODUCT((OFFSET(L95,0,0,L$16,1)=$T$24) +0),"")</f>
        <v>0</v>
      </c>
      <c r="AB95">
        <f t="shared" si="28"/>
        <v>3</v>
      </c>
      <c r="AC95">
        <f t="shared" si="29"/>
        <v>2</v>
      </c>
      <c r="AD95">
        <f t="shared" si="30"/>
        <v>2</v>
      </c>
      <c r="AE95">
        <f t="shared" si="31"/>
        <v>0</v>
      </c>
      <c r="AF95">
        <f t="shared" si="32"/>
        <v>0</v>
      </c>
      <c r="AG95">
        <f t="shared" si="33"/>
        <v>7</v>
      </c>
      <c r="AH95">
        <f t="shared" ca="1" si="34"/>
        <v>0</v>
      </c>
      <c r="AI95">
        <f>IF(ROW($AA95) - $AA$51 &lt; ($H$16+1)^5, IF(AG95 &gt;= BaseBonus!$C$16, AG95*BaseBonus!$E$31, 0), "")</f>
        <v>6.5733750690480575</v>
      </c>
      <c r="AJ95">
        <f t="shared" ca="1" si="35"/>
        <v>0</v>
      </c>
      <c r="AK95" s="44"/>
    </row>
    <row r="96" spans="1:37" x14ac:dyDescent="0.3">
      <c r="A96" t="str">
        <v>CP</v>
      </c>
      <c r="B96" t="str">
        <v>P4</v>
      </c>
      <c r="C96" t="str">
        <v>P4</v>
      </c>
      <c r="H96" t="str" cm="1">
        <f t="array" aca="1" ref="H96" ca="1">IF(ROW(A96)-H$15 &lt; H$14,A96,IF(ROW(A96) - H$15 -H$16 + 1 &lt; H$14,INDIRECT(ADDRESS(MOD(ROW(A96) - H$15, H$14) + H$15, COLUMN(A96))),""))</f>
        <v>CP</v>
      </c>
      <c r="I96" t="str" cm="1">
        <f t="array" aca="1" ref="I96" ca="1">IF(ROW(B96)-I$15 &lt; I$14,B96,IF(ROW(B96) - I$15 -I$16 + 1 &lt; I$14,INDIRECT(ADDRESS(MOD(ROW(B96) - I$15, I$14) + I$15, COLUMN(B96))),""))</f>
        <v>P4</v>
      </c>
      <c r="J96" t="str" cm="1">
        <f t="array" aca="1" ref="J96" ca="1">IF(ROW(C96)-J$15 &lt; J$14,C96,IF(ROW(C96) - J$15 -J$16 + 1 &lt; J$14,INDIRECT(ADDRESS(MOD(ROW(C96) - J$15, J$14) + J$15, COLUMN(C96))),""))</f>
        <v>P4</v>
      </c>
      <c r="K96" t="str" cm="1">
        <f t="array" aca="1" ref="K96" ca="1">IF(ROW(D96)-K$15 &lt; K$14,D96,IF(ROW(D96) - K$15 -K$16 + 1 &lt; K$14,INDIRECT(ADDRESS(MOD(ROW(D96) - K$15, K$14) + K$15, COLUMN(D96))),""))</f>
        <v/>
      </c>
      <c r="L96" t="str" cm="1">
        <f t="array" aca="1" ref="L96" ca="1">IF(ROW(E96)-L$15 &lt; L$14,E96,IF(ROW(E96) - L$15 -L$16 + 1 &lt; L$14,INDIRECT(ADDRESS(MOD(ROW(E96) - L$15, L$14) + L$15, COLUMN(E96))),""))</f>
        <v>P6</v>
      </c>
      <c r="N96" cm="1">
        <f t="array" aca="1" ref="N96" ca="1">IF(H96&lt;&gt;"", SUMPRODUCT((OFFSET(H96,0,0,H$16,1)=$T$24) +0),"")</f>
        <v>2</v>
      </c>
      <c r="O96" cm="1">
        <f t="array" aca="1" ref="O96" ca="1">IF(I96&lt;&gt;"", SUMPRODUCT((OFFSET(I96,0,0,I$16,1)=$T$24) +0),"")</f>
        <v>0</v>
      </c>
      <c r="P96" cm="1">
        <f t="array" aca="1" ref="P96" ca="1">IF(J96&lt;&gt;"", SUMPRODUCT((OFFSET(J96,0,0,J$16,1)=$T$24) +0),"")</f>
        <v>2</v>
      </c>
      <c r="Q96" t="str" cm="1">
        <f t="array" aca="1" ref="Q96" ca="1">IF(K96&lt;&gt;"", SUMPRODUCT((OFFSET(K96,0,0,K$16,1)=$T$24) +0),"")</f>
        <v/>
      </c>
      <c r="R96" cm="1">
        <f t="array" aca="1" ref="R96" ca="1">IF(L96&lt;&gt;"", SUMPRODUCT((OFFSET(L96,0,0,L$16,1)=$T$24) +0),"")</f>
        <v>0</v>
      </c>
      <c r="AB96">
        <f t="shared" si="28"/>
        <v>0</v>
      </c>
      <c r="AC96">
        <f t="shared" si="29"/>
        <v>3</v>
      </c>
      <c r="AD96">
        <f t="shared" si="30"/>
        <v>2</v>
      </c>
      <c r="AE96">
        <f t="shared" si="31"/>
        <v>0</v>
      </c>
      <c r="AF96">
        <f t="shared" si="32"/>
        <v>0</v>
      </c>
      <c r="AG96">
        <f t="shared" si="33"/>
        <v>5</v>
      </c>
      <c r="AH96">
        <f t="shared" ca="1" si="34"/>
        <v>0</v>
      </c>
      <c r="AI96">
        <f>IF(ROW($AA96) - $AA$51 &lt; ($H$16+1)^5, IF(AG96 &gt;= BaseBonus!$C$16, AG96*BaseBonus!$E$31, 0), "")</f>
        <v>4.6952679064628979</v>
      </c>
      <c r="AJ96">
        <f t="shared" ca="1" si="35"/>
        <v>0</v>
      </c>
      <c r="AK96" s="44"/>
    </row>
    <row r="97" spans="1:37" x14ac:dyDescent="0.3">
      <c r="A97" t="str">
        <v>CP</v>
      </c>
      <c r="C97" t="str">
        <v>CP</v>
      </c>
      <c r="H97" t="str" cm="1">
        <f t="array" aca="1" ref="H97" ca="1">IF(ROW(A97)-H$15 &lt; H$14,A97,IF(ROW(A97) - H$15 -H$16 + 1 &lt; H$14,INDIRECT(ADDRESS(MOD(ROW(A97) - H$15, H$14) + H$15, COLUMN(A97))),""))</f>
        <v>CP</v>
      </c>
      <c r="I97" t="str" cm="1">
        <f t="array" aca="1" ref="I97" ca="1">IF(ROW(B97)-I$15 &lt; I$14,B97,IF(ROW(B97) - I$15 -I$16 + 1 &lt; I$14,INDIRECT(ADDRESS(MOD(ROW(B97) - I$15, I$14) + I$15, COLUMN(B97))),""))</f>
        <v>P6</v>
      </c>
      <c r="J97" t="str" cm="1">
        <f t="array" aca="1" ref="J97" ca="1">IF(ROW(C97)-J$15 &lt; J$14,C97,IF(ROW(C97) - J$15 -J$16 + 1 &lt; J$14,INDIRECT(ADDRESS(MOD(ROW(C97) - J$15, J$14) + J$15, COLUMN(C97))),""))</f>
        <v>CP</v>
      </c>
      <c r="K97" t="str" cm="1">
        <f t="array" aca="1" ref="K97" ca="1">IF(ROW(D97)-K$15 &lt; K$14,D97,IF(ROW(D97) - K$15 -K$16 + 1 &lt; K$14,INDIRECT(ADDRESS(MOD(ROW(D97) - K$15, K$14) + K$15, COLUMN(D97))),""))</f>
        <v/>
      </c>
      <c r="L97" t="str" cm="1">
        <f t="array" aca="1" ref="L97" ca="1">IF(ROW(E97)-L$15 &lt; L$14,E97,IF(ROW(E97) - L$15 -L$16 + 1 &lt; L$14,INDIRECT(ADDRESS(MOD(ROW(E97) - L$15, L$14) + L$15, COLUMN(E97))),""))</f>
        <v/>
      </c>
      <c r="N97" cm="1">
        <f t="array" aca="1" ref="N97" ca="1">IF(H97&lt;&gt;"", SUMPRODUCT((OFFSET(H97,0,0,H$16,1)=$T$24) +0),"")</f>
        <v>1</v>
      </c>
      <c r="O97" cm="1">
        <f t="array" aca="1" ref="O97" ca="1">IF(I97&lt;&gt;"", SUMPRODUCT((OFFSET(I97,0,0,I$16,1)=$T$24) +0),"")</f>
        <v>0</v>
      </c>
      <c r="P97" cm="1">
        <f t="array" aca="1" ref="P97" ca="1">IF(J97&lt;&gt;"", SUMPRODUCT((OFFSET(J97,0,0,J$16,1)=$T$24) +0),"")</f>
        <v>2</v>
      </c>
      <c r="Q97" t="str" cm="1">
        <f t="array" aca="1" ref="Q97" ca="1">IF(K97&lt;&gt;"", SUMPRODUCT((OFFSET(K97,0,0,K$16,1)=$T$24) +0),"")</f>
        <v/>
      </c>
      <c r="R97" t="str" cm="1">
        <f t="array" aca="1" ref="R97" ca="1">IF(E97&lt;&gt;"", SUMPRODUCT((OFFSET(E97,0,0,L$16,1)=$T$24) +0),"")</f>
        <v/>
      </c>
      <c r="AB97">
        <f t="shared" si="28"/>
        <v>1</v>
      </c>
      <c r="AC97">
        <f t="shared" si="29"/>
        <v>3</v>
      </c>
      <c r="AD97">
        <f t="shared" si="30"/>
        <v>2</v>
      </c>
      <c r="AE97">
        <f t="shared" si="31"/>
        <v>0</v>
      </c>
      <c r="AF97">
        <f t="shared" si="32"/>
        <v>0</v>
      </c>
      <c r="AG97">
        <f t="shared" si="33"/>
        <v>6</v>
      </c>
      <c r="AH97">
        <f t="shared" ca="1" si="34"/>
        <v>0</v>
      </c>
      <c r="AI97">
        <f>IF(ROW($AA97) - $AA$51 &lt; ($H$16+1)^5, IF(AG97 &gt;= BaseBonus!$C$16, AG97*BaseBonus!$E$31, 0), "")</f>
        <v>5.6343214877554777</v>
      </c>
      <c r="AJ97">
        <f t="shared" ca="1" si="35"/>
        <v>0</v>
      </c>
      <c r="AK97" s="44"/>
    </row>
    <row r="98" spans="1:37" x14ac:dyDescent="0.3">
      <c r="A98" t="str">
        <v>P5</v>
      </c>
      <c r="C98" t="str">
        <v>CP</v>
      </c>
      <c r="H98" t="str" cm="1">
        <f t="array" aca="1" ref="H98" ca="1">IF(ROW(A98)-H$15 &lt; H$14,A98,IF(ROW(A98) - H$15 -H$16 + 1 &lt; H$14,INDIRECT(ADDRESS(MOD(ROW(A98) - H$15, H$14) + H$15, COLUMN(A98))),""))</f>
        <v>P5</v>
      </c>
      <c r="I98" t="str" cm="1">
        <f t="array" aca="1" ref="I98" ca="1">IF(ROW(B98)-I$15 &lt; I$14,B98,IF(ROW(B98) - I$15 -I$16 + 1 &lt; I$14,INDIRECT(ADDRESS(MOD(ROW(B98) - I$15, I$14) + I$15, COLUMN(B98))),""))</f>
        <v>P5</v>
      </c>
      <c r="J98" t="str" cm="1">
        <f t="array" aca="1" ref="J98" ca="1">IF(ROW(C98)-J$15 &lt; J$14,C98,IF(ROW(C98) - J$15 -J$16 + 1 &lt; J$14,INDIRECT(ADDRESS(MOD(ROW(C98) - J$15, J$14) + J$15, COLUMN(C98))),""))</f>
        <v>CP</v>
      </c>
      <c r="K98" t="str" cm="1">
        <f t="array" aca="1" ref="K98" ca="1">IF(ROW(D98)-K$15 &lt; K$14,D98,IF(ROW(D98) - K$15 -K$16 + 1 &lt; K$14,INDIRECT(ADDRESS(MOD(ROW(D98) - K$15, K$14) + K$15, COLUMN(D98))),""))</f>
        <v/>
      </c>
      <c r="L98" t="str" cm="1">
        <f t="array" aca="1" ref="L98" ca="1">IF(ROW(E98)-L$15 &lt; L$14,E98,IF(ROW(E98) - L$15 -L$16 + 1 &lt; L$14,INDIRECT(ADDRESS(MOD(ROW(E98) - L$15, L$14) + L$15, COLUMN(E98))),""))</f>
        <v/>
      </c>
      <c r="N98" cm="1">
        <f t="array" aca="1" ref="N98" ca="1">IF(H98&lt;&gt;"", SUMPRODUCT((OFFSET(H98,0,0,H$16,1)=$T$24) +0),"")</f>
        <v>0</v>
      </c>
      <c r="O98" t="str" cm="1">
        <f t="array" aca="1" ref="O98" ca="1">IF(B98&lt;&gt;"", SUMPRODUCT((OFFSET(B98,0,0,I$16,1)=$T$24) +0),"")</f>
        <v/>
      </c>
      <c r="P98" cm="1">
        <f t="array" aca="1" ref="P98" ca="1">IF(J98&lt;&gt;"", SUMPRODUCT((OFFSET(J98,0,0,J$16,1)=$T$24) +0),"")</f>
        <v>1</v>
      </c>
      <c r="Q98" t="str" cm="1">
        <f t="array" aca="1" ref="Q98" ca="1">IF(K98&lt;&gt;"", SUMPRODUCT((OFFSET(K98,0,0,K$16,1)=$T$24) +0),"")</f>
        <v/>
      </c>
      <c r="R98" t="str" cm="1">
        <f t="array" aca="1" ref="R98" ca="1">IF(E98&lt;&gt;"", SUMPRODUCT((OFFSET(E98,0,0,L$16,1)=$T$24) +0),"")</f>
        <v/>
      </c>
      <c r="AB98">
        <f t="shared" si="28"/>
        <v>2</v>
      </c>
      <c r="AC98">
        <f t="shared" si="29"/>
        <v>3</v>
      </c>
      <c r="AD98">
        <f t="shared" si="30"/>
        <v>2</v>
      </c>
      <c r="AE98">
        <f t="shared" si="31"/>
        <v>0</v>
      </c>
      <c r="AF98">
        <f t="shared" si="32"/>
        <v>0</v>
      </c>
      <c r="AG98">
        <f t="shared" si="33"/>
        <v>7</v>
      </c>
      <c r="AH98">
        <f t="shared" ca="1" si="34"/>
        <v>0</v>
      </c>
      <c r="AI98">
        <f>IF(ROW($AA98) - $AA$51 &lt; ($H$16+1)^5, IF(AG98 &gt;= BaseBonus!$C$16, AG98*BaseBonus!$E$31, 0), "")</f>
        <v>6.5733750690480575</v>
      </c>
      <c r="AJ98">
        <f t="shared" ca="1" si="35"/>
        <v>0</v>
      </c>
      <c r="AK98" s="44"/>
    </row>
    <row r="99" spans="1:37" x14ac:dyDescent="0.3">
      <c r="A99" t="str">
        <v>P4</v>
      </c>
      <c r="C99" t="str">
        <v>P5</v>
      </c>
      <c r="H99" t="str" cm="1">
        <f t="array" aca="1" ref="H99" ca="1">IF(ROW(A99)-H$15 &lt; H$14,A99,IF(ROW(A99) - H$15 -H$16 + 1 &lt; H$14,INDIRECT(ADDRESS(MOD(ROW(A99) - H$15, H$14) + H$15, COLUMN(A99))),""))</f>
        <v>P4</v>
      </c>
      <c r="I99" t="str" cm="1">
        <f t="array" aca="1" ref="I99" ca="1">IF(ROW(B99)-I$15 &lt; I$14,B99,IF(ROW(B99) - I$15 -I$16 + 1 &lt; I$14,INDIRECT(ADDRESS(MOD(ROW(B99) - I$15, I$14) + I$15, COLUMN(B99))),""))</f>
        <v/>
      </c>
      <c r="J99" t="str" cm="1">
        <f t="array" aca="1" ref="J99" ca="1">IF(ROW(C99)-J$15 &lt; J$14,C99,IF(ROW(C99) - J$15 -J$16 + 1 &lt; J$14,INDIRECT(ADDRESS(MOD(ROW(C99) - J$15, J$14) + J$15, COLUMN(C99))),""))</f>
        <v>P5</v>
      </c>
      <c r="K99" t="str" cm="1">
        <f t="array" aca="1" ref="K99" ca="1">IF(ROW(D99)-K$15 &lt; K$14,D99,IF(ROW(D99) - K$15 -K$16 + 1 &lt; K$14,INDIRECT(ADDRESS(MOD(ROW(D99) - K$15, K$14) + K$15, COLUMN(D99))),""))</f>
        <v/>
      </c>
      <c r="L99" t="str" cm="1">
        <f t="array" aca="1" ref="L99" ca="1">IF(ROW(E99)-L$15 &lt; L$14,E99,IF(ROW(E99) - L$15 -L$16 + 1 &lt; L$14,INDIRECT(ADDRESS(MOD(ROW(E99) - L$15, L$14) + L$15, COLUMN(E99))),""))</f>
        <v/>
      </c>
      <c r="N99" cm="1">
        <f t="array" aca="1" ref="N99" ca="1">IF(H99&lt;&gt;"", SUMPRODUCT((OFFSET(H99,0,0,H$16,1)=$T$24) +0),"")</f>
        <v>0</v>
      </c>
      <c r="O99" t="str" cm="1">
        <f t="array" aca="1" ref="O99" ca="1">IF(B99&lt;&gt;"", SUMPRODUCT((OFFSET(B99,0,0,I$16,1)=$T$24) +0),"")</f>
        <v/>
      </c>
      <c r="P99" cm="1">
        <f t="array" aca="1" ref="P99" ca="1">IF(J99&lt;&gt;"", SUMPRODUCT((OFFSET(J99,0,0,J$16,1)=$T$24) +0),"")</f>
        <v>0</v>
      </c>
      <c r="Q99" t="str" cm="1">
        <f t="array" aca="1" ref="Q99" ca="1">IF(K99&lt;&gt;"", SUMPRODUCT((OFFSET(K99,0,0,K$16,1)=$T$24) +0),"")</f>
        <v/>
      </c>
      <c r="R99" t="str" cm="1">
        <f t="array" aca="1" ref="R99" ca="1">IF(E99&lt;&gt;"", SUMPRODUCT((OFFSET(E99,0,0,L$16,1)=$T$24) +0),"")</f>
        <v/>
      </c>
      <c r="AB99">
        <f t="shared" si="28"/>
        <v>3</v>
      </c>
      <c r="AC99">
        <f t="shared" si="29"/>
        <v>3</v>
      </c>
      <c r="AD99">
        <f t="shared" si="30"/>
        <v>2</v>
      </c>
      <c r="AE99">
        <f t="shared" si="31"/>
        <v>0</v>
      </c>
      <c r="AF99">
        <f t="shared" si="32"/>
        <v>0</v>
      </c>
      <c r="AG99">
        <f t="shared" si="33"/>
        <v>8</v>
      </c>
      <c r="AH99">
        <f t="shared" ca="1" si="34"/>
        <v>0</v>
      </c>
      <c r="AI99">
        <f>IF(ROW($AA99) - $AA$51 &lt; ($H$16+1)^5, IF(AG99 &gt;= BaseBonus!$C$16, AG99*BaseBonus!$E$31, 0), "")</f>
        <v>7.5124286503406372</v>
      </c>
      <c r="AJ99">
        <f t="shared" ca="1" si="35"/>
        <v>0</v>
      </c>
      <c r="AK99" s="44"/>
    </row>
    <row r="100" spans="1:37" x14ac:dyDescent="0.3">
      <c r="A100" t="str">
        <v>P1</v>
      </c>
      <c r="C100" t="str">
        <v>P1</v>
      </c>
      <c r="H100" t="str" cm="1">
        <f t="array" aca="1" ref="H100" ca="1">IF(ROW(A100)-H$15 &lt; H$14,A100,IF(ROW(A100) - H$15 -H$16 + 1 &lt; H$14,INDIRECT(ADDRESS(MOD(ROW(A100) - H$15, H$14) + H$15, COLUMN(A100))),""))</f>
        <v>P1</v>
      </c>
      <c r="I100" t="str" cm="1">
        <f t="array" aca="1" ref="I100" ca="1">IF(ROW(B100)-I$15 &lt; I$14,B100,IF(ROW(B100) - I$15 -I$16 + 1 &lt; I$14,INDIRECT(ADDRESS(MOD(ROW(B100) - I$15, I$14) + I$15, COLUMN(B100))),""))</f>
        <v/>
      </c>
      <c r="J100" t="str" cm="1">
        <f t="array" aca="1" ref="J100" ca="1">IF(ROW(C100)-J$15 &lt; J$14,C100,IF(ROW(C100) - J$15 -J$16 + 1 &lt; J$14,INDIRECT(ADDRESS(MOD(ROW(C100) - J$15, J$14) + J$15, COLUMN(C100))),""))</f>
        <v>P1</v>
      </c>
      <c r="K100" t="str" cm="1">
        <f t="array" aca="1" ref="K100" ca="1">IF(ROW(D100)-K$15 &lt; K$14,D100,IF(ROW(D100) - K$15 -K$16 + 1 &lt; K$14,INDIRECT(ADDRESS(MOD(ROW(D100) - K$15, K$14) + K$15, COLUMN(D100))),""))</f>
        <v/>
      </c>
      <c r="L100" t="str" cm="1">
        <f t="array" aca="1" ref="L100" ca="1">IF(ROW(E100)-L$15 &lt; L$14,E100,IF(ROW(E100) - L$15 -L$16 + 1 &lt; L$14,INDIRECT(ADDRESS(MOD(ROW(E100) - L$15, L$14) + L$15, COLUMN(E100))),""))</f>
        <v/>
      </c>
      <c r="O100" t="str" cm="1">
        <f t="array" aca="1" ref="O100" ca="1">IF(B100&lt;&gt;"", SUMPRODUCT((OFFSET(B100,0,0,I$16,1)=$T$24) +0),"")</f>
        <v/>
      </c>
      <c r="P100" cm="1">
        <f t="array" aca="1" ref="P100" ca="1">IF(J100&lt;&gt;"", SUMPRODUCT((OFFSET(J100,0,0,J$16,1)=$T$24) +0),"")</f>
        <v>0</v>
      </c>
      <c r="Q100" t="str" cm="1">
        <f t="array" aca="1" ref="Q100" ca="1">IF(D100&lt;&gt;"", SUMPRODUCT((OFFSET(D100,0,0,K$16,1)=$T$24) +0),"")</f>
        <v/>
      </c>
      <c r="R100" t="str" cm="1">
        <f t="array" aca="1" ref="R100" ca="1">IF(E100&lt;&gt;"", SUMPRODUCT((OFFSET(E100,0,0,L$16,1)=$T$24) +0),"")</f>
        <v/>
      </c>
      <c r="AB100">
        <f t="shared" si="28"/>
        <v>0</v>
      </c>
      <c r="AC100">
        <f t="shared" si="29"/>
        <v>0</v>
      </c>
      <c r="AD100">
        <f t="shared" si="30"/>
        <v>3</v>
      </c>
      <c r="AE100">
        <f t="shared" si="31"/>
        <v>0</v>
      </c>
      <c r="AF100">
        <f t="shared" si="32"/>
        <v>0</v>
      </c>
      <c r="AG100">
        <f t="shared" si="33"/>
        <v>3</v>
      </c>
      <c r="AH100">
        <f t="shared" ca="1" si="34"/>
        <v>0</v>
      </c>
      <c r="AI100">
        <f>IF(ROW($AA100) - $AA$51 &lt; ($H$16+1)^5, IF(AG100 &gt;= BaseBonus!$C$16, AG100*BaseBonus!$E$31, 0), "")</f>
        <v>0</v>
      </c>
      <c r="AJ100">
        <f t="shared" ca="1" si="35"/>
        <v>0</v>
      </c>
      <c r="AK100" s="44"/>
    </row>
    <row r="101" spans="1:37" x14ac:dyDescent="0.3">
      <c r="C101" t="str">
        <v>P3</v>
      </c>
      <c r="H101" t="str" cm="1">
        <f t="array" aca="1" ref="H101" ca="1">IF(ROW(A101)-H$15 &lt; H$14,A101,IF(ROW(A101) - H$15 -H$16 + 1 &lt; H$14,INDIRECT(ADDRESS(MOD(ROW(A101) - H$15, H$14) + H$15, COLUMN(A101))),""))</f>
        <v>P3</v>
      </c>
      <c r="I101" t="str" cm="1">
        <f t="array" aca="1" ref="I101" ca="1">IF(ROW(B101)-I$15 &lt; I$14,B101,IF(ROW(B101) - I$15 -I$16 + 1 &lt; I$14,INDIRECT(ADDRESS(MOD(ROW(B101) - I$15, I$14) + I$15, COLUMN(B101))),""))</f>
        <v/>
      </c>
      <c r="J101" t="str" cm="1">
        <f t="array" aca="1" ref="J101" ca="1">IF(ROW(C101)-J$15 &lt; J$14,C101,IF(ROW(C101) - J$15 -J$16 + 1 &lt; J$14,INDIRECT(ADDRESS(MOD(ROW(C101) - J$15, J$14) + J$15, COLUMN(C101))),""))</f>
        <v>P3</v>
      </c>
      <c r="K101" t="str" cm="1">
        <f t="array" aca="1" ref="K101" ca="1">IF(ROW(D101)-K$15 &lt; K$14,D101,IF(ROW(D101) - K$15 -K$16 + 1 &lt; K$14,INDIRECT(ADDRESS(MOD(ROW(D101) - K$15, K$14) + K$15, COLUMN(D101))),""))</f>
        <v/>
      </c>
      <c r="L101" t="str" cm="1">
        <f t="array" aca="1" ref="L101" ca="1">IF(ROW(E101)-L$15 &lt; L$14,E101,IF(ROW(E101) - L$15 -L$16 + 1 &lt; L$14,INDIRECT(ADDRESS(MOD(ROW(E101) - L$15, L$14) + L$15, COLUMN(E101))),""))</f>
        <v/>
      </c>
      <c r="N101" t="str" cm="1">
        <f t="array" aca="1" ref="N101" ca="1">IF(A101&lt;&gt;"", SUMPRODUCT((OFFSET(A101,0,0,H$16,1)=$T$24) +0),"")</f>
        <v/>
      </c>
      <c r="O101" t="str" cm="1">
        <f t="array" aca="1" ref="O101" ca="1">IF(B101&lt;&gt;"", SUMPRODUCT((OFFSET(B101,0,0,I$16,1)=$T$24) +0),"")</f>
        <v/>
      </c>
      <c r="P101" cm="1">
        <f t="array" aca="1" ref="P101" ca="1">IF(J101&lt;&gt;"", SUMPRODUCT((OFFSET(J101,0,0,J$16,1)=$T$24) +0),"")</f>
        <v>0</v>
      </c>
      <c r="Q101" t="str" cm="1">
        <f t="array" aca="1" ref="Q101" ca="1">IF(D101&lt;&gt;"", SUMPRODUCT((OFFSET(D101,0,0,K$16,1)=$T$24) +0),"")</f>
        <v/>
      </c>
      <c r="R101" t="str" cm="1">
        <f t="array" aca="1" ref="R101" ca="1">IF(E101&lt;&gt;"", SUMPRODUCT((OFFSET(E101,0,0,L$16,1)=$T$24) +0),"")</f>
        <v/>
      </c>
      <c r="AB101">
        <f t="shared" si="28"/>
        <v>1</v>
      </c>
      <c r="AC101">
        <f t="shared" si="29"/>
        <v>0</v>
      </c>
      <c r="AD101">
        <f t="shared" si="30"/>
        <v>3</v>
      </c>
      <c r="AE101">
        <f t="shared" si="31"/>
        <v>0</v>
      </c>
      <c r="AF101">
        <f t="shared" si="32"/>
        <v>0</v>
      </c>
      <c r="AG101">
        <f t="shared" si="33"/>
        <v>4</v>
      </c>
      <c r="AH101">
        <f t="shared" ca="1" si="34"/>
        <v>0</v>
      </c>
      <c r="AI101">
        <f>IF(ROW($AA101) - $AA$51 &lt; ($H$16+1)^5, IF(AG101 &gt;= BaseBonus!$C$16, AG101*BaseBonus!$E$31, 0), "")</f>
        <v>0</v>
      </c>
      <c r="AJ101">
        <f t="shared" ca="1" si="35"/>
        <v>0</v>
      </c>
      <c r="AK101" s="44"/>
    </row>
    <row r="102" spans="1:37" x14ac:dyDescent="0.3">
      <c r="C102" t="str">
        <v>P4</v>
      </c>
      <c r="H102" t="str" cm="1">
        <f t="array" aca="1" ref="H102" ca="1">IF(ROW(A102)-H$15 &lt; H$14,A102,IF(ROW(A102) - H$15 -H$16 + 1 &lt; H$14,INDIRECT(ADDRESS(MOD(ROW(A102) - H$15, H$14) + H$15, COLUMN(A102))),""))</f>
        <v>P4</v>
      </c>
      <c r="I102" t="str" cm="1">
        <f t="array" aca="1" ref="I102" ca="1">IF(ROW(B102)-I$15 &lt; I$14,B102,IF(ROW(B102) - I$15 -I$16 + 1 &lt; I$14,INDIRECT(ADDRESS(MOD(ROW(B102) - I$15, I$14) + I$15, COLUMN(B102))),""))</f>
        <v/>
      </c>
      <c r="J102" t="str" cm="1">
        <f t="array" aca="1" ref="J102" ca="1">IF(ROW(C102)-J$15 &lt; J$14,C102,IF(ROW(C102) - J$15 -J$16 + 1 &lt; J$14,INDIRECT(ADDRESS(MOD(ROW(C102) - J$15, J$14) + J$15, COLUMN(C102))),""))</f>
        <v>P4</v>
      </c>
      <c r="K102" t="str" cm="1">
        <f t="array" aca="1" ref="K102" ca="1">IF(ROW(D102)-K$15 &lt; K$14,D102,IF(ROW(D102) - K$15 -K$16 + 1 &lt; K$14,INDIRECT(ADDRESS(MOD(ROW(D102) - K$15, K$14) + K$15, COLUMN(D102))),""))</f>
        <v/>
      </c>
      <c r="L102" t="str" cm="1">
        <f t="array" aca="1" ref="L102" ca="1">IF(ROW(E102)-L$15 &lt; L$14,E102,IF(ROW(E102) - L$15 -L$16 + 1 &lt; L$14,INDIRECT(ADDRESS(MOD(ROW(E102) - L$15, L$14) + L$15, COLUMN(E102))),""))</f>
        <v/>
      </c>
      <c r="N102" t="str" cm="1">
        <f t="array" aca="1" ref="N102" ca="1">IF(A102&lt;&gt;"", SUMPRODUCT((OFFSET(A102,0,0,H$16,1)=$T$24) +0),"")</f>
        <v/>
      </c>
      <c r="O102" t="str" cm="1">
        <f t="array" aca="1" ref="O102" ca="1">IF(B102&lt;&gt;"", SUMPRODUCT((OFFSET(B102,0,0,I$16,1)=$T$24) +0),"")</f>
        <v/>
      </c>
      <c r="P102" cm="1">
        <f t="array" aca="1" ref="P102" ca="1">IF(J102&lt;&gt;"", SUMPRODUCT((OFFSET(J102,0,0,J$16,1)=$T$24) +0),"")</f>
        <v>0</v>
      </c>
      <c r="Q102" t="str" cm="1">
        <f t="array" aca="1" ref="Q102" ca="1">IF(D102&lt;&gt;"", SUMPRODUCT((OFFSET(D102,0,0,K$16,1)=$T$24) +0),"")</f>
        <v/>
      </c>
      <c r="R102" t="str" cm="1">
        <f t="array" aca="1" ref="R102" ca="1">IF(E102&lt;&gt;"", SUMPRODUCT((OFFSET(E102,0,0,L$16,1)=$T$24) +0),"")</f>
        <v/>
      </c>
      <c r="AB102">
        <f t="shared" si="28"/>
        <v>2</v>
      </c>
      <c r="AC102">
        <f t="shared" si="29"/>
        <v>0</v>
      </c>
      <c r="AD102">
        <f t="shared" si="30"/>
        <v>3</v>
      </c>
      <c r="AE102">
        <f t="shared" si="31"/>
        <v>0</v>
      </c>
      <c r="AF102">
        <f t="shared" si="32"/>
        <v>0</v>
      </c>
      <c r="AG102">
        <f t="shared" si="33"/>
        <v>5</v>
      </c>
      <c r="AH102">
        <f t="shared" ca="1" si="34"/>
        <v>0</v>
      </c>
      <c r="AI102">
        <f>IF(ROW($AA102) - $AA$51 &lt; ($H$16+1)^5, IF(AG102 &gt;= BaseBonus!$C$16, AG102*BaseBonus!$E$31, 0), "")</f>
        <v>4.6952679064628979</v>
      </c>
      <c r="AJ102">
        <f t="shared" ca="1" si="35"/>
        <v>0</v>
      </c>
      <c r="AK102" s="44"/>
    </row>
    <row r="103" spans="1:37" x14ac:dyDescent="0.3">
      <c r="C103" t="str">
        <v>P3</v>
      </c>
      <c r="H103" t="str" cm="1">
        <f t="array" aca="1" ref="H103" ca="1">IF(ROW(A103)-H$15 &lt; H$14,A103,IF(ROW(A103) - H$15 -H$16 + 1 &lt; H$14,INDIRECT(ADDRESS(MOD(ROW(A103) - H$15, H$14) + H$15, COLUMN(A103))),""))</f>
        <v/>
      </c>
      <c r="I103" t="str" cm="1">
        <f t="array" aca="1" ref="I103" ca="1">IF(ROW(B103)-I$15 &lt; I$14,B103,IF(ROW(B103) - I$15 -I$16 + 1 &lt; I$14,INDIRECT(ADDRESS(MOD(ROW(B103) - I$15, I$14) + I$15, COLUMN(B103))),""))</f>
        <v/>
      </c>
      <c r="J103" t="str" cm="1">
        <f t="array" aca="1" ref="J103" ca="1">IF(ROW(C103)-J$15 &lt; J$14,C103,IF(ROW(C103) - J$15 -J$16 + 1 &lt; J$14,INDIRECT(ADDRESS(MOD(ROW(C103) - J$15, J$14) + J$15, COLUMN(C103))),""))</f>
        <v>P3</v>
      </c>
      <c r="K103" t="str" cm="1">
        <f t="array" aca="1" ref="K103" ca="1">IF(ROW(D103)-K$15 &lt; K$14,D103,IF(ROW(D103) - K$15 -K$16 + 1 &lt; K$14,INDIRECT(ADDRESS(MOD(ROW(D103) - K$15, K$14) + K$15, COLUMN(D103))),""))</f>
        <v/>
      </c>
      <c r="L103" t="str" cm="1">
        <f t="array" aca="1" ref="L103" ca="1">IF(ROW(E103)-L$15 &lt; L$14,E103,IF(ROW(E103) - L$15 -L$16 + 1 &lt; L$14,INDIRECT(ADDRESS(MOD(ROW(E103) - L$15, L$14) + L$15, COLUMN(E103))),""))</f>
        <v/>
      </c>
      <c r="N103" t="str" cm="1">
        <f t="array" aca="1" ref="N103" ca="1">IF(A103&lt;&gt;"", SUMPRODUCT((OFFSET(A103,0,0,H$16,1)=$T$24) +0),"")</f>
        <v/>
      </c>
      <c r="O103" t="str" cm="1">
        <f t="array" aca="1" ref="O103" ca="1">IF(B103&lt;&gt;"", SUMPRODUCT((OFFSET(B103,0,0,I$16,1)=$T$24) +0),"")</f>
        <v/>
      </c>
      <c r="P103" cm="1">
        <f t="array" aca="1" ref="P103" ca="1">IF(J103&lt;&gt;"", SUMPRODUCT((OFFSET(J103,0,0,J$16,1)=$T$24) +0),"")</f>
        <v>0</v>
      </c>
      <c r="Q103" t="str" cm="1">
        <f t="array" aca="1" ref="Q103" ca="1">IF(D103&lt;&gt;"", SUMPRODUCT((OFFSET(D103,0,0,K$16,1)=$T$24) +0),"")</f>
        <v/>
      </c>
      <c r="R103" t="str" cm="1">
        <f t="array" aca="1" ref="R103" ca="1">IF(E103&lt;&gt;"", SUMPRODUCT((OFFSET(E103,0,0,L$16,1)=$T$24) +0),"")</f>
        <v/>
      </c>
      <c r="AB103">
        <f t="shared" si="28"/>
        <v>3</v>
      </c>
      <c r="AC103">
        <f t="shared" si="29"/>
        <v>0</v>
      </c>
      <c r="AD103">
        <f t="shared" si="30"/>
        <v>3</v>
      </c>
      <c r="AE103">
        <f t="shared" si="31"/>
        <v>0</v>
      </c>
      <c r="AF103">
        <f t="shared" si="32"/>
        <v>0</v>
      </c>
      <c r="AG103">
        <f t="shared" si="33"/>
        <v>6</v>
      </c>
      <c r="AH103">
        <f t="shared" ca="1" si="34"/>
        <v>0</v>
      </c>
      <c r="AI103">
        <f>IF(ROW($AA103) - $AA$51 &lt; ($H$16+1)^5, IF(AG103 &gt;= BaseBonus!$C$16, AG103*BaseBonus!$E$31, 0), "")</f>
        <v>5.6343214877554777</v>
      </c>
      <c r="AJ103">
        <f t="shared" ca="1" si="35"/>
        <v>0</v>
      </c>
      <c r="AK103" s="44"/>
    </row>
    <row r="104" spans="1:37" x14ac:dyDescent="0.3">
      <c r="H104" t="str" cm="1">
        <f t="array" aca="1" ref="H104" ca="1">IF(ROW(A104)-H$15 &lt; H$14,A104,IF(ROW(A104) - H$15 -H$16 + 1 &lt; H$14,INDIRECT(ADDRESS(MOD(ROW(A104) - H$15, H$14) + H$15, COLUMN(A104))),""))</f>
        <v/>
      </c>
      <c r="I104" t="str" cm="1">
        <f t="array" aca="1" ref="I104" ca="1">IF(ROW(B104)-I$15 &lt; I$14,B104,IF(ROW(B104) - I$15 -I$16 + 1 &lt; I$14,INDIRECT(ADDRESS(MOD(ROW(B104) - I$15, I$14) + I$15, COLUMN(B104))),""))</f>
        <v/>
      </c>
      <c r="J104" t="str" cm="1">
        <f t="array" aca="1" ref="J104" ca="1">IF(ROW(C104)-J$15 &lt; J$14,C104,IF(ROW(C104) - J$15 -J$16 + 1 &lt; J$14,INDIRECT(ADDRESS(MOD(ROW(C104) - J$15, J$14) + J$15, COLUMN(C104))),""))</f>
        <v>P5</v>
      </c>
      <c r="K104" t="str" cm="1">
        <f t="array" aca="1" ref="K104" ca="1">IF(ROW(D104)-K$15 &lt; K$14,D104,IF(ROW(D104) - K$15 -K$16 + 1 &lt; K$14,INDIRECT(ADDRESS(MOD(ROW(D104) - K$15, K$14) + K$15, COLUMN(D104))),""))</f>
        <v/>
      </c>
      <c r="L104" t="str" cm="1">
        <f t="array" aca="1" ref="L104" ca="1">IF(ROW(E104)-L$15 &lt; L$14,E104,IF(ROW(E104) - L$15 -L$16 + 1 &lt; L$14,INDIRECT(ADDRESS(MOD(ROW(E104) - L$15, L$14) + L$15, COLUMN(E104))),""))</f>
        <v/>
      </c>
      <c r="N104" t="str" cm="1">
        <f t="array" aca="1" ref="N104" ca="1">IF(A104&lt;&gt;"", SUMPRODUCT((OFFSET(A104,0,0,H$16,1)=$T$24) +0),"")</f>
        <v/>
      </c>
      <c r="O104" t="str" cm="1">
        <f t="array" aca="1" ref="O104" ca="1">IF(B104&lt;&gt;"", SUMPRODUCT((OFFSET(B104,0,0,I$16,1)=$T$24) +0),"")</f>
        <v/>
      </c>
      <c r="P104" t="str" cm="1">
        <f t="array" aca="1" ref="P104" ca="1">IF(C104&lt;&gt;"", SUMPRODUCT((OFFSET(C104,0,0,J$16,1)=$T$24) +0),"")</f>
        <v/>
      </c>
      <c r="Q104" t="str" cm="1">
        <f t="array" aca="1" ref="Q104" ca="1">IF(D104&lt;&gt;"", SUMPRODUCT((OFFSET(D104,0,0,K$16,1)=$T$24) +0),"")</f>
        <v/>
      </c>
      <c r="R104" t="str" cm="1">
        <f t="array" aca="1" ref="R104" ca="1">IF(E104&lt;&gt;"", SUMPRODUCT((OFFSET(E104,0,0,L$16,1)=$T$24) +0),"")</f>
        <v/>
      </c>
      <c r="AB104">
        <f t="shared" si="28"/>
        <v>0</v>
      </c>
      <c r="AC104">
        <f t="shared" si="29"/>
        <v>1</v>
      </c>
      <c r="AD104">
        <f t="shared" si="30"/>
        <v>3</v>
      </c>
      <c r="AE104">
        <f t="shared" si="31"/>
        <v>0</v>
      </c>
      <c r="AF104">
        <f t="shared" si="32"/>
        <v>0</v>
      </c>
      <c r="AG104">
        <f t="shared" si="33"/>
        <v>4</v>
      </c>
      <c r="AH104">
        <f t="shared" ca="1" si="34"/>
        <v>0</v>
      </c>
      <c r="AI104">
        <f>IF(ROW($AA104) - $AA$51 &lt; ($H$16+1)^5, IF(AG104 &gt;= BaseBonus!$C$16, AG104*BaseBonus!$E$31, 0), "")</f>
        <v>0</v>
      </c>
      <c r="AJ104">
        <f t="shared" ca="1" si="35"/>
        <v>0</v>
      </c>
      <c r="AK104" s="44"/>
    </row>
    <row r="105" spans="1:37" x14ac:dyDescent="0.3">
      <c r="H105" t="str" cm="1">
        <f t="array" aca="1" ref="H105" ca="1">IF(ROW(A105)-H$15 &lt; H$14,A105,IF(ROW(A105) - H$15 -H$16 + 1 &lt; H$14,INDIRECT(ADDRESS(MOD(ROW(A105) - H$15, H$14) + H$15, COLUMN(A105))),""))</f>
        <v/>
      </c>
      <c r="I105" t="str" cm="1">
        <f t="array" aca="1" ref="I105" ca="1">IF(ROW(B105)-I$15 &lt; I$14,B105,IF(ROW(B105) - I$15 -I$16 + 1 &lt; I$14,INDIRECT(ADDRESS(MOD(ROW(B105) - I$15, I$14) + I$15, COLUMN(B105))),""))</f>
        <v/>
      </c>
      <c r="J105" t="str" cm="1">
        <f t="array" aca="1" ref="J105" ca="1">IF(ROW(C105)-J$15 &lt; J$14,C105,IF(ROW(C105) - J$15 -J$16 + 1 &lt; J$14,INDIRECT(ADDRESS(MOD(ROW(C105) - J$15, J$14) + J$15, COLUMN(C105))),""))</f>
        <v>P3</v>
      </c>
      <c r="K105" t="str" cm="1">
        <f t="array" aca="1" ref="K105" ca="1">IF(ROW(D105)-K$15 &lt; K$14,D105,IF(ROW(D105) - K$15 -K$16 + 1 &lt; K$14,INDIRECT(ADDRESS(MOD(ROW(D105) - K$15, K$14) + K$15, COLUMN(D105))),""))</f>
        <v/>
      </c>
      <c r="L105" t="str" cm="1">
        <f t="array" aca="1" ref="L105" ca="1">IF(ROW(E105)-L$15 &lt; L$14,E105,IF(ROW(E105) - L$15 -L$16 + 1 &lt; L$14,INDIRECT(ADDRESS(MOD(ROW(E105) - L$15, L$14) + L$15, COLUMN(E105))),""))</f>
        <v/>
      </c>
      <c r="N105" t="str" cm="1">
        <f t="array" aca="1" ref="N105" ca="1">IF(A105&lt;&gt;"", SUMPRODUCT((OFFSET(A105,0,0,H$16,1)=$T$24) +0),"")</f>
        <v/>
      </c>
      <c r="O105" t="str" cm="1">
        <f t="array" aca="1" ref="O105" ca="1">IF(B105&lt;&gt;"", SUMPRODUCT((OFFSET(B105,0,0,I$16,1)=$T$24) +0),"")</f>
        <v/>
      </c>
      <c r="P105" t="str" cm="1">
        <f t="array" aca="1" ref="P105" ca="1">IF(C105&lt;&gt;"", SUMPRODUCT((OFFSET(C105,0,0,J$16,1)=$T$24) +0),"")</f>
        <v/>
      </c>
      <c r="Q105" t="str" cm="1">
        <f t="array" aca="1" ref="Q105" ca="1">IF(D105&lt;&gt;"", SUMPRODUCT((OFFSET(D105,0,0,K$16,1)=$T$24) +0),"")</f>
        <v/>
      </c>
      <c r="R105" t="str" cm="1">
        <f t="array" aca="1" ref="R105" ca="1">IF(E105&lt;&gt;"", SUMPRODUCT((OFFSET(E105,0,0,L$16,1)=$T$24) +0),"")</f>
        <v/>
      </c>
      <c r="AB105">
        <f t="shared" si="28"/>
        <v>1</v>
      </c>
      <c r="AC105">
        <f t="shared" si="29"/>
        <v>1</v>
      </c>
      <c r="AD105">
        <f t="shared" si="30"/>
        <v>3</v>
      </c>
      <c r="AE105">
        <f t="shared" si="31"/>
        <v>0</v>
      </c>
      <c r="AF105">
        <f t="shared" si="32"/>
        <v>0</v>
      </c>
      <c r="AG105">
        <f t="shared" si="33"/>
        <v>5</v>
      </c>
      <c r="AH105">
        <f t="shared" ca="1" si="34"/>
        <v>0</v>
      </c>
      <c r="AI105">
        <f>IF(ROW($AA105) - $AA$51 &lt; ($H$16+1)^5, IF(AG105 &gt;= BaseBonus!$C$16, AG105*BaseBonus!$E$31, 0), "")</f>
        <v>4.6952679064628979</v>
      </c>
      <c r="AJ105">
        <f t="shared" ca="1" si="35"/>
        <v>0</v>
      </c>
      <c r="AK105" s="44"/>
    </row>
    <row r="106" spans="1:37" x14ac:dyDescent="0.3">
      <c r="H106" t="str" cm="1">
        <f t="array" aca="1" ref="H106" ca="1">IF(ROW(A106)-H$15 &lt; H$14,A106,IF(ROW(A106) - H$15 -H$16 + 1 &lt; H$14,INDIRECT(ADDRESS(MOD(ROW(A106) - H$15, H$14) + H$15, COLUMN(A106))),""))</f>
        <v/>
      </c>
      <c r="I106" t="str" cm="1">
        <f t="array" aca="1" ref="I106" ca="1">IF(ROW(B106)-I$15 &lt; I$14,B106,IF(ROW(B106) - I$15 -I$16 + 1 &lt; I$14,INDIRECT(ADDRESS(MOD(ROW(B106) - I$15, I$14) + I$15, COLUMN(B106))),""))</f>
        <v/>
      </c>
      <c r="J106" t="str" cm="1">
        <f t="array" aca="1" ref="J106" ca="1">IF(ROW(C106)-J$15 &lt; J$14,C106,IF(ROW(C106) - J$15 -J$16 + 1 &lt; J$14,INDIRECT(ADDRESS(MOD(ROW(C106) - J$15, J$14) + J$15, COLUMN(C106))),""))</f>
        <v/>
      </c>
      <c r="K106" t="str" cm="1">
        <f t="array" aca="1" ref="K106" ca="1">IF(ROW(D106)-K$15 &lt; K$14,D106,IF(ROW(D106) - K$15 -K$16 + 1 &lt; K$14,INDIRECT(ADDRESS(MOD(ROW(D106) - K$15, K$14) + K$15, COLUMN(D106))),""))</f>
        <v/>
      </c>
      <c r="L106" t="str" cm="1">
        <f t="array" aca="1" ref="L106" ca="1">IF(ROW(E106)-L$15 &lt; L$14,E106,IF(ROW(E106) - L$15 -L$16 + 1 &lt; L$14,INDIRECT(ADDRESS(MOD(ROW(E106) - L$15, L$14) + L$15, COLUMN(E106))),""))</f>
        <v/>
      </c>
      <c r="N106" t="str" cm="1">
        <f t="array" aca="1" ref="N106" ca="1">IF(A106&lt;&gt;"", SUMPRODUCT((OFFSET(A106,0,0,H$16,1)=$T$24) +0),"")</f>
        <v/>
      </c>
      <c r="O106" t="str" cm="1">
        <f t="array" aca="1" ref="O106" ca="1">IF(B106&lt;&gt;"", SUMPRODUCT((OFFSET(B106,0,0,I$16,1)=$T$24) +0),"")</f>
        <v/>
      </c>
      <c r="P106" t="str" cm="1">
        <f t="array" aca="1" ref="P106" ca="1">IF(C106&lt;&gt;"", SUMPRODUCT((OFFSET(C106,0,0,J$16,1)=$T$24) +0),"")</f>
        <v/>
      </c>
      <c r="Q106" t="str" cm="1">
        <f t="array" aca="1" ref="Q106" ca="1">IF(D106&lt;&gt;"", SUMPRODUCT((OFFSET(D106,0,0,K$16,1)=$T$24) +0),"")</f>
        <v/>
      </c>
      <c r="R106" t="str" cm="1">
        <f t="array" aca="1" ref="R106" ca="1">IF(E106&lt;&gt;"", SUMPRODUCT((OFFSET(E106,0,0,L$16,1)=$T$24) +0),"")</f>
        <v/>
      </c>
      <c r="AB106">
        <f t="shared" si="28"/>
        <v>2</v>
      </c>
      <c r="AC106">
        <f t="shared" si="29"/>
        <v>1</v>
      </c>
      <c r="AD106">
        <f t="shared" si="30"/>
        <v>3</v>
      </c>
      <c r="AE106">
        <f t="shared" si="31"/>
        <v>0</v>
      </c>
      <c r="AF106">
        <f t="shared" si="32"/>
        <v>0</v>
      </c>
      <c r="AG106">
        <f t="shared" si="33"/>
        <v>6</v>
      </c>
      <c r="AH106">
        <f t="shared" ca="1" si="34"/>
        <v>0</v>
      </c>
      <c r="AI106">
        <f>IF(ROW($AA106) - $AA$51 &lt; ($H$16+1)^5, IF(AG106 &gt;= BaseBonus!$C$16, AG106*BaseBonus!$E$31, 0), "")</f>
        <v>5.6343214877554777</v>
      </c>
      <c r="AJ106">
        <f t="shared" ca="1" si="35"/>
        <v>0</v>
      </c>
      <c r="AK106" s="44"/>
    </row>
    <row r="107" spans="1:37" x14ac:dyDescent="0.3">
      <c r="H107" t="str" cm="1">
        <f t="array" aca="1" ref="H107" ca="1">IF(ROW(A107)-H$15 &lt; H$14,A107,IF(ROW(A107) - H$15 -H$16 + 1 &lt; H$14,INDIRECT(ADDRESS(MOD(ROW(A107) - H$15, H$14) + H$15, COLUMN(A107))),""))</f>
        <v/>
      </c>
      <c r="I107" t="str" cm="1">
        <f t="array" aca="1" ref="I107" ca="1">IF(ROW(B107)-I$15 &lt; I$14,B107,IF(ROW(B107) - I$15 -I$16 + 1 &lt; I$14,INDIRECT(ADDRESS(MOD(ROW(B107) - I$15, I$14) + I$15, COLUMN(B107))),""))</f>
        <v/>
      </c>
      <c r="J107" t="str" cm="1">
        <f t="array" aca="1" ref="J107" ca="1">IF(ROW(C107)-J$15 &lt; J$14,C107,IF(ROW(C107) - J$15 -J$16 + 1 &lt; J$14,INDIRECT(ADDRESS(MOD(ROW(C107) - J$15, J$14) + J$15, COLUMN(C107))),""))</f>
        <v/>
      </c>
      <c r="K107" t="str" cm="1">
        <f t="array" aca="1" ref="K107" ca="1">IF(ROW(D107)-K$15 &lt; K$14,D107,IF(ROW(D107) - K$15 -K$16 + 1 &lt; K$14,INDIRECT(ADDRESS(MOD(ROW(D107) - K$15, K$14) + K$15, COLUMN(D107))),""))</f>
        <v/>
      </c>
      <c r="L107" t="str" cm="1">
        <f t="array" aca="1" ref="L107" ca="1">IF(ROW(E107)-L$15 &lt; L$14,E107,IF(ROW(E107) - L$15 -L$16 + 1 &lt; L$14,INDIRECT(ADDRESS(MOD(ROW(E107) - L$15, L$14) + L$15, COLUMN(E107))),""))</f>
        <v/>
      </c>
      <c r="N107" t="str" cm="1">
        <f t="array" aca="1" ref="N107" ca="1">IF(A107&lt;&gt;"", SUMPRODUCT((OFFSET(A107,0,0,H$16,1)=$T$24) +0),"")</f>
        <v/>
      </c>
      <c r="O107" t="str" cm="1">
        <f t="array" aca="1" ref="O107" ca="1">IF(B107&lt;&gt;"", SUMPRODUCT((OFFSET(B107,0,0,I$16,1)=$T$24) +0),"")</f>
        <v/>
      </c>
      <c r="P107" t="str" cm="1">
        <f t="array" aca="1" ref="P107" ca="1">IF(C107&lt;&gt;"", SUMPRODUCT((OFFSET(C107,0,0,J$16,1)=$T$24) +0),"")</f>
        <v/>
      </c>
      <c r="Q107" t="str" cm="1">
        <f t="array" aca="1" ref="Q107" ca="1">IF(D107&lt;&gt;"", SUMPRODUCT((OFFSET(D107,0,0,K$16,1)=$T$24) +0),"")</f>
        <v/>
      </c>
      <c r="R107" t="str" cm="1">
        <f t="array" aca="1" ref="R107" ca="1">IF(E107&lt;&gt;"", SUMPRODUCT((OFFSET(E107,0,0,L$16,1)=$T$24) +0),"")</f>
        <v/>
      </c>
      <c r="AB107">
        <f t="shared" si="28"/>
        <v>3</v>
      </c>
      <c r="AC107">
        <f t="shared" si="29"/>
        <v>1</v>
      </c>
      <c r="AD107">
        <f t="shared" si="30"/>
        <v>3</v>
      </c>
      <c r="AE107">
        <f t="shared" si="31"/>
        <v>0</v>
      </c>
      <c r="AF107">
        <f t="shared" si="32"/>
        <v>0</v>
      </c>
      <c r="AG107">
        <f t="shared" si="33"/>
        <v>7</v>
      </c>
      <c r="AH107">
        <f t="shared" ca="1" si="34"/>
        <v>0</v>
      </c>
      <c r="AI107">
        <f>IF(ROW($AA107) - $AA$51 &lt; ($H$16+1)^5, IF(AG107 &gt;= BaseBonus!$C$16, AG107*BaseBonus!$E$31, 0), "")</f>
        <v>6.5733750690480575</v>
      </c>
      <c r="AJ107">
        <f t="shared" ca="1" si="35"/>
        <v>0</v>
      </c>
      <c r="AK107" s="44"/>
    </row>
    <row r="108" spans="1:37" x14ac:dyDescent="0.3">
      <c r="H108" t="str" cm="1">
        <f t="array" aca="1" ref="H108" ca="1">IF(ROW(A108)-H$15 &lt; H$14,A108,IF(ROW(A108) - H$15 -H$16 + 1 &lt; H$14,INDIRECT(ADDRESS(MOD(ROW(A108) - H$15, H$14) + H$15, COLUMN(A108))),""))</f>
        <v/>
      </c>
      <c r="I108" t="str" cm="1">
        <f t="array" aca="1" ref="I108" ca="1">IF(ROW(B108)-I$15 &lt; I$14,B108,IF(ROW(B108) - I$15 -I$16 + 1 &lt; I$14,INDIRECT(ADDRESS(MOD(ROW(B108) - I$15, I$14) + I$15, COLUMN(B108))),""))</f>
        <v/>
      </c>
      <c r="J108" t="str" cm="1">
        <f t="array" aca="1" ref="J108" ca="1">IF(ROW(C108)-J$15 &lt; J$14,C108,IF(ROW(C108) - J$15 -J$16 + 1 &lt; J$14,INDIRECT(ADDRESS(MOD(ROW(C108) - J$15, J$14) + J$15, COLUMN(C108))),""))</f>
        <v/>
      </c>
      <c r="K108" t="str" cm="1">
        <f t="array" aca="1" ref="K108" ca="1">IF(ROW(D108)-K$15 &lt; K$14,D108,IF(ROW(D108) - K$15 -K$16 + 1 &lt; K$14,INDIRECT(ADDRESS(MOD(ROW(D108) - K$15, K$14) + K$15, COLUMN(D108))),""))</f>
        <v/>
      </c>
      <c r="L108" t="str" cm="1">
        <f t="array" aca="1" ref="L108" ca="1">IF(ROW(E108)-L$15 &lt; L$14,E108,IF(ROW(E108) - L$15 -L$16 + 1 &lt; L$14,INDIRECT(ADDRESS(MOD(ROW(E108) - L$15, L$14) + L$15, COLUMN(E108))),""))</f>
        <v/>
      </c>
      <c r="N108" t="str" cm="1">
        <f t="array" aca="1" ref="N108" ca="1">IF(A108&lt;&gt;"", SUMPRODUCT((OFFSET(A108,0,0,H$16,1)=$T$24) +0),"")</f>
        <v/>
      </c>
      <c r="O108" t="str" cm="1">
        <f t="array" aca="1" ref="O108" ca="1">IF(B108&lt;&gt;"", SUMPRODUCT((OFFSET(B108,0,0,I$16,1)=$T$24) +0),"")</f>
        <v/>
      </c>
      <c r="P108" t="str" cm="1">
        <f t="array" aca="1" ref="P108" ca="1">IF(C108&lt;&gt;"", SUMPRODUCT((OFFSET(C108,0,0,J$16,1)=$T$24) +0),"")</f>
        <v/>
      </c>
      <c r="Q108" t="str" cm="1">
        <f t="array" aca="1" ref="Q108" ca="1">IF(D108&lt;&gt;"", SUMPRODUCT((OFFSET(D108,0,0,K$16,1)=$T$24) +0),"")</f>
        <v/>
      </c>
      <c r="R108" t="str" cm="1">
        <f t="array" aca="1" ref="R108" ca="1">IF(E108&lt;&gt;"", SUMPRODUCT((OFFSET(E108,0,0,L$16,1)=$T$24) +0),"")</f>
        <v/>
      </c>
      <c r="AB108">
        <f t="shared" si="28"/>
        <v>0</v>
      </c>
      <c r="AC108">
        <f t="shared" si="29"/>
        <v>2</v>
      </c>
      <c r="AD108">
        <f t="shared" si="30"/>
        <v>3</v>
      </c>
      <c r="AE108">
        <f t="shared" si="31"/>
        <v>0</v>
      </c>
      <c r="AF108">
        <f t="shared" si="32"/>
        <v>0</v>
      </c>
      <c r="AG108">
        <f t="shared" si="33"/>
        <v>5</v>
      </c>
      <c r="AH108">
        <f t="shared" ca="1" si="34"/>
        <v>0</v>
      </c>
      <c r="AI108">
        <f>IF(ROW($AA108) - $AA$51 &lt; ($H$16+1)^5, IF(AG108 &gt;= BaseBonus!$C$16, AG108*BaseBonus!$E$31, 0), "")</f>
        <v>4.6952679064628979</v>
      </c>
      <c r="AJ108">
        <f t="shared" ca="1" si="35"/>
        <v>0</v>
      </c>
      <c r="AK108" s="44"/>
    </row>
    <row r="109" spans="1:37" x14ac:dyDescent="0.3">
      <c r="H109" t="str" cm="1">
        <f t="array" aca="1" ref="H109" ca="1">IF(ROW(A109)-H$15 &lt; H$14,A109,IF(ROW(A109) - H$15 -H$16 + 1 &lt; H$14,INDIRECT(ADDRESS(MOD(ROW(A109) - H$15, H$14) + H$15, COLUMN(A109))),""))</f>
        <v/>
      </c>
      <c r="I109" t="str" cm="1">
        <f t="array" aca="1" ref="I109" ca="1">IF(ROW(B109)-I$15 &lt; I$14,B109,IF(ROW(B109) - I$15 -I$16 + 1 &lt; I$14,INDIRECT(ADDRESS(MOD(ROW(B109) - I$15, I$14) + I$15, COLUMN(B109))),""))</f>
        <v/>
      </c>
      <c r="J109" t="str" cm="1">
        <f t="array" aca="1" ref="J109" ca="1">IF(ROW(C109)-J$15 &lt; J$14,C109,IF(ROW(C109) - J$15 -J$16 + 1 &lt; J$14,INDIRECT(ADDRESS(MOD(ROW(C109) - J$15, J$14) + J$15, COLUMN(C109))),""))</f>
        <v/>
      </c>
      <c r="K109" t="str" cm="1">
        <f t="array" aca="1" ref="K109" ca="1">IF(ROW(D109)-K$15 &lt; K$14,D109,IF(ROW(D109) - K$15 -K$16 + 1 &lt; K$14,INDIRECT(ADDRESS(MOD(ROW(D109) - K$15, K$14) + K$15, COLUMN(D109))),""))</f>
        <v/>
      </c>
      <c r="L109" t="str" cm="1">
        <f t="array" aca="1" ref="L109" ca="1">IF(ROW(E109)-L$15 &lt; L$14,E109,IF(ROW(E109) - L$15 -L$16 + 1 &lt; L$14,INDIRECT(ADDRESS(MOD(ROW(E109) - L$15, L$14) + L$15, COLUMN(E109))),""))</f>
        <v/>
      </c>
      <c r="N109" t="str" cm="1">
        <f t="array" aca="1" ref="N109" ca="1">IF(A109&lt;&gt;"", SUMPRODUCT((OFFSET(A109,0,0,H$16,1)=$T$24) +0),"")</f>
        <v/>
      </c>
      <c r="O109" t="str" cm="1">
        <f t="array" aca="1" ref="O109" ca="1">IF(B109&lt;&gt;"", SUMPRODUCT((OFFSET(B109,0,0,I$16,1)=$T$24) +0),"")</f>
        <v/>
      </c>
      <c r="P109" t="str" cm="1">
        <f t="array" aca="1" ref="P109" ca="1">IF(C109&lt;&gt;"", SUMPRODUCT((OFFSET(C109,0,0,J$16,1)=$T$24) +0),"")</f>
        <v/>
      </c>
      <c r="Q109" t="str" cm="1">
        <f t="array" aca="1" ref="Q109" ca="1">IF(D109&lt;&gt;"", SUMPRODUCT((OFFSET(D109,0,0,K$16,1)=$T$24) +0),"")</f>
        <v/>
      </c>
      <c r="R109" t="str" cm="1">
        <f t="array" aca="1" ref="R109" ca="1">IF(E109&lt;&gt;"", SUMPRODUCT((OFFSET(E109,0,0,L$16,1)=$T$24) +0),"")</f>
        <v/>
      </c>
      <c r="AB109">
        <f t="shared" si="28"/>
        <v>1</v>
      </c>
      <c r="AC109">
        <f t="shared" si="29"/>
        <v>2</v>
      </c>
      <c r="AD109">
        <f t="shared" si="30"/>
        <v>3</v>
      </c>
      <c r="AE109">
        <f t="shared" si="31"/>
        <v>0</v>
      </c>
      <c r="AF109">
        <f t="shared" si="32"/>
        <v>0</v>
      </c>
      <c r="AG109">
        <f t="shared" si="33"/>
        <v>6</v>
      </c>
      <c r="AH109">
        <f t="shared" ca="1" si="34"/>
        <v>0</v>
      </c>
      <c r="AI109">
        <f>IF(ROW($AA109) - $AA$51 &lt; ($H$16+1)^5, IF(AG109 &gt;= BaseBonus!$C$16, AG109*BaseBonus!$E$31, 0), "")</f>
        <v>5.6343214877554777</v>
      </c>
      <c r="AJ109">
        <f t="shared" ca="1" si="35"/>
        <v>0</v>
      </c>
      <c r="AK109" s="44"/>
    </row>
    <row r="110" spans="1:37" x14ac:dyDescent="0.3">
      <c r="H110" t="str" cm="1">
        <f t="array" aca="1" ref="H110" ca="1">IF(ROW(A110)-H$15 &lt; H$14,A110,IF(ROW(A110) - H$15 -H$16 + 1 &lt; H$14,INDIRECT(ADDRESS(MOD(ROW(A110) - H$15, H$14) + H$15, COLUMN(A110))),""))</f>
        <v/>
      </c>
      <c r="I110" t="str" cm="1">
        <f t="array" aca="1" ref="I110" ca="1">IF(ROW(B110)-I$15 &lt; I$14,B110,IF(ROW(B110) - I$15 -I$16 + 1 &lt; I$14,INDIRECT(ADDRESS(MOD(ROW(B110) - I$15, I$14) + I$15, COLUMN(B110))),""))</f>
        <v/>
      </c>
      <c r="J110" t="str" cm="1">
        <f t="array" aca="1" ref="J110" ca="1">IF(ROW(C110)-J$15 &lt; J$14,C110,IF(ROW(C110) - J$15 -J$16 + 1 &lt; J$14,INDIRECT(ADDRESS(MOD(ROW(C110) - J$15, J$14) + J$15, COLUMN(C110))),""))</f>
        <v/>
      </c>
      <c r="K110" t="str" cm="1">
        <f t="array" aca="1" ref="K110" ca="1">IF(ROW(D110)-K$15 &lt; K$14,D110,IF(ROW(D110) - K$15 -K$16 + 1 &lt; K$14,INDIRECT(ADDRESS(MOD(ROW(D110) - K$15, K$14) + K$15, COLUMN(D110))),""))</f>
        <v/>
      </c>
      <c r="L110" t="str" cm="1">
        <f t="array" aca="1" ref="L110" ca="1">IF(ROW(E110)-L$15 &lt; L$14,E110,IF(ROW(E110) - L$15 -L$16 + 1 &lt; L$14,INDIRECT(ADDRESS(MOD(ROW(E110) - L$15, L$14) + L$15, COLUMN(E110))),""))</f>
        <v/>
      </c>
      <c r="N110" t="str" cm="1">
        <f t="array" aca="1" ref="N110" ca="1">IF(A110&lt;&gt;"", SUMPRODUCT((OFFSET(A110,0,0,H$16,1)=$T$24) +0),"")</f>
        <v/>
      </c>
      <c r="O110" t="str" cm="1">
        <f t="array" aca="1" ref="O110" ca="1">IF(B110&lt;&gt;"", SUMPRODUCT((OFFSET(B110,0,0,I$16,1)=$T$24) +0),"")</f>
        <v/>
      </c>
      <c r="P110" t="str" cm="1">
        <f t="array" aca="1" ref="P110" ca="1">IF(C110&lt;&gt;"", SUMPRODUCT((OFFSET(C110,0,0,J$16,1)=$T$24) +0),"")</f>
        <v/>
      </c>
      <c r="Q110" t="str" cm="1">
        <f t="array" aca="1" ref="Q110" ca="1">IF(D110&lt;&gt;"", SUMPRODUCT((OFFSET(D110,0,0,K$16,1)=$T$24) +0),"")</f>
        <v/>
      </c>
      <c r="R110" t="str" cm="1">
        <f t="array" aca="1" ref="R110" ca="1">IF(E110&lt;&gt;"", SUMPRODUCT((OFFSET(E110,0,0,L$16,1)=$T$24) +0),"")</f>
        <v/>
      </c>
      <c r="AB110">
        <f t="shared" si="28"/>
        <v>2</v>
      </c>
      <c r="AC110">
        <f t="shared" si="29"/>
        <v>2</v>
      </c>
      <c r="AD110">
        <f t="shared" si="30"/>
        <v>3</v>
      </c>
      <c r="AE110">
        <f t="shared" si="31"/>
        <v>0</v>
      </c>
      <c r="AF110">
        <f t="shared" si="32"/>
        <v>0</v>
      </c>
      <c r="AG110">
        <f t="shared" si="33"/>
        <v>7</v>
      </c>
      <c r="AH110">
        <f t="shared" ca="1" si="34"/>
        <v>0</v>
      </c>
      <c r="AI110">
        <f>IF(ROW($AA110) - $AA$51 &lt; ($H$16+1)^5, IF(AG110 &gt;= BaseBonus!$C$16, AG110*BaseBonus!$E$31, 0), "")</f>
        <v>6.5733750690480575</v>
      </c>
      <c r="AJ110">
        <f t="shared" ca="1" si="35"/>
        <v>0</v>
      </c>
      <c r="AK110" s="44"/>
    </row>
    <row r="111" spans="1:37" x14ac:dyDescent="0.3">
      <c r="H111" t="str" cm="1">
        <f t="array" aca="1" ref="H111" ca="1">IF(ROW(A111)-H$15 &lt; H$14,A111,IF(ROW(A111) - H$15 -H$16 + 1 &lt; H$14,INDIRECT(ADDRESS(MOD(ROW(A111) - H$15, H$14) + H$15, COLUMN(A111))),""))</f>
        <v/>
      </c>
      <c r="I111" t="str" cm="1">
        <f t="array" aca="1" ref="I111" ca="1">IF(ROW(B111)-I$15 &lt; I$14,B111,IF(ROW(B111) - I$15 -I$16 + 1 &lt; I$14,INDIRECT(ADDRESS(MOD(ROW(B111) - I$15, I$14) + I$15, COLUMN(B111))),""))</f>
        <v/>
      </c>
      <c r="J111" t="str" cm="1">
        <f t="array" aca="1" ref="J111" ca="1">IF(ROW(C111)-J$15 &lt; J$14,C111,IF(ROW(C111) - J$15 -J$16 + 1 &lt; J$14,INDIRECT(ADDRESS(MOD(ROW(C111) - J$15, J$14) + J$15, COLUMN(C111))),""))</f>
        <v/>
      </c>
      <c r="K111" t="str" cm="1">
        <f t="array" aca="1" ref="K111" ca="1">IF(ROW(D111)-K$15 &lt; K$14,D111,IF(ROW(D111) - K$15 -K$16 + 1 &lt; K$14,INDIRECT(ADDRESS(MOD(ROW(D111) - K$15, K$14) + K$15, COLUMN(D111))),""))</f>
        <v/>
      </c>
      <c r="L111" t="str" cm="1">
        <f t="array" aca="1" ref="L111" ca="1">IF(ROW(E111)-L$15 &lt; L$14,E111,IF(ROW(E111) - L$15 -L$16 + 1 &lt; L$14,INDIRECT(ADDRESS(MOD(ROW(E111) - L$15, L$14) + L$15, COLUMN(E111))),""))</f>
        <v/>
      </c>
      <c r="N111" t="str" cm="1">
        <f t="array" aca="1" ref="N111" ca="1">IF(A111&lt;&gt;"", SUMPRODUCT((OFFSET(A111,0,0,H$16,1)=$T$24) +0),"")</f>
        <v/>
      </c>
      <c r="O111" t="str" cm="1">
        <f t="array" aca="1" ref="O111" ca="1">IF(B111&lt;&gt;"", SUMPRODUCT((OFFSET(B111,0,0,I$16,1)=$T$24) +0),"")</f>
        <v/>
      </c>
      <c r="P111" t="str" cm="1">
        <f t="array" aca="1" ref="P111" ca="1">IF(C111&lt;&gt;"", SUMPRODUCT((OFFSET(C111,0,0,J$16,1)=$T$24) +0),"")</f>
        <v/>
      </c>
      <c r="Q111" t="str" cm="1">
        <f t="array" aca="1" ref="Q111" ca="1">IF(D111&lt;&gt;"", SUMPRODUCT((OFFSET(D111,0,0,K$16,1)=$T$24) +0),"")</f>
        <v/>
      </c>
      <c r="R111" t="str" cm="1">
        <f t="array" aca="1" ref="R111" ca="1">IF(E111&lt;&gt;"", SUMPRODUCT((OFFSET(E111,0,0,L$16,1)=$T$24) +0),"")</f>
        <v/>
      </c>
      <c r="AB111">
        <f t="shared" si="28"/>
        <v>3</v>
      </c>
      <c r="AC111">
        <f t="shared" si="29"/>
        <v>2</v>
      </c>
      <c r="AD111">
        <f t="shared" si="30"/>
        <v>3</v>
      </c>
      <c r="AE111">
        <f t="shared" si="31"/>
        <v>0</v>
      </c>
      <c r="AF111">
        <f t="shared" si="32"/>
        <v>0</v>
      </c>
      <c r="AG111">
        <f t="shared" si="33"/>
        <v>8</v>
      </c>
      <c r="AH111">
        <f t="shared" ca="1" si="34"/>
        <v>0</v>
      </c>
      <c r="AI111">
        <f>IF(ROW($AA111) - $AA$51 &lt; ($H$16+1)^5, IF(AG111 &gt;= BaseBonus!$C$16, AG111*BaseBonus!$E$31, 0), "")</f>
        <v>7.5124286503406372</v>
      </c>
      <c r="AJ111">
        <f t="shared" ca="1" si="35"/>
        <v>0</v>
      </c>
      <c r="AK111" s="44"/>
    </row>
    <row r="112" spans="1:37" x14ac:dyDescent="0.3">
      <c r="H112" t="str" cm="1">
        <f t="array" aca="1" ref="H112" ca="1">IF(ROW(A112)-H$15 &lt; H$14,A112,IF(ROW(A112) - H$15 -H$16 + 1 &lt; H$14,INDIRECT(ADDRESS(MOD(ROW(A112) - H$15, H$14) + H$15, COLUMN(A112))),""))</f>
        <v/>
      </c>
      <c r="I112" t="str" cm="1">
        <f t="array" aca="1" ref="I112" ca="1">IF(ROW(B112)-I$15 &lt; I$14,B112,IF(ROW(B112) - I$15 -I$16 + 1 &lt; I$14,INDIRECT(ADDRESS(MOD(ROW(B112) - I$15, I$14) + I$15, COLUMN(B112))),""))</f>
        <v/>
      </c>
      <c r="J112" t="str" cm="1">
        <f t="array" aca="1" ref="J112" ca="1">IF(ROW(C112)-J$15 &lt; J$14,C112,IF(ROW(C112) - J$15 -J$16 + 1 &lt; J$14,INDIRECT(ADDRESS(MOD(ROW(C112) - J$15, J$14) + J$15, COLUMN(C112))),""))</f>
        <v/>
      </c>
      <c r="K112" t="str" cm="1">
        <f t="array" aca="1" ref="K112" ca="1">IF(ROW(D112)-K$15 &lt; K$14,D112,IF(ROW(D112) - K$15 -K$16 + 1 &lt; K$14,INDIRECT(ADDRESS(MOD(ROW(D112) - K$15, K$14) + K$15, COLUMN(D112))),""))</f>
        <v/>
      </c>
      <c r="L112" t="str" cm="1">
        <f t="array" aca="1" ref="L112" ca="1">IF(ROW(E112)-L$15 &lt; L$14,E112,IF(ROW(E112) - L$15 -L$16 + 1 &lt; L$14,INDIRECT(ADDRESS(MOD(ROW(E112) - L$15, L$14) + L$15, COLUMN(E112))),""))</f>
        <v/>
      </c>
      <c r="N112" t="str" cm="1">
        <f t="array" aca="1" ref="N112" ca="1">IF(A112&lt;&gt;"", SUMPRODUCT((OFFSET(A112,0,0,H$16,1)=$T$24) +0),"")</f>
        <v/>
      </c>
      <c r="O112" t="str" cm="1">
        <f t="array" aca="1" ref="O112" ca="1">IF(B112&lt;&gt;"", SUMPRODUCT((OFFSET(B112,0,0,I$16,1)=$T$24) +0),"")</f>
        <v/>
      </c>
      <c r="P112" t="str" cm="1">
        <f t="array" aca="1" ref="P112" ca="1">IF(C112&lt;&gt;"", SUMPRODUCT((OFFSET(C112,0,0,J$16,1)=$T$24) +0),"")</f>
        <v/>
      </c>
      <c r="Q112" t="str" cm="1">
        <f t="array" aca="1" ref="Q112" ca="1">IF(D112&lt;&gt;"", SUMPRODUCT((OFFSET(D112,0,0,K$16,1)=$T$24) +0),"")</f>
        <v/>
      </c>
      <c r="R112" t="str" cm="1">
        <f t="array" aca="1" ref="R112" ca="1">IF(E112&lt;&gt;"", SUMPRODUCT((OFFSET(E112,0,0,L$16,1)=$T$24) +0),"")</f>
        <v/>
      </c>
      <c r="AB112">
        <f t="shared" si="28"/>
        <v>0</v>
      </c>
      <c r="AC112">
        <f t="shared" si="29"/>
        <v>3</v>
      </c>
      <c r="AD112">
        <f t="shared" si="30"/>
        <v>3</v>
      </c>
      <c r="AE112">
        <f t="shared" si="31"/>
        <v>0</v>
      </c>
      <c r="AF112">
        <f t="shared" si="32"/>
        <v>0</v>
      </c>
      <c r="AG112">
        <f t="shared" si="33"/>
        <v>6</v>
      </c>
      <c r="AH112">
        <f t="shared" ca="1" si="34"/>
        <v>0</v>
      </c>
      <c r="AI112">
        <f>IF(ROW($AA112) - $AA$51 &lt; ($H$16+1)^5, IF(AG112 &gt;= BaseBonus!$C$16, AG112*BaseBonus!$E$31, 0), "")</f>
        <v>5.6343214877554777</v>
      </c>
      <c r="AJ112">
        <f t="shared" ca="1" si="35"/>
        <v>0</v>
      </c>
      <c r="AK112" s="44"/>
    </row>
    <row r="113" spans="8:37" x14ac:dyDescent="0.3">
      <c r="H113" t="str" cm="1">
        <f t="array" aca="1" ref="H113" ca="1">IF(ROW(A113)-H$15 &lt; H$14,A113,IF(ROW(A113) - H$15 -H$16 + 1 &lt; H$14,INDIRECT(ADDRESS(MOD(ROW(A113) - H$15, H$14) + H$15, COLUMN(A113))),""))</f>
        <v/>
      </c>
      <c r="I113" t="str" cm="1">
        <f t="array" aca="1" ref="I113" ca="1">IF(ROW(B113)-I$15 &lt; I$14,B113,IF(ROW(B113) - I$15 -I$16 + 1 &lt; I$14,INDIRECT(ADDRESS(MOD(ROW(B113) - I$15, I$14) + I$15, COLUMN(B113))),""))</f>
        <v/>
      </c>
      <c r="J113" t="str" cm="1">
        <f t="array" aca="1" ref="J113" ca="1">IF(ROW(C113)-J$15 &lt; J$14,C113,IF(ROW(C113) - J$15 -J$16 + 1 &lt; J$14,INDIRECT(ADDRESS(MOD(ROW(C113) - J$15, J$14) + J$15, COLUMN(C113))),""))</f>
        <v/>
      </c>
      <c r="K113" t="str" cm="1">
        <f t="array" aca="1" ref="K113" ca="1">IF(ROW(D113)-K$15 &lt; K$14,D113,IF(ROW(D113) - K$15 -K$16 + 1 &lt; K$14,INDIRECT(ADDRESS(MOD(ROW(D113) - K$15, K$14) + K$15, COLUMN(D113))),""))</f>
        <v/>
      </c>
      <c r="L113" t="str" cm="1">
        <f t="array" aca="1" ref="L113" ca="1">IF(ROW(E113)-L$15 &lt; L$14,E113,IF(ROW(E113) - L$15 -L$16 + 1 &lt; L$14,INDIRECT(ADDRESS(MOD(ROW(E113) - L$15, L$14) + L$15, COLUMN(E113))),""))</f>
        <v/>
      </c>
      <c r="N113" t="str" cm="1">
        <f t="array" aca="1" ref="N113" ca="1">IF(A113&lt;&gt;"", SUMPRODUCT((OFFSET(A113,0,0,H$16,1)=$T$24) +0),"")</f>
        <v/>
      </c>
      <c r="O113" t="str" cm="1">
        <f t="array" aca="1" ref="O113" ca="1">IF(B113&lt;&gt;"", SUMPRODUCT((OFFSET(B113,0,0,I$16,1)=$T$24) +0),"")</f>
        <v/>
      </c>
      <c r="P113" t="str" cm="1">
        <f t="array" aca="1" ref="P113" ca="1">IF(C113&lt;&gt;"", SUMPRODUCT((OFFSET(C113,0,0,J$16,1)=$T$24) +0),"")</f>
        <v/>
      </c>
      <c r="Q113" t="str" cm="1">
        <f t="array" aca="1" ref="Q113" ca="1">IF(D113&lt;&gt;"", SUMPRODUCT((OFFSET(D113,0,0,K$16,1)=$T$24) +0),"")</f>
        <v/>
      </c>
      <c r="R113" t="str" cm="1">
        <f t="array" aca="1" ref="R113" ca="1">IF(E113&lt;&gt;"", SUMPRODUCT((OFFSET(E113,0,0,L$16,1)=$T$24) +0),"")</f>
        <v/>
      </c>
      <c r="AB113">
        <f t="shared" si="28"/>
        <v>1</v>
      </c>
      <c r="AC113">
        <f t="shared" si="29"/>
        <v>3</v>
      </c>
      <c r="AD113">
        <f t="shared" si="30"/>
        <v>3</v>
      </c>
      <c r="AE113">
        <f t="shared" si="31"/>
        <v>0</v>
      </c>
      <c r="AF113">
        <f t="shared" si="32"/>
        <v>0</v>
      </c>
      <c r="AG113">
        <f t="shared" si="33"/>
        <v>7</v>
      </c>
      <c r="AH113">
        <f t="shared" ca="1" si="34"/>
        <v>0</v>
      </c>
      <c r="AI113">
        <f>IF(ROW($AA113) - $AA$51 &lt; ($H$16+1)^5, IF(AG113 &gt;= BaseBonus!$C$16, AG113*BaseBonus!$E$31, 0), "")</f>
        <v>6.5733750690480575</v>
      </c>
      <c r="AJ113">
        <f t="shared" ca="1" si="35"/>
        <v>0</v>
      </c>
      <c r="AK113" s="44"/>
    </row>
    <row r="114" spans="8:37" x14ac:dyDescent="0.3">
      <c r="H114" t="str" cm="1">
        <f t="array" aca="1" ref="H114" ca="1">IF(ROW(A114)-H$15 &lt; H$14,A114,IF(ROW(A114) - H$15 -H$16 + 1 &lt; H$14,INDIRECT(ADDRESS(MOD(ROW(A114) - H$15, H$14) + H$15, COLUMN(A114))),""))</f>
        <v/>
      </c>
      <c r="I114" t="str" cm="1">
        <f t="array" aca="1" ref="I114" ca="1">IF(ROW(B114)-I$15 &lt; I$14,B114,IF(ROW(B114) - I$15 -I$16 + 1 &lt; I$14,INDIRECT(ADDRESS(MOD(ROW(B114) - I$15, I$14) + I$15, COLUMN(B114))),""))</f>
        <v/>
      </c>
      <c r="J114" t="str" cm="1">
        <f t="array" aca="1" ref="J114" ca="1">IF(ROW(C114)-J$15 &lt; J$14,C114,IF(ROW(C114) - J$15 -J$16 + 1 &lt; J$14,INDIRECT(ADDRESS(MOD(ROW(C114) - J$15, J$14) + J$15, COLUMN(C114))),""))</f>
        <v/>
      </c>
      <c r="K114" t="str" cm="1">
        <f t="array" aca="1" ref="K114" ca="1">IF(ROW(D114)-K$15 &lt; K$14,D114,IF(ROW(D114) - K$15 -K$16 + 1 &lt; K$14,INDIRECT(ADDRESS(MOD(ROW(D114) - K$15, K$14) + K$15, COLUMN(D114))),""))</f>
        <v/>
      </c>
      <c r="L114" t="str" cm="1">
        <f t="array" aca="1" ref="L114" ca="1">IF(ROW(E114)-L$15 &lt; L$14,E114,IF(ROW(E114) - L$15 -L$16 + 1 &lt; L$14,INDIRECT(ADDRESS(MOD(ROW(E114) - L$15, L$14) + L$15, COLUMN(E114))),""))</f>
        <v/>
      </c>
      <c r="N114" t="str" cm="1">
        <f t="array" aca="1" ref="N114" ca="1">IF(A114&lt;&gt;"", SUMPRODUCT((OFFSET(A114,0,0,H$16,1)=$T$24) +0),"")</f>
        <v/>
      </c>
      <c r="O114" t="str" cm="1">
        <f t="array" aca="1" ref="O114" ca="1">IF(B114&lt;&gt;"", SUMPRODUCT((OFFSET(B114,0,0,I$16,1)=$T$24) +0),"")</f>
        <v/>
      </c>
      <c r="P114" t="str" cm="1">
        <f t="array" aca="1" ref="P114" ca="1">IF(C114&lt;&gt;"", SUMPRODUCT((OFFSET(C114,0,0,J$16,1)=$T$24) +0),"")</f>
        <v/>
      </c>
      <c r="Q114" t="str" cm="1">
        <f t="array" aca="1" ref="Q114" ca="1">IF(D114&lt;&gt;"", SUMPRODUCT((OFFSET(D114,0,0,K$16,1)=$T$24) +0),"")</f>
        <v/>
      </c>
      <c r="R114" t="str" cm="1">
        <f t="array" aca="1" ref="R114" ca="1">IF(E114&lt;&gt;"", SUMPRODUCT((OFFSET(E114,0,0,L$16,1)=$T$24) +0),"")</f>
        <v/>
      </c>
      <c r="AB114">
        <f t="shared" si="28"/>
        <v>2</v>
      </c>
      <c r="AC114">
        <f t="shared" si="29"/>
        <v>3</v>
      </c>
      <c r="AD114">
        <f t="shared" si="30"/>
        <v>3</v>
      </c>
      <c r="AE114">
        <f t="shared" si="31"/>
        <v>0</v>
      </c>
      <c r="AF114">
        <f t="shared" si="32"/>
        <v>0</v>
      </c>
      <c r="AG114">
        <f t="shared" si="33"/>
        <v>8</v>
      </c>
      <c r="AH114">
        <f t="shared" ca="1" si="34"/>
        <v>0</v>
      </c>
      <c r="AI114">
        <f>IF(ROW($AA114) - $AA$51 &lt; ($H$16+1)^5, IF(AG114 &gt;= BaseBonus!$C$16, AG114*BaseBonus!$E$31, 0), "")</f>
        <v>7.5124286503406372</v>
      </c>
      <c r="AJ114">
        <f t="shared" ca="1" si="35"/>
        <v>0</v>
      </c>
      <c r="AK114" s="44"/>
    </row>
    <row r="115" spans="8:37" x14ac:dyDescent="0.3">
      <c r="H115" t="str" cm="1">
        <f t="array" aca="1" ref="H115" ca="1">IF(ROW(A115)-H$15 &lt; H$14,A115,IF(ROW(A115) - H$15 -H$16 + 1 &lt; H$14,INDIRECT(ADDRESS(MOD(ROW(A115) - H$15, H$14) + H$15, COLUMN(A115))),""))</f>
        <v/>
      </c>
      <c r="I115" t="str" cm="1">
        <f t="array" aca="1" ref="I115" ca="1">IF(ROW(B115)-I$15 &lt; I$14,B115,IF(ROW(B115) - I$15 -I$16 + 1 &lt; I$14,INDIRECT(ADDRESS(MOD(ROW(B115) - I$15, I$14) + I$15, COLUMN(B115))),""))</f>
        <v/>
      </c>
      <c r="J115" t="str" cm="1">
        <f t="array" aca="1" ref="J115" ca="1">IF(ROW(C115)-J$15 &lt; J$14,C115,IF(ROW(C115) - J$15 -J$16 + 1 &lt; J$14,INDIRECT(ADDRESS(MOD(ROW(C115) - J$15, J$14) + J$15, COLUMN(C115))),""))</f>
        <v/>
      </c>
      <c r="K115" t="str" cm="1">
        <f t="array" aca="1" ref="K115" ca="1">IF(ROW(D115)-K$15 &lt; K$14,D115,IF(ROW(D115) - K$15 -K$16 + 1 &lt; K$14,INDIRECT(ADDRESS(MOD(ROW(D115) - K$15, K$14) + K$15, COLUMN(D115))),""))</f>
        <v/>
      </c>
      <c r="L115" t="str" cm="1">
        <f t="array" aca="1" ref="L115" ca="1">IF(ROW(E115)-L$15 &lt; L$14,E115,IF(ROW(E115) - L$15 -L$16 + 1 &lt; L$14,INDIRECT(ADDRESS(MOD(ROW(E115) - L$15, L$14) + L$15, COLUMN(E115))),""))</f>
        <v/>
      </c>
      <c r="N115" t="str" cm="1">
        <f t="array" aca="1" ref="N115" ca="1">IF(A115&lt;&gt;"", SUMPRODUCT((OFFSET(A115,0,0,H$16,1)=$T$24) +0),"")</f>
        <v/>
      </c>
      <c r="O115" t="str" cm="1">
        <f t="array" aca="1" ref="O115" ca="1">IF(B115&lt;&gt;"", SUMPRODUCT((OFFSET(B115,0,0,I$16,1)=$T$24) +0),"")</f>
        <v/>
      </c>
      <c r="P115" t="str" cm="1">
        <f t="array" aca="1" ref="P115" ca="1">IF(C115&lt;&gt;"", SUMPRODUCT((OFFSET(C115,0,0,J$16,1)=$T$24) +0),"")</f>
        <v/>
      </c>
      <c r="Q115" t="str" cm="1">
        <f t="array" aca="1" ref="Q115" ca="1">IF(D115&lt;&gt;"", SUMPRODUCT((OFFSET(D115,0,0,K$16,1)=$T$24) +0),"")</f>
        <v/>
      </c>
      <c r="R115" t="str" cm="1">
        <f t="array" aca="1" ref="R115" ca="1">IF(E115&lt;&gt;"", SUMPRODUCT((OFFSET(E115,0,0,L$16,1)=$T$24) +0),"")</f>
        <v/>
      </c>
      <c r="AB115">
        <f t="shared" si="28"/>
        <v>3</v>
      </c>
      <c r="AC115">
        <f t="shared" si="29"/>
        <v>3</v>
      </c>
      <c r="AD115">
        <f t="shared" si="30"/>
        <v>3</v>
      </c>
      <c r="AE115">
        <f t="shared" si="31"/>
        <v>0</v>
      </c>
      <c r="AF115">
        <f t="shared" si="32"/>
        <v>0</v>
      </c>
      <c r="AG115">
        <f t="shared" si="33"/>
        <v>9</v>
      </c>
      <c r="AH115">
        <f t="shared" ca="1" si="34"/>
        <v>0</v>
      </c>
      <c r="AI115">
        <f>IF(ROW($AA115) - $AA$51 &lt; ($H$16+1)^5, IF(AG115 &gt;= BaseBonus!$C$16, AG115*BaseBonus!$E$31, 0), "")</f>
        <v>8.4514822316332161</v>
      </c>
      <c r="AJ115">
        <f t="shared" ca="1" si="35"/>
        <v>0</v>
      </c>
      <c r="AK115" s="44"/>
    </row>
    <row r="116" spans="8:37" x14ac:dyDescent="0.3">
      <c r="H116" t="str" cm="1">
        <f t="array" aca="1" ref="H116" ca="1">IF(ROW(A116)-H$15 &lt; H$14,A116,IF(ROW(A116) - H$15 -H$16 + 1 &lt; H$14,INDIRECT(ADDRESS(MOD(ROW(A116) - H$15, H$14) + H$15, COLUMN(A116))),""))</f>
        <v/>
      </c>
      <c r="I116" t="str" cm="1">
        <f t="array" aca="1" ref="I116" ca="1">IF(ROW(B116)-I$15 &lt; I$14,B116,IF(ROW(B116) - I$15 -I$16 + 1 &lt; I$14,INDIRECT(ADDRESS(MOD(ROW(B116) - I$15, I$14) + I$15, COLUMN(B116))),""))</f>
        <v/>
      </c>
      <c r="J116" t="str" cm="1">
        <f t="array" aca="1" ref="J116" ca="1">IF(ROW(C116)-J$15 &lt; J$14,C116,IF(ROW(C116) - J$15 -J$16 + 1 &lt; J$14,INDIRECT(ADDRESS(MOD(ROW(C116) - J$15, J$14) + J$15, COLUMN(C116))),""))</f>
        <v/>
      </c>
      <c r="K116" t="str" cm="1">
        <f t="array" aca="1" ref="K116" ca="1">IF(ROW(D116)-K$15 &lt; K$14,D116,IF(ROW(D116) - K$15 -K$16 + 1 &lt; K$14,INDIRECT(ADDRESS(MOD(ROW(D116) - K$15, K$14) + K$15, COLUMN(D116))),""))</f>
        <v/>
      </c>
      <c r="L116" t="str" cm="1">
        <f t="array" aca="1" ref="L116" ca="1">IF(ROW(E116)-L$15 &lt; L$14,E116,IF(ROW(E116) - L$15 -L$16 + 1 &lt; L$14,INDIRECT(ADDRESS(MOD(ROW(E116) - L$15, L$14) + L$15, COLUMN(E116))),""))</f>
        <v/>
      </c>
      <c r="N116" t="str" cm="1">
        <f t="array" aca="1" ref="N116" ca="1">IF(A116&lt;&gt;"", SUMPRODUCT((OFFSET(A116,0,0,H$16,1)=$T$24) +0),"")</f>
        <v/>
      </c>
      <c r="O116" t="str" cm="1">
        <f t="array" aca="1" ref="O116" ca="1">IF(B116&lt;&gt;"", SUMPRODUCT((OFFSET(B116,0,0,I$16,1)=$T$24) +0),"")</f>
        <v/>
      </c>
      <c r="P116" t="str" cm="1">
        <f t="array" aca="1" ref="P116" ca="1">IF(C116&lt;&gt;"", SUMPRODUCT((OFFSET(C116,0,0,J$16,1)=$T$24) +0),"")</f>
        <v/>
      </c>
      <c r="Q116" t="str" cm="1">
        <f t="array" aca="1" ref="Q116" ca="1">IF(D116&lt;&gt;"", SUMPRODUCT((OFFSET(D116,0,0,K$16,1)=$T$24) +0),"")</f>
        <v/>
      </c>
      <c r="R116" t="str" cm="1">
        <f t="array" aca="1" ref="R116" ca="1">IF(E116&lt;&gt;"", SUMPRODUCT((OFFSET(E116,0,0,L$16,1)=$T$24) +0),"")</f>
        <v/>
      </c>
      <c r="AB116">
        <f t="shared" ref="AB116:AB179" si="37">IF(ROW()-$AA$51 &lt; (H$16+1)^5, MOD(_xlfn.FLOOR.MATH((ROW()-$AA$51)/AB$50), H$16+1), "")</f>
        <v>0</v>
      </c>
      <c r="AC116">
        <f t="shared" ref="AC116:AC179" si="38">IF(ROW()-$AA$51 &lt; (I$16+1)^5, MOD(_xlfn.FLOOR.MATH((ROW()-$AA$51)/AC$50), I$16+1), "")</f>
        <v>0</v>
      </c>
      <c r="AD116">
        <f t="shared" ref="AD116:AD179" si="39">IF(ROW()-$AA$51 &lt; (J$16+1)^5, MOD(_xlfn.FLOOR.MATH((ROW()-$AA$51)/AD$50), J$16+1), "")</f>
        <v>0</v>
      </c>
      <c r="AE116">
        <f t="shared" ref="AE116:AE179" si="40">IF(ROW()-$AA$51 &lt; (K$16+1)^5, MOD(_xlfn.FLOOR.MATH((ROW()-$AA$51)/AE$50), K$16+1), "")</f>
        <v>1</v>
      </c>
      <c r="AF116">
        <f t="shared" ref="AF116:AF179" si="41">IF(ROW()-$AA$51 &lt; (L$16+1)^5, MOD(_xlfn.FLOOR.MATH((ROW()-$AA$51)/AF$50), L$16+1), "")</f>
        <v>0</v>
      </c>
      <c r="AG116">
        <f t="shared" ref="AG116:AG179" si="42">IF(ROW($AA116) - $AA$51 &lt; ($H$16+1)^5, SUM(AB116:AF116), "")</f>
        <v>1</v>
      </c>
      <c r="AH116">
        <f t="shared" ref="AH116:AH179" ca="1" si="43">IF(ROW($AA116) - $AA$51 &lt; (4)^5,
    (_xlfn.XLOOKUP(AB116,$T$51:$T$55,U$51:U$55,0)/U$27) * (_xlfn.XLOOKUP(AC116,$T$51:$T$55,V$51:V$55,0)/V$27) * (_xlfn.XLOOKUP(AD116,$T$51:$T$55,W$51:W$55,0)/W$27) * (_xlfn.XLOOKUP(AE116,$T$51:$T$55,X$51:X$55,0)/X$27) * (_xlfn.XLOOKUP(AF116,$T$51:$T$55,Y$51:Y$55,0)/Y$27),
"")</f>
        <v>3.8320062851387726E-2</v>
      </c>
      <c r="AI116">
        <f>IF(ROW($AA116) - $AA$51 &lt; ($H$16+1)^5, IF(AG116 &gt;= BaseBonus!$C$16, AG116*BaseBonus!$E$31, 0), "")</f>
        <v>0</v>
      </c>
      <c r="AJ116">
        <f t="shared" ref="AJ116:AJ179" ca="1" si="44">IF(ROW($AA116) - $AA$51 &lt; ($H$16+1)^5, AH116*AI116, "")</f>
        <v>0</v>
      </c>
      <c r="AK116" s="44"/>
    </row>
    <row r="117" spans="8:37" x14ac:dyDescent="0.3">
      <c r="H117" t="str" cm="1">
        <f t="array" aca="1" ref="H117" ca="1">IF(ROW(A117)-H$15 &lt; H$14,A117,IF(ROW(A117) - H$15 -H$16 + 1 &lt; H$14,INDIRECT(ADDRESS(MOD(ROW(A117) - H$15, H$14) + H$15, COLUMN(A117))),""))</f>
        <v/>
      </c>
      <c r="I117" t="str" cm="1">
        <f t="array" aca="1" ref="I117" ca="1">IF(ROW(B117)-I$15 &lt; I$14,B117,IF(ROW(B117) - I$15 -I$16 + 1 &lt; I$14,INDIRECT(ADDRESS(MOD(ROW(B117) - I$15, I$14) + I$15, COLUMN(B117))),""))</f>
        <v/>
      </c>
      <c r="J117" t="str" cm="1">
        <f t="array" aca="1" ref="J117" ca="1">IF(ROW(C117)-J$15 &lt; J$14,C117,IF(ROW(C117) - J$15 -J$16 + 1 &lt; J$14,INDIRECT(ADDRESS(MOD(ROW(C117) - J$15, J$14) + J$15, COLUMN(C117))),""))</f>
        <v/>
      </c>
      <c r="K117" t="str" cm="1">
        <f t="array" aca="1" ref="K117" ca="1">IF(ROW(D117)-K$15 &lt; K$14,D117,IF(ROW(D117) - K$15 -K$16 + 1 &lt; K$14,INDIRECT(ADDRESS(MOD(ROW(D117) - K$15, K$14) + K$15, COLUMN(D117))),""))</f>
        <v/>
      </c>
      <c r="L117" t="str" cm="1">
        <f t="array" aca="1" ref="L117" ca="1">IF(ROW(E117)-L$15 &lt; L$14,E117,IF(ROW(E117) - L$15 -L$16 + 1 &lt; L$14,INDIRECT(ADDRESS(MOD(ROW(E117) - L$15, L$14) + L$15, COLUMN(E117))),""))</f>
        <v/>
      </c>
      <c r="N117" t="str" cm="1">
        <f t="array" aca="1" ref="N117" ca="1">IF(A117&lt;&gt;"", SUMPRODUCT((OFFSET(A117,0,0,H$16,1)=$T$24) +0),"")</f>
        <v/>
      </c>
      <c r="O117" t="str" cm="1">
        <f t="array" aca="1" ref="O117" ca="1">IF(B117&lt;&gt;"", SUMPRODUCT((OFFSET(B117,0,0,I$16,1)=$T$24) +0),"")</f>
        <v/>
      </c>
      <c r="P117" t="str" cm="1">
        <f t="array" aca="1" ref="P117" ca="1">IF(C117&lt;&gt;"", SUMPRODUCT((OFFSET(C117,0,0,J$16,1)=$T$24) +0),"")</f>
        <v/>
      </c>
      <c r="Q117" t="str" cm="1">
        <f t="array" aca="1" ref="Q117" ca="1">IF(D117&lt;&gt;"", SUMPRODUCT((OFFSET(D117,0,0,K$16,1)=$T$24) +0),"")</f>
        <v/>
      </c>
      <c r="R117" t="str" cm="1">
        <f t="array" aca="1" ref="R117" ca="1">IF(E117&lt;&gt;"", SUMPRODUCT((OFFSET(E117,0,0,L$16,1)=$T$24) +0),"")</f>
        <v/>
      </c>
      <c r="AB117">
        <f t="shared" si="37"/>
        <v>1</v>
      </c>
      <c r="AC117">
        <f t="shared" si="38"/>
        <v>0</v>
      </c>
      <c r="AD117">
        <f t="shared" si="39"/>
        <v>0</v>
      </c>
      <c r="AE117">
        <f t="shared" si="40"/>
        <v>1</v>
      </c>
      <c r="AF117">
        <f t="shared" si="41"/>
        <v>0</v>
      </c>
      <c r="AG117">
        <f t="shared" si="42"/>
        <v>2</v>
      </c>
      <c r="AH117">
        <f t="shared" ca="1" si="43"/>
        <v>7.1850117846351969E-3</v>
      </c>
      <c r="AI117">
        <f>IF(ROW($AA117) - $AA$51 &lt; ($H$16+1)^5, IF(AG117 &gt;= BaseBonus!$C$16, AG117*BaseBonus!$E$31, 0), "")</f>
        <v>0</v>
      </c>
      <c r="AJ117">
        <f t="shared" ca="1" si="44"/>
        <v>0</v>
      </c>
      <c r="AK117" s="44"/>
    </row>
    <row r="118" spans="8:37" x14ac:dyDescent="0.3">
      <c r="H118" t="str" cm="1">
        <f t="array" aca="1" ref="H118" ca="1">IF(ROW(A118)-H$15 &lt; H$14,A118,IF(ROW(A118) - H$15 -H$16 + 1 &lt; H$14,INDIRECT(ADDRESS(MOD(ROW(A118) - H$15, H$14) + H$15, COLUMN(A118))),""))</f>
        <v/>
      </c>
      <c r="I118" t="str" cm="1">
        <f t="array" aca="1" ref="I118" ca="1">IF(ROW(B118)-I$15 &lt; I$14,B118,IF(ROW(B118) - I$15 -I$16 + 1 &lt; I$14,INDIRECT(ADDRESS(MOD(ROW(B118) - I$15, I$14) + I$15, COLUMN(B118))),""))</f>
        <v/>
      </c>
      <c r="J118" t="str" cm="1">
        <f t="array" aca="1" ref="J118" ca="1">IF(ROW(C118)-J$15 &lt; J$14,C118,IF(ROW(C118) - J$15 -J$16 + 1 &lt; J$14,INDIRECT(ADDRESS(MOD(ROW(C118) - J$15, J$14) + J$15, COLUMN(C118))),""))</f>
        <v/>
      </c>
      <c r="K118" t="str" cm="1">
        <f t="array" aca="1" ref="K118" ca="1">IF(ROW(D118)-K$15 &lt; K$14,D118,IF(ROW(D118) - K$15 -K$16 + 1 &lt; K$14,INDIRECT(ADDRESS(MOD(ROW(D118) - K$15, K$14) + K$15, COLUMN(D118))),""))</f>
        <v/>
      </c>
      <c r="L118" t="str" cm="1">
        <f t="array" aca="1" ref="L118" ca="1">IF(ROW(E118)-L$15 &lt; L$14,E118,IF(ROW(E118) - L$15 -L$16 + 1 &lt; L$14,INDIRECT(ADDRESS(MOD(ROW(E118) - L$15, L$14) + L$15, COLUMN(E118))),""))</f>
        <v/>
      </c>
      <c r="N118" t="str" cm="1">
        <f t="array" aca="1" ref="N118" ca="1">IF(A118&lt;&gt;"", SUMPRODUCT((OFFSET(A118,0,0,H$16,1)=$T$24) +0),"")</f>
        <v/>
      </c>
      <c r="O118" t="str" cm="1">
        <f t="array" aca="1" ref="O118" ca="1">IF(B118&lt;&gt;"", SUMPRODUCT((OFFSET(B118,0,0,I$16,1)=$T$24) +0),"")</f>
        <v/>
      </c>
      <c r="P118" t="str" cm="1">
        <f t="array" aca="1" ref="P118" ca="1">IF(C118&lt;&gt;"", SUMPRODUCT((OFFSET(C118,0,0,J$16,1)=$T$24) +0),"")</f>
        <v/>
      </c>
      <c r="Q118" t="str" cm="1">
        <f t="array" aca="1" ref="Q118" ca="1">IF(D118&lt;&gt;"", SUMPRODUCT((OFFSET(D118,0,0,K$16,1)=$T$24) +0),"")</f>
        <v/>
      </c>
      <c r="R118" t="str" cm="1">
        <f t="array" aca="1" ref="R118" ca="1">IF(E118&lt;&gt;"", SUMPRODUCT((OFFSET(E118,0,0,L$16,1)=$T$24) +0),"")</f>
        <v/>
      </c>
      <c r="AB118">
        <f t="shared" si="37"/>
        <v>2</v>
      </c>
      <c r="AC118">
        <f t="shared" si="38"/>
        <v>0</v>
      </c>
      <c r="AD118">
        <f t="shared" si="39"/>
        <v>0</v>
      </c>
      <c r="AE118">
        <f t="shared" si="40"/>
        <v>1</v>
      </c>
      <c r="AF118">
        <f t="shared" si="41"/>
        <v>0</v>
      </c>
      <c r="AG118">
        <f t="shared" si="42"/>
        <v>3</v>
      </c>
      <c r="AH118">
        <f t="shared" ca="1" si="43"/>
        <v>3.5925058923175985E-3</v>
      </c>
      <c r="AI118">
        <f>IF(ROW($AA118) - $AA$51 &lt; ($H$16+1)^5, IF(AG118 &gt;= BaseBonus!$C$16, AG118*BaseBonus!$E$31, 0), "")</f>
        <v>0</v>
      </c>
      <c r="AJ118">
        <f t="shared" ca="1" si="44"/>
        <v>0</v>
      </c>
      <c r="AK118" s="44"/>
    </row>
    <row r="119" spans="8:37" x14ac:dyDescent="0.3">
      <c r="H119" t="str" cm="1">
        <f t="array" aca="1" ref="H119" ca="1">IF(ROW(A119)-H$15 &lt; H$14,A119,IF(ROW(A119) - H$15 -H$16 + 1 &lt; H$14,INDIRECT(ADDRESS(MOD(ROW(A119) - H$15, H$14) + H$15, COLUMN(A119))),""))</f>
        <v/>
      </c>
      <c r="I119" t="str" cm="1">
        <f t="array" aca="1" ref="I119" ca="1">IF(ROW(B119)-I$15 &lt; I$14,B119,IF(ROW(B119) - I$15 -I$16 + 1 &lt; I$14,INDIRECT(ADDRESS(MOD(ROW(B119) - I$15, I$14) + I$15, COLUMN(B119))),""))</f>
        <v/>
      </c>
      <c r="J119" t="str" cm="1">
        <f t="array" aca="1" ref="J119" ca="1">IF(ROW(C119)-J$15 &lt; J$14,C119,IF(ROW(C119) - J$15 -J$16 + 1 &lt; J$14,INDIRECT(ADDRESS(MOD(ROW(C119) - J$15, J$14) + J$15, COLUMN(C119))),""))</f>
        <v/>
      </c>
      <c r="K119" t="str" cm="1">
        <f t="array" aca="1" ref="K119" ca="1">IF(ROW(D119)-K$15 &lt; K$14,D119,IF(ROW(D119) - K$15 -K$16 + 1 &lt; K$14,INDIRECT(ADDRESS(MOD(ROW(D119) - K$15, K$14) + K$15, COLUMN(D119))),""))</f>
        <v/>
      </c>
      <c r="L119" t="str" cm="1">
        <f t="array" aca="1" ref="L119" ca="1">IF(ROW(E119)-L$15 &lt; L$14,E119,IF(ROW(E119) - L$15 -L$16 + 1 &lt; L$14,INDIRECT(ADDRESS(MOD(ROW(E119) - L$15, L$14) + L$15, COLUMN(E119))),""))</f>
        <v/>
      </c>
      <c r="N119" t="str" cm="1">
        <f t="array" aca="1" ref="N119" ca="1">IF(A119&lt;&gt;"", SUMPRODUCT((OFFSET(A119,0,0,H$16,1)=$T$24) +0),"")</f>
        <v/>
      </c>
      <c r="O119" t="str" cm="1">
        <f t="array" aca="1" ref="O119" ca="1">IF(B119&lt;&gt;"", SUMPRODUCT((OFFSET(B119,0,0,I$16,1)=$T$24) +0),"")</f>
        <v/>
      </c>
      <c r="P119" t="str" cm="1">
        <f t="array" aca="1" ref="P119" ca="1">IF(C119&lt;&gt;"", SUMPRODUCT((OFFSET(C119,0,0,J$16,1)=$T$24) +0),"")</f>
        <v/>
      </c>
      <c r="Q119" t="str" cm="1">
        <f t="array" aca="1" ref="Q119" ca="1">IF(D119&lt;&gt;"", SUMPRODUCT((OFFSET(D119,0,0,K$16,1)=$T$24) +0),"")</f>
        <v/>
      </c>
      <c r="R119" t="str" cm="1">
        <f t="array" aca="1" ref="R119" ca="1">IF(E119&lt;&gt;"", SUMPRODUCT((OFFSET(E119,0,0,L$16,1)=$T$24) +0),"")</f>
        <v/>
      </c>
      <c r="AB119">
        <f t="shared" si="37"/>
        <v>3</v>
      </c>
      <c r="AC119">
        <f t="shared" si="38"/>
        <v>0</v>
      </c>
      <c r="AD119">
        <f t="shared" si="39"/>
        <v>0</v>
      </c>
      <c r="AE119">
        <f t="shared" si="40"/>
        <v>1</v>
      </c>
      <c r="AF119">
        <f t="shared" si="41"/>
        <v>0</v>
      </c>
      <c r="AG119">
        <f t="shared" si="42"/>
        <v>4</v>
      </c>
      <c r="AH119">
        <f t="shared" ca="1" si="43"/>
        <v>0</v>
      </c>
      <c r="AI119">
        <f>IF(ROW($AA119) - $AA$51 &lt; ($H$16+1)^5, IF(AG119 &gt;= BaseBonus!$C$16, AG119*BaseBonus!$E$31, 0), "")</f>
        <v>0</v>
      </c>
      <c r="AJ119">
        <f t="shared" ca="1" si="44"/>
        <v>0</v>
      </c>
      <c r="AK119" s="44"/>
    </row>
    <row r="120" spans="8:37" x14ac:dyDescent="0.3">
      <c r="H120" t="str" cm="1">
        <f t="array" aca="1" ref="H120" ca="1">IF(ROW(A120)-H$15 &lt; H$14,A120,IF(ROW(A120) - H$15 -H$16 + 1 &lt; H$14,INDIRECT(ADDRESS(MOD(ROW(A120) - H$15, H$14) + H$15, COLUMN(A120))),""))</f>
        <v/>
      </c>
      <c r="I120" t="str" cm="1">
        <f t="array" aca="1" ref="I120" ca="1">IF(ROW(B120)-I$15 &lt; I$14,B120,IF(ROW(B120) - I$15 -I$16 + 1 &lt; I$14,INDIRECT(ADDRESS(MOD(ROW(B120) - I$15, I$14) + I$15, COLUMN(B120))),""))</f>
        <v/>
      </c>
      <c r="J120" t="str" cm="1">
        <f t="array" aca="1" ref="J120" ca="1">IF(ROW(C120)-J$15 &lt; J$14,C120,IF(ROW(C120) - J$15 -J$16 + 1 &lt; J$14,INDIRECT(ADDRESS(MOD(ROW(C120) - J$15, J$14) + J$15, COLUMN(C120))),""))</f>
        <v/>
      </c>
      <c r="K120" t="str" cm="1">
        <f t="array" aca="1" ref="K120" ca="1">IF(ROW(D120)-K$15 &lt; K$14,D120,IF(ROW(D120) - K$15 -K$16 + 1 &lt; K$14,INDIRECT(ADDRESS(MOD(ROW(D120) - K$15, K$14) + K$15, COLUMN(D120))),""))</f>
        <v/>
      </c>
      <c r="L120" t="str" cm="1">
        <f t="array" aca="1" ref="L120" ca="1">IF(ROW(E120)-L$15 &lt; L$14,E120,IF(ROW(E120) - L$15 -L$16 + 1 &lt; L$14,INDIRECT(ADDRESS(MOD(ROW(E120) - L$15, L$14) + L$15, COLUMN(E120))),""))</f>
        <v/>
      </c>
      <c r="N120" t="str" cm="1">
        <f t="array" aca="1" ref="N120" ca="1">IF(A120&lt;&gt;"", SUMPRODUCT((OFFSET(A120,0,0,H$16,1)=$T$24) +0),"")</f>
        <v/>
      </c>
      <c r="O120" t="str" cm="1">
        <f t="array" aca="1" ref="O120" ca="1">IF(B120&lt;&gt;"", SUMPRODUCT((OFFSET(B120,0,0,I$16,1)=$T$24) +0),"")</f>
        <v/>
      </c>
      <c r="P120" t="str" cm="1">
        <f t="array" aca="1" ref="P120" ca="1">IF(C120&lt;&gt;"", SUMPRODUCT((OFFSET(C120,0,0,J$16,1)=$T$24) +0),"")</f>
        <v/>
      </c>
      <c r="Q120" t="str" cm="1">
        <f t="array" aca="1" ref="Q120" ca="1">IF(D120&lt;&gt;"", SUMPRODUCT((OFFSET(D120,0,0,K$16,1)=$T$24) +0),"")</f>
        <v/>
      </c>
      <c r="R120" t="str" cm="1">
        <f t="array" aca="1" ref="R120" ca="1">IF(E120&lt;&gt;"", SUMPRODUCT((OFFSET(E120,0,0,L$16,1)=$T$24) +0),"")</f>
        <v/>
      </c>
      <c r="AB120">
        <f t="shared" si="37"/>
        <v>0</v>
      </c>
      <c r="AC120">
        <f t="shared" si="38"/>
        <v>1</v>
      </c>
      <c r="AD120">
        <f t="shared" si="39"/>
        <v>0</v>
      </c>
      <c r="AE120">
        <f t="shared" si="40"/>
        <v>1</v>
      </c>
      <c r="AF120">
        <f t="shared" si="41"/>
        <v>0</v>
      </c>
      <c r="AG120">
        <f t="shared" si="42"/>
        <v>2</v>
      </c>
      <c r="AH120">
        <f t="shared" ca="1" si="43"/>
        <v>1.1690866632626763E-2</v>
      </c>
      <c r="AI120">
        <f>IF(ROW($AA120) - $AA$51 &lt; ($H$16+1)^5, IF(AG120 &gt;= BaseBonus!$C$16, AG120*BaseBonus!$E$31, 0), "")</f>
        <v>0</v>
      </c>
      <c r="AJ120">
        <f t="shared" ca="1" si="44"/>
        <v>0</v>
      </c>
      <c r="AK120" s="44"/>
    </row>
    <row r="121" spans="8:37" x14ac:dyDescent="0.3">
      <c r="H121" t="str" cm="1">
        <f t="array" aca="1" ref="H121" ca="1">IF(ROW(A121)-H$15 &lt; H$14,A121,IF(ROW(A121) - H$15 -H$16 + 1 &lt; H$14,INDIRECT(ADDRESS(MOD(ROW(A121) - H$15, H$14) + H$15, COLUMN(A121))),""))</f>
        <v/>
      </c>
      <c r="I121" t="str" cm="1">
        <f t="array" aca="1" ref="I121" ca="1">IF(ROW(B121)-I$15 &lt; I$14,B121,IF(ROW(B121) - I$15 -I$16 + 1 &lt; I$14,INDIRECT(ADDRESS(MOD(ROW(B121) - I$15, I$14) + I$15, COLUMN(B121))),""))</f>
        <v/>
      </c>
      <c r="J121" t="str" cm="1">
        <f t="array" aca="1" ref="J121" ca="1">IF(ROW(C121)-J$15 &lt; J$14,C121,IF(ROW(C121) - J$15 -J$16 + 1 &lt; J$14,INDIRECT(ADDRESS(MOD(ROW(C121) - J$15, J$14) + J$15, COLUMN(C121))),""))</f>
        <v/>
      </c>
      <c r="K121" t="str" cm="1">
        <f t="array" aca="1" ref="K121" ca="1">IF(ROW(D121)-K$15 &lt; K$14,D121,IF(ROW(D121) - K$15 -K$16 + 1 &lt; K$14,INDIRECT(ADDRESS(MOD(ROW(D121) - K$15, K$14) + K$15, COLUMN(D121))),""))</f>
        <v/>
      </c>
      <c r="L121" t="str" cm="1">
        <f t="array" aca="1" ref="L121" ca="1">IF(ROW(E121)-L$15 &lt; L$14,E121,IF(ROW(E121) - L$15 -L$16 + 1 &lt; L$14,INDIRECT(ADDRESS(MOD(ROW(E121) - L$15, L$14) + L$15, COLUMN(E121))),""))</f>
        <v/>
      </c>
      <c r="N121" t="str" cm="1">
        <f t="array" aca="1" ref="N121" ca="1">IF(A121&lt;&gt;"", SUMPRODUCT((OFFSET(A121,0,0,H$16,1)=$T$24) +0),"")</f>
        <v/>
      </c>
      <c r="O121" t="str" cm="1">
        <f t="array" aca="1" ref="O121" ca="1">IF(B121&lt;&gt;"", SUMPRODUCT((OFFSET(B121,0,0,I$16,1)=$T$24) +0),"")</f>
        <v/>
      </c>
      <c r="P121" t="str" cm="1">
        <f t="array" aca="1" ref="P121" ca="1">IF(C121&lt;&gt;"", SUMPRODUCT((OFFSET(C121,0,0,J$16,1)=$T$24) +0),"")</f>
        <v/>
      </c>
      <c r="Q121" t="str" cm="1">
        <f t="array" aca="1" ref="Q121" ca="1">IF(D121&lt;&gt;"", SUMPRODUCT((OFFSET(D121,0,0,K$16,1)=$T$24) +0),"")</f>
        <v/>
      </c>
      <c r="R121" t="str" cm="1">
        <f t="array" aca="1" ref="R121" ca="1">IF(E121&lt;&gt;"", SUMPRODUCT((OFFSET(E121,0,0,L$16,1)=$T$24) +0),"")</f>
        <v/>
      </c>
      <c r="AB121">
        <f t="shared" si="37"/>
        <v>1</v>
      </c>
      <c r="AC121">
        <f t="shared" si="38"/>
        <v>1</v>
      </c>
      <c r="AD121">
        <f t="shared" si="39"/>
        <v>0</v>
      </c>
      <c r="AE121">
        <f t="shared" si="40"/>
        <v>1</v>
      </c>
      <c r="AF121">
        <f t="shared" si="41"/>
        <v>0</v>
      </c>
      <c r="AG121">
        <f t="shared" si="42"/>
        <v>3</v>
      </c>
      <c r="AH121">
        <f t="shared" ca="1" si="43"/>
        <v>2.1920374936175184E-3</v>
      </c>
      <c r="AI121">
        <f>IF(ROW($AA121) - $AA$51 &lt; ($H$16+1)^5, IF(AG121 &gt;= BaseBonus!$C$16, AG121*BaseBonus!$E$31, 0), "")</f>
        <v>0</v>
      </c>
      <c r="AJ121">
        <f t="shared" ca="1" si="44"/>
        <v>0</v>
      </c>
      <c r="AK121" s="44"/>
    </row>
    <row r="122" spans="8:37" x14ac:dyDescent="0.3">
      <c r="H122" t="str" cm="1">
        <f t="array" aca="1" ref="H122" ca="1">IF(ROW(A122)-H$15 &lt; H$14,A122,IF(ROW(A122) - H$15 -H$16 + 1 &lt; H$14,INDIRECT(ADDRESS(MOD(ROW(A122) - H$15, H$14) + H$15, COLUMN(A122))),""))</f>
        <v/>
      </c>
      <c r="I122" t="str" cm="1">
        <f t="array" aca="1" ref="I122" ca="1">IF(ROW(B122)-I$15 &lt; I$14,B122,IF(ROW(B122) - I$15 -I$16 + 1 &lt; I$14,INDIRECT(ADDRESS(MOD(ROW(B122) - I$15, I$14) + I$15, COLUMN(B122))),""))</f>
        <v/>
      </c>
      <c r="J122" t="str" cm="1">
        <f t="array" aca="1" ref="J122" ca="1">IF(ROW(C122)-J$15 &lt; J$14,C122,IF(ROW(C122) - J$15 -J$16 + 1 &lt; J$14,INDIRECT(ADDRESS(MOD(ROW(C122) - J$15, J$14) + J$15, COLUMN(C122))),""))</f>
        <v/>
      </c>
      <c r="K122" t="str" cm="1">
        <f t="array" aca="1" ref="K122" ca="1">IF(ROW(D122)-K$15 &lt; K$14,D122,IF(ROW(D122) - K$15 -K$16 + 1 &lt; K$14,INDIRECT(ADDRESS(MOD(ROW(D122) - K$15, K$14) + K$15, COLUMN(D122))),""))</f>
        <v/>
      </c>
      <c r="L122" t="str" cm="1">
        <f t="array" aca="1" ref="L122" ca="1">IF(ROW(E122)-L$15 &lt; L$14,E122,IF(ROW(E122) - L$15 -L$16 + 1 &lt; L$14,INDIRECT(ADDRESS(MOD(ROW(E122) - L$15, L$14) + L$15, COLUMN(E122))),""))</f>
        <v/>
      </c>
      <c r="N122" t="str" cm="1">
        <f t="array" aca="1" ref="N122" ca="1">IF(A122&lt;&gt;"", SUMPRODUCT((OFFSET(A122,0,0,H$16,1)=$T$24) +0),"")</f>
        <v/>
      </c>
      <c r="O122" t="str" cm="1">
        <f t="array" aca="1" ref="O122" ca="1">IF(B122&lt;&gt;"", SUMPRODUCT((OFFSET(B122,0,0,I$16,1)=$T$24) +0),"")</f>
        <v/>
      </c>
      <c r="P122" t="str" cm="1">
        <f t="array" aca="1" ref="P122" ca="1">IF(C122&lt;&gt;"", SUMPRODUCT((OFFSET(C122,0,0,J$16,1)=$T$24) +0),"")</f>
        <v/>
      </c>
      <c r="Q122" t="str" cm="1">
        <f t="array" aca="1" ref="Q122" ca="1">IF(D122&lt;&gt;"", SUMPRODUCT((OFFSET(D122,0,0,K$16,1)=$T$24) +0),"")</f>
        <v/>
      </c>
      <c r="R122" t="str" cm="1">
        <f t="array" aca="1" ref="R122" ca="1">IF(E122&lt;&gt;"", SUMPRODUCT((OFFSET(E122,0,0,L$16,1)=$T$24) +0),"")</f>
        <v/>
      </c>
      <c r="AB122">
        <f t="shared" si="37"/>
        <v>2</v>
      </c>
      <c r="AC122">
        <f t="shared" si="38"/>
        <v>1</v>
      </c>
      <c r="AD122">
        <f t="shared" si="39"/>
        <v>0</v>
      </c>
      <c r="AE122">
        <f t="shared" si="40"/>
        <v>1</v>
      </c>
      <c r="AF122">
        <f t="shared" si="41"/>
        <v>0</v>
      </c>
      <c r="AG122">
        <f t="shared" si="42"/>
        <v>4</v>
      </c>
      <c r="AH122">
        <f t="shared" ca="1" si="43"/>
        <v>1.0960187468087592E-3</v>
      </c>
      <c r="AI122">
        <f>IF(ROW($AA122) - $AA$51 &lt; ($H$16+1)^5, IF(AG122 &gt;= BaseBonus!$C$16, AG122*BaseBonus!$E$31, 0), "")</f>
        <v>0</v>
      </c>
      <c r="AJ122">
        <f t="shared" ca="1" si="44"/>
        <v>0</v>
      </c>
      <c r="AK122" s="44"/>
    </row>
    <row r="123" spans="8:37" x14ac:dyDescent="0.3">
      <c r="H123" t="str" cm="1">
        <f t="array" aca="1" ref="H123" ca="1">IF(ROW(A123)-H$15 &lt; H$14,A123,IF(ROW(A123) - H$15 -H$16 + 1 &lt; H$14,INDIRECT(ADDRESS(MOD(ROW(A123) - H$15, H$14) + H$15, COLUMN(A123))),""))</f>
        <v/>
      </c>
      <c r="I123" t="str" cm="1">
        <f t="array" aca="1" ref="I123" ca="1">IF(ROW(B123)-I$15 &lt; I$14,B123,IF(ROW(B123) - I$15 -I$16 + 1 &lt; I$14,INDIRECT(ADDRESS(MOD(ROW(B123) - I$15, I$14) + I$15, COLUMN(B123))),""))</f>
        <v/>
      </c>
      <c r="J123" t="str" cm="1">
        <f t="array" aca="1" ref="J123" ca="1">IF(ROW(C123)-J$15 &lt; J$14,C123,IF(ROW(C123) - J$15 -J$16 + 1 &lt; J$14,INDIRECT(ADDRESS(MOD(ROW(C123) - J$15, J$14) + J$15, COLUMN(C123))),""))</f>
        <v/>
      </c>
      <c r="K123" t="str" cm="1">
        <f t="array" aca="1" ref="K123" ca="1">IF(ROW(D123)-K$15 &lt; K$14,D123,IF(ROW(D123) - K$15 -K$16 + 1 &lt; K$14,INDIRECT(ADDRESS(MOD(ROW(D123) - K$15, K$14) + K$15, COLUMN(D123))),""))</f>
        <v/>
      </c>
      <c r="L123" t="str" cm="1">
        <f t="array" aca="1" ref="L123" ca="1">IF(ROW(E123)-L$15 &lt; L$14,E123,IF(ROW(E123) - L$15 -L$16 + 1 &lt; L$14,INDIRECT(ADDRESS(MOD(ROW(E123) - L$15, L$14) + L$15, COLUMN(E123))),""))</f>
        <v/>
      </c>
      <c r="N123" t="str" cm="1">
        <f t="array" aca="1" ref="N123" ca="1">IF(A123&lt;&gt;"", SUMPRODUCT((OFFSET(A123,0,0,H$16,1)=$T$24) +0),"")</f>
        <v/>
      </c>
      <c r="O123" t="str" cm="1">
        <f t="array" aca="1" ref="O123" ca="1">IF(B123&lt;&gt;"", SUMPRODUCT((OFFSET(B123,0,0,I$16,1)=$T$24) +0),"")</f>
        <v/>
      </c>
      <c r="P123" t="str" cm="1">
        <f t="array" aca="1" ref="P123" ca="1">IF(C123&lt;&gt;"", SUMPRODUCT((OFFSET(C123,0,0,J$16,1)=$T$24) +0),"")</f>
        <v/>
      </c>
      <c r="Q123" t="str" cm="1">
        <f t="array" aca="1" ref="Q123" ca="1">IF(D123&lt;&gt;"", SUMPRODUCT((OFFSET(D123,0,0,K$16,1)=$T$24) +0),"")</f>
        <v/>
      </c>
      <c r="R123" t="str" cm="1">
        <f t="array" aca="1" ref="R123" ca="1">IF(E123&lt;&gt;"", SUMPRODUCT((OFFSET(E123,0,0,L$16,1)=$T$24) +0),"")</f>
        <v/>
      </c>
      <c r="AB123">
        <f t="shared" si="37"/>
        <v>3</v>
      </c>
      <c r="AC123">
        <f t="shared" si="38"/>
        <v>1</v>
      </c>
      <c r="AD123">
        <f t="shared" si="39"/>
        <v>0</v>
      </c>
      <c r="AE123">
        <f t="shared" si="40"/>
        <v>1</v>
      </c>
      <c r="AF123">
        <f t="shared" si="41"/>
        <v>0</v>
      </c>
      <c r="AG123">
        <f t="shared" si="42"/>
        <v>5</v>
      </c>
      <c r="AH123">
        <f t="shared" ca="1" si="43"/>
        <v>0</v>
      </c>
      <c r="AI123">
        <f>IF(ROW($AA123) - $AA$51 &lt; ($H$16+1)^5, IF(AG123 &gt;= BaseBonus!$C$16, AG123*BaseBonus!$E$31, 0), "")</f>
        <v>4.6952679064628979</v>
      </c>
      <c r="AJ123">
        <f t="shared" ca="1" si="44"/>
        <v>0</v>
      </c>
      <c r="AK123" s="44"/>
    </row>
    <row r="124" spans="8:37" x14ac:dyDescent="0.3">
      <c r="H124" t="str" cm="1">
        <f t="array" aca="1" ref="H124" ca="1">IF(ROW(A124)-H$15 &lt; H$14,A124,IF(ROW(A124) - H$15 -H$16 + 1 &lt; H$14,INDIRECT(ADDRESS(MOD(ROW(A124) - H$15, H$14) + H$15, COLUMN(A124))),""))</f>
        <v/>
      </c>
      <c r="I124" t="str" cm="1">
        <f t="array" aca="1" ref="I124" ca="1">IF(ROW(B124)-I$15 &lt; I$14,B124,IF(ROW(B124) - I$15 -I$16 + 1 &lt; I$14,INDIRECT(ADDRESS(MOD(ROW(B124) - I$15, I$14) + I$15, COLUMN(B124))),""))</f>
        <v/>
      </c>
      <c r="J124" t="str" cm="1">
        <f t="array" aca="1" ref="J124" ca="1">IF(ROW(C124)-J$15 &lt; J$14,C124,IF(ROW(C124) - J$15 -J$16 + 1 &lt; J$14,INDIRECT(ADDRESS(MOD(ROW(C124) - J$15, J$14) + J$15, COLUMN(C124))),""))</f>
        <v/>
      </c>
      <c r="K124" t="str" cm="1">
        <f t="array" aca="1" ref="K124" ca="1">IF(ROW(D124)-K$15 &lt; K$14,D124,IF(ROW(D124) - K$15 -K$16 + 1 &lt; K$14,INDIRECT(ADDRESS(MOD(ROW(D124) - K$15, K$14) + K$15, COLUMN(D124))),""))</f>
        <v/>
      </c>
      <c r="L124" t="str" cm="1">
        <f t="array" aca="1" ref="L124" ca="1">IF(ROW(E124)-L$15 &lt; L$14,E124,IF(ROW(E124) - L$15 -L$16 + 1 &lt; L$14,INDIRECT(ADDRESS(MOD(ROW(E124) - L$15, L$14) + L$15, COLUMN(E124))),""))</f>
        <v/>
      </c>
      <c r="N124" t="str" cm="1">
        <f t="array" aca="1" ref="N124" ca="1">IF(A124&lt;&gt;"", SUMPRODUCT((OFFSET(A124,0,0,H$16,1)=$T$24) +0),"")</f>
        <v/>
      </c>
      <c r="O124" t="str" cm="1">
        <f t="array" aca="1" ref="O124" ca="1">IF(B124&lt;&gt;"", SUMPRODUCT((OFFSET(B124,0,0,I$16,1)=$T$24) +0),"")</f>
        <v/>
      </c>
      <c r="P124" t="str" cm="1">
        <f t="array" aca="1" ref="P124" ca="1">IF(C124&lt;&gt;"", SUMPRODUCT((OFFSET(C124,0,0,J$16,1)=$T$24) +0),"")</f>
        <v/>
      </c>
      <c r="Q124" t="str" cm="1">
        <f t="array" aca="1" ref="Q124" ca="1">IF(D124&lt;&gt;"", SUMPRODUCT((OFFSET(D124,0,0,K$16,1)=$T$24) +0),"")</f>
        <v/>
      </c>
      <c r="R124" t="str" cm="1">
        <f t="array" aca="1" ref="R124" ca="1">IF(E124&lt;&gt;"", SUMPRODUCT((OFFSET(E124,0,0,L$16,1)=$T$24) +0),"")</f>
        <v/>
      </c>
      <c r="AB124">
        <f t="shared" si="37"/>
        <v>0</v>
      </c>
      <c r="AC124">
        <f t="shared" si="38"/>
        <v>2</v>
      </c>
      <c r="AD124">
        <f t="shared" si="39"/>
        <v>0</v>
      </c>
      <c r="AE124">
        <f t="shared" si="40"/>
        <v>1</v>
      </c>
      <c r="AF124">
        <f t="shared" si="41"/>
        <v>0</v>
      </c>
      <c r="AG124">
        <f t="shared" si="42"/>
        <v>3</v>
      </c>
      <c r="AH124">
        <f t="shared" ca="1" si="43"/>
        <v>1.9484777721044606E-3</v>
      </c>
      <c r="AI124">
        <f>IF(ROW($AA124) - $AA$51 &lt; ($H$16+1)^5, IF(AG124 &gt;= BaseBonus!$C$16, AG124*BaseBonus!$E$31, 0), "")</f>
        <v>0</v>
      </c>
      <c r="AJ124">
        <f t="shared" ca="1" si="44"/>
        <v>0</v>
      </c>
      <c r="AK124" s="44"/>
    </row>
    <row r="125" spans="8:37" x14ac:dyDescent="0.3">
      <c r="H125" t="str" cm="1">
        <f t="array" aca="1" ref="H125" ca="1">IF(ROW(A125)-H$15 &lt; H$14,A125,IF(ROW(A125) - H$15 -H$16 + 1 &lt; H$14,INDIRECT(ADDRESS(MOD(ROW(A125) - H$15, H$14) + H$15, COLUMN(A125))),""))</f>
        <v/>
      </c>
      <c r="I125" t="str" cm="1">
        <f t="array" aca="1" ref="I125" ca="1">IF(ROW(B125)-I$15 &lt; I$14,B125,IF(ROW(B125) - I$15 -I$16 + 1 &lt; I$14,INDIRECT(ADDRESS(MOD(ROW(B125) - I$15, I$14) + I$15, COLUMN(B125))),""))</f>
        <v/>
      </c>
      <c r="J125" t="str" cm="1">
        <f t="array" aca="1" ref="J125" ca="1">IF(ROW(C125)-J$15 &lt; J$14,C125,IF(ROW(C125) - J$15 -J$16 + 1 &lt; J$14,INDIRECT(ADDRESS(MOD(ROW(C125) - J$15, J$14) + J$15, COLUMN(C125))),""))</f>
        <v/>
      </c>
      <c r="K125" t="str" cm="1">
        <f t="array" aca="1" ref="K125" ca="1">IF(ROW(D125)-K$15 &lt; K$14,D125,IF(ROW(D125) - K$15 -K$16 + 1 &lt; K$14,INDIRECT(ADDRESS(MOD(ROW(D125) - K$15, K$14) + K$15, COLUMN(D125))),""))</f>
        <v/>
      </c>
      <c r="L125" t="str" cm="1">
        <f t="array" aca="1" ref="L125" ca="1">IF(ROW(E125)-L$15 &lt; L$14,E125,IF(ROW(E125) - L$15 -L$16 + 1 &lt; L$14,INDIRECT(ADDRESS(MOD(ROW(E125) - L$15, L$14) + L$15, COLUMN(E125))),""))</f>
        <v/>
      </c>
      <c r="N125" t="str" cm="1">
        <f t="array" aca="1" ref="N125" ca="1">IF(A125&lt;&gt;"", SUMPRODUCT((OFFSET(A125,0,0,H$16,1)=$T$24) +0),"")</f>
        <v/>
      </c>
      <c r="O125" t="str" cm="1">
        <f t="array" aca="1" ref="O125" ca="1">IF(B125&lt;&gt;"", SUMPRODUCT((OFFSET(B125,0,0,I$16,1)=$T$24) +0),"")</f>
        <v/>
      </c>
      <c r="P125" t="str" cm="1">
        <f t="array" aca="1" ref="P125" ca="1">IF(C125&lt;&gt;"", SUMPRODUCT((OFFSET(C125,0,0,J$16,1)=$T$24) +0),"")</f>
        <v/>
      </c>
      <c r="Q125" t="str" cm="1">
        <f t="array" aca="1" ref="Q125" ca="1">IF(D125&lt;&gt;"", SUMPRODUCT((OFFSET(D125,0,0,K$16,1)=$T$24) +0),"")</f>
        <v/>
      </c>
      <c r="R125" t="str" cm="1">
        <f t="array" aca="1" ref="R125" ca="1">IF(E125&lt;&gt;"", SUMPRODUCT((OFFSET(E125,0,0,L$16,1)=$T$24) +0),"")</f>
        <v/>
      </c>
      <c r="AB125">
        <f t="shared" si="37"/>
        <v>1</v>
      </c>
      <c r="AC125">
        <f t="shared" si="38"/>
        <v>2</v>
      </c>
      <c r="AD125">
        <f t="shared" si="39"/>
        <v>0</v>
      </c>
      <c r="AE125">
        <f t="shared" si="40"/>
        <v>1</v>
      </c>
      <c r="AF125">
        <f t="shared" si="41"/>
        <v>0</v>
      </c>
      <c r="AG125">
        <f t="shared" si="42"/>
        <v>4</v>
      </c>
      <c r="AH125">
        <f t="shared" ca="1" si="43"/>
        <v>3.6533958226958629E-4</v>
      </c>
      <c r="AI125">
        <f>IF(ROW($AA125) - $AA$51 &lt; ($H$16+1)^5, IF(AG125 &gt;= BaseBonus!$C$16, AG125*BaseBonus!$E$31, 0), "")</f>
        <v>0</v>
      </c>
      <c r="AJ125">
        <f t="shared" ca="1" si="44"/>
        <v>0</v>
      </c>
      <c r="AK125" s="44"/>
    </row>
    <row r="126" spans="8:37" x14ac:dyDescent="0.3">
      <c r="H126" t="str" cm="1">
        <f t="array" aca="1" ref="H126" ca="1">IF(ROW(A126)-H$15 &lt; H$14,A126,IF(ROW(A126) - H$15 -H$16 + 1 &lt; H$14,INDIRECT(ADDRESS(MOD(ROW(A126) - H$15, H$14) + H$15, COLUMN(A126))),""))</f>
        <v/>
      </c>
      <c r="I126" t="str" cm="1">
        <f t="array" aca="1" ref="I126" ca="1">IF(ROW(B126)-I$15 &lt; I$14,B126,IF(ROW(B126) - I$15 -I$16 + 1 &lt; I$14,INDIRECT(ADDRESS(MOD(ROW(B126) - I$15, I$14) + I$15, COLUMN(B126))),""))</f>
        <v/>
      </c>
      <c r="J126" t="str" cm="1">
        <f t="array" aca="1" ref="J126" ca="1">IF(ROW(C126)-J$15 &lt; J$14,C126,IF(ROW(C126) - J$15 -J$16 + 1 &lt; J$14,INDIRECT(ADDRESS(MOD(ROW(C126) - J$15, J$14) + J$15, COLUMN(C126))),""))</f>
        <v/>
      </c>
      <c r="K126" t="str" cm="1">
        <f t="array" aca="1" ref="K126" ca="1">IF(ROW(D126)-K$15 &lt; K$14,D126,IF(ROW(D126) - K$15 -K$16 + 1 &lt; K$14,INDIRECT(ADDRESS(MOD(ROW(D126) - K$15, K$14) + K$15, COLUMN(D126))),""))</f>
        <v/>
      </c>
      <c r="L126" t="str" cm="1">
        <f t="array" aca="1" ref="L126" ca="1">IF(ROW(E126)-L$15 &lt; L$14,E126,IF(ROW(E126) - L$15 -L$16 + 1 &lt; L$14,INDIRECT(ADDRESS(MOD(ROW(E126) - L$15, L$14) + L$15, COLUMN(E126))),""))</f>
        <v/>
      </c>
      <c r="N126" t="str" cm="1">
        <f t="array" aca="1" ref="N126" ca="1">IF(A126&lt;&gt;"", SUMPRODUCT((OFFSET(A126,0,0,H$16,1)=$T$24) +0),"")</f>
        <v/>
      </c>
      <c r="O126" t="str" cm="1">
        <f t="array" aca="1" ref="O126" ca="1">IF(B126&lt;&gt;"", SUMPRODUCT((OFFSET(B126,0,0,I$16,1)=$T$24) +0),"")</f>
        <v/>
      </c>
      <c r="P126" t="str" cm="1">
        <f t="array" aca="1" ref="P126" ca="1">IF(C126&lt;&gt;"", SUMPRODUCT((OFFSET(C126,0,0,J$16,1)=$T$24) +0),"")</f>
        <v/>
      </c>
      <c r="Q126" t="str" cm="1">
        <f t="array" aca="1" ref="Q126" ca="1">IF(D126&lt;&gt;"", SUMPRODUCT((OFFSET(D126,0,0,K$16,1)=$T$24) +0),"")</f>
        <v/>
      </c>
      <c r="R126" t="str" cm="1">
        <f t="array" aca="1" ref="R126" ca="1">IF(E126&lt;&gt;"", SUMPRODUCT((OFFSET(E126,0,0,L$16,1)=$T$24) +0),"")</f>
        <v/>
      </c>
      <c r="AB126">
        <f t="shared" si="37"/>
        <v>2</v>
      </c>
      <c r="AC126">
        <f t="shared" si="38"/>
        <v>2</v>
      </c>
      <c r="AD126">
        <f t="shared" si="39"/>
        <v>0</v>
      </c>
      <c r="AE126">
        <f t="shared" si="40"/>
        <v>1</v>
      </c>
      <c r="AF126">
        <f t="shared" si="41"/>
        <v>0</v>
      </c>
      <c r="AG126">
        <f t="shared" si="42"/>
        <v>5</v>
      </c>
      <c r="AH126">
        <f t="shared" ca="1" si="43"/>
        <v>1.8266979113479314E-4</v>
      </c>
      <c r="AI126">
        <f>IF(ROW($AA126) - $AA$51 &lt; ($H$16+1)^5, IF(AG126 &gt;= BaseBonus!$C$16, AG126*BaseBonus!$E$31, 0), "")</f>
        <v>4.6952679064628979</v>
      </c>
      <c r="AJ126">
        <f t="shared" ca="1" si="44"/>
        <v>8.5768360779547501E-4</v>
      </c>
      <c r="AK126" s="44"/>
    </row>
    <row r="127" spans="8:37" x14ac:dyDescent="0.3">
      <c r="H127" t="str" cm="1">
        <f t="array" aca="1" ref="H127" ca="1">IF(ROW(A127)-H$15 &lt; H$14,A127,IF(ROW(A127) - H$15 -H$16 + 1 &lt; H$14,INDIRECT(ADDRESS(MOD(ROW(A127) - H$15, H$14) + H$15, COLUMN(A127))),""))</f>
        <v/>
      </c>
      <c r="I127" t="str" cm="1">
        <f t="array" aca="1" ref="I127" ca="1">IF(ROW(B127)-I$15 &lt; I$14,B127,IF(ROW(B127) - I$15 -I$16 + 1 &lt; I$14,INDIRECT(ADDRESS(MOD(ROW(B127) - I$15, I$14) + I$15, COLUMN(B127))),""))</f>
        <v/>
      </c>
      <c r="J127" t="str" cm="1">
        <f t="array" aca="1" ref="J127" ca="1">IF(ROW(C127)-J$15 &lt; J$14,C127,IF(ROW(C127) - J$15 -J$16 + 1 &lt; J$14,INDIRECT(ADDRESS(MOD(ROW(C127) - J$15, J$14) + J$15, COLUMN(C127))),""))</f>
        <v/>
      </c>
      <c r="K127" t="str" cm="1">
        <f t="array" aca="1" ref="K127" ca="1">IF(ROW(D127)-K$15 &lt; K$14,D127,IF(ROW(D127) - K$15 -K$16 + 1 &lt; K$14,INDIRECT(ADDRESS(MOD(ROW(D127) - K$15, K$14) + K$15, COLUMN(D127))),""))</f>
        <v/>
      </c>
      <c r="L127" t="str" cm="1">
        <f t="array" aca="1" ref="L127" ca="1">IF(ROW(E127)-L$15 &lt; L$14,E127,IF(ROW(E127) - L$15 -L$16 + 1 &lt; L$14,INDIRECT(ADDRESS(MOD(ROW(E127) - L$15, L$14) + L$15, COLUMN(E127))),""))</f>
        <v/>
      </c>
      <c r="N127" t="str" cm="1">
        <f t="array" aca="1" ref="N127" ca="1">IF(A127&lt;&gt;"", SUMPRODUCT((OFFSET(A127,0,0,H$16,1)=$T$24) +0),"")</f>
        <v/>
      </c>
      <c r="O127" t="str" cm="1">
        <f t="array" aca="1" ref="O127" ca="1">IF(B127&lt;&gt;"", SUMPRODUCT((OFFSET(B127,0,0,I$16,1)=$T$24) +0),"")</f>
        <v/>
      </c>
      <c r="P127" t="str" cm="1">
        <f t="array" aca="1" ref="P127" ca="1">IF(C127&lt;&gt;"", SUMPRODUCT((OFFSET(C127,0,0,J$16,1)=$T$24) +0),"")</f>
        <v/>
      </c>
      <c r="Q127" t="str" cm="1">
        <f t="array" aca="1" ref="Q127" ca="1">IF(D127&lt;&gt;"", SUMPRODUCT((OFFSET(D127,0,0,K$16,1)=$T$24) +0),"")</f>
        <v/>
      </c>
      <c r="R127" t="str" cm="1">
        <f t="array" aca="1" ref="R127" ca="1">IF(E127&lt;&gt;"", SUMPRODUCT((OFFSET(E127,0,0,L$16,1)=$T$24) +0),"")</f>
        <v/>
      </c>
      <c r="AB127">
        <f t="shared" si="37"/>
        <v>3</v>
      </c>
      <c r="AC127">
        <f t="shared" si="38"/>
        <v>2</v>
      </c>
      <c r="AD127">
        <f t="shared" si="39"/>
        <v>0</v>
      </c>
      <c r="AE127">
        <f t="shared" si="40"/>
        <v>1</v>
      </c>
      <c r="AF127">
        <f t="shared" si="41"/>
        <v>0</v>
      </c>
      <c r="AG127">
        <f t="shared" si="42"/>
        <v>6</v>
      </c>
      <c r="AH127">
        <f t="shared" ca="1" si="43"/>
        <v>0</v>
      </c>
      <c r="AI127">
        <f>IF(ROW($AA127) - $AA$51 &lt; ($H$16+1)^5, IF(AG127 &gt;= BaseBonus!$C$16, AG127*BaseBonus!$E$31, 0), "")</f>
        <v>5.6343214877554777</v>
      </c>
      <c r="AJ127">
        <f t="shared" ca="1" si="44"/>
        <v>0</v>
      </c>
      <c r="AK127" s="44"/>
    </row>
    <row r="128" spans="8:37" x14ac:dyDescent="0.3">
      <c r="H128" t="str" cm="1">
        <f t="array" aca="1" ref="H128" ca="1">IF(ROW(A128)-H$15 &lt; H$14,A128,IF(ROW(A128) - H$15 -H$16 + 1 &lt; H$14,INDIRECT(ADDRESS(MOD(ROW(A128) - H$15, H$14) + H$15, COLUMN(A128))),""))</f>
        <v/>
      </c>
      <c r="I128" t="str" cm="1">
        <f t="array" aca="1" ref="I128" ca="1">IF(ROW(B128)-I$15 &lt; I$14,B128,IF(ROW(B128) - I$15 -I$16 + 1 &lt; I$14,INDIRECT(ADDRESS(MOD(ROW(B128) - I$15, I$14) + I$15, COLUMN(B128))),""))</f>
        <v/>
      </c>
      <c r="J128" t="str" cm="1">
        <f t="array" aca="1" ref="J128" ca="1">IF(ROW(C128)-J$15 &lt; J$14,C128,IF(ROW(C128) - J$15 -J$16 + 1 &lt; J$14,INDIRECT(ADDRESS(MOD(ROW(C128) - J$15, J$14) + J$15, COLUMN(C128))),""))</f>
        <v/>
      </c>
      <c r="K128" t="str" cm="1">
        <f t="array" aca="1" ref="K128" ca="1">IF(ROW(D128)-K$15 &lt; K$14,D128,IF(ROW(D128) - K$15 -K$16 + 1 &lt; K$14,INDIRECT(ADDRESS(MOD(ROW(D128) - K$15, K$14) + K$15, COLUMN(D128))),""))</f>
        <v/>
      </c>
      <c r="L128" t="str" cm="1">
        <f t="array" aca="1" ref="L128" ca="1">IF(ROW(E128)-L$15 &lt; L$14,E128,IF(ROW(E128) - L$15 -L$16 + 1 &lt; L$14,INDIRECT(ADDRESS(MOD(ROW(E128) - L$15, L$14) + L$15, COLUMN(E128))),""))</f>
        <v/>
      </c>
      <c r="N128" t="str" cm="1">
        <f t="array" aca="1" ref="N128" ca="1">IF(A128&lt;&gt;"", SUMPRODUCT((OFFSET(A128,0,0,H$16,1)=$T$24) +0),"")</f>
        <v/>
      </c>
      <c r="O128" t="str" cm="1">
        <f t="array" aca="1" ref="O128" ca="1">IF(B128&lt;&gt;"", SUMPRODUCT((OFFSET(B128,0,0,I$16,1)=$T$24) +0),"")</f>
        <v/>
      </c>
      <c r="P128" t="str" cm="1">
        <f t="array" aca="1" ref="P128" ca="1">IF(C128&lt;&gt;"", SUMPRODUCT((OFFSET(C128,0,0,J$16,1)=$T$24) +0),"")</f>
        <v/>
      </c>
      <c r="Q128" t="str" cm="1">
        <f t="array" aca="1" ref="Q128" ca="1">IF(D128&lt;&gt;"", SUMPRODUCT((OFFSET(D128,0,0,K$16,1)=$T$24) +0),"")</f>
        <v/>
      </c>
      <c r="R128" t="str" cm="1">
        <f t="array" aca="1" ref="R128" ca="1">IF(E128&lt;&gt;"", SUMPRODUCT((OFFSET(E128,0,0,L$16,1)=$T$24) +0),"")</f>
        <v/>
      </c>
      <c r="AB128">
        <f t="shared" si="37"/>
        <v>0</v>
      </c>
      <c r="AC128">
        <f t="shared" si="38"/>
        <v>3</v>
      </c>
      <c r="AD128">
        <f t="shared" si="39"/>
        <v>0</v>
      </c>
      <c r="AE128">
        <f t="shared" si="40"/>
        <v>1</v>
      </c>
      <c r="AF128">
        <f t="shared" si="41"/>
        <v>0</v>
      </c>
      <c r="AG128">
        <f t="shared" si="42"/>
        <v>4</v>
      </c>
      <c r="AH128">
        <f t="shared" ca="1" si="43"/>
        <v>0</v>
      </c>
      <c r="AI128">
        <f>IF(ROW($AA128) - $AA$51 &lt; ($H$16+1)^5, IF(AG128 &gt;= BaseBonus!$C$16, AG128*BaseBonus!$E$31, 0), "")</f>
        <v>0</v>
      </c>
      <c r="AJ128">
        <f t="shared" ca="1" si="44"/>
        <v>0</v>
      </c>
      <c r="AK128" s="44"/>
    </row>
    <row r="129" spans="8:37" x14ac:dyDescent="0.3">
      <c r="H129" t="str" cm="1">
        <f t="array" aca="1" ref="H129" ca="1">IF(ROW(A129)-H$15 &lt; H$14,A129,IF(ROW(A129) - H$15 -H$16 + 1 &lt; H$14,INDIRECT(ADDRESS(MOD(ROW(A129) - H$15, H$14) + H$15, COLUMN(A129))),""))</f>
        <v/>
      </c>
      <c r="I129" t="str" cm="1">
        <f t="array" aca="1" ref="I129" ca="1">IF(ROW(B129)-I$15 &lt; I$14,B129,IF(ROW(B129) - I$15 -I$16 + 1 &lt; I$14,INDIRECT(ADDRESS(MOD(ROW(B129) - I$15, I$14) + I$15, COLUMN(B129))),""))</f>
        <v/>
      </c>
      <c r="J129" t="str" cm="1">
        <f t="array" aca="1" ref="J129" ca="1">IF(ROW(C129)-J$15 &lt; J$14,C129,IF(ROW(C129) - J$15 -J$16 + 1 &lt; J$14,INDIRECT(ADDRESS(MOD(ROW(C129) - J$15, J$14) + J$15, COLUMN(C129))),""))</f>
        <v/>
      </c>
      <c r="K129" t="str" cm="1">
        <f t="array" aca="1" ref="K129" ca="1">IF(ROW(D129)-K$15 &lt; K$14,D129,IF(ROW(D129) - K$15 -K$16 + 1 &lt; K$14,INDIRECT(ADDRESS(MOD(ROW(D129) - K$15, K$14) + K$15, COLUMN(D129))),""))</f>
        <v/>
      </c>
      <c r="L129" t="str" cm="1">
        <f t="array" aca="1" ref="L129" ca="1">IF(ROW(E129)-L$15 &lt; L$14,E129,IF(ROW(E129) - L$15 -L$16 + 1 &lt; L$14,INDIRECT(ADDRESS(MOD(ROW(E129) - L$15, L$14) + L$15, COLUMN(E129))),""))</f>
        <v/>
      </c>
      <c r="N129" t="str" cm="1">
        <f t="array" aca="1" ref="N129" ca="1">IF(A129&lt;&gt;"", SUMPRODUCT((OFFSET(A129,0,0,H$16,1)=$T$24) +0),"")</f>
        <v/>
      </c>
      <c r="O129" t="str" cm="1">
        <f t="array" aca="1" ref="O129" ca="1">IF(B129&lt;&gt;"", SUMPRODUCT((OFFSET(B129,0,0,I$16,1)=$T$24) +0),"")</f>
        <v/>
      </c>
      <c r="P129" t="str" cm="1">
        <f t="array" aca="1" ref="P129" ca="1">IF(C129&lt;&gt;"", SUMPRODUCT((OFFSET(C129,0,0,J$16,1)=$T$24) +0),"")</f>
        <v/>
      </c>
      <c r="Q129" t="str" cm="1">
        <f t="array" aca="1" ref="Q129" ca="1">IF(D129&lt;&gt;"", SUMPRODUCT((OFFSET(D129,0,0,K$16,1)=$T$24) +0),"")</f>
        <v/>
      </c>
      <c r="R129" t="str" cm="1">
        <f t="array" aca="1" ref="R129" ca="1">IF(E129&lt;&gt;"", SUMPRODUCT((OFFSET(E129,0,0,L$16,1)=$T$24) +0),"")</f>
        <v/>
      </c>
      <c r="AB129">
        <f t="shared" si="37"/>
        <v>1</v>
      </c>
      <c r="AC129">
        <f t="shared" si="38"/>
        <v>3</v>
      </c>
      <c r="AD129">
        <f t="shared" si="39"/>
        <v>0</v>
      </c>
      <c r="AE129">
        <f t="shared" si="40"/>
        <v>1</v>
      </c>
      <c r="AF129">
        <f t="shared" si="41"/>
        <v>0</v>
      </c>
      <c r="AG129">
        <f t="shared" si="42"/>
        <v>5</v>
      </c>
      <c r="AH129">
        <f t="shared" ca="1" si="43"/>
        <v>0</v>
      </c>
      <c r="AI129">
        <f>IF(ROW($AA129) - $AA$51 &lt; ($H$16+1)^5, IF(AG129 &gt;= BaseBonus!$C$16, AG129*BaseBonus!$E$31, 0), "")</f>
        <v>4.6952679064628979</v>
      </c>
      <c r="AJ129">
        <f t="shared" ca="1" si="44"/>
        <v>0</v>
      </c>
      <c r="AK129" s="44"/>
    </row>
    <row r="130" spans="8:37" x14ac:dyDescent="0.3">
      <c r="H130" t="str" cm="1">
        <f t="array" aca="1" ref="H130" ca="1">IF(ROW(A130)-H$15 &lt; H$14,A130,IF(ROW(A130) - H$15 -H$16 + 1 &lt; H$14,INDIRECT(ADDRESS(MOD(ROW(A130) - H$15, H$14) + H$15, COLUMN(A130))),""))</f>
        <v/>
      </c>
      <c r="I130" t="str" cm="1">
        <f t="array" aca="1" ref="I130" ca="1">IF(ROW(B130)-I$15 &lt; I$14,B130,IF(ROW(B130) - I$15 -I$16 + 1 &lt; I$14,INDIRECT(ADDRESS(MOD(ROW(B130) - I$15, I$14) + I$15, COLUMN(B130))),""))</f>
        <v/>
      </c>
      <c r="J130" t="str" cm="1">
        <f t="array" aca="1" ref="J130" ca="1">IF(ROW(C130)-J$15 &lt; J$14,C130,IF(ROW(C130) - J$15 -J$16 + 1 &lt; J$14,INDIRECT(ADDRESS(MOD(ROW(C130) - J$15, J$14) + J$15, COLUMN(C130))),""))</f>
        <v/>
      </c>
      <c r="K130" t="str" cm="1">
        <f t="array" aca="1" ref="K130" ca="1">IF(ROW(D130)-K$15 &lt; K$14,D130,IF(ROW(D130) - K$15 -K$16 + 1 &lt; K$14,INDIRECT(ADDRESS(MOD(ROW(D130) - K$15, K$14) + K$15, COLUMN(D130))),""))</f>
        <v/>
      </c>
      <c r="L130" t="str" cm="1">
        <f t="array" aca="1" ref="L130" ca="1">IF(ROW(E130)-L$15 &lt; L$14,E130,IF(ROW(E130) - L$15 -L$16 + 1 &lt; L$14,INDIRECT(ADDRESS(MOD(ROW(E130) - L$15, L$14) + L$15, COLUMN(E130))),""))</f>
        <v/>
      </c>
      <c r="N130" t="str" cm="1">
        <f t="array" aca="1" ref="N130" ca="1">IF(A130&lt;&gt;"", SUMPRODUCT((OFFSET(A130,0,0,H$16,1)=$T$24) +0),"")</f>
        <v/>
      </c>
      <c r="O130" t="str" cm="1">
        <f t="array" aca="1" ref="O130" ca="1">IF(B130&lt;&gt;"", SUMPRODUCT((OFFSET(B130,0,0,I$16,1)=$T$24) +0),"")</f>
        <v/>
      </c>
      <c r="P130" t="str" cm="1">
        <f t="array" aca="1" ref="P130" ca="1">IF(C130&lt;&gt;"", SUMPRODUCT((OFFSET(C130,0,0,J$16,1)=$T$24) +0),"")</f>
        <v/>
      </c>
      <c r="Q130" t="str" cm="1">
        <f t="array" aca="1" ref="Q130" ca="1">IF(D130&lt;&gt;"", SUMPRODUCT((OFFSET(D130,0,0,K$16,1)=$T$24) +0),"")</f>
        <v/>
      </c>
      <c r="R130" t="str" cm="1">
        <f t="array" aca="1" ref="R130" ca="1">IF(E130&lt;&gt;"", SUMPRODUCT((OFFSET(E130,0,0,L$16,1)=$T$24) +0),"")</f>
        <v/>
      </c>
      <c r="AB130">
        <f t="shared" si="37"/>
        <v>2</v>
      </c>
      <c r="AC130">
        <f t="shared" si="38"/>
        <v>3</v>
      </c>
      <c r="AD130">
        <f t="shared" si="39"/>
        <v>0</v>
      </c>
      <c r="AE130">
        <f t="shared" si="40"/>
        <v>1</v>
      </c>
      <c r="AF130">
        <f t="shared" si="41"/>
        <v>0</v>
      </c>
      <c r="AG130">
        <f t="shared" si="42"/>
        <v>6</v>
      </c>
      <c r="AH130">
        <f t="shared" ca="1" si="43"/>
        <v>0</v>
      </c>
      <c r="AI130">
        <f>IF(ROW($AA130) - $AA$51 &lt; ($H$16+1)^5, IF(AG130 &gt;= BaseBonus!$C$16, AG130*BaseBonus!$E$31, 0), "")</f>
        <v>5.6343214877554777</v>
      </c>
      <c r="AJ130">
        <f t="shared" ca="1" si="44"/>
        <v>0</v>
      </c>
      <c r="AK130" s="44"/>
    </row>
    <row r="131" spans="8:37" x14ac:dyDescent="0.3">
      <c r="H131" t="str" cm="1">
        <f t="array" aca="1" ref="H131" ca="1">IF(ROW(A131)-H$15 &lt; H$14,A131,IF(ROW(A131) - H$15 -H$16 + 1 &lt; H$14,INDIRECT(ADDRESS(MOD(ROW(A131) - H$15, H$14) + H$15, COLUMN(A131))),""))</f>
        <v/>
      </c>
      <c r="I131" t="str" cm="1">
        <f t="array" aca="1" ref="I131" ca="1">IF(ROW(B131)-I$15 &lt; I$14,B131,IF(ROW(B131) - I$15 -I$16 + 1 &lt; I$14,INDIRECT(ADDRESS(MOD(ROW(B131) - I$15, I$14) + I$15, COLUMN(B131))),""))</f>
        <v/>
      </c>
      <c r="J131" t="str" cm="1">
        <f t="array" aca="1" ref="J131" ca="1">IF(ROW(C131)-J$15 &lt; J$14,C131,IF(ROW(C131) - J$15 -J$16 + 1 &lt; J$14,INDIRECT(ADDRESS(MOD(ROW(C131) - J$15, J$14) + J$15, COLUMN(C131))),""))</f>
        <v/>
      </c>
      <c r="K131" t="str" cm="1">
        <f t="array" aca="1" ref="K131" ca="1">IF(ROW(D131)-K$15 &lt; K$14,D131,IF(ROW(D131) - K$15 -K$16 + 1 &lt; K$14,INDIRECT(ADDRESS(MOD(ROW(D131) - K$15, K$14) + K$15, COLUMN(D131))),""))</f>
        <v/>
      </c>
      <c r="L131" t="str" cm="1">
        <f t="array" aca="1" ref="L131" ca="1">IF(ROW(E131)-L$15 &lt; L$14,E131,IF(ROW(E131) - L$15 -L$16 + 1 &lt; L$14,INDIRECT(ADDRESS(MOD(ROW(E131) - L$15, L$14) + L$15, COLUMN(E131))),""))</f>
        <v/>
      </c>
      <c r="N131" t="str" cm="1">
        <f t="array" aca="1" ref="N131" ca="1">IF(A131&lt;&gt;"", SUMPRODUCT((OFFSET(A131,0,0,H$16,1)=$T$24) +0),"")</f>
        <v/>
      </c>
      <c r="O131" t="str" cm="1">
        <f t="array" aca="1" ref="O131" ca="1">IF(B131&lt;&gt;"", SUMPRODUCT((OFFSET(B131,0,0,I$16,1)=$T$24) +0),"")</f>
        <v/>
      </c>
      <c r="P131" t="str" cm="1">
        <f t="array" aca="1" ref="P131" ca="1">IF(C131&lt;&gt;"", SUMPRODUCT((OFFSET(C131,0,0,J$16,1)=$T$24) +0),"")</f>
        <v/>
      </c>
      <c r="Q131" t="str" cm="1">
        <f t="array" aca="1" ref="Q131" ca="1">IF(D131&lt;&gt;"", SUMPRODUCT((OFFSET(D131,0,0,K$16,1)=$T$24) +0),"")</f>
        <v/>
      </c>
      <c r="R131" t="str" cm="1">
        <f t="array" aca="1" ref="R131" ca="1">IF(E131&lt;&gt;"", SUMPRODUCT((OFFSET(E131,0,0,L$16,1)=$T$24) +0),"")</f>
        <v/>
      </c>
      <c r="AB131">
        <f t="shared" si="37"/>
        <v>3</v>
      </c>
      <c r="AC131">
        <f t="shared" si="38"/>
        <v>3</v>
      </c>
      <c r="AD131">
        <f t="shared" si="39"/>
        <v>0</v>
      </c>
      <c r="AE131">
        <f t="shared" si="40"/>
        <v>1</v>
      </c>
      <c r="AF131">
        <f t="shared" si="41"/>
        <v>0</v>
      </c>
      <c r="AG131">
        <f t="shared" si="42"/>
        <v>7</v>
      </c>
      <c r="AH131">
        <f t="shared" ca="1" si="43"/>
        <v>0</v>
      </c>
      <c r="AI131">
        <f>IF(ROW($AA131) - $AA$51 &lt; ($H$16+1)^5, IF(AG131 &gt;= BaseBonus!$C$16, AG131*BaseBonus!$E$31, 0), "")</f>
        <v>6.5733750690480575</v>
      </c>
      <c r="AJ131">
        <f t="shared" ca="1" si="44"/>
        <v>0</v>
      </c>
      <c r="AK131" s="44"/>
    </row>
    <row r="132" spans="8:37" x14ac:dyDescent="0.3">
      <c r="H132" t="str" cm="1">
        <f t="array" aca="1" ref="H132" ca="1">IF(ROW(A132)-H$15 &lt; H$14,A132,IF(ROW(A132) - H$15 -H$16 + 1 &lt; H$14,INDIRECT(ADDRESS(MOD(ROW(A132) - H$15, H$14) + H$15, COLUMN(A132))),""))</f>
        <v/>
      </c>
      <c r="I132" t="str" cm="1">
        <f t="array" aca="1" ref="I132" ca="1">IF(ROW(B132)-I$15 &lt; I$14,B132,IF(ROW(B132) - I$15 -I$16 + 1 &lt; I$14,INDIRECT(ADDRESS(MOD(ROW(B132) - I$15, I$14) + I$15, COLUMN(B132))),""))</f>
        <v/>
      </c>
      <c r="J132" t="str" cm="1">
        <f t="array" aca="1" ref="J132" ca="1">IF(ROW(C132)-J$15 &lt; J$14,C132,IF(ROW(C132) - J$15 -J$16 + 1 &lt; J$14,INDIRECT(ADDRESS(MOD(ROW(C132) - J$15, J$14) + J$15, COLUMN(C132))),""))</f>
        <v/>
      </c>
      <c r="K132" t="str" cm="1">
        <f t="array" aca="1" ref="K132" ca="1">IF(ROW(D132)-K$15 &lt; K$14,D132,IF(ROW(D132) - K$15 -K$16 + 1 &lt; K$14,INDIRECT(ADDRESS(MOD(ROW(D132) - K$15, K$14) + K$15, COLUMN(D132))),""))</f>
        <v/>
      </c>
      <c r="L132" t="str" cm="1">
        <f t="array" aca="1" ref="L132" ca="1">IF(ROW(E132)-L$15 &lt; L$14,E132,IF(ROW(E132) - L$15 -L$16 + 1 &lt; L$14,INDIRECT(ADDRESS(MOD(ROW(E132) - L$15, L$14) + L$15, COLUMN(E132))),""))</f>
        <v/>
      </c>
      <c r="N132" t="str" cm="1">
        <f t="array" aca="1" ref="N132" ca="1">IF(A132&lt;&gt;"", SUMPRODUCT((OFFSET(A132,0,0,H$16,1)=$T$24) +0),"")</f>
        <v/>
      </c>
      <c r="O132" t="str" cm="1">
        <f t="array" aca="1" ref="O132" ca="1">IF(B132&lt;&gt;"", SUMPRODUCT((OFFSET(B132,0,0,I$16,1)=$T$24) +0),"")</f>
        <v/>
      </c>
      <c r="P132" t="str" cm="1">
        <f t="array" aca="1" ref="P132" ca="1">IF(C132&lt;&gt;"", SUMPRODUCT((OFFSET(C132,0,0,J$16,1)=$T$24) +0),"")</f>
        <v/>
      </c>
      <c r="Q132" t="str" cm="1">
        <f t="array" aca="1" ref="Q132" ca="1">IF(D132&lt;&gt;"", SUMPRODUCT((OFFSET(D132,0,0,K$16,1)=$T$24) +0),"")</f>
        <v/>
      </c>
      <c r="R132" t="str" cm="1">
        <f t="array" aca="1" ref="R132" ca="1">IF(E132&lt;&gt;"", SUMPRODUCT((OFFSET(E132,0,0,L$16,1)=$T$24) +0),"")</f>
        <v/>
      </c>
      <c r="AB132">
        <f t="shared" si="37"/>
        <v>0</v>
      </c>
      <c r="AC132">
        <f t="shared" si="38"/>
        <v>0</v>
      </c>
      <c r="AD132">
        <f t="shared" si="39"/>
        <v>1</v>
      </c>
      <c r="AE132">
        <f t="shared" si="40"/>
        <v>1</v>
      </c>
      <c r="AF132">
        <f t="shared" si="41"/>
        <v>0</v>
      </c>
      <c r="AG132">
        <f t="shared" si="42"/>
        <v>2</v>
      </c>
      <c r="AH132">
        <f t="shared" ca="1" si="43"/>
        <v>8.794768523269313E-3</v>
      </c>
      <c r="AI132">
        <f>IF(ROW($AA132) - $AA$51 &lt; ($H$16+1)^5, IF(AG132 &gt;= BaseBonus!$C$16, AG132*BaseBonus!$E$31, 0), "")</f>
        <v>0</v>
      </c>
      <c r="AJ132">
        <f t="shared" ca="1" si="44"/>
        <v>0</v>
      </c>
      <c r="AK132" s="44"/>
    </row>
    <row r="133" spans="8:37" x14ac:dyDescent="0.3">
      <c r="H133" t="str" cm="1">
        <f t="array" aca="1" ref="H133" ca="1">IF(ROW(A133)-H$15 &lt; H$14,A133,IF(ROW(A133) - H$15 -H$16 + 1 &lt; H$14,INDIRECT(ADDRESS(MOD(ROW(A133) - H$15, H$14) + H$15, COLUMN(A133))),""))</f>
        <v/>
      </c>
      <c r="I133" t="str" cm="1">
        <f t="array" aca="1" ref="I133" ca="1">IF(ROW(B133)-I$15 &lt; I$14,B133,IF(ROW(B133) - I$15 -I$16 + 1 &lt; I$14,INDIRECT(ADDRESS(MOD(ROW(B133) - I$15, I$14) + I$15, COLUMN(B133))),""))</f>
        <v/>
      </c>
      <c r="J133" t="str" cm="1">
        <f t="array" aca="1" ref="J133" ca="1">IF(ROW(C133)-J$15 &lt; J$14,C133,IF(ROW(C133) - J$15 -J$16 + 1 &lt; J$14,INDIRECT(ADDRESS(MOD(ROW(C133) - J$15, J$14) + J$15, COLUMN(C133))),""))</f>
        <v/>
      </c>
      <c r="K133" t="str" cm="1">
        <f t="array" aca="1" ref="K133" ca="1">IF(ROW(D133)-K$15 &lt; K$14,D133,IF(ROW(D133) - K$15 -K$16 + 1 &lt; K$14,INDIRECT(ADDRESS(MOD(ROW(D133) - K$15, K$14) + K$15, COLUMN(D133))),""))</f>
        <v/>
      </c>
      <c r="L133" t="str" cm="1">
        <f t="array" aca="1" ref="L133" ca="1">IF(ROW(E133)-L$15 &lt; L$14,E133,IF(ROW(E133) - L$15 -L$16 + 1 &lt; L$14,INDIRECT(ADDRESS(MOD(ROW(E133) - L$15, L$14) + L$15, COLUMN(E133))),""))</f>
        <v/>
      </c>
      <c r="N133" t="str" cm="1">
        <f t="array" aca="1" ref="N133" ca="1">IF(A133&lt;&gt;"", SUMPRODUCT((OFFSET(A133,0,0,H$16,1)=$T$24) +0),"")</f>
        <v/>
      </c>
      <c r="O133" t="str" cm="1">
        <f t="array" aca="1" ref="O133" ca="1">IF(B133&lt;&gt;"", SUMPRODUCT((OFFSET(B133,0,0,I$16,1)=$T$24) +0),"")</f>
        <v/>
      </c>
      <c r="P133" t="str" cm="1">
        <f t="array" aca="1" ref="P133" ca="1">IF(C133&lt;&gt;"", SUMPRODUCT((OFFSET(C133,0,0,J$16,1)=$T$24) +0),"")</f>
        <v/>
      </c>
      <c r="Q133" t="str" cm="1">
        <f t="array" aca="1" ref="Q133" ca="1">IF(D133&lt;&gt;"", SUMPRODUCT((OFFSET(D133,0,0,K$16,1)=$T$24) +0),"")</f>
        <v/>
      </c>
      <c r="R133" t="str" cm="1">
        <f t="array" aca="1" ref="R133" ca="1">IF(E133&lt;&gt;"", SUMPRODUCT((OFFSET(E133,0,0,L$16,1)=$T$24) +0),"")</f>
        <v/>
      </c>
      <c r="AB133">
        <f t="shared" si="37"/>
        <v>1</v>
      </c>
      <c r="AC133">
        <f t="shared" si="38"/>
        <v>0</v>
      </c>
      <c r="AD133">
        <f t="shared" si="39"/>
        <v>1</v>
      </c>
      <c r="AE133">
        <f t="shared" si="40"/>
        <v>1</v>
      </c>
      <c r="AF133">
        <f t="shared" si="41"/>
        <v>0</v>
      </c>
      <c r="AG133">
        <f t="shared" si="42"/>
        <v>3</v>
      </c>
      <c r="AH133">
        <f t="shared" ca="1" si="43"/>
        <v>1.6490190981129967E-3</v>
      </c>
      <c r="AI133">
        <f>IF(ROW($AA133) - $AA$51 &lt; ($H$16+1)^5, IF(AG133 &gt;= BaseBonus!$C$16, AG133*BaseBonus!$E$31, 0), "")</f>
        <v>0</v>
      </c>
      <c r="AJ133">
        <f t="shared" ca="1" si="44"/>
        <v>0</v>
      </c>
      <c r="AK133" s="44"/>
    </row>
    <row r="134" spans="8:37" x14ac:dyDescent="0.3">
      <c r="H134" t="str" cm="1">
        <f t="array" aca="1" ref="H134" ca="1">IF(ROW(A134)-H$15 &lt; H$14,A134,IF(ROW(A134) - H$15 -H$16 + 1 &lt; H$14,INDIRECT(ADDRESS(MOD(ROW(A134) - H$15, H$14) + H$15, COLUMN(A134))),""))</f>
        <v/>
      </c>
      <c r="I134" t="str" cm="1">
        <f t="array" aca="1" ref="I134" ca="1">IF(ROW(B134)-I$15 &lt; I$14,B134,IF(ROW(B134) - I$15 -I$16 + 1 &lt; I$14,INDIRECT(ADDRESS(MOD(ROW(B134) - I$15, I$14) + I$15, COLUMN(B134))),""))</f>
        <v/>
      </c>
      <c r="J134" t="str" cm="1">
        <f t="array" aca="1" ref="J134" ca="1">IF(ROW(C134)-J$15 &lt; J$14,C134,IF(ROW(C134) - J$15 -J$16 + 1 &lt; J$14,INDIRECT(ADDRESS(MOD(ROW(C134) - J$15, J$14) + J$15, COLUMN(C134))),""))</f>
        <v/>
      </c>
      <c r="K134" t="str" cm="1">
        <f t="array" aca="1" ref="K134" ca="1">IF(ROW(D134)-K$15 &lt; K$14,D134,IF(ROW(D134) - K$15 -K$16 + 1 &lt; K$14,INDIRECT(ADDRESS(MOD(ROW(D134) - K$15, K$14) + K$15, COLUMN(D134))),""))</f>
        <v/>
      </c>
      <c r="L134" t="str" cm="1">
        <f t="array" aca="1" ref="L134" ca="1">IF(ROW(E134)-L$15 &lt; L$14,E134,IF(ROW(E134) - L$15 -L$16 + 1 &lt; L$14,INDIRECT(ADDRESS(MOD(ROW(E134) - L$15, L$14) + L$15, COLUMN(E134))),""))</f>
        <v/>
      </c>
      <c r="N134" t="str" cm="1">
        <f t="array" aca="1" ref="N134" ca="1">IF(A134&lt;&gt;"", SUMPRODUCT((OFFSET(A134,0,0,H$16,1)=$T$24) +0),"")</f>
        <v/>
      </c>
      <c r="O134" t="str" cm="1">
        <f t="array" aca="1" ref="O134" ca="1">IF(B134&lt;&gt;"", SUMPRODUCT((OFFSET(B134,0,0,I$16,1)=$T$24) +0),"")</f>
        <v/>
      </c>
      <c r="P134" t="str" cm="1">
        <f t="array" aca="1" ref="P134" ca="1">IF(C134&lt;&gt;"", SUMPRODUCT((OFFSET(C134,0,0,J$16,1)=$T$24) +0),"")</f>
        <v/>
      </c>
      <c r="Q134" t="str" cm="1">
        <f t="array" aca="1" ref="Q134" ca="1">IF(D134&lt;&gt;"", SUMPRODUCT((OFFSET(D134,0,0,K$16,1)=$T$24) +0),"")</f>
        <v/>
      </c>
      <c r="R134" t="str" cm="1">
        <f t="array" aca="1" ref="R134" ca="1">IF(E134&lt;&gt;"", SUMPRODUCT((OFFSET(E134,0,0,L$16,1)=$T$24) +0),"")</f>
        <v/>
      </c>
      <c r="AB134">
        <f t="shared" si="37"/>
        <v>2</v>
      </c>
      <c r="AC134">
        <f t="shared" si="38"/>
        <v>0</v>
      </c>
      <c r="AD134">
        <f t="shared" si="39"/>
        <v>1</v>
      </c>
      <c r="AE134">
        <f t="shared" si="40"/>
        <v>1</v>
      </c>
      <c r="AF134">
        <f t="shared" si="41"/>
        <v>0</v>
      </c>
      <c r="AG134">
        <f t="shared" si="42"/>
        <v>4</v>
      </c>
      <c r="AH134">
        <f t="shared" ca="1" si="43"/>
        <v>8.2450954905649836E-4</v>
      </c>
      <c r="AI134">
        <f>IF(ROW($AA134) - $AA$51 &lt; ($H$16+1)^5, IF(AG134 &gt;= BaseBonus!$C$16, AG134*BaseBonus!$E$31, 0), "")</f>
        <v>0</v>
      </c>
      <c r="AJ134">
        <f t="shared" ca="1" si="44"/>
        <v>0</v>
      </c>
      <c r="AK134" s="44"/>
    </row>
    <row r="135" spans="8:37" x14ac:dyDescent="0.3">
      <c r="H135" t="str" cm="1">
        <f t="array" aca="1" ref="H135" ca="1">IF(ROW(A135)-H$15 &lt; H$14,A135,IF(ROW(A135) - H$15 -H$16 + 1 &lt; H$14,INDIRECT(ADDRESS(MOD(ROW(A135) - H$15, H$14) + H$15, COLUMN(A135))),""))</f>
        <v/>
      </c>
      <c r="I135" t="str" cm="1">
        <f t="array" aca="1" ref="I135" ca="1">IF(ROW(B135)-I$15 &lt; I$14,B135,IF(ROW(B135) - I$15 -I$16 + 1 &lt; I$14,INDIRECT(ADDRESS(MOD(ROW(B135) - I$15, I$14) + I$15, COLUMN(B135))),""))</f>
        <v/>
      </c>
      <c r="J135" t="str" cm="1">
        <f t="array" aca="1" ref="J135" ca="1">IF(ROW(C135)-J$15 &lt; J$14,C135,IF(ROW(C135) - J$15 -J$16 + 1 &lt; J$14,INDIRECT(ADDRESS(MOD(ROW(C135) - J$15, J$14) + J$15, COLUMN(C135))),""))</f>
        <v/>
      </c>
      <c r="K135" t="str" cm="1">
        <f t="array" aca="1" ref="K135" ca="1">IF(ROW(D135)-K$15 &lt; K$14,D135,IF(ROW(D135) - K$15 -K$16 + 1 &lt; K$14,INDIRECT(ADDRESS(MOD(ROW(D135) - K$15, K$14) + K$15, COLUMN(D135))),""))</f>
        <v/>
      </c>
      <c r="L135" t="str" cm="1">
        <f t="array" aca="1" ref="L135" ca="1">IF(ROW(E135)-L$15 &lt; L$14,E135,IF(ROW(E135) - L$15 -L$16 + 1 &lt; L$14,INDIRECT(ADDRESS(MOD(ROW(E135) - L$15, L$14) + L$15, COLUMN(E135))),""))</f>
        <v/>
      </c>
      <c r="N135" t="str" cm="1">
        <f t="array" aca="1" ref="N135" ca="1">IF(A135&lt;&gt;"", SUMPRODUCT((OFFSET(A135,0,0,H$16,1)=$T$24) +0),"")</f>
        <v/>
      </c>
      <c r="O135" t="str" cm="1">
        <f t="array" aca="1" ref="O135" ca="1">IF(B135&lt;&gt;"", SUMPRODUCT((OFFSET(B135,0,0,I$16,1)=$T$24) +0),"")</f>
        <v/>
      </c>
      <c r="P135" t="str" cm="1">
        <f t="array" aca="1" ref="P135" ca="1">IF(C135&lt;&gt;"", SUMPRODUCT((OFFSET(C135,0,0,J$16,1)=$T$24) +0),"")</f>
        <v/>
      </c>
      <c r="Q135" t="str" cm="1">
        <f t="array" aca="1" ref="Q135" ca="1">IF(D135&lt;&gt;"", SUMPRODUCT((OFFSET(D135,0,0,K$16,1)=$T$24) +0),"")</f>
        <v/>
      </c>
      <c r="R135" t="str" cm="1">
        <f t="array" aca="1" ref="R135" ca="1">IF(E135&lt;&gt;"", SUMPRODUCT((OFFSET(E135,0,0,L$16,1)=$T$24) +0),"")</f>
        <v/>
      </c>
      <c r="AB135">
        <f t="shared" si="37"/>
        <v>3</v>
      </c>
      <c r="AC135">
        <f t="shared" si="38"/>
        <v>0</v>
      </c>
      <c r="AD135">
        <f t="shared" si="39"/>
        <v>1</v>
      </c>
      <c r="AE135">
        <f t="shared" si="40"/>
        <v>1</v>
      </c>
      <c r="AF135">
        <f t="shared" si="41"/>
        <v>0</v>
      </c>
      <c r="AG135">
        <f t="shared" si="42"/>
        <v>5</v>
      </c>
      <c r="AH135">
        <f t="shared" ca="1" si="43"/>
        <v>0</v>
      </c>
      <c r="AI135">
        <f>IF(ROW($AA135) - $AA$51 &lt; ($H$16+1)^5, IF(AG135 &gt;= BaseBonus!$C$16, AG135*BaseBonus!$E$31, 0), "")</f>
        <v>4.6952679064628979</v>
      </c>
      <c r="AJ135">
        <f t="shared" ca="1" si="44"/>
        <v>0</v>
      </c>
      <c r="AK135" s="44"/>
    </row>
    <row r="136" spans="8:37" x14ac:dyDescent="0.3">
      <c r="H136" t="str" cm="1">
        <f t="array" aca="1" ref="H136" ca="1">IF(ROW(A136)-H$15 &lt; H$14,A136,IF(ROW(A136) - H$15 -H$16 + 1 &lt; H$14,INDIRECT(ADDRESS(MOD(ROW(A136) - H$15, H$14) + H$15, COLUMN(A136))),""))</f>
        <v/>
      </c>
      <c r="I136" t="str" cm="1">
        <f t="array" aca="1" ref="I136" ca="1">IF(ROW(B136)-I$15 &lt; I$14,B136,IF(ROW(B136) - I$15 -I$16 + 1 &lt; I$14,INDIRECT(ADDRESS(MOD(ROW(B136) - I$15, I$14) + I$15, COLUMN(B136))),""))</f>
        <v/>
      </c>
      <c r="J136" t="str" cm="1">
        <f t="array" aca="1" ref="J136" ca="1">IF(ROW(C136)-J$15 &lt; J$14,C136,IF(ROW(C136) - J$15 -J$16 + 1 &lt; J$14,INDIRECT(ADDRESS(MOD(ROW(C136) - J$15, J$14) + J$15, COLUMN(C136))),""))</f>
        <v/>
      </c>
      <c r="K136" t="str" cm="1">
        <f t="array" aca="1" ref="K136" ca="1">IF(ROW(D136)-K$15 &lt; K$14,D136,IF(ROW(D136) - K$15 -K$16 + 1 &lt; K$14,INDIRECT(ADDRESS(MOD(ROW(D136) - K$15, K$14) + K$15, COLUMN(D136))),""))</f>
        <v/>
      </c>
      <c r="L136" t="str" cm="1">
        <f t="array" aca="1" ref="L136" ca="1">IF(ROW(E136)-L$15 &lt; L$14,E136,IF(ROW(E136) - L$15 -L$16 + 1 &lt; L$14,INDIRECT(ADDRESS(MOD(ROW(E136) - L$15, L$14) + L$15, COLUMN(E136))),""))</f>
        <v/>
      </c>
      <c r="N136" t="str" cm="1">
        <f t="array" aca="1" ref="N136" ca="1">IF(A136&lt;&gt;"", SUMPRODUCT((OFFSET(A136,0,0,H$16,1)=$T$24) +0),"")</f>
        <v/>
      </c>
      <c r="O136" t="str" cm="1">
        <f t="array" aca="1" ref="O136" ca="1">IF(B136&lt;&gt;"", SUMPRODUCT((OFFSET(B136,0,0,I$16,1)=$T$24) +0),"")</f>
        <v/>
      </c>
      <c r="P136" t="str" cm="1">
        <f t="array" aca="1" ref="P136" ca="1">IF(C136&lt;&gt;"", SUMPRODUCT((OFFSET(C136,0,0,J$16,1)=$T$24) +0),"")</f>
        <v/>
      </c>
      <c r="Q136" t="str" cm="1">
        <f t="array" aca="1" ref="Q136" ca="1">IF(D136&lt;&gt;"", SUMPRODUCT((OFFSET(D136,0,0,K$16,1)=$T$24) +0),"")</f>
        <v/>
      </c>
      <c r="R136" t="str" cm="1">
        <f t="array" aca="1" ref="R136" ca="1">IF(E136&lt;&gt;"", SUMPRODUCT((OFFSET(E136,0,0,L$16,1)=$T$24) +0),"")</f>
        <v/>
      </c>
      <c r="AB136">
        <f t="shared" si="37"/>
        <v>0</v>
      </c>
      <c r="AC136">
        <f t="shared" si="38"/>
        <v>1</v>
      </c>
      <c r="AD136">
        <f t="shared" si="39"/>
        <v>1</v>
      </c>
      <c r="AE136">
        <f t="shared" si="40"/>
        <v>1</v>
      </c>
      <c r="AF136">
        <f t="shared" si="41"/>
        <v>0</v>
      </c>
      <c r="AG136">
        <f t="shared" si="42"/>
        <v>3</v>
      </c>
      <c r="AH136">
        <f t="shared" ca="1" si="43"/>
        <v>2.6831497189635199E-3</v>
      </c>
      <c r="AI136">
        <f>IF(ROW($AA136) - $AA$51 &lt; ($H$16+1)^5, IF(AG136 &gt;= BaseBonus!$C$16, AG136*BaseBonus!$E$31, 0), "")</f>
        <v>0</v>
      </c>
      <c r="AJ136">
        <f t="shared" ca="1" si="44"/>
        <v>0</v>
      </c>
      <c r="AK136" s="44"/>
    </row>
    <row r="137" spans="8:37" x14ac:dyDescent="0.3">
      <c r="H137" t="str" cm="1">
        <f t="array" aca="1" ref="H137" ca="1">IF(ROW(A137)-H$15 &lt; H$14,A137,IF(ROW(A137) - H$15 -H$16 + 1 &lt; H$14,INDIRECT(ADDRESS(MOD(ROW(A137) - H$15, H$14) + H$15, COLUMN(A137))),""))</f>
        <v/>
      </c>
      <c r="I137" t="str" cm="1">
        <f t="array" aca="1" ref="I137" ca="1">IF(ROW(B137)-I$15 &lt; I$14,B137,IF(ROW(B137) - I$15 -I$16 + 1 &lt; I$14,INDIRECT(ADDRESS(MOD(ROW(B137) - I$15, I$14) + I$15, COLUMN(B137))),""))</f>
        <v/>
      </c>
      <c r="J137" t="str" cm="1">
        <f t="array" aca="1" ref="J137" ca="1">IF(ROW(C137)-J$15 &lt; J$14,C137,IF(ROW(C137) - J$15 -J$16 + 1 &lt; J$14,INDIRECT(ADDRESS(MOD(ROW(C137) - J$15, J$14) + J$15, COLUMN(C137))),""))</f>
        <v/>
      </c>
      <c r="K137" t="str" cm="1">
        <f t="array" aca="1" ref="K137" ca="1">IF(ROW(D137)-K$15 &lt; K$14,D137,IF(ROW(D137) - K$15 -K$16 + 1 &lt; K$14,INDIRECT(ADDRESS(MOD(ROW(D137) - K$15, K$14) + K$15, COLUMN(D137))),""))</f>
        <v/>
      </c>
      <c r="L137" t="str" cm="1">
        <f t="array" aca="1" ref="L137" ca="1">IF(ROW(E137)-L$15 &lt; L$14,E137,IF(ROW(E137) - L$15 -L$16 + 1 &lt; L$14,INDIRECT(ADDRESS(MOD(ROW(E137) - L$15, L$14) + L$15, COLUMN(E137))),""))</f>
        <v/>
      </c>
      <c r="N137" t="str" cm="1">
        <f t="array" aca="1" ref="N137" ca="1">IF(A137&lt;&gt;"", SUMPRODUCT((OFFSET(A137,0,0,H$16,1)=$T$24) +0),"")</f>
        <v/>
      </c>
      <c r="O137" t="str" cm="1">
        <f t="array" aca="1" ref="O137" ca="1">IF(B137&lt;&gt;"", SUMPRODUCT((OFFSET(B137,0,0,I$16,1)=$T$24) +0),"")</f>
        <v/>
      </c>
      <c r="P137" t="str" cm="1">
        <f t="array" aca="1" ref="P137" ca="1">IF(C137&lt;&gt;"", SUMPRODUCT((OFFSET(C137,0,0,J$16,1)=$T$24) +0),"")</f>
        <v/>
      </c>
      <c r="Q137" t="str" cm="1">
        <f t="array" aca="1" ref="Q137" ca="1">IF(D137&lt;&gt;"", SUMPRODUCT((OFFSET(D137,0,0,K$16,1)=$T$24) +0),"")</f>
        <v/>
      </c>
      <c r="R137" t="str" cm="1">
        <f t="array" aca="1" ref="R137" ca="1">IF(E137&lt;&gt;"", SUMPRODUCT((OFFSET(E137,0,0,L$16,1)=$T$24) +0),"")</f>
        <v/>
      </c>
      <c r="AB137">
        <f t="shared" si="37"/>
        <v>1</v>
      </c>
      <c r="AC137">
        <f t="shared" si="38"/>
        <v>1</v>
      </c>
      <c r="AD137">
        <f t="shared" si="39"/>
        <v>1</v>
      </c>
      <c r="AE137">
        <f t="shared" si="40"/>
        <v>1</v>
      </c>
      <c r="AF137">
        <f t="shared" si="41"/>
        <v>0</v>
      </c>
      <c r="AG137">
        <f t="shared" si="42"/>
        <v>4</v>
      </c>
      <c r="AH137">
        <f t="shared" ca="1" si="43"/>
        <v>5.0309057230565998E-4</v>
      </c>
      <c r="AI137">
        <f>IF(ROW($AA137) - $AA$51 &lt; ($H$16+1)^5, IF(AG137 &gt;= BaseBonus!$C$16, AG137*BaseBonus!$E$31, 0), "")</f>
        <v>0</v>
      </c>
      <c r="AJ137">
        <f t="shared" ca="1" si="44"/>
        <v>0</v>
      </c>
      <c r="AK137" s="44"/>
    </row>
    <row r="138" spans="8:37" x14ac:dyDescent="0.3">
      <c r="H138" t="str" cm="1">
        <f t="array" aca="1" ref="H138" ca="1">IF(ROW(A138)-H$15 &lt; H$14,A138,IF(ROW(A138) - H$15 -H$16 + 1 &lt; H$14,INDIRECT(ADDRESS(MOD(ROW(A138) - H$15, H$14) + H$15, COLUMN(A138))),""))</f>
        <v/>
      </c>
      <c r="I138" t="str" cm="1">
        <f t="array" aca="1" ref="I138" ca="1">IF(ROW(B138)-I$15 &lt; I$14,B138,IF(ROW(B138) - I$15 -I$16 + 1 &lt; I$14,INDIRECT(ADDRESS(MOD(ROW(B138) - I$15, I$14) + I$15, COLUMN(B138))),""))</f>
        <v/>
      </c>
      <c r="J138" t="str" cm="1">
        <f t="array" aca="1" ref="J138" ca="1">IF(ROW(C138)-J$15 &lt; J$14,C138,IF(ROW(C138) - J$15 -J$16 + 1 &lt; J$14,INDIRECT(ADDRESS(MOD(ROW(C138) - J$15, J$14) + J$15, COLUMN(C138))),""))</f>
        <v/>
      </c>
      <c r="K138" t="str" cm="1">
        <f t="array" aca="1" ref="K138" ca="1">IF(ROW(D138)-K$15 &lt; K$14,D138,IF(ROW(D138) - K$15 -K$16 + 1 &lt; K$14,INDIRECT(ADDRESS(MOD(ROW(D138) - K$15, K$14) + K$15, COLUMN(D138))),""))</f>
        <v/>
      </c>
      <c r="L138" t="str" cm="1">
        <f t="array" aca="1" ref="L138" ca="1">IF(ROW(E138)-L$15 &lt; L$14,E138,IF(ROW(E138) - L$15 -L$16 + 1 &lt; L$14,INDIRECT(ADDRESS(MOD(ROW(E138) - L$15, L$14) + L$15, COLUMN(E138))),""))</f>
        <v/>
      </c>
      <c r="N138" t="str" cm="1">
        <f t="array" aca="1" ref="N138" ca="1">IF(A138&lt;&gt;"", SUMPRODUCT((OFFSET(A138,0,0,H$16,1)=$T$24) +0),"")</f>
        <v/>
      </c>
      <c r="O138" t="str" cm="1">
        <f t="array" aca="1" ref="O138" ca="1">IF(B138&lt;&gt;"", SUMPRODUCT((OFFSET(B138,0,0,I$16,1)=$T$24) +0),"")</f>
        <v/>
      </c>
      <c r="P138" t="str" cm="1">
        <f t="array" aca="1" ref="P138" ca="1">IF(C138&lt;&gt;"", SUMPRODUCT((OFFSET(C138,0,0,J$16,1)=$T$24) +0),"")</f>
        <v/>
      </c>
      <c r="Q138" t="str" cm="1">
        <f t="array" aca="1" ref="Q138" ca="1">IF(D138&lt;&gt;"", SUMPRODUCT((OFFSET(D138,0,0,K$16,1)=$T$24) +0),"")</f>
        <v/>
      </c>
      <c r="R138" t="str" cm="1">
        <f t="array" aca="1" ref="R138" ca="1">IF(E138&lt;&gt;"", SUMPRODUCT((OFFSET(E138,0,0,L$16,1)=$T$24) +0),"")</f>
        <v/>
      </c>
      <c r="AB138">
        <f t="shared" si="37"/>
        <v>2</v>
      </c>
      <c r="AC138">
        <f t="shared" si="38"/>
        <v>1</v>
      </c>
      <c r="AD138">
        <f t="shared" si="39"/>
        <v>1</v>
      </c>
      <c r="AE138">
        <f t="shared" si="40"/>
        <v>1</v>
      </c>
      <c r="AF138">
        <f t="shared" si="41"/>
        <v>0</v>
      </c>
      <c r="AG138">
        <f t="shared" si="42"/>
        <v>5</v>
      </c>
      <c r="AH138">
        <f t="shared" ca="1" si="43"/>
        <v>2.5154528615282999E-4</v>
      </c>
      <c r="AI138">
        <f>IF(ROW($AA138) - $AA$51 &lt; ($H$16+1)^5, IF(AG138 &gt;= BaseBonus!$C$16, AG138*BaseBonus!$E$31, 0), "")</f>
        <v>4.6952679064628979</v>
      </c>
      <c r="AJ138">
        <f t="shared" ca="1" si="44"/>
        <v>1.1810725090954086E-3</v>
      </c>
      <c r="AK138" s="44"/>
    </row>
    <row r="139" spans="8:37" x14ac:dyDescent="0.3">
      <c r="H139" t="str" cm="1">
        <f t="array" aca="1" ref="H139" ca="1">IF(ROW(A139)-H$15 &lt; H$14,A139,IF(ROW(A139) - H$15 -H$16 + 1 &lt; H$14,INDIRECT(ADDRESS(MOD(ROW(A139) - H$15, H$14) + H$15, COLUMN(A139))),""))</f>
        <v/>
      </c>
      <c r="I139" t="str" cm="1">
        <f t="array" aca="1" ref="I139" ca="1">IF(ROW(B139)-I$15 &lt; I$14,B139,IF(ROW(B139) - I$15 -I$16 + 1 &lt; I$14,INDIRECT(ADDRESS(MOD(ROW(B139) - I$15, I$14) + I$15, COLUMN(B139))),""))</f>
        <v/>
      </c>
      <c r="J139" t="str" cm="1">
        <f t="array" aca="1" ref="J139" ca="1">IF(ROW(C139)-J$15 &lt; J$14,C139,IF(ROW(C139) - J$15 -J$16 + 1 &lt; J$14,INDIRECT(ADDRESS(MOD(ROW(C139) - J$15, J$14) + J$15, COLUMN(C139))),""))</f>
        <v/>
      </c>
      <c r="K139" t="str" cm="1">
        <f t="array" aca="1" ref="K139" ca="1">IF(ROW(D139)-K$15 &lt; K$14,D139,IF(ROW(D139) - K$15 -K$16 + 1 &lt; K$14,INDIRECT(ADDRESS(MOD(ROW(D139) - K$15, K$14) + K$15, COLUMN(D139))),""))</f>
        <v/>
      </c>
      <c r="L139" t="str" cm="1">
        <f t="array" aca="1" ref="L139" ca="1">IF(ROW(E139)-L$15 &lt; L$14,E139,IF(ROW(E139) - L$15 -L$16 + 1 &lt; L$14,INDIRECT(ADDRESS(MOD(ROW(E139) - L$15, L$14) + L$15, COLUMN(E139))),""))</f>
        <v/>
      </c>
      <c r="N139" t="str" cm="1">
        <f t="array" aca="1" ref="N139" ca="1">IF(A139&lt;&gt;"", SUMPRODUCT((OFFSET(A139,0,0,H$16,1)=$T$24) +0),"")</f>
        <v/>
      </c>
      <c r="O139" t="str" cm="1">
        <f t="array" aca="1" ref="O139" ca="1">IF(B139&lt;&gt;"", SUMPRODUCT((OFFSET(B139,0,0,I$16,1)=$T$24) +0),"")</f>
        <v/>
      </c>
      <c r="P139" t="str" cm="1">
        <f t="array" aca="1" ref="P139" ca="1">IF(C139&lt;&gt;"", SUMPRODUCT((OFFSET(C139,0,0,J$16,1)=$T$24) +0),"")</f>
        <v/>
      </c>
      <c r="Q139" t="str" cm="1">
        <f t="array" aca="1" ref="Q139" ca="1">IF(D139&lt;&gt;"", SUMPRODUCT((OFFSET(D139,0,0,K$16,1)=$T$24) +0),"")</f>
        <v/>
      </c>
      <c r="R139" t="str" cm="1">
        <f t="array" aca="1" ref="R139" ca="1">IF(E139&lt;&gt;"", SUMPRODUCT((OFFSET(E139,0,0,L$16,1)=$T$24) +0),"")</f>
        <v/>
      </c>
      <c r="AB139">
        <f t="shared" si="37"/>
        <v>3</v>
      </c>
      <c r="AC139">
        <f t="shared" si="38"/>
        <v>1</v>
      </c>
      <c r="AD139">
        <f t="shared" si="39"/>
        <v>1</v>
      </c>
      <c r="AE139">
        <f t="shared" si="40"/>
        <v>1</v>
      </c>
      <c r="AF139">
        <f t="shared" si="41"/>
        <v>0</v>
      </c>
      <c r="AG139">
        <f t="shared" si="42"/>
        <v>6</v>
      </c>
      <c r="AH139">
        <f t="shared" ca="1" si="43"/>
        <v>0</v>
      </c>
      <c r="AI139">
        <f>IF(ROW($AA139) - $AA$51 &lt; ($H$16+1)^5, IF(AG139 &gt;= BaseBonus!$C$16, AG139*BaseBonus!$E$31, 0), "")</f>
        <v>5.6343214877554777</v>
      </c>
      <c r="AJ139">
        <f t="shared" ca="1" si="44"/>
        <v>0</v>
      </c>
      <c r="AK139" s="44"/>
    </row>
    <row r="140" spans="8:37" x14ac:dyDescent="0.3">
      <c r="H140" t="str" cm="1">
        <f t="array" aca="1" ref="H140" ca="1">IF(ROW(A140)-H$15 &lt; H$14,A140,IF(ROW(A140) - H$15 -H$16 + 1 &lt; H$14,INDIRECT(ADDRESS(MOD(ROW(A140) - H$15, H$14) + H$15, COLUMN(A140))),""))</f>
        <v/>
      </c>
      <c r="I140" t="str" cm="1">
        <f t="array" aca="1" ref="I140" ca="1">IF(ROW(B140)-I$15 &lt; I$14,B140,IF(ROW(B140) - I$15 -I$16 + 1 &lt; I$14,INDIRECT(ADDRESS(MOD(ROW(B140) - I$15, I$14) + I$15, COLUMN(B140))),""))</f>
        <v/>
      </c>
      <c r="J140" t="str" cm="1">
        <f t="array" aca="1" ref="J140" ca="1">IF(ROW(C140)-J$15 &lt; J$14,C140,IF(ROW(C140) - J$15 -J$16 + 1 &lt; J$14,INDIRECT(ADDRESS(MOD(ROW(C140) - J$15, J$14) + J$15, COLUMN(C140))),""))</f>
        <v/>
      </c>
      <c r="K140" t="str" cm="1">
        <f t="array" aca="1" ref="K140" ca="1">IF(ROW(D140)-K$15 &lt; K$14,D140,IF(ROW(D140) - K$15 -K$16 + 1 &lt; K$14,INDIRECT(ADDRESS(MOD(ROW(D140) - K$15, K$14) + K$15, COLUMN(D140))),""))</f>
        <v/>
      </c>
      <c r="L140" t="str" cm="1">
        <f t="array" aca="1" ref="L140" ca="1">IF(ROW(E140)-L$15 &lt; L$14,E140,IF(ROW(E140) - L$15 -L$16 + 1 &lt; L$14,INDIRECT(ADDRESS(MOD(ROW(E140) - L$15, L$14) + L$15, COLUMN(E140))),""))</f>
        <v/>
      </c>
      <c r="N140" t="str" cm="1">
        <f t="array" aca="1" ref="N140" ca="1">IF(A140&lt;&gt;"", SUMPRODUCT((OFFSET(A140,0,0,H$16,1)=$T$24) +0),"")</f>
        <v/>
      </c>
      <c r="O140" t="str" cm="1">
        <f t="array" aca="1" ref="O140" ca="1">IF(B140&lt;&gt;"", SUMPRODUCT((OFFSET(B140,0,0,I$16,1)=$T$24) +0),"")</f>
        <v/>
      </c>
      <c r="P140" t="str" cm="1">
        <f t="array" aca="1" ref="P140" ca="1">IF(C140&lt;&gt;"", SUMPRODUCT((OFFSET(C140,0,0,J$16,1)=$T$24) +0),"")</f>
        <v/>
      </c>
      <c r="Q140" t="str" cm="1">
        <f t="array" aca="1" ref="Q140" ca="1">IF(D140&lt;&gt;"", SUMPRODUCT((OFFSET(D140,0,0,K$16,1)=$T$24) +0),"")</f>
        <v/>
      </c>
      <c r="R140" t="str" cm="1">
        <f t="array" aca="1" ref="R140" ca="1">IF(E140&lt;&gt;"", SUMPRODUCT((OFFSET(E140,0,0,L$16,1)=$T$24) +0),"")</f>
        <v/>
      </c>
      <c r="AB140">
        <f t="shared" si="37"/>
        <v>0</v>
      </c>
      <c r="AC140">
        <f t="shared" si="38"/>
        <v>2</v>
      </c>
      <c r="AD140">
        <f t="shared" si="39"/>
        <v>1</v>
      </c>
      <c r="AE140">
        <f t="shared" si="40"/>
        <v>1</v>
      </c>
      <c r="AF140">
        <f t="shared" si="41"/>
        <v>0</v>
      </c>
      <c r="AG140">
        <f t="shared" si="42"/>
        <v>4</v>
      </c>
      <c r="AH140">
        <f t="shared" ca="1" si="43"/>
        <v>4.4719161982725321E-4</v>
      </c>
      <c r="AI140">
        <f>IF(ROW($AA140) - $AA$51 &lt; ($H$16+1)^5, IF(AG140 &gt;= BaseBonus!$C$16, AG140*BaseBonus!$E$31, 0), "")</f>
        <v>0</v>
      </c>
      <c r="AJ140">
        <f t="shared" ca="1" si="44"/>
        <v>0</v>
      </c>
      <c r="AK140" s="44"/>
    </row>
    <row r="141" spans="8:37" x14ac:dyDescent="0.3">
      <c r="H141" t="str" cm="1">
        <f t="array" aca="1" ref="H141" ca="1">IF(ROW(A141)-H$15 &lt; H$14,A141,IF(ROW(A141) - H$15 -H$16 + 1 &lt; H$14,INDIRECT(ADDRESS(MOD(ROW(A141) - H$15, H$14) + H$15, COLUMN(A141))),""))</f>
        <v/>
      </c>
      <c r="I141" t="str" cm="1">
        <f t="array" aca="1" ref="I141" ca="1">IF(ROW(B141)-I$15 &lt; I$14,B141,IF(ROW(B141) - I$15 -I$16 + 1 &lt; I$14,INDIRECT(ADDRESS(MOD(ROW(B141) - I$15, I$14) + I$15, COLUMN(B141))),""))</f>
        <v/>
      </c>
      <c r="J141" t="str" cm="1">
        <f t="array" aca="1" ref="J141" ca="1">IF(ROW(C141)-J$15 &lt; J$14,C141,IF(ROW(C141) - J$15 -J$16 + 1 &lt; J$14,INDIRECT(ADDRESS(MOD(ROW(C141) - J$15, J$14) + J$15, COLUMN(C141))),""))</f>
        <v/>
      </c>
      <c r="K141" t="str" cm="1">
        <f t="array" aca="1" ref="K141" ca="1">IF(ROW(D141)-K$15 &lt; K$14,D141,IF(ROW(D141) - K$15 -K$16 + 1 &lt; K$14,INDIRECT(ADDRESS(MOD(ROW(D141) - K$15, K$14) + K$15, COLUMN(D141))),""))</f>
        <v/>
      </c>
      <c r="L141" t="str" cm="1">
        <f t="array" aca="1" ref="L141" ca="1">IF(ROW(E141)-L$15 &lt; L$14,E141,IF(ROW(E141) - L$15 -L$16 + 1 &lt; L$14,INDIRECT(ADDRESS(MOD(ROW(E141) - L$15, L$14) + L$15, COLUMN(E141))),""))</f>
        <v/>
      </c>
      <c r="N141" t="str" cm="1">
        <f t="array" aca="1" ref="N141" ca="1">IF(A141&lt;&gt;"", SUMPRODUCT((OFFSET(A141,0,0,H$16,1)=$T$24) +0),"")</f>
        <v/>
      </c>
      <c r="O141" t="str" cm="1">
        <f t="array" aca="1" ref="O141" ca="1">IF(B141&lt;&gt;"", SUMPRODUCT((OFFSET(B141,0,0,I$16,1)=$T$24) +0),"")</f>
        <v/>
      </c>
      <c r="P141" t="str" cm="1">
        <f t="array" aca="1" ref="P141" ca="1">IF(C141&lt;&gt;"", SUMPRODUCT((OFFSET(C141,0,0,J$16,1)=$T$24) +0),"")</f>
        <v/>
      </c>
      <c r="Q141" t="str" cm="1">
        <f t="array" aca="1" ref="Q141" ca="1">IF(D141&lt;&gt;"", SUMPRODUCT((OFFSET(D141,0,0,K$16,1)=$T$24) +0),"")</f>
        <v/>
      </c>
      <c r="R141" t="str" cm="1">
        <f t="array" aca="1" ref="R141" ca="1">IF(E141&lt;&gt;"", SUMPRODUCT((OFFSET(E141,0,0,L$16,1)=$T$24) +0),"")</f>
        <v/>
      </c>
      <c r="AB141">
        <f t="shared" si="37"/>
        <v>1</v>
      </c>
      <c r="AC141">
        <f t="shared" si="38"/>
        <v>2</v>
      </c>
      <c r="AD141">
        <f t="shared" si="39"/>
        <v>1</v>
      </c>
      <c r="AE141">
        <f t="shared" si="40"/>
        <v>1</v>
      </c>
      <c r="AF141">
        <f t="shared" si="41"/>
        <v>0</v>
      </c>
      <c r="AG141">
        <f t="shared" si="42"/>
        <v>5</v>
      </c>
      <c r="AH141">
        <f t="shared" ca="1" si="43"/>
        <v>8.384842871760997E-5</v>
      </c>
      <c r="AI141">
        <f>IF(ROW($AA141) - $AA$51 &lt; ($H$16+1)^5, IF(AG141 &gt;= BaseBonus!$C$16, AG141*BaseBonus!$E$31, 0), "")</f>
        <v>4.6952679064628979</v>
      </c>
      <c r="AJ141">
        <f t="shared" ca="1" si="44"/>
        <v>3.9369083636513609E-4</v>
      </c>
      <c r="AK141" s="44"/>
    </row>
    <row r="142" spans="8:37" x14ac:dyDescent="0.3">
      <c r="H142" t="str" cm="1">
        <f t="array" aca="1" ref="H142" ca="1">IF(ROW(A142)-H$15 &lt; H$14,A142,IF(ROW(A142) - H$15 -H$16 + 1 &lt; H$14,INDIRECT(ADDRESS(MOD(ROW(A142) - H$15, H$14) + H$15, COLUMN(A142))),""))</f>
        <v/>
      </c>
      <c r="I142" t="str" cm="1">
        <f t="array" aca="1" ref="I142" ca="1">IF(ROW(B142)-I$15 &lt; I$14,B142,IF(ROW(B142) - I$15 -I$16 + 1 &lt; I$14,INDIRECT(ADDRESS(MOD(ROW(B142) - I$15, I$14) + I$15, COLUMN(B142))),""))</f>
        <v/>
      </c>
      <c r="J142" t="str" cm="1">
        <f t="array" aca="1" ref="J142" ca="1">IF(ROW(C142)-J$15 &lt; J$14,C142,IF(ROW(C142) - J$15 -J$16 + 1 &lt; J$14,INDIRECT(ADDRESS(MOD(ROW(C142) - J$15, J$14) + J$15, COLUMN(C142))),""))</f>
        <v/>
      </c>
      <c r="K142" t="str" cm="1">
        <f t="array" aca="1" ref="K142" ca="1">IF(ROW(D142)-K$15 &lt; K$14,D142,IF(ROW(D142) - K$15 -K$16 + 1 &lt; K$14,INDIRECT(ADDRESS(MOD(ROW(D142) - K$15, K$14) + K$15, COLUMN(D142))),""))</f>
        <v/>
      </c>
      <c r="L142" t="str" cm="1">
        <f t="array" aca="1" ref="L142" ca="1">IF(ROW(E142)-L$15 &lt; L$14,E142,IF(ROW(E142) - L$15 -L$16 + 1 &lt; L$14,INDIRECT(ADDRESS(MOD(ROW(E142) - L$15, L$14) + L$15, COLUMN(E142))),""))</f>
        <v/>
      </c>
      <c r="N142" t="str" cm="1">
        <f t="array" aca="1" ref="N142" ca="1">IF(A142&lt;&gt;"", SUMPRODUCT((OFFSET(A142,0,0,H$16,1)=$T$24) +0),"")</f>
        <v/>
      </c>
      <c r="O142" t="str" cm="1">
        <f t="array" aca="1" ref="O142" ca="1">IF(B142&lt;&gt;"", SUMPRODUCT((OFFSET(B142,0,0,I$16,1)=$T$24) +0),"")</f>
        <v/>
      </c>
      <c r="P142" t="str" cm="1">
        <f t="array" aca="1" ref="P142" ca="1">IF(C142&lt;&gt;"", SUMPRODUCT((OFFSET(C142,0,0,J$16,1)=$T$24) +0),"")</f>
        <v/>
      </c>
      <c r="Q142" t="str" cm="1">
        <f t="array" aca="1" ref="Q142" ca="1">IF(D142&lt;&gt;"", SUMPRODUCT((OFFSET(D142,0,0,K$16,1)=$T$24) +0),"")</f>
        <v/>
      </c>
      <c r="R142" t="str" cm="1">
        <f t="array" aca="1" ref="R142" ca="1">IF(E142&lt;&gt;"", SUMPRODUCT((OFFSET(E142,0,0,L$16,1)=$T$24) +0),"")</f>
        <v/>
      </c>
      <c r="AB142">
        <f t="shared" si="37"/>
        <v>2</v>
      </c>
      <c r="AC142">
        <f t="shared" si="38"/>
        <v>2</v>
      </c>
      <c r="AD142">
        <f t="shared" si="39"/>
        <v>1</v>
      </c>
      <c r="AE142">
        <f t="shared" si="40"/>
        <v>1</v>
      </c>
      <c r="AF142">
        <f t="shared" si="41"/>
        <v>0</v>
      </c>
      <c r="AG142">
        <f t="shared" si="42"/>
        <v>6</v>
      </c>
      <c r="AH142">
        <f t="shared" ca="1" si="43"/>
        <v>4.1924214358804985E-5</v>
      </c>
      <c r="AI142">
        <f>IF(ROW($AA142) - $AA$51 &lt; ($H$16+1)^5, IF(AG142 &gt;= BaseBonus!$C$16, AG142*BaseBonus!$E$31, 0), "")</f>
        <v>5.6343214877554777</v>
      </c>
      <c r="AJ142">
        <f t="shared" ca="1" si="44"/>
        <v>2.3621450181908168E-4</v>
      </c>
      <c r="AK142" s="44"/>
    </row>
    <row r="143" spans="8:37" x14ac:dyDescent="0.3">
      <c r="H143" t="str" cm="1">
        <f t="array" aca="1" ref="H143" ca="1">IF(ROW(A143)-H$15 &lt; H$14,A143,IF(ROW(A143) - H$15 -H$16 + 1 &lt; H$14,INDIRECT(ADDRESS(MOD(ROW(A143) - H$15, H$14) + H$15, COLUMN(A143))),""))</f>
        <v/>
      </c>
      <c r="I143" t="str" cm="1">
        <f t="array" aca="1" ref="I143" ca="1">IF(ROW(B143)-I$15 &lt; I$14,B143,IF(ROW(B143) - I$15 -I$16 + 1 &lt; I$14,INDIRECT(ADDRESS(MOD(ROW(B143) - I$15, I$14) + I$15, COLUMN(B143))),""))</f>
        <v/>
      </c>
      <c r="J143" t="str" cm="1">
        <f t="array" aca="1" ref="J143" ca="1">IF(ROW(C143)-J$15 &lt; J$14,C143,IF(ROW(C143) - J$15 -J$16 + 1 &lt; J$14,INDIRECT(ADDRESS(MOD(ROW(C143) - J$15, J$14) + J$15, COLUMN(C143))),""))</f>
        <v/>
      </c>
      <c r="K143" t="str" cm="1">
        <f t="array" aca="1" ref="K143" ca="1">IF(ROW(D143)-K$15 &lt; K$14,D143,IF(ROW(D143) - K$15 -K$16 + 1 &lt; K$14,INDIRECT(ADDRESS(MOD(ROW(D143) - K$15, K$14) + K$15, COLUMN(D143))),""))</f>
        <v/>
      </c>
      <c r="L143" t="str" cm="1">
        <f t="array" aca="1" ref="L143" ca="1">IF(ROW(E143)-L$15 &lt; L$14,E143,IF(ROW(E143) - L$15 -L$16 + 1 &lt; L$14,INDIRECT(ADDRESS(MOD(ROW(E143) - L$15, L$14) + L$15, COLUMN(E143))),""))</f>
        <v/>
      </c>
      <c r="N143" t="str" cm="1">
        <f t="array" aca="1" ref="N143" ca="1">IF(A143&lt;&gt;"", SUMPRODUCT((OFFSET(A143,0,0,H$16,1)=$T$24) +0),"")</f>
        <v/>
      </c>
      <c r="O143" t="str" cm="1">
        <f t="array" aca="1" ref="O143" ca="1">IF(B143&lt;&gt;"", SUMPRODUCT((OFFSET(B143,0,0,I$16,1)=$T$24) +0),"")</f>
        <v/>
      </c>
      <c r="P143" t="str" cm="1">
        <f t="array" aca="1" ref="P143" ca="1">IF(C143&lt;&gt;"", SUMPRODUCT((OFFSET(C143,0,0,J$16,1)=$T$24) +0),"")</f>
        <v/>
      </c>
      <c r="Q143" t="str" cm="1">
        <f t="array" aca="1" ref="Q143" ca="1">IF(D143&lt;&gt;"", SUMPRODUCT((OFFSET(D143,0,0,K$16,1)=$T$24) +0),"")</f>
        <v/>
      </c>
      <c r="R143" t="str" cm="1">
        <f t="array" aca="1" ref="R143" ca="1">IF(E143&lt;&gt;"", SUMPRODUCT((OFFSET(E143,0,0,L$16,1)=$T$24) +0),"")</f>
        <v/>
      </c>
      <c r="AB143">
        <f t="shared" si="37"/>
        <v>3</v>
      </c>
      <c r="AC143">
        <f t="shared" si="38"/>
        <v>2</v>
      </c>
      <c r="AD143">
        <f t="shared" si="39"/>
        <v>1</v>
      </c>
      <c r="AE143">
        <f t="shared" si="40"/>
        <v>1</v>
      </c>
      <c r="AF143">
        <f t="shared" si="41"/>
        <v>0</v>
      </c>
      <c r="AG143">
        <f t="shared" si="42"/>
        <v>7</v>
      </c>
      <c r="AH143">
        <f t="shared" ca="1" si="43"/>
        <v>0</v>
      </c>
      <c r="AI143">
        <f>IF(ROW($AA143) - $AA$51 &lt; ($H$16+1)^5, IF(AG143 &gt;= BaseBonus!$C$16, AG143*BaseBonus!$E$31, 0), "")</f>
        <v>6.5733750690480575</v>
      </c>
      <c r="AJ143">
        <f t="shared" ca="1" si="44"/>
        <v>0</v>
      </c>
      <c r="AK143" s="44"/>
    </row>
    <row r="144" spans="8:37" x14ac:dyDescent="0.3">
      <c r="H144" t="str" cm="1">
        <f t="array" aca="1" ref="H144" ca="1">IF(ROW(A144)-H$15 &lt; H$14,A144,IF(ROW(A144) - H$15 -H$16 + 1 &lt; H$14,INDIRECT(ADDRESS(MOD(ROW(A144) - H$15, H$14) + H$15, COLUMN(A144))),""))</f>
        <v/>
      </c>
      <c r="I144" t="str" cm="1">
        <f t="array" aca="1" ref="I144" ca="1">IF(ROW(B144)-I$15 &lt; I$14,B144,IF(ROW(B144) - I$15 -I$16 + 1 &lt; I$14,INDIRECT(ADDRESS(MOD(ROW(B144) - I$15, I$14) + I$15, COLUMN(B144))),""))</f>
        <v/>
      </c>
      <c r="J144" t="str" cm="1">
        <f t="array" aca="1" ref="J144" ca="1">IF(ROW(C144)-J$15 &lt; J$14,C144,IF(ROW(C144) - J$15 -J$16 + 1 &lt; J$14,INDIRECT(ADDRESS(MOD(ROW(C144) - J$15, J$14) + J$15, COLUMN(C144))),""))</f>
        <v/>
      </c>
      <c r="K144" t="str" cm="1">
        <f t="array" aca="1" ref="K144" ca="1">IF(ROW(D144)-K$15 &lt; K$14,D144,IF(ROW(D144) - K$15 -K$16 + 1 &lt; K$14,INDIRECT(ADDRESS(MOD(ROW(D144) - K$15, K$14) + K$15, COLUMN(D144))),""))</f>
        <v/>
      </c>
      <c r="L144" t="str" cm="1">
        <f t="array" aca="1" ref="L144" ca="1">IF(ROW(E144)-L$15 &lt; L$14,E144,IF(ROW(E144) - L$15 -L$16 + 1 &lt; L$14,INDIRECT(ADDRESS(MOD(ROW(E144) - L$15, L$14) + L$15, COLUMN(E144))),""))</f>
        <v/>
      </c>
      <c r="N144" t="str" cm="1">
        <f t="array" aca="1" ref="N144" ca="1">IF(A144&lt;&gt;"", SUMPRODUCT((OFFSET(A144,0,0,H$16,1)=$T$24) +0),"")</f>
        <v/>
      </c>
      <c r="O144" t="str" cm="1">
        <f t="array" aca="1" ref="O144" ca="1">IF(B144&lt;&gt;"", SUMPRODUCT((OFFSET(B144,0,0,I$16,1)=$T$24) +0),"")</f>
        <v/>
      </c>
      <c r="P144" t="str" cm="1">
        <f t="array" aca="1" ref="P144" ca="1">IF(C144&lt;&gt;"", SUMPRODUCT((OFFSET(C144,0,0,J$16,1)=$T$24) +0),"")</f>
        <v/>
      </c>
      <c r="Q144" t="str" cm="1">
        <f t="array" aca="1" ref="Q144" ca="1">IF(D144&lt;&gt;"", SUMPRODUCT((OFFSET(D144,0,0,K$16,1)=$T$24) +0),"")</f>
        <v/>
      </c>
      <c r="R144" t="str" cm="1">
        <f t="array" aca="1" ref="R144" ca="1">IF(E144&lt;&gt;"", SUMPRODUCT((OFFSET(E144,0,0,L$16,1)=$T$24) +0),"")</f>
        <v/>
      </c>
      <c r="AB144">
        <f t="shared" si="37"/>
        <v>0</v>
      </c>
      <c r="AC144">
        <f t="shared" si="38"/>
        <v>3</v>
      </c>
      <c r="AD144">
        <f t="shared" si="39"/>
        <v>1</v>
      </c>
      <c r="AE144">
        <f t="shared" si="40"/>
        <v>1</v>
      </c>
      <c r="AF144">
        <f t="shared" si="41"/>
        <v>0</v>
      </c>
      <c r="AG144">
        <f t="shared" si="42"/>
        <v>5</v>
      </c>
      <c r="AH144">
        <f t="shared" ca="1" si="43"/>
        <v>0</v>
      </c>
      <c r="AI144">
        <f>IF(ROW($AA144) - $AA$51 &lt; ($H$16+1)^5, IF(AG144 &gt;= BaseBonus!$C$16, AG144*BaseBonus!$E$31, 0), "")</f>
        <v>4.6952679064628979</v>
      </c>
      <c r="AJ144">
        <f t="shared" ca="1" si="44"/>
        <v>0</v>
      </c>
      <c r="AK144" s="44"/>
    </row>
    <row r="145" spans="8:37" x14ac:dyDescent="0.3">
      <c r="H145" t="str" cm="1">
        <f t="array" aca="1" ref="H145" ca="1">IF(ROW(A145)-H$15 &lt; H$14,A145,IF(ROW(A145) - H$15 -H$16 + 1 &lt; H$14,INDIRECT(ADDRESS(MOD(ROW(A145) - H$15, H$14) + H$15, COLUMN(A145))),""))</f>
        <v/>
      </c>
      <c r="I145" t="str" cm="1">
        <f t="array" aca="1" ref="I145" ca="1">IF(ROW(B145)-I$15 &lt; I$14,B145,IF(ROW(B145) - I$15 -I$16 + 1 &lt; I$14,INDIRECT(ADDRESS(MOD(ROW(B145) - I$15, I$14) + I$15, COLUMN(B145))),""))</f>
        <v/>
      </c>
      <c r="J145" t="str" cm="1">
        <f t="array" aca="1" ref="J145" ca="1">IF(ROW(C145)-J$15 &lt; J$14,C145,IF(ROW(C145) - J$15 -J$16 + 1 &lt; J$14,INDIRECT(ADDRESS(MOD(ROW(C145) - J$15, J$14) + J$15, COLUMN(C145))),""))</f>
        <v/>
      </c>
      <c r="K145" t="str" cm="1">
        <f t="array" aca="1" ref="K145" ca="1">IF(ROW(D145)-K$15 &lt; K$14,D145,IF(ROW(D145) - K$15 -K$16 + 1 &lt; K$14,INDIRECT(ADDRESS(MOD(ROW(D145) - K$15, K$14) + K$15, COLUMN(D145))),""))</f>
        <v/>
      </c>
      <c r="L145" t="str" cm="1">
        <f t="array" aca="1" ref="L145" ca="1">IF(ROW(E145)-L$15 &lt; L$14,E145,IF(ROW(E145) - L$15 -L$16 + 1 &lt; L$14,INDIRECT(ADDRESS(MOD(ROW(E145) - L$15, L$14) + L$15, COLUMN(E145))),""))</f>
        <v/>
      </c>
      <c r="N145" t="str" cm="1">
        <f t="array" aca="1" ref="N145" ca="1">IF(A145&lt;&gt;"", SUMPRODUCT((OFFSET(A145,0,0,H$16,1)=$T$24) +0),"")</f>
        <v/>
      </c>
      <c r="O145" t="str" cm="1">
        <f t="array" aca="1" ref="O145" ca="1">IF(B145&lt;&gt;"", SUMPRODUCT((OFFSET(B145,0,0,I$16,1)=$T$24) +0),"")</f>
        <v/>
      </c>
      <c r="P145" t="str" cm="1">
        <f t="array" aca="1" ref="P145" ca="1">IF(C145&lt;&gt;"", SUMPRODUCT((OFFSET(C145,0,0,J$16,1)=$T$24) +0),"")</f>
        <v/>
      </c>
      <c r="Q145" t="str" cm="1">
        <f t="array" aca="1" ref="Q145" ca="1">IF(D145&lt;&gt;"", SUMPRODUCT((OFFSET(D145,0,0,K$16,1)=$T$24) +0),"")</f>
        <v/>
      </c>
      <c r="R145" t="str" cm="1">
        <f t="array" aca="1" ref="R145" ca="1">IF(E145&lt;&gt;"", SUMPRODUCT((OFFSET(E145,0,0,L$16,1)=$T$24) +0),"")</f>
        <v/>
      </c>
      <c r="AB145">
        <f t="shared" si="37"/>
        <v>1</v>
      </c>
      <c r="AC145">
        <f t="shared" si="38"/>
        <v>3</v>
      </c>
      <c r="AD145">
        <f t="shared" si="39"/>
        <v>1</v>
      </c>
      <c r="AE145">
        <f t="shared" si="40"/>
        <v>1</v>
      </c>
      <c r="AF145">
        <f t="shared" si="41"/>
        <v>0</v>
      </c>
      <c r="AG145">
        <f t="shared" si="42"/>
        <v>6</v>
      </c>
      <c r="AH145">
        <f t="shared" ca="1" si="43"/>
        <v>0</v>
      </c>
      <c r="AI145">
        <f>IF(ROW($AA145) - $AA$51 &lt; ($H$16+1)^5, IF(AG145 &gt;= BaseBonus!$C$16, AG145*BaseBonus!$E$31, 0), "")</f>
        <v>5.6343214877554777</v>
      </c>
      <c r="AJ145">
        <f t="shared" ca="1" si="44"/>
        <v>0</v>
      </c>
      <c r="AK145" s="44"/>
    </row>
    <row r="146" spans="8:37" x14ac:dyDescent="0.3">
      <c r="H146" t="str" cm="1">
        <f t="array" aca="1" ref="H146" ca="1">IF(ROW(A146)-H$15 &lt; H$14,A146,IF(ROW(A146) - H$15 -H$16 + 1 &lt; H$14,INDIRECT(ADDRESS(MOD(ROW(A146) - H$15, H$14) + H$15, COLUMN(A146))),""))</f>
        <v/>
      </c>
      <c r="I146" t="str" cm="1">
        <f t="array" aca="1" ref="I146" ca="1">IF(ROW(B146)-I$15 &lt; I$14,B146,IF(ROW(B146) - I$15 -I$16 + 1 &lt; I$14,INDIRECT(ADDRESS(MOD(ROW(B146) - I$15, I$14) + I$15, COLUMN(B146))),""))</f>
        <v/>
      </c>
      <c r="J146" t="str" cm="1">
        <f t="array" aca="1" ref="J146" ca="1">IF(ROW(C146)-J$15 &lt; J$14,C146,IF(ROW(C146) - J$15 -J$16 + 1 &lt; J$14,INDIRECT(ADDRESS(MOD(ROW(C146) - J$15, J$14) + J$15, COLUMN(C146))),""))</f>
        <v/>
      </c>
      <c r="K146" t="str" cm="1">
        <f t="array" aca="1" ref="K146" ca="1">IF(ROW(D146)-K$15 &lt; K$14,D146,IF(ROW(D146) - K$15 -K$16 + 1 &lt; K$14,INDIRECT(ADDRESS(MOD(ROW(D146) - K$15, K$14) + K$15, COLUMN(D146))),""))</f>
        <v/>
      </c>
      <c r="L146" t="str" cm="1">
        <f t="array" aca="1" ref="L146" ca="1">IF(ROW(E146)-L$15 &lt; L$14,E146,IF(ROW(E146) - L$15 -L$16 + 1 &lt; L$14,INDIRECT(ADDRESS(MOD(ROW(E146) - L$15, L$14) + L$15, COLUMN(E146))),""))</f>
        <v/>
      </c>
      <c r="N146" t="str" cm="1">
        <f t="array" aca="1" ref="N146" ca="1">IF(A146&lt;&gt;"", SUMPRODUCT((OFFSET(A146,0,0,H$16,1)=$T$24) +0),"")</f>
        <v/>
      </c>
      <c r="O146" t="str" cm="1">
        <f t="array" aca="1" ref="O146" ca="1">IF(B146&lt;&gt;"", SUMPRODUCT((OFFSET(B146,0,0,I$16,1)=$T$24) +0),"")</f>
        <v/>
      </c>
      <c r="P146" t="str" cm="1">
        <f t="array" aca="1" ref="P146" ca="1">IF(C146&lt;&gt;"", SUMPRODUCT((OFFSET(C146,0,0,J$16,1)=$T$24) +0),"")</f>
        <v/>
      </c>
      <c r="Q146" t="str" cm="1">
        <f t="array" aca="1" ref="Q146" ca="1">IF(D146&lt;&gt;"", SUMPRODUCT((OFFSET(D146,0,0,K$16,1)=$T$24) +0),"")</f>
        <v/>
      </c>
      <c r="R146" t="str" cm="1">
        <f t="array" aca="1" ref="R146" ca="1">IF(E146&lt;&gt;"", SUMPRODUCT((OFFSET(E146,0,0,L$16,1)=$T$24) +0),"")</f>
        <v/>
      </c>
      <c r="AB146">
        <f t="shared" si="37"/>
        <v>2</v>
      </c>
      <c r="AC146">
        <f t="shared" si="38"/>
        <v>3</v>
      </c>
      <c r="AD146">
        <f t="shared" si="39"/>
        <v>1</v>
      </c>
      <c r="AE146">
        <f t="shared" si="40"/>
        <v>1</v>
      </c>
      <c r="AF146">
        <f t="shared" si="41"/>
        <v>0</v>
      </c>
      <c r="AG146">
        <f t="shared" si="42"/>
        <v>7</v>
      </c>
      <c r="AH146">
        <f t="shared" ca="1" si="43"/>
        <v>0</v>
      </c>
      <c r="AI146">
        <f>IF(ROW($AA146) - $AA$51 &lt; ($H$16+1)^5, IF(AG146 &gt;= BaseBonus!$C$16, AG146*BaseBonus!$E$31, 0), "")</f>
        <v>6.5733750690480575</v>
      </c>
      <c r="AJ146">
        <f t="shared" ca="1" si="44"/>
        <v>0</v>
      </c>
      <c r="AK146" s="44"/>
    </row>
    <row r="147" spans="8:37" x14ac:dyDescent="0.3">
      <c r="H147" t="str" cm="1">
        <f t="array" aca="1" ref="H147" ca="1">IF(ROW(A147)-H$15 &lt; H$14,A147,IF(ROW(A147) - H$15 -H$16 + 1 &lt; H$14,INDIRECT(ADDRESS(MOD(ROW(A147) - H$15, H$14) + H$15, COLUMN(A147))),""))</f>
        <v/>
      </c>
      <c r="I147" t="str" cm="1">
        <f t="array" aca="1" ref="I147" ca="1">IF(ROW(B147)-I$15 &lt; I$14,B147,IF(ROW(B147) - I$15 -I$16 + 1 &lt; I$14,INDIRECT(ADDRESS(MOD(ROW(B147) - I$15, I$14) + I$15, COLUMN(B147))),""))</f>
        <v/>
      </c>
      <c r="J147" t="str" cm="1">
        <f t="array" aca="1" ref="J147" ca="1">IF(ROW(C147)-J$15 &lt; J$14,C147,IF(ROW(C147) - J$15 -J$16 + 1 &lt; J$14,INDIRECT(ADDRESS(MOD(ROW(C147) - J$15, J$14) + J$15, COLUMN(C147))),""))</f>
        <v/>
      </c>
      <c r="K147" t="str" cm="1">
        <f t="array" aca="1" ref="K147" ca="1">IF(ROW(D147)-K$15 &lt; K$14,D147,IF(ROW(D147) - K$15 -K$16 + 1 &lt; K$14,INDIRECT(ADDRESS(MOD(ROW(D147) - K$15, K$14) + K$15, COLUMN(D147))),""))</f>
        <v/>
      </c>
      <c r="L147" t="str" cm="1">
        <f t="array" aca="1" ref="L147" ca="1">IF(ROW(E147)-L$15 &lt; L$14,E147,IF(ROW(E147) - L$15 -L$16 + 1 &lt; L$14,INDIRECT(ADDRESS(MOD(ROW(E147) - L$15, L$14) + L$15, COLUMN(E147))),""))</f>
        <v/>
      </c>
      <c r="N147" t="str" cm="1">
        <f t="array" aca="1" ref="N147" ca="1">IF(A147&lt;&gt;"", SUMPRODUCT((OFFSET(A147,0,0,H$16,1)=$T$24) +0),"")</f>
        <v/>
      </c>
      <c r="O147" t="str" cm="1">
        <f t="array" aca="1" ref="O147" ca="1">IF(B147&lt;&gt;"", SUMPRODUCT((OFFSET(B147,0,0,I$16,1)=$T$24) +0),"")</f>
        <v/>
      </c>
      <c r="P147" t="str" cm="1">
        <f t="array" aca="1" ref="P147" ca="1">IF(C147&lt;&gt;"", SUMPRODUCT((OFFSET(C147,0,0,J$16,1)=$T$24) +0),"")</f>
        <v/>
      </c>
      <c r="Q147" t="str" cm="1">
        <f t="array" aca="1" ref="Q147" ca="1">IF(D147&lt;&gt;"", SUMPRODUCT((OFFSET(D147,0,0,K$16,1)=$T$24) +0),"")</f>
        <v/>
      </c>
      <c r="R147" t="str" cm="1">
        <f t="array" aca="1" ref="R147" ca="1">IF(E147&lt;&gt;"", SUMPRODUCT((OFFSET(E147,0,0,L$16,1)=$T$24) +0),"")</f>
        <v/>
      </c>
      <c r="AB147">
        <f t="shared" si="37"/>
        <v>3</v>
      </c>
      <c r="AC147">
        <f t="shared" si="38"/>
        <v>3</v>
      </c>
      <c r="AD147">
        <f t="shared" si="39"/>
        <v>1</v>
      </c>
      <c r="AE147">
        <f t="shared" si="40"/>
        <v>1</v>
      </c>
      <c r="AF147">
        <f t="shared" si="41"/>
        <v>0</v>
      </c>
      <c r="AG147">
        <f t="shared" si="42"/>
        <v>8</v>
      </c>
      <c r="AH147">
        <f t="shared" ca="1" si="43"/>
        <v>0</v>
      </c>
      <c r="AI147">
        <f>IF(ROW($AA147) - $AA$51 &lt; ($H$16+1)^5, IF(AG147 &gt;= BaseBonus!$C$16, AG147*BaseBonus!$E$31, 0), "")</f>
        <v>7.5124286503406372</v>
      </c>
      <c r="AJ147">
        <f t="shared" ca="1" si="44"/>
        <v>0</v>
      </c>
      <c r="AK147" s="44"/>
    </row>
    <row r="148" spans="8:37" x14ac:dyDescent="0.3">
      <c r="H148" t="str" cm="1">
        <f t="array" aca="1" ref="H148" ca="1">IF(ROW(A148)-H$15 &lt; H$14,A148,IF(ROW(A148) - H$15 -H$16 + 1 &lt; H$14,INDIRECT(ADDRESS(MOD(ROW(A148) - H$15, H$14) + H$15, COLUMN(A148))),""))</f>
        <v/>
      </c>
      <c r="I148" t="str" cm="1">
        <f t="array" aca="1" ref="I148" ca="1">IF(ROW(B148)-I$15 &lt; I$14,B148,IF(ROW(B148) - I$15 -I$16 + 1 &lt; I$14,INDIRECT(ADDRESS(MOD(ROW(B148) - I$15, I$14) + I$15, COLUMN(B148))),""))</f>
        <v/>
      </c>
      <c r="J148" t="str" cm="1">
        <f t="array" aca="1" ref="J148" ca="1">IF(ROW(C148)-J$15 &lt; J$14,C148,IF(ROW(C148) - J$15 -J$16 + 1 &lt; J$14,INDIRECT(ADDRESS(MOD(ROW(C148) - J$15, J$14) + J$15, COLUMN(C148))),""))</f>
        <v/>
      </c>
      <c r="K148" t="str" cm="1">
        <f t="array" aca="1" ref="K148" ca="1">IF(ROW(D148)-K$15 &lt; K$14,D148,IF(ROW(D148) - K$15 -K$16 + 1 &lt; K$14,INDIRECT(ADDRESS(MOD(ROW(D148) - K$15, K$14) + K$15, COLUMN(D148))),""))</f>
        <v/>
      </c>
      <c r="L148" t="str" cm="1">
        <f t="array" aca="1" ref="L148" ca="1">IF(ROW(E148)-L$15 &lt; L$14,E148,IF(ROW(E148) - L$15 -L$16 + 1 &lt; L$14,INDIRECT(ADDRESS(MOD(ROW(E148) - L$15, L$14) + L$15, COLUMN(E148))),""))</f>
        <v/>
      </c>
      <c r="N148" t="str" cm="1">
        <f t="array" aca="1" ref="N148" ca="1">IF(A148&lt;&gt;"", SUMPRODUCT((OFFSET(A148,0,0,H$16,1)=$T$24) +0),"")</f>
        <v/>
      </c>
      <c r="O148" t="str" cm="1">
        <f t="array" aca="1" ref="O148" ca="1">IF(B148&lt;&gt;"", SUMPRODUCT((OFFSET(B148,0,0,I$16,1)=$T$24) +0),"")</f>
        <v/>
      </c>
      <c r="P148" t="str" cm="1">
        <f t="array" aca="1" ref="P148" ca="1">IF(C148&lt;&gt;"", SUMPRODUCT((OFFSET(C148,0,0,J$16,1)=$T$24) +0),"")</f>
        <v/>
      </c>
      <c r="Q148" t="str" cm="1">
        <f t="array" aca="1" ref="Q148" ca="1">IF(D148&lt;&gt;"", SUMPRODUCT((OFFSET(D148,0,0,K$16,1)=$T$24) +0),"")</f>
        <v/>
      </c>
      <c r="R148" t="str" cm="1">
        <f t="array" aca="1" ref="R148" ca="1">IF(E148&lt;&gt;"", SUMPRODUCT((OFFSET(E148,0,0,L$16,1)=$T$24) +0),"")</f>
        <v/>
      </c>
      <c r="AB148">
        <f t="shared" si="37"/>
        <v>0</v>
      </c>
      <c r="AC148">
        <f t="shared" si="38"/>
        <v>0</v>
      </c>
      <c r="AD148">
        <f t="shared" si="39"/>
        <v>2</v>
      </c>
      <c r="AE148">
        <f t="shared" si="40"/>
        <v>1</v>
      </c>
      <c r="AF148">
        <f t="shared" si="41"/>
        <v>0</v>
      </c>
      <c r="AG148">
        <f t="shared" si="42"/>
        <v>3</v>
      </c>
      <c r="AH148">
        <f t="shared" ca="1" si="43"/>
        <v>6.9101752682830322E-3</v>
      </c>
      <c r="AI148">
        <f>IF(ROW($AA148) - $AA$51 &lt; ($H$16+1)^5, IF(AG148 &gt;= BaseBonus!$C$16, AG148*BaseBonus!$E$31, 0), "")</f>
        <v>0</v>
      </c>
      <c r="AJ148">
        <f t="shared" ca="1" si="44"/>
        <v>0</v>
      </c>
      <c r="AK148" s="44"/>
    </row>
    <row r="149" spans="8:37" x14ac:dyDescent="0.3">
      <c r="H149" t="str" cm="1">
        <f t="array" aca="1" ref="H149" ca="1">IF(ROW(A149)-H$15 &lt; H$14,A149,IF(ROW(A149) - H$15 -H$16 + 1 &lt; H$14,INDIRECT(ADDRESS(MOD(ROW(A149) - H$15, H$14) + H$15, COLUMN(A149))),""))</f>
        <v/>
      </c>
      <c r="I149" t="str" cm="1">
        <f t="array" aca="1" ref="I149" ca="1">IF(ROW(B149)-I$15 &lt; I$14,B149,IF(ROW(B149) - I$15 -I$16 + 1 &lt; I$14,INDIRECT(ADDRESS(MOD(ROW(B149) - I$15, I$14) + I$15, COLUMN(B149))),""))</f>
        <v/>
      </c>
      <c r="J149" t="str" cm="1">
        <f t="array" aca="1" ref="J149" ca="1">IF(ROW(C149)-J$15 &lt; J$14,C149,IF(ROW(C149) - J$15 -J$16 + 1 &lt; J$14,INDIRECT(ADDRESS(MOD(ROW(C149) - J$15, J$14) + J$15, COLUMN(C149))),""))</f>
        <v/>
      </c>
      <c r="K149" t="str" cm="1">
        <f t="array" aca="1" ref="K149" ca="1">IF(ROW(D149)-K$15 &lt; K$14,D149,IF(ROW(D149) - K$15 -K$16 + 1 &lt; K$14,INDIRECT(ADDRESS(MOD(ROW(D149) - K$15, K$14) + K$15, COLUMN(D149))),""))</f>
        <v/>
      </c>
      <c r="L149" t="str" cm="1">
        <f t="array" aca="1" ref="L149" ca="1">IF(ROW(E149)-L$15 &lt; L$14,E149,IF(ROW(E149) - L$15 -L$16 + 1 &lt; L$14,INDIRECT(ADDRESS(MOD(ROW(E149) - L$15, L$14) + L$15, COLUMN(E149))),""))</f>
        <v/>
      </c>
      <c r="N149" t="str" cm="1">
        <f t="array" aca="1" ref="N149" ca="1">IF(A149&lt;&gt;"", SUMPRODUCT((OFFSET(A149,0,0,H$16,1)=$T$24) +0),"")</f>
        <v/>
      </c>
      <c r="O149" t="str" cm="1">
        <f t="array" aca="1" ref="O149" ca="1">IF(B149&lt;&gt;"", SUMPRODUCT((OFFSET(B149,0,0,I$16,1)=$T$24) +0),"")</f>
        <v/>
      </c>
      <c r="P149" t="str" cm="1">
        <f t="array" aca="1" ref="P149" ca="1">IF(C149&lt;&gt;"", SUMPRODUCT((OFFSET(C149,0,0,J$16,1)=$T$24) +0),"")</f>
        <v/>
      </c>
      <c r="Q149" t="str" cm="1">
        <f t="array" aca="1" ref="Q149" ca="1">IF(D149&lt;&gt;"", SUMPRODUCT((OFFSET(D149,0,0,K$16,1)=$T$24) +0),"")</f>
        <v/>
      </c>
      <c r="R149" t="str" cm="1">
        <f t="array" aca="1" ref="R149" ca="1">IF(E149&lt;&gt;"", SUMPRODUCT((OFFSET(E149,0,0,L$16,1)=$T$24) +0),"")</f>
        <v/>
      </c>
      <c r="AB149">
        <f t="shared" si="37"/>
        <v>1</v>
      </c>
      <c r="AC149">
        <f t="shared" si="38"/>
        <v>0</v>
      </c>
      <c r="AD149">
        <f t="shared" si="39"/>
        <v>2</v>
      </c>
      <c r="AE149">
        <f t="shared" si="40"/>
        <v>1</v>
      </c>
      <c r="AF149">
        <f t="shared" si="41"/>
        <v>0</v>
      </c>
      <c r="AG149">
        <f t="shared" si="42"/>
        <v>4</v>
      </c>
      <c r="AH149">
        <f t="shared" ca="1" si="43"/>
        <v>1.2956578628030685E-3</v>
      </c>
      <c r="AI149">
        <f>IF(ROW($AA149) - $AA$51 &lt; ($H$16+1)^5, IF(AG149 &gt;= BaseBonus!$C$16, AG149*BaseBonus!$E$31, 0), "")</f>
        <v>0</v>
      </c>
      <c r="AJ149">
        <f t="shared" ca="1" si="44"/>
        <v>0</v>
      </c>
      <c r="AK149" s="44"/>
    </row>
    <row r="150" spans="8:37" x14ac:dyDescent="0.3">
      <c r="H150" t="str" cm="1">
        <f t="array" aca="1" ref="H150" ca="1">IF(ROW(A150)-H$15 &lt; H$14,A150,IF(ROW(A150) - H$15 -H$16 + 1 &lt; H$14,INDIRECT(ADDRESS(MOD(ROW(A150) - H$15, H$14) + H$15, COLUMN(A150))),""))</f>
        <v/>
      </c>
      <c r="I150" t="str" cm="1">
        <f t="array" aca="1" ref="I150" ca="1">IF(ROW(B150)-I$15 &lt; I$14,B150,IF(ROW(B150) - I$15 -I$16 + 1 &lt; I$14,INDIRECT(ADDRESS(MOD(ROW(B150) - I$15, I$14) + I$15, COLUMN(B150))),""))</f>
        <v/>
      </c>
      <c r="J150" t="str" cm="1">
        <f t="array" aca="1" ref="J150" ca="1">IF(ROW(C150)-J$15 &lt; J$14,C150,IF(ROW(C150) - J$15 -J$16 + 1 &lt; J$14,INDIRECT(ADDRESS(MOD(ROW(C150) - J$15, J$14) + J$15, COLUMN(C150))),""))</f>
        <v/>
      </c>
      <c r="K150" t="str" cm="1">
        <f t="array" aca="1" ref="K150" ca="1">IF(ROW(D150)-K$15 &lt; K$14,D150,IF(ROW(D150) - K$15 -K$16 + 1 &lt; K$14,INDIRECT(ADDRESS(MOD(ROW(D150) - K$15, K$14) + K$15, COLUMN(D150))),""))</f>
        <v/>
      </c>
      <c r="L150" t="str" cm="1">
        <f t="array" aca="1" ref="L150" ca="1">IF(ROW(E150)-L$15 &lt; L$14,E150,IF(ROW(E150) - L$15 -L$16 + 1 &lt; L$14,INDIRECT(ADDRESS(MOD(ROW(E150) - L$15, L$14) + L$15, COLUMN(E150))),""))</f>
        <v/>
      </c>
      <c r="N150" t="str" cm="1">
        <f t="array" aca="1" ref="N150" ca="1">IF(A150&lt;&gt;"", SUMPRODUCT((OFFSET(A150,0,0,H$16,1)=$T$24) +0),"")</f>
        <v/>
      </c>
      <c r="O150" t="str" cm="1">
        <f t="array" aca="1" ref="O150" ca="1">IF(B150&lt;&gt;"", SUMPRODUCT((OFFSET(B150,0,0,I$16,1)=$T$24) +0),"")</f>
        <v/>
      </c>
      <c r="P150" t="str" cm="1">
        <f t="array" aca="1" ref="P150" ca="1">IF(C150&lt;&gt;"", SUMPRODUCT((OFFSET(C150,0,0,J$16,1)=$T$24) +0),"")</f>
        <v/>
      </c>
      <c r="Q150" t="str" cm="1">
        <f t="array" aca="1" ref="Q150" ca="1">IF(D150&lt;&gt;"", SUMPRODUCT((OFFSET(D150,0,0,K$16,1)=$T$24) +0),"")</f>
        <v/>
      </c>
      <c r="R150" t="str" cm="1">
        <f t="array" aca="1" ref="R150" ca="1">IF(E150&lt;&gt;"", SUMPRODUCT((OFFSET(E150,0,0,L$16,1)=$T$24) +0),"")</f>
        <v/>
      </c>
      <c r="AB150">
        <f t="shared" si="37"/>
        <v>2</v>
      </c>
      <c r="AC150">
        <f t="shared" si="38"/>
        <v>0</v>
      </c>
      <c r="AD150">
        <f t="shared" si="39"/>
        <v>2</v>
      </c>
      <c r="AE150">
        <f t="shared" si="40"/>
        <v>1</v>
      </c>
      <c r="AF150">
        <f t="shared" si="41"/>
        <v>0</v>
      </c>
      <c r="AG150">
        <f t="shared" si="42"/>
        <v>5</v>
      </c>
      <c r="AH150">
        <f t="shared" ca="1" si="43"/>
        <v>6.4782893140153427E-4</v>
      </c>
      <c r="AI150">
        <f>IF(ROW($AA150) - $AA$51 &lt; ($H$16+1)^5, IF(AG150 &gt;= BaseBonus!$C$16, AG150*BaseBonus!$E$31, 0), "")</f>
        <v>4.6952679064628979</v>
      </c>
      <c r="AJ150">
        <f t="shared" ca="1" si="44"/>
        <v>3.0417303904877783E-3</v>
      </c>
      <c r="AK150" s="44"/>
    </row>
    <row r="151" spans="8:37" x14ac:dyDescent="0.3">
      <c r="H151" t="str" cm="1">
        <f t="array" aca="1" ref="H151" ca="1">IF(ROW(A151)-H$15 &lt; H$14,A151,IF(ROW(A151) - H$15 -H$16 + 1 &lt; H$14,INDIRECT(ADDRESS(MOD(ROW(A151) - H$15, H$14) + H$15, COLUMN(A151))),""))</f>
        <v/>
      </c>
      <c r="I151" t="str" cm="1">
        <f t="array" aca="1" ref="I151" ca="1">IF(ROW(B151)-I$15 &lt; I$14,B151,IF(ROW(B151) - I$15 -I$16 + 1 &lt; I$14,INDIRECT(ADDRESS(MOD(ROW(B151) - I$15, I$14) + I$15, COLUMN(B151))),""))</f>
        <v/>
      </c>
      <c r="J151" t="str" cm="1">
        <f t="array" aca="1" ref="J151" ca="1">IF(ROW(C151)-J$15 &lt; J$14,C151,IF(ROW(C151) - J$15 -J$16 + 1 &lt; J$14,INDIRECT(ADDRESS(MOD(ROW(C151) - J$15, J$14) + J$15, COLUMN(C151))),""))</f>
        <v/>
      </c>
      <c r="K151" t="str" cm="1">
        <f t="array" aca="1" ref="K151" ca="1">IF(ROW(D151)-K$15 &lt; K$14,D151,IF(ROW(D151) - K$15 -K$16 + 1 &lt; K$14,INDIRECT(ADDRESS(MOD(ROW(D151) - K$15, K$14) + K$15, COLUMN(D151))),""))</f>
        <v/>
      </c>
      <c r="L151" t="str" cm="1">
        <f t="array" aca="1" ref="L151" ca="1">IF(ROW(E151)-L$15 &lt; L$14,E151,IF(ROW(E151) - L$15 -L$16 + 1 &lt; L$14,INDIRECT(ADDRESS(MOD(ROW(E151) - L$15, L$14) + L$15, COLUMN(E151))),""))</f>
        <v/>
      </c>
      <c r="N151" t="str" cm="1">
        <f t="array" aca="1" ref="N151" ca="1">IF(A151&lt;&gt;"", SUMPRODUCT((OFFSET(A151,0,0,H$16,1)=$T$24) +0),"")</f>
        <v/>
      </c>
      <c r="O151" t="str" cm="1">
        <f t="array" aca="1" ref="O151" ca="1">IF(B151&lt;&gt;"", SUMPRODUCT((OFFSET(B151,0,0,I$16,1)=$T$24) +0),"")</f>
        <v/>
      </c>
      <c r="P151" t="str" cm="1">
        <f t="array" aca="1" ref="P151" ca="1">IF(C151&lt;&gt;"", SUMPRODUCT((OFFSET(C151,0,0,J$16,1)=$T$24) +0),"")</f>
        <v/>
      </c>
      <c r="Q151" t="str" cm="1">
        <f t="array" aca="1" ref="Q151" ca="1">IF(D151&lt;&gt;"", SUMPRODUCT((OFFSET(D151,0,0,K$16,1)=$T$24) +0),"")</f>
        <v/>
      </c>
      <c r="R151" t="str" cm="1">
        <f t="array" aca="1" ref="R151" ca="1">IF(E151&lt;&gt;"", SUMPRODUCT((OFFSET(E151,0,0,L$16,1)=$T$24) +0),"")</f>
        <v/>
      </c>
      <c r="AB151">
        <f t="shared" si="37"/>
        <v>3</v>
      </c>
      <c r="AC151">
        <f t="shared" si="38"/>
        <v>0</v>
      </c>
      <c r="AD151">
        <f t="shared" si="39"/>
        <v>2</v>
      </c>
      <c r="AE151">
        <f t="shared" si="40"/>
        <v>1</v>
      </c>
      <c r="AF151">
        <f t="shared" si="41"/>
        <v>0</v>
      </c>
      <c r="AG151">
        <f t="shared" si="42"/>
        <v>6</v>
      </c>
      <c r="AH151">
        <f t="shared" ca="1" si="43"/>
        <v>0</v>
      </c>
      <c r="AI151">
        <f>IF(ROW($AA151) - $AA$51 &lt; ($H$16+1)^5, IF(AG151 &gt;= BaseBonus!$C$16, AG151*BaseBonus!$E$31, 0), "")</f>
        <v>5.6343214877554777</v>
      </c>
      <c r="AJ151">
        <f t="shared" ca="1" si="44"/>
        <v>0</v>
      </c>
      <c r="AK151" s="44"/>
    </row>
    <row r="152" spans="8:37" x14ac:dyDescent="0.3">
      <c r="H152" t="str" cm="1">
        <f t="array" aca="1" ref="H152" ca="1">IF(ROW(A152)-H$15 &lt; H$14,A152,IF(ROW(A152) - H$15 -H$16 + 1 &lt; H$14,INDIRECT(ADDRESS(MOD(ROW(A152) - H$15, H$14) + H$15, COLUMN(A152))),""))</f>
        <v/>
      </c>
      <c r="I152" t="str" cm="1">
        <f t="array" aca="1" ref="I152" ca="1">IF(ROW(B152)-I$15 &lt; I$14,B152,IF(ROW(B152) - I$15 -I$16 + 1 &lt; I$14,INDIRECT(ADDRESS(MOD(ROW(B152) - I$15, I$14) + I$15, COLUMN(B152))),""))</f>
        <v/>
      </c>
      <c r="J152" t="str" cm="1">
        <f t="array" aca="1" ref="J152" ca="1">IF(ROW(C152)-J$15 &lt; J$14,C152,IF(ROW(C152) - J$15 -J$16 + 1 &lt; J$14,INDIRECT(ADDRESS(MOD(ROW(C152) - J$15, J$14) + J$15, COLUMN(C152))),""))</f>
        <v/>
      </c>
      <c r="K152" t="str" cm="1">
        <f t="array" aca="1" ref="K152" ca="1">IF(ROW(D152)-K$15 &lt; K$14,D152,IF(ROW(D152) - K$15 -K$16 + 1 &lt; K$14,INDIRECT(ADDRESS(MOD(ROW(D152) - K$15, K$14) + K$15, COLUMN(D152))),""))</f>
        <v/>
      </c>
      <c r="L152" t="str" cm="1">
        <f t="array" aca="1" ref="L152" ca="1">IF(ROW(E152)-L$15 &lt; L$14,E152,IF(ROW(E152) - L$15 -L$16 + 1 &lt; L$14,INDIRECT(ADDRESS(MOD(ROW(E152) - L$15, L$14) + L$15, COLUMN(E152))),""))</f>
        <v/>
      </c>
      <c r="N152" t="str" cm="1">
        <f t="array" aca="1" ref="N152" ca="1">IF(A152&lt;&gt;"", SUMPRODUCT((OFFSET(A152,0,0,H$16,1)=$T$24) +0),"")</f>
        <v/>
      </c>
      <c r="O152" t="str" cm="1">
        <f t="array" aca="1" ref="O152" ca="1">IF(B152&lt;&gt;"", SUMPRODUCT((OFFSET(B152,0,0,I$16,1)=$T$24) +0),"")</f>
        <v/>
      </c>
      <c r="P152" t="str" cm="1">
        <f t="array" aca="1" ref="P152" ca="1">IF(C152&lt;&gt;"", SUMPRODUCT((OFFSET(C152,0,0,J$16,1)=$T$24) +0),"")</f>
        <v/>
      </c>
      <c r="Q152" t="str" cm="1">
        <f t="array" aca="1" ref="Q152" ca="1">IF(D152&lt;&gt;"", SUMPRODUCT((OFFSET(D152,0,0,K$16,1)=$T$24) +0),"")</f>
        <v/>
      </c>
      <c r="R152" t="str" cm="1">
        <f t="array" aca="1" ref="R152" ca="1">IF(E152&lt;&gt;"", SUMPRODUCT((OFFSET(E152,0,0,L$16,1)=$T$24) +0),"")</f>
        <v/>
      </c>
      <c r="AB152">
        <f t="shared" si="37"/>
        <v>0</v>
      </c>
      <c r="AC152">
        <f t="shared" si="38"/>
        <v>1</v>
      </c>
      <c r="AD152">
        <f t="shared" si="39"/>
        <v>2</v>
      </c>
      <c r="AE152">
        <f t="shared" si="40"/>
        <v>1</v>
      </c>
      <c r="AF152">
        <f t="shared" si="41"/>
        <v>0</v>
      </c>
      <c r="AG152">
        <f t="shared" si="42"/>
        <v>4</v>
      </c>
      <c r="AH152">
        <f t="shared" ca="1" si="43"/>
        <v>2.1081890648999083E-3</v>
      </c>
      <c r="AI152">
        <f>IF(ROW($AA152) - $AA$51 &lt; ($H$16+1)^5, IF(AG152 &gt;= BaseBonus!$C$16, AG152*BaseBonus!$E$31, 0), "")</f>
        <v>0</v>
      </c>
      <c r="AJ152">
        <f t="shared" ca="1" si="44"/>
        <v>0</v>
      </c>
      <c r="AK152" s="44"/>
    </row>
    <row r="153" spans="8:37" x14ac:dyDescent="0.3">
      <c r="H153" t="str" cm="1">
        <f t="array" aca="1" ref="H153" ca="1">IF(ROW(A153)-H$15 &lt; H$14,A153,IF(ROW(A153) - H$15 -H$16 + 1 &lt; H$14,INDIRECT(ADDRESS(MOD(ROW(A153) - H$15, H$14) + H$15, COLUMN(A153))),""))</f>
        <v/>
      </c>
      <c r="I153" t="str" cm="1">
        <f t="array" aca="1" ref="I153" ca="1">IF(ROW(B153)-I$15 &lt; I$14,B153,IF(ROW(B153) - I$15 -I$16 + 1 &lt; I$14,INDIRECT(ADDRESS(MOD(ROW(B153) - I$15, I$14) + I$15, COLUMN(B153))),""))</f>
        <v/>
      </c>
      <c r="J153" t="str" cm="1">
        <f t="array" aca="1" ref="J153" ca="1">IF(ROW(C153)-J$15 &lt; J$14,C153,IF(ROW(C153) - J$15 -J$16 + 1 &lt; J$14,INDIRECT(ADDRESS(MOD(ROW(C153) - J$15, J$14) + J$15, COLUMN(C153))),""))</f>
        <v/>
      </c>
      <c r="K153" t="str" cm="1">
        <f t="array" aca="1" ref="K153" ca="1">IF(ROW(D153)-K$15 &lt; K$14,D153,IF(ROW(D153) - K$15 -K$16 + 1 &lt; K$14,INDIRECT(ADDRESS(MOD(ROW(D153) - K$15, K$14) + K$15, COLUMN(D153))),""))</f>
        <v/>
      </c>
      <c r="L153" t="str" cm="1">
        <f t="array" aca="1" ref="L153" ca="1">IF(ROW(E153)-L$15 &lt; L$14,E153,IF(ROW(E153) - L$15 -L$16 + 1 &lt; L$14,INDIRECT(ADDRESS(MOD(ROW(E153) - L$15, L$14) + L$15, COLUMN(E153))),""))</f>
        <v/>
      </c>
      <c r="N153" t="str" cm="1">
        <f t="array" aca="1" ref="N153" ca="1">IF(A153&lt;&gt;"", SUMPRODUCT((OFFSET(A153,0,0,H$16,1)=$T$24) +0),"")</f>
        <v/>
      </c>
      <c r="O153" t="str" cm="1">
        <f t="array" aca="1" ref="O153" ca="1">IF(B153&lt;&gt;"", SUMPRODUCT((OFFSET(B153,0,0,I$16,1)=$T$24) +0),"")</f>
        <v/>
      </c>
      <c r="P153" t="str" cm="1">
        <f t="array" aca="1" ref="P153" ca="1">IF(C153&lt;&gt;"", SUMPRODUCT((OFFSET(C153,0,0,J$16,1)=$T$24) +0),"")</f>
        <v/>
      </c>
      <c r="Q153" t="str" cm="1">
        <f t="array" aca="1" ref="Q153" ca="1">IF(D153&lt;&gt;"", SUMPRODUCT((OFFSET(D153,0,0,K$16,1)=$T$24) +0),"")</f>
        <v/>
      </c>
      <c r="R153" t="str" cm="1">
        <f t="array" aca="1" ref="R153" ca="1">IF(E153&lt;&gt;"", SUMPRODUCT((OFFSET(E153,0,0,L$16,1)=$T$24) +0),"")</f>
        <v/>
      </c>
      <c r="AB153">
        <f t="shared" si="37"/>
        <v>1</v>
      </c>
      <c r="AC153">
        <f t="shared" si="38"/>
        <v>1</v>
      </c>
      <c r="AD153">
        <f t="shared" si="39"/>
        <v>2</v>
      </c>
      <c r="AE153">
        <f t="shared" si="40"/>
        <v>1</v>
      </c>
      <c r="AF153">
        <f t="shared" si="41"/>
        <v>0</v>
      </c>
      <c r="AG153">
        <f t="shared" si="42"/>
        <v>5</v>
      </c>
      <c r="AH153">
        <f t="shared" ca="1" si="43"/>
        <v>3.9528544966873274E-4</v>
      </c>
      <c r="AI153">
        <f>IF(ROW($AA153) - $AA$51 &lt; ($H$16+1)^5, IF(AG153 &gt;= BaseBonus!$C$16, AG153*BaseBonus!$E$31, 0), "")</f>
        <v>4.6952679064628979</v>
      </c>
      <c r="AJ153">
        <f t="shared" ca="1" si="44"/>
        <v>1.8559710857213561E-3</v>
      </c>
      <c r="AK153" s="44"/>
    </row>
    <row r="154" spans="8:37" x14ac:dyDescent="0.3">
      <c r="H154" t="str" cm="1">
        <f t="array" aca="1" ref="H154" ca="1">IF(ROW(A154)-H$15 &lt; H$14,A154,IF(ROW(A154) - H$15 -H$16 + 1 &lt; H$14,INDIRECT(ADDRESS(MOD(ROW(A154) - H$15, H$14) + H$15, COLUMN(A154))),""))</f>
        <v/>
      </c>
      <c r="I154" t="str" cm="1">
        <f t="array" aca="1" ref="I154" ca="1">IF(ROW(B154)-I$15 &lt; I$14,B154,IF(ROW(B154) - I$15 -I$16 + 1 &lt; I$14,INDIRECT(ADDRESS(MOD(ROW(B154) - I$15, I$14) + I$15, COLUMN(B154))),""))</f>
        <v/>
      </c>
      <c r="J154" t="str" cm="1">
        <f t="array" aca="1" ref="J154" ca="1">IF(ROW(C154)-J$15 &lt; J$14,C154,IF(ROW(C154) - J$15 -J$16 + 1 &lt; J$14,INDIRECT(ADDRESS(MOD(ROW(C154) - J$15, J$14) + J$15, COLUMN(C154))),""))</f>
        <v/>
      </c>
      <c r="K154" t="str" cm="1">
        <f t="array" aca="1" ref="K154" ca="1">IF(ROW(D154)-K$15 &lt; K$14,D154,IF(ROW(D154) - K$15 -K$16 + 1 &lt; K$14,INDIRECT(ADDRESS(MOD(ROW(D154) - K$15, K$14) + K$15, COLUMN(D154))),""))</f>
        <v/>
      </c>
      <c r="L154" t="str" cm="1">
        <f t="array" aca="1" ref="L154" ca="1">IF(ROW(E154)-L$15 &lt; L$14,E154,IF(ROW(E154) - L$15 -L$16 + 1 &lt; L$14,INDIRECT(ADDRESS(MOD(ROW(E154) - L$15, L$14) + L$15, COLUMN(E154))),""))</f>
        <v/>
      </c>
      <c r="N154" t="str" cm="1">
        <f t="array" aca="1" ref="N154" ca="1">IF(A154&lt;&gt;"", SUMPRODUCT((OFFSET(A154,0,0,H$16,1)=$T$24) +0),"")</f>
        <v/>
      </c>
      <c r="O154" t="str" cm="1">
        <f t="array" aca="1" ref="O154" ca="1">IF(B154&lt;&gt;"", SUMPRODUCT((OFFSET(B154,0,0,I$16,1)=$T$24) +0),"")</f>
        <v/>
      </c>
      <c r="P154" t="str" cm="1">
        <f t="array" aca="1" ref="P154" ca="1">IF(C154&lt;&gt;"", SUMPRODUCT((OFFSET(C154,0,0,J$16,1)=$T$24) +0),"")</f>
        <v/>
      </c>
      <c r="Q154" t="str" cm="1">
        <f t="array" aca="1" ref="Q154" ca="1">IF(D154&lt;&gt;"", SUMPRODUCT((OFFSET(D154,0,0,K$16,1)=$T$24) +0),"")</f>
        <v/>
      </c>
      <c r="R154" t="str" cm="1">
        <f t="array" aca="1" ref="R154" ca="1">IF(E154&lt;&gt;"", SUMPRODUCT((OFFSET(E154,0,0,L$16,1)=$T$24) +0),"")</f>
        <v/>
      </c>
      <c r="AB154">
        <f t="shared" si="37"/>
        <v>2</v>
      </c>
      <c r="AC154">
        <f t="shared" si="38"/>
        <v>1</v>
      </c>
      <c r="AD154">
        <f t="shared" si="39"/>
        <v>2</v>
      </c>
      <c r="AE154">
        <f t="shared" si="40"/>
        <v>1</v>
      </c>
      <c r="AF154">
        <f t="shared" si="41"/>
        <v>0</v>
      </c>
      <c r="AG154">
        <f t="shared" si="42"/>
        <v>6</v>
      </c>
      <c r="AH154">
        <f t="shared" ca="1" si="43"/>
        <v>1.9764272483436637E-4</v>
      </c>
      <c r="AI154">
        <f>IF(ROW($AA154) - $AA$51 &lt; ($H$16+1)^5, IF(AG154 &gt;= BaseBonus!$C$16, AG154*BaseBonus!$E$31, 0), "")</f>
        <v>5.6343214877554777</v>
      </c>
      <c r="AJ154">
        <f t="shared" ca="1" si="44"/>
        <v>1.1135826514328136E-3</v>
      </c>
      <c r="AK154" s="44"/>
    </row>
    <row r="155" spans="8:37" x14ac:dyDescent="0.3">
      <c r="H155" t="str" cm="1">
        <f t="array" aca="1" ref="H155" ca="1">IF(ROW(A155)-H$15 &lt; H$14,A155,IF(ROW(A155) - H$15 -H$16 + 1 &lt; H$14,INDIRECT(ADDRESS(MOD(ROW(A155) - H$15, H$14) + H$15, COLUMN(A155))),""))</f>
        <v/>
      </c>
      <c r="I155" t="str" cm="1">
        <f t="array" aca="1" ref="I155" ca="1">IF(ROW(B155)-I$15 &lt; I$14,B155,IF(ROW(B155) - I$15 -I$16 + 1 &lt; I$14,INDIRECT(ADDRESS(MOD(ROW(B155) - I$15, I$14) + I$15, COLUMN(B155))),""))</f>
        <v/>
      </c>
      <c r="J155" t="str" cm="1">
        <f t="array" aca="1" ref="J155" ca="1">IF(ROW(C155)-J$15 &lt; J$14,C155,IF(ROW(C155) - J$15 -J$16 + 1 &lt; J$14,INDIRECT(ADDRESS(MOD(ROW(C155) - J$15, J$14) + J$15, COLUMN(C155))),""))</f>
        <v/>
      </c>
      <c r="K155" t="str" cm="1">
        <f t="array" aca="1" ref="K155" ca="1">IF(ROW(D155)-K$15 &lt; K$14,D155,IF(ROW(D155) - K$15 -K$16 + 1 &lt; K$14,INDIRECT(ADDRESS(MOD(ROW(D155) - K$15, K$14) + K$15, COLUMN(D155))),""))</f>
        <v/>
      </c>
      <c r="L155" t="str" cm="1">
        <f t="array" aca="1" ref="L155" ca="1">IF(ROW(E155)-L$15 &lt; L$14,E155,IF(ROW(E155) - L$15 -L$16 + 1 &lt; L$14,INDIRECT(ADDRESS(MOD(ROW(E155) - L$15, L$14) + L$15, COLUMN(E155))),""))</f>
        <v/>
      </c>
      <c r="N155" t="str" cm="1">
        <f t="array" aca="1" ref="N155" ca="1">IF(A155&lt;&gt;"", SUMPRODUCT((OFFSET(A155,0,0,H$16,1)=$T$24) +0),"")</f>
        <v/>
      </c>
      <c r="O155" t="str" cm="1">
        <f t="array" aca="1" ref="O155" ca="1">IF(B155&lt;&gt;"", SUMPRODUCT((OFFSET(B155,0,0,I$16,1)=$T$24) +0),"")</f>
        <v/>
      </c>
      <c r="P155" t="str" cm="1">
        <f t="array" aca="1" ref="P155" ca="1">IF(C155&lt;&gt;"", SUMPRODUCT((OFFSET(C155,0,0,J$16,1)=$T$24) +0),"")</f>
        <v/>
      </c>
      <c r="Q155" t="str" cm="1">
        <f t="array" aca="1" ref="Q155" ca="1">IF(D155&lt;&gt;"", SUMPRODUCT((OFFSET(D155,0,0,K$16,1)=$T$24) +0),"")</f>
        <v/>
      </c>
      <c r="R155" t="str" cm="1">
        <f t="array" aca="1" ref="R155" ca="1">IF(E155&lt;&gt;"", SUMPRODUCT((OFFSET(E155,0,0,L$16,1)=$T$24) +0),"")</f>
        <v/>
      </c>
      <c r="AB155">
        <f t="shared" si="37"/>
        <v>3</v>
      </c>
      <c r="AC155">
        <f t="shared" si="38"/>
        <v>1</v>
      </c>
      <c r="AD155">
        <f t="shared" si="39"/>
        <v>2</v>
      </c>
      <c r="AE155">
        <f t="shared" si="40"/>
        <v>1</v>
      </c>
      <c r="AF155">
        <f t="shared" si="41"/>
        <v>0</v>
      </c>
      <c r="AG155">
        <f t="shared" si="42"/>
        <v>7</v>
      </c>
      <c r="AH155">
        <f t="shared" ca="1" si="43"/>
        <v>0</v>
      </c>
      <c r="AI155">
        <f>IF(ROW($AA155) - $AA$51 &lt; ($H$16+1)^5, IF(AG155 &gt;= BaseBonus!$C$16, AG155*BaseBonus!$E$31, 0), "")</f>
        <v>6.5733750690480575</v>
      </c>
      <c r="AJ155">
        <f t="shared" ca="1" si="44"/>
        <v>0</v>
      </c>
      <c r="AK155" s="44"/>
    </row>
    <row r="156" spans="8:37" x14ac:dyDescent="0.3">
      <c r="H156" t="str" cm="1">
        <f t="array" aca="1" ref="H156" ca="1">IF(ROW(A156)-H$15 &lt; H$14,A156,IF(ROW(A156) - H$15 -H$16 + 1 &lt; H$14,INDIRECT(ADDRESS(MOD(ROW(A156) - H$15, H$14) + H$15, COLUMN(A156))),""))</f>
        <v/>
      </c>
      <c r="I156" t="str" cm="1">
        <f t="array" aca="1" ref="I156" ca="1">IF(ROW(B156)-I$15 &lt; I$14,B156,IF(ROW(B156) - I$15 -I$16 + 1 &lt; I$14,INDIRECT(ADDRESS(MOD(ROW(B156) - I$15, I$14) + I$15, COLUMN(B156))),""))</f>
        <v/>
      </c>
      <c r="J156" t="str" cm="1">
        <f t="array" aca="1" ref="J156" ca="1">IF(ROW(C156)-J$15 &lt; J$14,C156,IF(ROW(C156) - J$15 -J$16 + 1 &lt; J$14,INDIRECT(ADDRESS(MOD(ROW(C156) - J$15, J$14) + J$15, COLUMN(C156))),""))</f>
        <v/>
      </c>
      <c r="K156" t="str" cm="1">
        <f t="array" aca="1" ref="K156" ca="1">IF(ROW(D156)-K$15 &lt; K$14,D156,IF(ROW(D156) - K$15 -K$16 + 1 &lt; K$14,INDIRECT(ADDRESS(MOD(ROW(D156) - K$15, K$14) + K$15, COLUMN(D156))),""))</f>
        <v/>
      </c>
      <c r="L156" t="str" cm="1">
        <f t="array" aca="1" ref="L156" ca="1">IF(ROW(E156)-L$15 &lt; L$14,E156,IF(ROW(E156) - L$15 -L$16 + 1 &lt; L$14,INDIRECT(ADDRESS(MOD(ROW(E156) - L$15, L$14) + L$15, COLUMN(E156))),""))</f>
        <v/>
      </c>
      <c r="N156" t="str" cm="1">
        <f t="array" aca="1" ref="N156" ca="1">IF(A156&lt;&gt;"", SUMPRODUCT((OFFSET(A156,0,0,H$16,1)=$T$24) +0),"")</f>
        <v/>
      </c>
      <c r="O156" t="str" cm="1">
        <f t="array" aca="1" ref="O156" ca="1">IF(B156&lt;&gt;"", SUMPRODUCT((OFFSET(B156,0,0,I$16,1)=$T$24) +0),"")</f>
        <v/>
      </c>
      <c r="P156" t="str" cm="1">
        <f t="array" aca="1" ref="P156" ca="1">IF(C156&lt;&gt;"", SUMPRODUCT((OFFSET(C156,0,0,J$16,1)=$T$24) +0),"")</f>
        <v/>
      </c>
      <c r="Q156" t="str" cm="1">
        <f t="array" aca="1" ref="Q156" ca="1">IF(D156&lt;&gt;"", SUMPRODUCT((OFFSET(D156,0,0,K$16,1)=$T$24) +0),"")</f>
        <v/>
      </c>
      <c r="R156" t="str" cm="1">
        <f t="array" aca="1" ref="R156" ca="1">IF(E156&lt;&gt;"", SUMPRODUCT((OFFSET(E156,0,0,L$16,1)=$T$24) +0),"")</f>
        <v/>
      </c>
      <c r="AB156">
        <f t="shared" si="37"/>
        <v>0</v>
      </c>
      <c r="AC156">
        <f t="shared" si="38"/>
        <v>2</v>
      </c>
      <c r="AD156">
        <f t="shared" si="39"/>
        <v>2</v>
      </c>
      <c r="AE156">
        <f t="shared" si="40"/>
        <v>1</v>
      </c>
      <c r="AF156">
        <f t="shared" si="41"/>
        <v>0</v>
      </c>
      <c r="AG156">
        <f t="shared" si="42"/>
        <v>5</v>
      </c>
      <c r="AH156">
        <f t="shared" ca="1" si="43"/>
        <v>3.5136484414998467E-4</v>
      </c>
      <c r="AI156">
        <f>IF(ROW($AA156) - $AA$51 &lt; ($H$16+1)^5, IF(AG156 &gt;= BaseBonus!$C$16, AG156*BaseBonus!$E$31, 0), "")</f>
        <v>4.6952679064628979</v>
      </c>
      <c r="AJ156">
        <f t="shared" ca="1" si="44"/>
        <v>1.6497520761967609E-3</v>
      </c>
      <c r="AK156" s="44"/>
    </row>
    <row r="157" spans="8:37" x14ac:dyDescent="0.3">
      <c r="H157" t="str" cm="1">
        <f t="array" aca="1" ref="H157" ca="1">IF(ROW(A157)-H$15 &lt; H$14,A157,IF(ROW(A157) - H$15 -H$16 + 1 &lt; H$14,INDIRECT(ADDRESS(MOD(ROW(A157) - H$15, H$14) + H$15, COLUMN(A157))),""))</f>
        <v/>
      </c>
      <c r="I157" t="str" cm="1">
        <f t="array" aca="1" ref="I157" ca="1">IF(ROW(B157)-I$15 &lt; I$14,B157,IF(ROW(B157) - I$15 -I$16 + 1 &lt; I$14,INDIRECT(ADDRESS(MOD(ROW(B157) - I$15, I$14) + I$15, COLUMN(B157))),""))</f>
        <v/>
      </c>
      <c r="J157" t="str" cm="1">
        <f t="array" aca="1" ref="J157" ca="1">IF(ROW(C157)-J$15 &lt; J$14,C157,IF(ROW(C157) - J$15 -J$16 + 1 &lt; J$14,INDIRECT(ADDRESS(MOD(ROW(C157) - J$15, J$14) + J$15, COLUMN(C157))),""))</f>
        <v/>
      </c>
      <c r="K157" t="str" cm="1">
        <f t="array" aca="1" ref="K157" ca="1">IF(ROW(D157)-K$15 &lt; K$14,D157,IF(ROW(D157) - K$15 -K$16 + 1 &lt; K$14,INDIRECT(ADDRESS(MOD(ROW(D157) - K$15, K$14) + K$15, COLUMN(D157))),""))</f>
        <v/>
      </c>
      <c r="L157" t="str" cm="1">
        <f t="array" aca="1" ref="L157" ca="1">IF(ROW(E157)-L$15 &lt; L$14,E157,IF(ROW(E157) - L$15 -L$16 + 1 &lt; L$14,INDIRECT(ADDRESS(MOD(ROW(E157) - L$15, L$14) + L$15, COLUMN(E157))),""))</f>
        <v/>
      </c>
      <c r="N157" t="str" cm="1">
        <f t="array" aca="1" ref="N157" ca="1">IF(A157&lt;&gt;"", SUMPRODUCT((OFFSET(A157,0,0,H$16,1)=$T$24) +0),"")</f>
        <v/>
      </c>
      <c r="O157" t="str" cm="1">
        <f t="array" aca="1" ref="O157" ca="1">IF(B157&lt;&gt;"", SUMPRODUCT((OFFSET(B157,0,0,I$16,1)=$T$24) +0),"")</f>
        <v/>
      </c>
      <c r="P157" t="str" cm="1">
        <f t="array" aca="1" ref="P157" ca="1">IF(C157&lt;&gt;"", SUMPRODUCT((OFFSET(C157,0,0,J$16,1)=$T$24) +0),"")</f>
        <v/>
      </c>
      <c r="Q157" t="str" cm="1">
        <f t="array" aca="1" ref="Q157" ca="1">IF(D157&lt;&gt;"", SUMPRODUCT((OFFSET(D157,0,0,K$16,1)=$T$24) +0),"")</f>
        <v/>
      </c>
      <c r="R157" t="str" cm="1">
        <f t="array" aca="1" ref="R157" ca="1">IF(E157&lt;&gt;"", SUMPRODUCT((OFFSET(E157,0,0,L$16,1)=$T$24) +0),"")</f>
        <v/>
      </c>
      <c r="AB157">
        <f t="shared" si="37"/>
        <v>1</v>
      </c>
      <c r="AC157">
        <f t="shared" si="38"/>
        <v>2</v>
      </c>
      <c r="AD157">
        <f t="shared" si="39"/>
        <v>2</v>
      </c>
      <c r="AE157">
        <f t="shared" si="40"/>
        <v>1</v>
      </c>
      <c r="AF157">
        <f t="shared" si="41"/>
        <v>0</v>
      </c>
      <c r="AG157">
        <f t="shared" si="42"/>
        <v>6</v>
      </c>
      <c r="AH157">
        <f t="shared" ca="1" si="43"/>
        <v>6.5880908278122133E-5</v>
      </c>
      <c r="AI157">
        <f>IF(ROW($AA157) - $AA$51 &lt; ($H$16+1)^5, IF(AG157 &gt;= BaseBonus!$C$16, AG157*BaseBonus!$E$31, 0), "")</f>
        <v>5.6343214877554777</v>
      </c>
      <c r="AJ157">
        <f t="shared" ca="1" si="44"/>
        <v>3.7119421714427124E-4</v>
      </c>
      <c r="AK157" s="44"/>
    </row>
    <row r="158" spans="8:37" x14ac:dyDescent="0.3">
      <c r="H158" t="str" cm="1">
        <f t="array" aca="1" ref="H158" ca="1">IF(ROW(A158)-H$15 &lt; H$14,A158,IF(ROW(A158) - H$15 -H$16 + 1 &lt; H$14,INDIRECT(ADDRESS(MOD(ROW(A158) - H$15, H$14) + H$15, COLUMN(A158))),""))</f>
        <v/>
      </c>
      <c r="I158" t="str" cm="1">
        <f t="array" aca="1" ref="I158" ca="1">IF(ROW(B158)-I$15 &lt; I$14,B158,IF(ROW(B158) - I$15 -I$16 + 1 &lt; I$14,INDIRECT(ADDRESS(MOD(ROW(B158) - I$15, I$14) + I$15, COLUMN(B158))),""))</f>
        <v/>
      </c>
      <c r="J158" t="str" cm="1">
        <f t="array" aca="1" ref="J158" ca="1">IF(ROW(C158)-J$15 &lt; J$14,C158,IF(ROW(C158) - J$15 -J$16 + 1 &lt; J$14,INDIRECT(ADDRESS(MOD(ROW(C158) - J$15, J$14) + J$15, COLUMN(C158))),""))</f>
        <v/>
      </c>
      <c r="K158" t="str" cm="1">
        <f t="array" aca="1" ref="K158" ca="1">IF(ROW(D158)-K$15 &lt; K$14,D158,IF(ROW(D158) - K$15 -K$16 + 1 &lt; K$14,INDIRECT(ADDRESS(MOD(ROW(D158) - K$15, K$14) + K$15, COLUMN(D158))),""))</f>
        <v/>
      </c>
      <c r="L158" t="str" cm="1">
        <f t="array" aca="1" ref="L158" ca="1">IF(ROW(E158)-L$15 &lt; L$14,E158,IF(ROW(E158) - L$15 -L$16 + 1 &lt; L$14,INDIRECT(ADDRESS(MOD(ROW(E158) - L$15, L$14) + L$15, COLUMN(E158))),""))</f>
        <v/>
      </c>
      <c r="N158" t="str" cm="1">
        <f t="array" aca="1" ref="N158" ca="1">IF(A158&lt;&gt;"", SUMPRODUCT((OFFSET(A158,0,0,H$16,1)=$T$24) +0),"")</f>
        <v/>
      </c>
      <c r="O158" t="str" cm="1">
        <f t="array" aca="1" ref="O158" ca="1">IF(B158&lt;&gt;"", SUMPRODUCT((OFFSET(B158,0,0,I$16,1)=$T$24) +0),"")</f>
        <v/>
      </c>
      <c r="P158" t="str" cm="1">
        <f t="array" aca="1" ref="P158" ca="1">IF(C158&lt;&gt;"", SUMPRODUCT((OFFSET(C158,0,0,J$16,1)=$T$24) +0),"")</f>
        <v/>
      </c>
      <c r="Q158" t="str" cm="1">
        <f t="array" aca="1" ref="Q158" ca="1">IF(D158&lt;&gt;"", SUMPRODUCT((OFFSET(D158,0,0,K$16,1)=$T$24) +0),"")</f>
        <v/>
      </c>
      <c r="R158" t="str" cm="1">
        <f t="array" aca="1" ref="R158" ca="1">IF(E158&lt;&gt;"", SUMPRODUCT((OFFSET(E158,0,0,L$16,1)=$T$24) +0),"")</f>
        <v/>
      </c>
      <c r="AB158">
        <f t="shared" si="37"/>
        <v>2</v>
      </c>
      <c r="AC158">
        <f t="shared" si="38"/>
        <v>2</v>
      </c>
      <c r="AD158">
        <f t="shared" si="39"/>
        <v>2</v>
      </c>
      <c r="AE158">
        <f t="shared" si="40"/>
        <v>1</v>
      </c>
      <c r="AF158">
        <f t="shared" si="41"/>
        <v>0</v>
      </c>
      <c r="AG158">
        <f t="shared" si="42"/>
        <v>7</v>
      </c>
      <c r="AH158">
        <f t="shared" ca="1" si="43"/>
        <v>3.2940454139061067E-5</v>
      </c>
      <c r="AI158">
        <f>IF(ROW($AA158) - $AA$51 &lt; ($H$16+1)^5, IF(AG158 &gt;= BaseBonus!$C$16, AG158*BaseBonus!$E$31, 0), "")</f>
        <v>6.5733750690480575</v>
      </c>
      <c r="AJ158">
        <f t="shared" ca="1" si="44"/>
        <v>2.165299600008249E-4</v>
      </c>
      <c r="AK158" s="44"/>
    </row>
    <row r="159" spans="8:37" x14ac:dyDescent="0.3">
      <c r="H159" t="str" cm="1">
        <f t="array" aca="1" ref="H159" ca="1">IF(ROW(A159)-H$15 &lt; H$14,A159,IF(ROW(A159) - H$15 -H$16 + 1 &lt; H$14,INDIRECT(ADDRESS(MOD(ROW(A159) - H$15, H$14) + H$15, COLUMN(A159))),""))</f>
        <v/>
      </c>
      <c r="I159" t="str" cm="1">
        <f t="array" aca="1" ref="I159" ca="1">IF(ROW(B159)-I$15 &lt; I$14,B159,IF(ROW(B159) - I$15 -I$16 + 1 &lt; I$14,INDIRECT(ADDRESS(MOD(ROW(B159) - I$15, I$14) + I$15, COLUMN(B159))),""))</f>
        <v/>
      </c>
      <c r="J159" t="str" cm="1">
        <f t="array" aca="1" ref="J159" ca="1">IF(ROW(C159)-J$15 &lt; J$14,C159,IF(ROW(C159) - J$15 -J$16 + 1 &lt; J$14,INDIRECT(ADDRESS(MOD(ROW(C159) - J$15, J$14) + J$15, COLUMN(C159))),""))</f>
        <v/>
      </c>
      <c r="K159" t="str" cm="1">
        <f t="array" aca="1" ref="K159" ca="1">IF(ROW(D159)-K$15 &lt; K$14,D159,IF(ROW(D159) - K$15 -K$16 + 1 &lt; K$14,INDIRECT(ADDRESS(MOD(ROW(D159) - K$15, K$14) + K$15, COLUMN(D159))),""))</f>
        <v/>
      </c>
      <c r="L159" t="str" cm="1">
        <f t="array" aca="1" ref="L159" ca="1">IF(ROW(E159)-L$15 &lt; L$14,E159,IF(ROW(E159) - L$15 -L$16 + 1 &lt; L$14,INDIRECT(ADDRESS(MOD(ROW(E159) - L$15, L$14) + L$15, COLUMN(E159))),""))</f>
        <v/>
      </c>
      <c r="N159" t="str" cm="1">
        <f t="array" aca="1" ref="N159" ca="1">IF(A159&lt;&gt;"", SUMPRODUCT((OFFSET(A159,0,0,H$16,1)=$T$24) +0),"")</f>
        <v/>
      </c>
      <c r="O159" t="str" cm="1">
        <f t="array" aca="1" ref="O159" ca="1">IF(B159&lt;&gt;"", SUMPRODUCT((OFFSET(B159,0,0,I$16,1)=$T$24) +0),"")</f>
        <v/>
      </c>
      <c r="P159" t="str" cm="1">
        <f t="array" aca="1" ref="P159" ca="1">IF(C159&lt;&gt;"", SUMPRODUCT((OFFSET(C159,0,0,J$16,1)=$T$24) +0),"")</f>
        <v/>
      </c>
      <c r="Q159" t="str" cm="1">
        <f t="array" aca="1" ref="Q159" ca="1">IF(D159&lt;&gt;"", SUMPRODUCT((OFFSET(D159,0,0,K$16,1)=$T$24) +0),"")</f>
        <v/>
      </c>
      <c r="R159" t="str" cm="1">
        <f t="array" aca="1" ref="R159" ca="1">IF(E159&lt;&gt;"", SUMPRODUCT((OFFSET(E159,0,0,L$16,1)=$T$24) +0),"")</f>
        <v/>
      </c>
      <c r="AB159">
        <f t="shared" si="37"/>
        <v>3</v>
      </c>
      <c r="AC159">
        <f t="shared" si="38"/>
        <v>2</v>
      </c>
      <c r="AD159">
        <f t="shared" si="39"/>
        <v>2</v>
      </c>
      <c r="AE159">
        <f t="shared" si="40"/>
        <v>1</v>
      </c>
      <c r="AF159">
        <f t="shared" si="41"/>
        <v>0</v>
      </c>
      <c r="AG159">
        <f t="shared" si="42"/>
        <v>8</v>
      </c>
      <c r="AH159">
        <f t="shared" ca="1" si="43"/>
        <v>0</v>
      </c>
      <c r="AI159">
        <f>IF(ROW($AA159) - $AA$51 &lt; ($H$16+1)^5, IF(AG159 &gt;= BaseBonus!$C$16, AG159*BaseBonus!$E$31, 0), "")</f>
        <v>7.5124286503406372</v>
      </c>
      <c r="AJ159">
        <f t="shared" ca="1" si="44"/>
        <v>0</v>
      </c>
      <c r="AK159" s="44"/>
    </row>
    <row r="160" spans="8:37" x14ac:dyDescent="0.3">
      <c r="H160" t="str" cm="1">
        <f t="array" aca="1" ref="H160" ca="1">IF(ROW(A160)-H$15 &lt; H$14,A160,IF(ROW(A160) - H$15 -H$16 + 1 &lt; H$14,INDIRECT(ADDRESS(MOD(ROW(A160) - H$15, H$14) + H$15, COLUMN(A160))),""))</f>
        <v/>
      </c>
      <c r="I160" t="str" cm="1">
        <f t="array" aca="1" ref="I160" ca="1">IF(ROW(B160)-I$15 &lt; I$14,B160,IF(ROW(B160) - I$15 -I$16 + 1 &lt; I$14,INDIRECT(ADDRESS(MOD(ROW(B160) - I$15, I$14) + I$15, COLUMN(B160))),""))</f>
        <v/>
      </c>
      <c r="J160" t="str" cm="1">
        <f t="array" aca="1" ref="J160" ca="1">IF(ROW(C160)-J$15 &lt; J$14,C160,IF(ROW(C160) - J$15 -J$16 + 1 &lt; J$14,INDIRECT(ADDRESS(MOD(ROW(C160) - J$15, J$14) + J$15, COLUMN(C160))),""))</f>
        <v/>
      </c>
      <c r="K160" t="str" cm="1">
        <f t="array" aca="1" ref="K160" ca="1">IF(ROW(D160)-K$15 &lt; K$14,D160,IF(ROW(D160) - K$15 -K$16 + 1 &lt; K$14,INDIRECT(ADDRESS(MOD(ROW(D160) - K$15, K$14) + K$15, COLUMN(D160))),""))</f>
        <v/>
      </c>
      <c r="L160" t="str" cm="1">
        <f t="array" aca="1" ref="L160" ca="1">IF(ROW(E160)-L$15 &lt; L$14,E160,IF(ROW(E160) - L$15 -L$16 + 1 &lt; L$14,INDIRECT(ADDRESS(MOD(ROW(E160) - L$15, L$14) + L$15, COLUMN(E160))),""))</f>
        <v/>
      </c>
      <c r="N160" t="str" cm="1">
        <f t="array" aca="1" ref="N160" ca="1">IF(A160&lt;&gt;"", SUMPRODUCT((OFFSET(A160,0,0,H$16,1)=$T$24) +0),"")</f>
        <v/>
      </c>
      <c r="O160" t="str" cm="1">
        <f t="array" aca="1" ref="O160" ca="1">IF(B160&lt;&gt;"", SUMPRODUCT((OFFSET(B160,0,0,I$16,1)=$T$24) +0),"")</f>
        <v/>
      </c>
      <c r="P160" t="str" cm="1">
        <f t="array" aca="1" ref="P160" ca="1">IF(C160&lt;&gt;"", SUMPRODUCT((OFFSET(C160,0,0,J$16,1)=$T$24) +0),"")</f>
        <v/>
      </c>
      <c r="Q160" t="str" cm="1">
        <f t="array" aca="1" ref="Q160" ca="1">IF(D160&lt;&gt;"", SUMPRODUCT((OFFSET(D160,0,0,K$16,1)=$T$24) +0),"")</f>
        <v/>
      </c>
      <c r="R160" t="str" cm="1">
        <f t="array" aca="1" ref="R160" ca="1">IF(E160&lt;&gt;"", SUMPRODUCT((OFFSET(E160,0,0,L$16,1)=$T$24) +0),"")</f>
        <v/>
      </c>
      <c r="AB160">
        <f t="shared" si="37"/>
        <v>0</v>
      </c>
      <c r="AC160">
        <f t="shared" si="38"/>
        <v>3</v>
      </c>
      <c r="AD160">
        <f t="shared" si="39"/>
        <v>2</v>
      </c>
      <c r="AE160">
        <f t="shared" si="40"/>
        <v>1</v>
      </c>
      <c r="AF160">
        <f t="shared" si="41"/>
        <v>0</v>
      </c>
      <c r="AG160">
        <f t="shared" si="42"/>
        <v>6</v>
      </c>
      <c r="AH160">
        <f t="shared" ca="1" si="43"/>
        <v>0</v>
      </c>
      <c r="AI160">
        <f>IF(ROW($AA160) - $AA$51 &lt; ($H$16+1)^5, IF(AG160 &gt;= BaseBonus!$C$16, AG160*BaseBonus!$E$31, 0), "")</f>
        <v>5.6343214877554777</v>
      </c>
      <c r="AJ160">
        <f t="shared" ca="1" si="44"/>
        <v>0</v>
      </c>
      <c r="AK160" s="44"/>
    </row>
    <row r="161" spans="8:37" x14ac:dyDescent="0.3">
      <c r="H161" t="str" cm="1">
        <f t="array" aca="1" ref="H161" ca="1">IF(ROW(A161)-H$15 &lt; H$14,A161,IF(ROW(A161) - H$15 -H$16 + 1 &lt; H$14,INDIRECT(ADDRESS(MOD(ROW(A161) - H$15, H$14) + H$15, COLUMN(A161))),""))</f>
        <v/>
      </c>
      <c r="I161" t="str" cm="1">
        <f t="array" aca="1" ref="I161" ca="1">IF(ROW(B161)-I$15 &lt; I$14,B161,IF(ROW(B161) - I$15 -I$16 + 1 &lt; I$14,INDIRECT(ADDRESS(MOD(ROW(B161) - I$15, I$14) + I$15, COLUMN(B161))),""))</f>
        <v/>
      </c>
      <c r="J161" t="str" cm="1">
        <f t="array" aca="1" ref="J161" ca="1">IF(ROW(C161)-J$15 &lt; J$14,C161,IF(ROW(C161) - J$15 -J$16 + 1 &lt; J$14,INDIRECT(ADDRESS(MOD(ROW(C161) - J$15, J$14) + J$15, COLUMN(C161))),""))</f>
        <v/>
      </c>
      <c r="K161" t="str" cm="1">
        <f t="array" aca="1" ref="K161" ca="1">IF(ROW(D161)-K$15 &lt; K$14,D161,IF(ROW(D161) - K$15 -K$16 + 1 &lt; K$14,INDIRECT(ADDRESS(MOD(ROW(D161) - K$15, K$14) + K$15, COLUMN(D161))),""))</f>
        <v/>
      </c>
      <c r="L161" t="str" cm="1">
        <f t="array" aca="1" ref="L161" ca="1">IF(ROW(E161)-L$15 &lt; L$14,E161,IF(ROW(E161) - L$15 -L$16 + 1 &lt; L$14,INDIRECT(ADDRESS(MOD(ROW(E161) - L$15, L$14) + L$15, COLUMN(E161))),""))</f>
        <v/>
      </c>
      <c r="N161" t="str" cm="1">
        <f t="array" aca="1" ref="N161" ca="1">IF(A161&lt;&gt;"", SUMPRODUCT((OFFSET(A161,0,0,H$16,1)=$T$24) +0),"")</f>
        <v/>
      </c>
      <c r="O161" t="str" cm="1">
        <f t="array" aca="1" ref="O161" ca="1">IF(B161&lt;&gt;"", SUMPRODUCT((OFFSET(B161,0,0,I$16,1)=$T$24) +0),"")</f>
        <v/>
      </c>
      <c r="P161" t="str" cm="1">
        <f t="array" aca="1" ref="P161" ca="1">IF(C161&lt;&gt;"", SUMPRODUCT((OFFSET(C161,0,0,J$16,1)=$T$24) +0),"")</f>
        <v/>
      </c>
      <c r="Q161" t="str" cm="1">
        <f t="array" aca="1" ref="Q161" ca="1">IF(D161&lt;&gt;"", SUMPRODUCT((OFFSET(D161,0,0,K$16,1)=$T$24) +0),"")</f>
        <v/>
      </c>
      <c r="R161" t="str" cm="1">
        <f t="array" aca="1" ref="R161" ca="1">IF(E161&lt;&gt;"", SUMPRODUCT((OFFSET(E161,0,0,L$16,1)=$T$24) +0),"")</f>
        <v/>
      </c>
      <c r="AB161">
        <f t="shared" si="37"/>
        <v>1</v>
      </c>
      <c r="AC161">
        <f t="shared" si="38"/>
        <v>3</v>
      </c>
      <c r="AD161">
        <f t="shared" si="39"/>
        <v>2</v>
      </c>
      <c r="AE161">
        <f t="shared" si="40"/>
        <v>1</v>
      </c>
      <c r="AF161">
        <f t="shared" si="41"/>
        <v>0</v>
      </c>
      <c r="AG161">
        <f t="shared" si="42"/>
        <v>7</v>
      </c>
      <c r="AH161">
        <f t="shared" ca="1" si="43"/>
        <v>0</v>
      </c>
      <c r="AI161">
        <f>IF(ROW($AA161) - $AA$51 &lt; ($H$16+1)^5, IF(AG161 &gt;= BaseBonus!$C$16, AG161*BaseBonus!$E$31, 0), "")</f>
        <v>6.5733750690480575</v>
      </c>
      <c r="AJ161">
        <f t="shared" ca="1" si="44"/>
        <v>0</v>
      </c>
      <c r="AK161" s="44"/>
    </row>
    <row r="162" spans="8:37" x14ac:dyDescent="0.3">
      <c r="H162" t="str" cm="1">
        <f t="array" aca="1" ref="H162" ca="1">IF(ROW(A162)-H$15 &lt; H$14,A162,IF(ROW(A162) - H$15 -H$16 + 1 &lt; H$14,INDIRECT(ADDRESS(MOD(ROW(A162) - H$15, H$14) + H$15, COLUMN(A162))),""))</f>
        <v/>
      </c>
      <c r="I162" t="str" cm="1">
        <f t="array" aca="1" ref="I162" ca="1">IF(ROW(B162)-I$15 &lt; I$14,B162,IF(ROW(B162) - I$15 -I$16 + 1 &lt; I$14,INDIRECT(ADDRESS(MOD(ROW(B162) - I$15, I$14) + I$15, COLUMN(B162))),""))</f>
        <v/>
      </c>
      <c r="J162" t="str" cm="1">
        <f t="array" aca="1" ref="J162" ca="1">IF(ROW(C162)-J$15 &lt; J$14,C162,IF(ROW(C162) - J$15 -J$16 + 1 &lt; J$14,INDIRECT(ADDRESS(MOD(ROW(C162) - J$15, J$14) + J$15, COLUMN(C162))),""))</f>
        <v/>
      </c>
      <c r="K162" t="str" cm="1">
        <f t="array" aca="1" ref="K162" ca="1">IF(ROW(D162)-K$15 &lt; K$14,D162,IF(ROW(D162) - K$15 -K$16 + 1 &lt; K$14,INDIRECT(ADDRESS(MOD(ROW(D162) - K$15, K$14) + K$15, COLUMN(D162))),""))</f>
        <v/>
      </c>
      <c r="L162" t="str" cm="1">
        <f t="array" aca="1" ref="L162" ca="1">IF(ROW(E162)-L$15 &lt; L$14,E162,IF(ROW(E162) - L$15 -L$16 + 1 &lt; L$14,INDIRECT(ADDRESS(MOD(ROW(E162) - L$15, L$14) + L$15, COLUMN(E162))),""))</f>
        <v/>
      </c>
      <c r="N162" t="str" cm="1">
        <f t="array" aca="1" ref="N162" ca="1">IF(A162&lt;&gt;"", SUMPRODUCT((OFFSET(A162,0,0,H$16,1)=$T$24) +0),"")</f>
        <v/>
      </c>
      <c r="O162" t="str" cm="1">
        <f t="array" aca="1" ref="O162" ca="1">IF(B162&lt;&gt;"", SUMPRODUCT((OFFSET(B162,0,0,I$16,1)=$T$24) +0),"")</f>
        <v/>
      </c>
      <c r="P162" t="str" cm="1">
        <f t="array" aca="1" ref="P162" ca="1">IF(C162&lt;&gt;"", SUMPRODUCT((OFFSET(C162,0,0,J$16,1)=$T$24) +0),"")</f>
        <v/>
      </c>
      <c r="Q162" t="str" cm="1">
        <f t="array" aca="1" ref="Q162" ca="1">IF(D162&lt;&gt;"", SUMPRODUCT((OFFSET(D162,0,0,K$16,1)=$T$24) +0),"")</f>
        <v/>
      </c>
      <c r="R162" t="str" cm="1">
        <f t="array" aca="1" ref="R162" ca="1">IF(E162&lt;&gt;"", SUMPRODUCT((OFFSET(E162,0,0,L$16,1)=$T$24) +0),"")</f>
        <v/>
      </c>
      <c r="AB162">
        <f t="shared" si="37"/>
        <v>2</v>
      </c>
      <c r="AC162">
        <f t="shared" si="38"/>
        <v>3</v>
      </c>
      <c r="AD162">
        <f t="shared" si="39"/>
        <v>2</v>
      </c>
      <c r="AE162">
        <f t="shared" si="40"/>
        <v>1</v>
      </c>
      <c r="AF162">
        <f t="shared" si="41"/>
        <v>0</v>
      </c>
      <c r="AG162">
        <f t="shared" si="42"/>
        <v>8</v>
      </c>
      <c r="AH162">
        <f t="shared" ca="1" si="43"/>
        <v>0</v>
      </c>
      <c r="AI162">
        <f>IF(ROW($AA162) - $AA$51 &lt; ($H$16+1)^5, IF(AG162 &gt;= BaseBonus!$C$16, AG162*BaseBonus!$E$31, 0), "")</f>
        <v>7.5124286503406372</v>
      </c>
      <c r="AJ162">
        <f t="shared" ca="1" si="44"/>
        <v>0</v>
      </c>
      <c r="AK162" s="44"/>
    </row>
    <row r="163" spans="8:37" x14ac:dyDescent="0.3">
      <c r="H163" t="str" cm="1">
        <f t="array" aca="1" ref="H163" ca="1">IF(ROW(A163)-H$15 &lt; H$14,A163,IF(ROW(A163) - H$15 -H$16 + 1 &lt; H$14,INDIRECT(ADDRESS(MOD(ROW(A163) - H$15, H$14) + H$15, COLUMN(A163))),""))</f>
        <v/>
      </c>
      <c r="I163" t="str" cm="1">
        <f t="array" aca="1" ref="I163" ca="1">IF(ROW(B163)-I$15 &lt; I$14,B163,IF(ROW(B163) - I$15 -I$16 + 1 &lt; I$14,INDIRECT(ADDRESS(MOD(ROW(B163) - I$15, I$14) + I$15, COLUMN(B163))),""))</f>
        <v/>
      </c>
      <c r="J163" t="str" cm="1">
        <f t="array" aca="1" ref="J163" ca="1">IF(ROW(C163)-J$15 &lt; J$14,C163,IF(ROW(C163) - J$15 -J$16 + 1 &lt; J$14,INDIRECT(ADDRESS(MOD(ROW(C163) - J$15, J$14) + J$15, COLUMN(C163))),""))</f>
        <v/>
      </c>
      <c r="K163" t="str" cm="1">
        <f t="array" aca="1" ref="K163" ca="1">IF(ROW(D163)-K$15 &lt; K$14,D163,IF(ROW(D163) - K$15 -K$16 + 1 &lt; K$14,INDIRECT(ADDRESS(MOD(ROW(D163) - K$15, K$14) + K$15, COLUMN(D163))),""))</f>
        <v/>
      </c>
      <c r="L163" t="str" cm="1">
        <f t="array" aca="1" ref="L163" ca="1">IF(ROW(E163)-L$15 &lt; L$14,E163,IF(ROW(E163) - L$15 -L$16 + 1 &lt; L$14,INDIRECT(ADDRESS(MOD(ROW(E163) - L$15, L$14) + L$15, COLUMN(E163))),""))</f>
        <v/>
      </c>
      <c r="N163" t="str" cm="1">
        <f t="array" aca="1" ref="N163" ca="1">IF(A163&lt;&gt;"", SUMPRODUCT((OFFSET(A163,0,0,H$16,1)=$T$24) +0),"")</f>
        <v/>
      </c>
      <c r="O163" t="str" cm="1">
        <f t="array" aca="1" ref="O163" ca="1">IF(B163&lt;&gt;"", SUMPRODUCT((OFFSET(B163,0,0,I$16,1)=$T$24) +0),"")</f>
        <v/>
      </c>
      <c r="P163" t="str" cm="1">
        <f t="array" aca="1" ref="P163" ca="1">IF(C163&lt;&gt;"", SUMPRODUCT((OFFSET(C163,0,0,J$16,1)=$T$24) +0),"")</f>
        <v/>
      </c>
      <c r="Q163" t="str" cm="1">
        <f t="array" aca="1" ref="Q163" ca="1">IF(D163&lt;&gt;"", SUMPRODUCT((OFFSET(D163,0,0,K$16,1)=$T$24) +0),"")</f>
        <v/>
      </c>
      <c r="R163" t="str" cm="1">
        <f t="array" aca="1" ref="R163" ca="1">IF(E163&lt;&gt;"", SUMPRODUCT((OFFSET(E163,0,0,L$16,1)=$T$24) +0),"")</f>
        <v/>
      </c>
      <c r="AB163">
        <f t="shared" si="37"/>
        <v>3</v>
      </c>
      <c r="AC163">
        <f t="shared" si="38"/>
        <v>3</v>
      </c>
      <c r="AD163">
        <f t="shared" si="39"/>
        <v>2</v>
      </c>
      <c r="AE163">
        <f t="shared" si="40"/>
        <v>1</v>
      </c>
      <c r="AF163">
        <f t="shared" si="41"/>
        <v>0</v>
      </c>
      <c r="AG163">
        <f t="shared" si="42"/>
        <v>9</v>
      </c>
      <c r="AH163">
        <f t="shared" ca="1" si="43"/>
        <v>0</v>
      </c>
      <c r="AI163">
        <f>IF(ROW($AA163) - $AA$51 &lt; ($H$16+1)^5, IF(AG163 &gt;= BaseBonus!$C$16, AG163*BaseBonus!$E$31, 0), "")</f>
        <v>8.4514822316332161</v>
      </c>
      <c r="AJ163">
        <f t="shared" ca="1" si="44"/>
        <v>0</v>
      </c>
      <c r="AK163" s="44"/>
    </row>
    <row r="164" spans="8:37" x14ac:dyDescent="0.3">
      <c r="H164" t="str" cm="1">
        <f t="array" aca="1" ref="H164" ca="1">IF(ROW(A164)-H$15 &lt; H$14,A164,IF(ROW(A164) - H$15 -H$16 + 1 &lt; H$14,INDIRECT(ADDRESS(MOD(ROW(A164) - H$15, H$14) + H$15, COLUMN(A164))),""))</f>
        <v/>
      </c>
      <c r="I164" t="str" cm="1">
        <f t="array" aca="1" ref="I164" ca="1">IF(ROW(B164)-I$15 &lt; I$14,B164,IF(ROW(B164) - I$15 -I$16 + 1 &lt; I$14,INDIRECT(ADDRESS(MOD(ROW(B164) - I$15, I$14) + I$15, COLUMN(B164))),""))</f>
        <v/>
      </c>
      <c r="J164" t="str" cm="1">
        <f t="array" aca="1" ref="J164" ca="1">IF(ROW(C164)-J$15 &lt; J$14,C164,IF(ROW(C164) - J$15 -J$16 + 1 &lt; J$14,INDIRECT(ADDRESS(MOD(ROW(C164) - J$15, J$14) + J$15, COLUMN(C164))),""))</f>
        <v/>
      </c>
      <c r="K164" t="str" cm="1">
        <f t="array" aca="1" ref="K164" ca="1">IF(ROW(D164)-K$15 &lt; K$14,D164,IF(ROW(D164) - K$15 -K$16 + 1 &lt; K$14,INDIRECT(ADDRESS(MOD(ROW(D164) - K$15, K$14) + K$15, COLUMN(D164))),""))</f>
        <v/>
      </c>
      <c r="L164" t="str" cm="1">
        <f t="array" aca="1" ref="L164" ca="1">IF(ROW(E164)-L$15 &lt; L$14,E164,IF(ROW(E164) - L$15 -L$16 + 1 &lt; L$14,INDIRECT(ADDRESS(MOD(ROW(E164) - L$15, L$14) + L$15, COLUMN(E164))),""))</f>
        <v/>
      </c>
      <c r="N164" t="str" cm="1">
        <f t="array" aca="1" ref="N164" ca="1">IF(A164&lt;&gt;"", SUMPRODUCT((OFFSET(A164,0,0,H$16,1)=$T$24) +0),"")</f>
        <v/>
      </c>
      <c r="O164" t="str" cm="1">
        <f t="array" aca="1" ref="O164" ca="1">IF(B164&lt;&gt;"", SUMPRODUCT((OFFSET(B164,0,0,I$16,1)=$T$24) +0),"")</f>
        <v/>
      </c>
      <c r="P164" t="str" cm="1">
        <f t="array" aca="1" ref="P164" ca="1">IF(C164&lt;&gt;"", SUMPRODUCT((OFFSET(C164,0,0,J$16,1)=$T$24) +0),"")</f>
        <v/>
      </c>
      <c r="Q164" t="str" cm="1">
        <f t="array" aca="1" ref="Q164" ca="1">IF(D164&lt;&gt;"", SUMPRODUCT((OFFSET(D164,0,0,K$16,1)=$T$24) +0),"")</f>
        <v/>
      </c>
      <c r="R164" t="str" cm="1">
        <f t="array" aca="1" ref="R164" ca="1">IF(E164&lt;&gt;"", SUMPRODUCT((OFFSET(E164,0,0,L$16,1)=$T$24) +0),"")</f>
        <v/>
      </c>
      <c r="AB164">
        <f t="shared" si="37"/>
        <v>0</v>
      </c>
      <c r="AC164">
        <f t="shared" si="38"/>
        <v>0</v>
      </c>
      <c r="AD164">
        <f t="shared" si="39"/>
        <v>3</v>
      </c>
      <c r="AE164">
        <f t="shared" si="40"/>
        <v>1</v>
      </c>
      <c r="AF164">
        <f t="shared" si="41"/>
        <v>0</v>
      </c>
      <c r="AG164">
        <f t="shared" si="42"/>
        <v>4</v>
      </c>
      <c r="AH164">
        <f t="shared" ca="1" si="43"/>
        <v>0</v>
      </c>
      <c r="AI164">
        <f>IF(ROW($AA164) - $AA$51 &lt; ($H$16+1)^5, IF(AG164 &gt;= BaseBonus!$C$16, AG164*BaseBonus!$E$31, 0), "")</f>
        <v>0</v>
      </c>
      <c r="AJ164">
        <f t="shared" ca="1" si="44"/>
        <v>0</v>
      </c>
      <c r="AK164" s="44"/>
    </row>
    <row r="165" spans="8:37" x14ac:dyDescent="0.3">
      <c r="H165" t="str" cm="1">
        <f t="array" aca="1" ref="H165" ca="1">IF(ROW(A165)-H$15 &lt; H$14,A165,IF(ROW(A165) - H$15 -H$16 + 1 &lt; H$14,INDIRECT(ADDRESS(MOD(ROW(A165) - H$15, H$14) + H$15, COLUMN(A165))),""))</f>
        <v/>
      </c>
      <c r="I165" t="str" cm="1">
        <f t="array" aca="1" ref="I165" ca="1">IF(ROW(B165)-I$15 &lt; I$14,B165,IF(ROW(B165) - I$15 -I$16 + 1 &lt; I$14,INDIRECT(ADDRESS(MOD(ROW(B165) - I$15, I$14) + I$15, COLUMN(B165))),""))</f>
        <v/>
      </c>
      <c r="J165" t="str" cm="1">
        <f t="array" aca="1" ref="J165" ca="1">IF(ROW(C165)-J$15 &lt; J$14,C165,IF(ROW(C165) - J$15 -J$16 + 1 &lt; J$14,INDIRECT(ADDRESS(MOD(ROW(C165) - J$15, J$14) + J$15, COLUMN(C165))),""))</f>
        <v/>
      </c>
      <c r="K165" t="str" cm="1">
        <f t="array" aca="1" ref="K165" ca="1">IF(ROW(D165)-K$15 &lt; K$14,D165,IF(ROW(D165) - K$15 -K$16 + 1 &lt; K$14,INDIRECT(ADDRESS(MOD(ROW(D165) - K$15, K$14) + K$15, COLUMN(D165))),""))</f>
        <v/>
      </c>
      <c r="L165" t="str" cm="1">
        <f t="array" aca="1" ref="L165" ca="1">IF(ROW(E165)-L$15 &lt; L$14,E165,IF(ROW(E165) - L$15 -L$16 + 1 &lt; L$14,INDIRECT(ADDRESS(MOD(ROW(E165) - L$15, L$14) + L$15, COLUMN(E165))),""))</f>
        <v/>
      </c>
      <c r="N165" t="str" cm="1">
        <f t="array" aca="1" ref="N165" ca="1">IF(A165&lt;&gt;"", SUMPRODUCT((OFFSET(A165,0,0,H$16,1)=$T$24) +0),"")</f>
        <v/>
      </c>
      <c r="O165" t="str" cm="1">
        <f t="array" aca="1" ref="O165" ca="1">IF(B165&lt;&gt;"", SUMPRODUCT((OFFSET(B165,0,0,I$16,1)=$T$24) +0),"")</f>
        <v/>
      </c>
      <c r="P165" t="str" cm="1">
        <f t="array" aca="1" ref="P165" ca="1">IF(C165&lt;&gt;"", SUMPRODUCT((OFFSET(C165,0,0,J$16,1)=$T$24) +0),"")</f>
        <v/>
      </c>
      <c r="Q165" t="str" cm="1">
        <f t="array" aca="1" ref="Q165" ca="1">IF(D165&lt;&gt;"", SUMPRODUCT((OFFSET(D165,0,0,K$16,1)=$T$24) +0),"")</f>
        <v/>
      </c>
      <c r="R165" t="str" cm="1">
        <f t="array" aca="1" ref="R165" ca="1">IF(E165&lt;&gt;"", SUMPRODUCT((OFFSET(E165,0,0,L$16,1)=$T$24) +0),"")</f>
        <v/>
      </c>
      <c r="AB165">
        <f t="shared" si="37"/>
        <v>1</v>
      </c>
      <c r="AC165">
        <f t="shared" si="38"/>
        <v>0</v>
      </c>
      <c r="AD165">
        <f t="shared" si="39"/>
        <v>3</v>
      </c>
      <c r="AE165">
        <f t="shared" si="40"/>
        <v>1</v>
      </c>
      <c r="AF165">
        <f t="shared" si="41"/>
        <v>0</v>
      </c>
      <c r="AG165">
        <f t="shared" si="42"/>
        <v>5</v>
      </c>
      <c r="AH165">
        <f t="shared" ca="1" si="43"/>
        <v>0</v>
      </c>
      <c r="AI165">
        <f>IF(ROW($AA165) - $AA$51 &lt; ($H$16+1)^5, IF(AG165 &gt;= BaseBonus!$C$16, AG165*BaseBonus!$E$31, 0), "")</f>
        <v>4.6952679064628979</v>
      </c>
      <c r="AJ165">
        <f t="shared" ca="1" si="44"/>
        <v>0</v>
      </c>
      <c r="AK165" s="44"/>
    </row>
    <row r="166" spans="8:37" x14ac:dyDescent="0.3">
      <c r="H166" t="str" cm="1">
        <f t="array" aca="1" ref="H166" ca="1">IF(ROW(A166)-H$15 &lt; H$14,A166,IF(ROW(A166) - H$15 -H$16 + 1 &lt; H$14,INDIRECT(ADDRESS(MOD(ROW(A166) - H$15, H$14) + H$15, COLUMN(A166))),""))</f>
        <v/>
      </c>
      <c r="I166" t="str" cm="1">
        <f t="array" aca="1" ref="I166" ca="1">IF(ROW(B166)-I$15 &lt; I$14,B166,IF(ROW(B166) - I$15 -I$16 + 1 &lt; I$14,INDIRECT(ADDRESS(MOD(ROW(B166) - I$15, I$14) + I$15, COLUMN(B166))),""))</f>
        <v/>
      </c>
      <c r="J166" t="str" cm="1">
        <f t="array" aca="1" ref="J166" ca="1">IF(ROW(C166)-J$15 &lt; J$14,C166,IF(ROW(C166) - J$15 -J$16 + 1 &lt; J$14,INDIRECT(ADDRESS(MOD(ROW(C166) - J$15, J$14) + J$15, COLUMN(C166))),""))</f>
        <v/>
      </c>
      <c r="K166" t="str" cm="1">
        <f t="array" aca="1" ref="K166" ca="1">IF(ROW(D166)-K$15 &lt; K$14,D166,IF(ROW(D166) - K$15 -K$16 + 1 &lt; K$14,INDIRECT(ADDRESS(MOD(ROW(D166) - K$15, K$14) + K$15, COLUMN(D166))),""))</f>
        <v/>
      </c>
      <c r="L166" t="str" cm="1">
        <f t="array" aca="1" ref="L166" ca="1">IF(ROW(E166)-L$15 &lt; L$14,E166,IF(ROW(E166) - L$15 -L$16 + 1 &lt; L$14,INDIRECT(ADDRESS(MOD(ROW(E166) - L$15, L$14) + L$15, COLUMN(E166))),""))</f>
        <v/>
      </c>
      <c r="N166" t="str" cm="1">
        <f t="array" aca="1" ref="N166" ca="1">IF(A166&lt;&gt;"", SUMPRODUCT((OFFSET(A166,0,0,H$16,1)=$T$24) +0),"")</f>
        <v/>
      </c>
      <c r="O166" t="str" cm="1">
        <f t="array" aca="1" ref="O166" ca="1">IF(B166&lt;&gt;"", SUMPRODUCT((OFFSET(B166,0,0,I$16,1)=$T$24) +0),"")</f>
        <v/>
      </c>
      <c r="P166" t="str" cm="1">
        <f t="array" aca="1" ref="P166" ca="1">IF(C166&lt;&gt;"", SUMPRODUCT((OFFSET(C166,0,0,J$16,1)=$T$24) +0),"")</f>
        <v/>
      </c>
      <c r="Q166" t="str" cm="1">
        <f t="array" aca="1" ref="Q166" ca="1">IF(D166&lt;&gt;"", SUMPRODUCT((OFFSET(D166,0,0,K$16,1)=$T$24) +0),"")</f>
        <v/>
      </c>
      <c r="R166" t="str" cm="1">
        <f t="array" aca="1" ref="R166" ca="1">IF(E166&lt;&gt;"", SUMPRODUCT((OFFSET(E166,0,0,L$16,1)=$T$24) +0),"")</f>
        <v/>
      </c>
      <c r="AB166">
        <f t="shared" si="37"/>
        <v>2</v>
      </c>
      <c r="AC166">
        <f t="shared" si="38"/>
        <v>0</v>
      </c>
      <c r="AD166">
        <f t="shared" si="39"/>
        <v>3</v>
      </c>
      <c r="AE166">
        <f t="shared" si="40"/>
        <v>1</v>
      </c>
      <c r="AF166">
        <f t="shared" si="41"/>
        <v>0</v>
      </c>
      <c r="AG166">
        <f t="shared" si="42"/>
        <v>6</v>
      </c>
      <c r="AH166">
        <f t="shared" ca="1" si="43"/>
        <v>0</v>
      </c>
      <c r="AI166">
        <f>IF(ROW($AA166) - $AA$51 &lt; ($H$16+1)^5, IF(AG166 &gt;= BaseBonus!$C$16, AG166*BaseBonus!$E$31, 0), "")</f>
        <v>5.6343214877554777</v>
      </c>
      <c r="AJ166">
        <f t="shared" ca="1" si="44"/>
        <v>0</v>
      </c>
      <c r="AK166" s="44"/>
    </row>
    <row r="167" spans="8:37" x14ac:dyDescent="0.3">
      <c r="H167" t="str" cm="1">
        <f t="array" aca="1" ref="H167" ca="1">IF(ROW(A167)-H$15 &lt; H$14,A167,IF(ROW(A167) - H$15 -H$16 + 1 &lt; H$14,INDIRECT(ADDRESS(MOD(ROW(A167) - H$15, H$14) + H$15, COLUMN(A167))),""))</f>
        <v/>
      </c>
      <c r="I167" t="str" cm="1">
        <f t="array" aca="1" ref="I167" ca="1">IF(ROW(B167)-I$15 &lt; I$14,B167,IF(ROW(B167) - I$15 -I$16 + 1 &lt; I$14,INDIRECT(ADDRESS(MOD(ROW(B167) - I$15, I$14) + I$15, COLUMN(B167))),""))</f>
        <v/>
      </c>
      <c r="J167" t="str" cm="1">
        <f t="array" aca="1" ref="J167" ca="1">IF(ROW(C167)-J$15 &lt; J$14,C167,IF(ROW(C167) - J$15 -J$16 + 1 &lt; J$14,INDIRECT(ADDRESS(MOD(ROW(C167) - J$15, J$14) + J$15, COLUMN(C167))),""))</f>
        <v/>
      </c>
      <c r="K167" t="str" cm="1">
        <f t="array" aca="1" ref="K167" ca="1">IF(ROW(D167)-K$15 &lt; K$14,D167,IF(ROW(D167) - K$15 -K$16 + 1 &lt; K$14,INDIRECT(ADDRESS(MOD(ROW(D167) - K$15, K$14) + K$15, COLUMN(D167))),""))</f>
        <v/>
      </c>
      <c r="L167" t="str" cm="1">
        <f t="array" aca="1" ref="L167" ca="1">IF(ROW(E167)-L$15 &lt; L$14,E167,IF(ROW(E167) - L$15 -L$16 + 1 &lt; L$14,INDIRECT(ADDRESS(MOD(ROW(E167) - L$15, L$14) + L$15, COLUMN(E167))),""))</f>
        <v/>
      </c>
      <c r="N167" t="str" cm="1">
        <f t="array" aca="1" ref="N167" ca="1">IF(A167&lt;&gt;"", SUMPRODUCT((OFFSET(A167,0,0,H$16,1)=$T$24) +0),"")</f>
        <v/>
      </c>
      <c r="O167" t="str" cm="1">
        <f t="array" aca="1" ref="O167" ca="1">IF(B167&lt;&gt;"", SUMPRODUCT((OFFSET(B167,0,0,I$16,1)=$T$24) +0),"")</f>
        <v/>
      </c>
      <c r="P167" t="str" cm="1">
        <f t="array" aca="1" ref="P167" ca="1">IF(C167&lt;&gt;"", SUMPRODUCT((OFFSET(C167,0,0,J$16,1)=$T$24) +0),"")</f>
        <v/>
      </c>
      <c r="Q167" t="str" cm="1">
        <f t="array" aca="1" ref="Q167" ca="1">IF(D167&lt;&gt;"", SUMPRODUCT((OFFSET(D167,0,0,K$16,1)=$T$24) +0),"")</f>
        <v/>
      </c>
      <c r="R167" t="str" cm="1">
        <f t="array" aca="1" ref="R167" ca="1">IF(E167&lt;&gt;"", SUMPRODUCT((OFFSET(E167,0,0,L$16,1)=$T$24) +0),"")</f>
        <v/>
      </c>
      <c r="AB167">
        <f t="shared" si="37"/>
        <v>3</v>
      </c>
      <c r="AC167">
        <f t="shared" si="38"/>
        <v>0</v>
      </c>
      <c r="AD167">
        <f t="shared" si="39"/>
        <v>3</v>
      </c>
      <c r="AE167">
        <f t="shared" si="40"/>
        <v>1</v>
      </c>
      <c r="AF167">
        <f t="shared" si="41"/>
        <v>0</v>
      </c>
      <c r="AG167">
        <f t="shared" si="42"/>
        <v>7</v>
      </c>
      <c r="AH167">
        <f t="shared" ca="1" si="43"/>
        <v>0</v>
      </c>
      <c r="AI167">
        <f>IF(ROW($AA167) - $AA$51 &lt; ($H$16+1)^5, IF(AG167 &gt;= BaseBonus!$C$16, AG167*BaseBonus!$E$31, 0), "")</f>
        <v>6.5733750690480575</v>
      </c>
      <c r="AJ167">
        <f t="shared" ca="1" si="44"/>
        <v>0</v>
      </c>
      <c r="AK167" s="44"/>
    </row>
    <row r="168" spans="8:37" x14ac:dyDescent="0.3">
      <c r="H168" t="str" cm="1">
        <f t="array" aca="1" ref="H168" ca="1">IF(ROW(A168)-H$15 &lt; H$14,A168,IF(ROW(A168) - H$15 -H$16 + 1 &lt; H$14,INDIRECT(ADDRESS(MOD(ROW(A168) - H$15, H$14) + H$15, COLUMN(A168))),""))</f>
        <v/>
      </c>
      <c r="I168" t="str" cm="1">
        <f t="array" aca="1" ref="I168" ca="1">IF(ROW(B168)-I$15 &lt; I$14,B168,IF(ROW(B168) - I$15 -I$16 + 1 &lt; I$14,INDIRECT(ADDRESS(MOD(ROW(B168) - I$15, I$14) + I$15, COLUMN(B168))),""))</f>
        <v/>
      </c>
      <c r="J168" t="str" cm="1">
        <f t="array" aca="1" ref="J168" ca="1">IF(ROW(C168)-J$15 &lt; J$14,C168,IF(ROW(C168) - J$15 -J$16 + 1 &lt; J$14,INDIRECT(ADDRESS(MOD(ROW(C168) - J$15, J$14) + J$15, COLUMN(C168))),""))</f>
        <v/>
      </c>
      <c r="K168" t="str" cm="1">
        <f t="array" aca="1" ref="K168" ca="1">IF(ROW(D168)-K$15 &lt; K$14,D168,IF(ROW(D168) - K$15 -K$16 + 1 &lt; K$14,INDIRECT(ADDRESS(MOD(ROW(D168) - K$15, K$14) + K$15, COLUMN(D168))),""))</f>
        <v/>
      </c>
      <c r="L168" t="str" cm="1">
        <f t="array" aca="1" ref="L168" ca="1">IF(ROW(E168)-L$15 &lt; L$14,E168,IF(ROW(E168) - L$15 -L$16 + 1 &lt; L$14,INDIRECT(ADDRESS(MOD(ROW(E168) - L$15, L$14) + L$15, COLUMN(E168))),""))</f>
        <v/>
      </c>
      <c r="N168" t="str" cm="1">
        <f t="array" aca="1" ref="N168" ca="1">IF(A168&lt;&gt;"", SUMPRODUCT((OFFSET(A168,0,0,H$16,1)=$T$24) +0),"")</f>
        <v/>
      </c>
      <c r="O168" t="str" cm="1">
        <f t="array" aca="1" ref="O168" ca="1">IF(B168&lt;&gt;"", SUMPRODUCT((OFFSET(B168,0,0,I$16,1)=$T$24) +0),"")</f>
        <v/>
      </c>
      <c r="P168" t="str" cm="1">
        <f t="array" aca="1" ref="P168" ca="1">IF(C168&lt;&gt;"", SUMPRODUCT((OFFSET(C168,0,0,J$16,1)=$T$24) +0),"")</f>
        <v/>
      </c>
      <c r="Q168" t="str" cm="1">
        <f t="array" aca="1" ref="Q168" ca="1">IF(D168&lt;&gt;"", SUMPRODUCT((OFFSET(D168,0,0,K$16,1)=$T$24) +0),"")</f>
        <v/>
      </c>
      <c r="R168" t="str" cm="1">
        <f t="array" aca="1" ref="R168" ca="1">IF(E168&lt;&gt;"", SUMPRODUCT((OFFSET(E168,0,0,L$16,1)=$T$24) +0),"")</f>
        <v/>
      </c>
      <c r="AB168">
        <f t="shared" si="37"/>
        <v>0</v>
      </c>
      <c r="AC168">
        <f t="shared" si="38"/>
        <v>1</v>
      </c>
      <c r="AD168">
        <f t="shared" si="39"/>
        <v>3</v>
      </c>
      <c r="AE168">
        <f t="shared" si="40"/>
        <v>1</v>
      </c>
      <c r="AF168">
        <f t="shared" si="41"/>
        <v>0</v>
      </c>
      <c r="AG168">
        <f t="shared" si="42"/>
        <v>5</v>
      </c>
      <c r="AH168">
        <f t="shared" ca="1" si="43"/>
        <v>0</v>
      </c>
      <c r="AI168">
        <f>IF(ROW($AA168) - $AA$51 &lt; ($H$16+1)^5, IF(AG168 &gt;= BaseBonus!$C$16, AG168*BaseBonus!$E$31, 0), "")</f>
        <v>4.6952679064628979</v>
      </c>
      <c r="AJ168">
        <f t="shared" ca="1" si="44"/>
        <v>0</v>
      </c>
      <c r="AK168" s="44"/>
    </row>
    <row r="169" spans="8:37" x14ac:dyDescent="0.3">
      <c r="H169" t="str" cm="1">
        <f t="array" aca="1" ref="H169" ca="1">IF(ROW(A169)-H$15 &lt; H$14,A169,IF(ROW(A169) - H$15 -H$16 + 1 &lt; H$14,INDIRECT(ADDRESS(MOD(ROW(A169) - H$15, H$14) + H$15, COLUMN(A169))),""))</f>
        <v/>
      </c>
      <c r="I169" t="str" cm="1">
        <f t="array" aca="1" ref="I169" ca="1">IF(ROW(B169)-I$15 &lt; I$14,B169,IF(ROW(B169) - I$15 -I$16 + 1 &lt; I$14,INDIRECT(ADDRESS(MOD(ROW(B169) - I$15, I$14) + I$15, COLUMN(B169))),""))</f>
        <v/>
      </c>
      <c r="J169" t="str" cm="1">
        <f t="array" aca="1" ref="J169" ca="1">IF(ROW(C169)-J$15 &lt; J$14,C169,IF(ROW(C169) - J$15 -J$16 + 1 &lt; J$14,INDIRECT(ADDRESS(MOD(ROW(C169) - J$15, J$14) + J$15, COLUMN(C169))),""))</f>
        <v/>
      </c>
      <c r="K169" t="str" cm="1">
        <f t="array" aca="1" ref="K169" ca="1">IF(ROW(D169)-K$15 &lt; K$14,D169,IF(ROW(D169) - K$15 -K$16 + 1 &lt; K$14,INDIRECT(ADDRESS(MOD(ROW(D169) - K$15, K$14) + K$15, COLUMN(D169))),""))</f>
        <v/>
      </c>
      <c r="L169" t="str" cm="1">
        <f t="array" aca="1" ref="L169" ca="1">IF(ROW(E169)-L$15 &lt; L$14,E169,IF(ROW(E169) - L$15 -L$16 + 1 &lt; L$14,INDIRECT(ADDRESS(MOD(ROW(E169) - L$15, L$14) + L$15, COLUMN(E169))),""))</f>
        <v/>
      </c>
      <c r="N169" t="str" cm="1">
        <f t="array" aca="1" ref="N169" ca="1">IF(A169&lt;&gt;"", SUMPRODUCT((OFFSET(A169,0,0,H$16,1)=$T$24) +0),"")</f>
        <v/>
      </c>
      <c r="O169" t="str" cm="1">
        <f t="array" aca="1" ref="O169" ca="1">IF(B169&lt;&gt;"", SUMPRODUCT((OFFSET(B169,0,0,I$16,1)=$T$24) +0),"")</f>
        <v/>
      </c>
      <c r="P169" t="str" cm="1">
        <f t="array" aca="1" ref="P169" ca="1">IF(C169&lt;&gt;"", SUMPRODUCT((OFFSET(C169,0,0,J$16,1)=$T$24) +0),"")</f>
        <v/>
      </c>
      <c r="Q169" t="str" cm="1">
        <f t="array" aca="1" ref="Q169" ca="1">IF(D169&lt;&gt;"", SUMPRODUCT((OFFSET(D169,0,0,K$16,1)=$T$24) +0),"")</f>
        <v/>
      </c>
      <c r="R169" t="str" cm="1">
        <f t="array" aca="1" ref="R169" ca="1">IF(E169&lt;&gt;"", SUMPRODUCT((OFFSET(E169,0,0,L$16,1)=$T$24) +0),"")</f>
        <v/>
      </c>
      <c r="AB169">
        <f t="shared" si="37"/>
        <v>1</v>
      </c>
      <c r="AC169">
        <f t="shared" si="38"/>
        <v>1</v>
      </c>
      <c r="AD169">
        <f t="shared" si="39"/>
        <v>3</v>
      </c>
      <c r="AE169">
        <f t="shared" si="40"/>
        <v>1</v>
      </c>
      <c r="AF169">
        <f t="shared" si="41"/>
        <v>0</v>
      </c>
      <c r="AG169">
        <f t="shared" si="42"/>
        <v>6</v>
      </c>
      <c r="AH169">
        <f t="shared" ca="1" si="43"/>
        <v>0</v>
      </c>
      <c r="AI169">
        <f>IF(ROW($AA169) - $AA$51 &lt; ($H$16+1)^5, IF(AG169 &gt;= BaseBonus!$C$16, AG169*BaseBonus!$E$31, 0), "")</f>
        <v>5.6343214877554777</v>
      </c>
      <c r="AJ169">
        <f t="shared" ca="1" si="44"/>
        <v>0</v>
      </c>
      <c r="AK169" s="44"/>
    </row>
    <row r="170" spans="8:37" x14ac:dyDescent="0.3">
      <c r="H170" t="str" cm="1">
        <f t="array" aca="1" ref="H170" ca="1">IF(ROW(A170)-H$15 &lt; H$14,A170,IF(ROW(A170) - H$15 -H$16 + 1 &lt; H$14,INDIRECT(ADDRESS(MOD(ROW(A170) - H$15, H$14) + H$15, COLUMN(A170))),""))</f>
        <v/>
      </c>
      <c r="I170" t="str" cm="1">
        <f t="array" aca="1" ref="I170" ca="1">IF(ROW(B170)-I$15 &lt; I$14,B170,IF(ROW(B170) - I$15 -I$16 + 1 &lt; I$14,INDIRECT(ADDRESS(MOD(ROW(B170) - I$15, I$14) + I$15, COLUMN(B170))),""))</f>
        <v/>
      </c>
      <c r="J170" t="str" cm="1">
        <f t="array" aca="1" ref="J170" ca="1">IF(ROW(C170)-J$15 &lt; J$14,C170,IF(ROW(C170) - J$15 -J$16 + 1 &lt; J$14,INDIRECT(ADDRESS(MOD(ROW(C170) - J$15, J$14) + J$15, COLUMN(C170))),""))</f>
        <v/>
      </c>
      <c r="K170" t="str" cm="1">
        <f t="array" aca="1" ref="K170" ca="1">IF(ROW(D170)-K$15 &lt; K$14,D170,IF(ROW(D170) - K$15 -K$16 + 1 &lt; K$14,INDIRECT(ADDRESS(MOD(ROW(D170) - K$15, K$14) + K$15, COLUMN(D170))),""))</f>
        <v/>
      </c>
      <c r="L170" t="str" cm="1">
        <f t="array" aca="1" ref="L170" ca="1">IF(ROW(E170)-L$15 &lt; L$14,E170,IF(ROW(E170) - L$15 -L$16 + 1 &lt; L$14,INDIRECT(ADDRESS(MOD(ROW(E170) - L$15, L$14) + L$15, COLUMN(E170))),""))</f>
        <v/>
      </c>
      <c r="N170" t="str" cm="1">
        <f t="array" aca="1" ref="N170" ca="1">IF(A170&lt;&gt;"", SUMPRODUCT((OFFSET(A170,0,0,H$16,1)=$T$24) +0),"")</f>
        <v/>
      </c>
      <c r="O170" t="str" cm="1">
        <f t="array" aca="1" ref="O170" ca="1">IF(B170&lt;&gt;"", SUMPRODUCT((OFFSET(B170,0,0,I$16,1)=$T$24) +0),"")</f>
        <v/>
      </c>
      <c r="P170" t="str" cm="1">
        <f t="array" aca="1" ref="P170" ca="1">IF(C170&lt;&gt;"", SUMPRODUCT((OFFSET(C170,0,0,J$16,1)=$T$24) +0),"")</f>
        <v/>
      </c>
      <c r="Q170" t="str" cm="1">
        <f t="array" aca="1" ref="Q170" ca="1">IF(D170&lt;&gt;"", SUMPRODUCT((OFFSET(D170,0,0,K$16,1)=$T$24) +0),"")</f>
        <v/>
      </c>
      <c r="R170" t="str" cm="1">
        <f t="array" aca="1" ref="R170" ca="1">IF(E170&lt;&gt;"", SUMPRODUCT((OFFSET(E170,0,0,L$16,1)=$T$24) +0),"")</f>
        <v/>
      </c>
      <c r="AB170">
        <f t="shared" si="37"/>
        <v>2</v>
      </c>
      <c r="AC170">
        <f t="shared" si="38"/>
        <v>1</v>
      </c>
      <c r="AD170">
        <f t="shared" si="39"/>
        <v>3</v>
      </c>
      <c r="AE170">
        <f t="shared" si="40"/>
        <v>1</v>
      </c>
      <c r="AF170">
        <f t="shared" si="41"/>
        <v>0</v>
      </c>
      <c r="AG170">
        <f t="shared" si="42"/>
        <v>7</v>
      </c>
      <c r="AH170">
        <f t="shared" ca="1" si="43"/>
        <v>0</v>
      </c>
      <c r="AI170">
        <f>IF(ROW($AA170) - $AA$51 &lt; ($H$16+1)^5, IF(AG170 &gt;= BaseBonus!$C$16, AG170*BaseBonus!$E$31, 0), "")</f>
        <v>6.5733750690480575</v>
      </c>
      <c r="AJ170">
        <f t="shared" ca="1" si="44"/>
        <v>0</v>
      </c>
      <c r="AK170" s="44"/>
    </row>
    <row r="171" spans="8:37" x14ac:dyDescent="0.3">
      <c r="H171" t="str" cm="1">
        <f t="array" aca="1" ref="H171" ca="1">IF(ROW(A171)-H$15 &lt; H$14,A171,IF(ROW(A171) - H$15 -H$16 + 1 &lt; H$14,INDIRECT(ADDRESS(MOD(ROW(A171) - H$15, H$14) + H$15, COLUMN(A171))),""))</f>
        <v/>
      </c>
      <c r="I171" t="str" cm="1">
        <f t="array" aca="1" ref="I171" ca="1">IF(ROW(B171)-I$15 &lt; I$14,B171,IF(ROW(B171) - I$15 -I$16 + 1 &lt; I$14,INDIRECT(ADDRESS(MOD(ROW(B171) - I$15, I$14) + I$15, COLUMN(B171))),""))</f>
        <v/>
      </c>
      <c r="J171" t="str" cm="1">
        <f t="array" aca="1" ref="J171" ca="1">IF(ROW(C171)-J$15 &lt; J$14,C171,IF(ROW(C171) - J$15 -J$16 + 1 &lt; J$14,INDIRECT(ADDRESS(MOD(ROW(C171) - J$15, J$14) + J$15, COLUMN(C171))),""))</f>
        <v/>
      </c>
      <c r="K171" t="str" cm="1">
        <f t="array" aca="1" ref="K171" ca="1">IF(ROW(D171)-K$15 &lt; K$14,D171,IF(ROW(D171) - K$15 -K$16 + 1 &lt; K$14,INDIRECT(ADDRESS(MOD(ROW(D171) - K$15, K$14) + K$15, COLUMN(D171))),""))</f>
        <v/>
      </c>
      <c r="L171" t="str" cm="1">
        <f t="array" aca="1" ref="L171" ca="1">IF(ROW(E171)-L$15 &lt; L$14,E171,IF(ROW(E171) - L$15 -L$16 + 1 &lt; L$14,INDIRECT(ADDRESS(MOD(ROW(E171) - L$15, L$14) + L$15, COLUMN(E171))),""))</f>
        <v/>
      </c>
      <c r="N171" t="str" cm="1">
        <f t="array" aca="1" ref="N171" ca="1">IF(A171&lt;&gt;"", SUMPRODUCT((OFFSET(A171,0,0,H$16,1)=$T$24) +0),"")</f>
        <v/>
      </c>
      <c r="O171" t="str" cm="1">
        <f t="array" aca="1" ref="O171" ca="1">IF(B171&lt;&gt;"", SUMPRODUCT((OFFSET(B171,0,0,I$16,1)=$T$24) +0),"")</f>
        <v/>
      </c>
      <c r="P171" t="str" cm="1">
        <f t="array" aca="1" ref="P171" ca="1">IF(C171&lt;&gt;"", SUMPRODUCT((OFFSET(C171,0,0,J$16,1)=$T$24) +0),"")</f>
        <v/>
      </c>
      <c r="Q171" t="str" cm="1">
        <f t="array" aca="1" ref="Q171" ca="1">IF(D171&lt;&gt;"", SUMPRODUCT((OFFSET(D171,0,0,K$16,1)=$T$24) +0),"")</f>
        <v/>
      </c>
      <c r="R171" t="str" cm="1">
        <f t="array" aca="1" ref="R171" ca="1">IF(E171&lt;&gt;"", SUMPRODUCT((OFFSET(E171,0,0,L$16,1)=$T$24) +0),"")</f>
        <v/>
      </c>
      <c r="AB171">
        <f t="shared" si="37"/>
        <v>3</v>
      </c>
      <c r="AC171">
        <f t="shared" si="38"/>
        <v>1</v>
      </c>
      <c r="AD171">
        <f t="shared" si="39"/>
        <v>3</v>
      </c>
      <c r="AE171">
        <f t="shared" si="40"/>
        <v>1</v>
      </c>
      <c r="AF171">
        <f t="shared" si="41"/>
        <v>0</v>
      </c>
      <c r="AG171">
        <f t="shared" si="42"/>
        <v>8</v>
      </c>
      <c r="AH171">
        <f t="shared" ca="1" si="43"/>
        <v>0</v>
      </c>
      <c r="AI171">
        <f>IF(ROW($AA171) - $AA$51 &lt; ($H$16+1)^5, IF(AG171 &gt;= BaseBonus!$C$16, AG171*BaseBonus!$E$31, 0), "")</f>
        <v>7.5124286503406372</v>
      </c>
      <c r="AJ171">
        <f t="shared" ca="1" si="44"/>
        <v>0</v>
      </c>
      <c r="AK171" s="44"/>
    </row>
    <row r="172" spans="8:37" x14ac:dyDescent="0.3">
      <c r="H172" t="str" cm="1">
        <f t="array" aca="1" ref="H172" ca="1">IF(ROW(A172)-H$15 &lt; H$14,A172,IF(ROW(A172) - H$15 -H$16 + 1 &lt; H$14,INDIRECT(ADDRESS(MOD(ROW(A172) - H$15, H$14) + H$15, COLUMN(A172))),""))</f>
        <v/>
      </c>
      <c r="I172" t="str" cm="1">
        <f t="array" aca="1" ref="I172" ca="1">IF(ROW(B172)-I$15 &lt; I$14,B172,IF(ROW(B172) - I$15 -I$16 + 1 &lt; I$14,INDIRECT(ADDRESS(MOD(ROW(B172) - I$15, I$14) + I$15, COLUMN(B172))),""))</f>
        <v/>
      </c>
      <c r="J172" t="str" cm="1">
        <f t="array" aca="1" ref="J172" ca="1">IF(ROW(C172)-J$15 &lt; J$14,C172,IF(ROW(C172) - J$15 -J$16 + 1 &lt; J$14,INDIRECT(ADDRESS(MOD(ROW(C172) - J$15, J$14) + J$15, COLUMN(C172))),""))</f>
        <v/>
      </c>
      <c r="K172" t="str" cm="1">
        <f t="array" aca="1" ref="K172" ca="1">IF(ROW(D172)-K$15 &lt; K$14,D172,IF(ROW(D172) - K$15 -K$16 + 1 &lt; K$14,INDIRECT(ADDRESS(MOD(ROW(D172) - K$15, K$14) + K$15, COLUMN(D172))),""))</f>
        <v/>
      </c>
      <c r="L172" t="str" cm="1">
        <f t="array" aca="1" ref="L172" ca="1">IF(ROW(E172)-L$15 &lt; L$14,E172,IF(ROW(E172) - L$15 -L$16 + 1 &lt; L$14,INDIRECT(ADDRESS(MOD(ROW(E172) - L$15, L$14) + L$15, COLUMN(E172))),""))</f>
        <v/>
      </c>
      <c r="N172" t="str" cm="1">
        <f t="array" aca="1" ref="N172" ca="1">IF(A172&lt;&gt;"", SUMPRODUCT((OFFSET(A172,0,0,H$16,1)=$T$24) +0),"")</f>
        <v/>
      </c>
      <c r="O172" t="str" cm="1">
        <f t="array" aca="1" ref="O172" ca="1">IF(B172&lt;&gt;"", SUMPRODUCT((OFFSET(B172,0,0,I$16,1)=$T$24) +0),"")</f>
        <v/>
      </c>
      <c r="P172" t="str" cm="1">
        <f t="array" aca="1" ref="P172" ca="1">IF(C172&lt;&gt;"", SUMPRODUCT((OFFSET(C172,0,0,J$16,1)=$T$24) +0),"")</f>
        <v/>
      </c>
      <c r="Q172" t="str" cm="1">
        <f t="array" aca="1" ref="Q172" ca="1">IF(D172&lt;&gt;"", SUMPRODUCT((OFFSET(D172,0,0,K$16,1)=$T$24) +0),"")</f>
        <v/>
      </c>
      <c r="R172" t="str" cm="1">
        <f t="array" aca="1" ref="R172" ca="1">IF(E172&lt;&gt;"", SUMPRODUCT((OFFSET(E172,0,0,L$16,1)=$T$24) +0),"")</f>
        <v/>
      </c>
      <c r="AB172">
        <f t="shared" si="37"/>
        <v>0</v>
      </c>
      <c r="AC172">
        <f t="shared" si="38"/>
        <v>2</v>
      </c>
      <c r="AD172">
        <f t="shared" si="39"/>
        <v>3</v>
      </c>
      <c r="AE172">
        <f t="shared" si="40"/>
        <v>1</v>
      </c>
      <c r="AF172">
        <f t="shared" si="41"/>
        <v>0</v>
      </c>
      <c r="AG172">
        <f t="shared" si="42"/>
        <v>6</v>
      </c>
      <c r="AH172">
        <f t="shared" ca="1" si="43"/>
        <v>0</v>
      </c>
      <c r="AI172">
        <f>IF(ROW($AA172) - $AA$51 &lt; ($H$16+1)^5, IF(AG172 &gt;= BaseBonus!$C$16, AG172*BaseBonus!$E$31, 0), "")</f>
        <v>5.6343214877554777</v>
      </c>
      <c r="AJ172">
        <f t="shared" ca="1" si="44"/>
        <v>0</v>
      </c>
      <c r="AK172" s="44"/>
    </row>
    <row r="173" spans="8:37" x14ac:dyDescent="0.3">
      <c r="H173" t="str" cm="1">
        <f t="array" aca="1" ref="H173" ca="1">IF(ROW(A173)-H$15 &lt; H$14,A173,IF(ROW(A173) - H$15 -H$16 + 1 &lt; H$14,INDIRECT(ADDRESS(MOD(ROW(A173) - H$15, H$14) + H$15, COLUMN(A173))),""))</f>
        <v/>
      </c>
      <c r="I173" t="str" cm="1">
        <f t="array" aca="1" ref="I173" ca="1">IF(ROW(B173)-I$15 &lt; I$14,B173,IF(ROW(B173) - I$15 -I$16 + 1 &lt; I$14,INDIRECT(ADDRESS(MOD(ROW(B173) - I$15, I$14) + I$15, COLUMN(B173))),""))</f>
        <v/>
      </c>
      <c r="J173" t="str" cm="1">
        <f t="array" aca="1" ref="J173" ca="1">IF(ROW(C173)-J$15 &lt; J$14,C173,IF(ROW(C173) - J$15 -J$16 + 1 &lt; J$14,INDIRECT(ADDRESS(MOD(ROW(C173) - J$15, J$14) + J$15, COLUMN(C173))),""))</f>
        <v/>
      </c>
      <c r="K173" t="str" cm="1">
        <f t="array" aca="1" ref="K173" ca="1">IF(ROW(D173)-K$15 &lt; K$14,D173,IF(ROW(D173) - K$15 -K$16 + 1 &lt; K$14,INDIRECT(ADDRESS(MOD(ROW(D173) - K$15, K$14) + K$15, COLUMN(D173))),""))</f>
        <v/>
      </c>
      <c r="L173" t="str" cm="1">
        <f t="array" aca="1" ref="L173" ca="1">IF(ROW(E173)-L$15 &lt; L$14,E173,IF(ROW(E173) - L$15 -L$16 + 1 &lt; L$14,INDIRECT(ADDRESS(MOD(ROW(E173) - L$15, L$14) + L$15, COLUMN(E173))),""))</f>
        <v/>
      </c>
      <c r="N173" t="str" cm="1">
        <f t="array" aca="1" ref="N173" ca="1">IF(A173&lt;&gt;"", SUMPRODUCT((OFFSET(A173,0,0,H$16,1)=$T$24) +0),"")</f>
        <v/>
      </c>
      <c r="O173" t="str" cm="1">
        <f t="array" aca="1" ref="O173" ca="1">IF(B173&lt;&gt;"", SUMPRODUCT((OFFSET(B173,0,0,I$16,1)=$T$24) +0),"")</f>
        <v/>
      </c>
      <c r="P173" t="str" cm="1">
        <f t="array" aca="1" ref="P173" ca="1">IF(C173&lt;&gt;"", SUMPRODUCT((OFFSET(C173,0,0,J$16,1)=$T$24) +0),"")</f>
        <v/>
      </c>
      <c r="Q173" t="str" cm="1">
        <f t="array" aca="1" ref="Q173" ca="1">IF(D173&lt;&gt;"", SUMPRODUCT((OFFSET(D173,0,0,K$16,1)=$T$24) +0),"")</f>
        <v/>
      </c>
      <c r="R173" t="str" cm="1">
        <f t="array" aca="1" ref="R173" ca="1">IF(E173&lt;&gt;"", SUMPRODUCT((OFFSET(E173,0,0,L$16,1)=$T$24) +0),"")</f>
        <v/>
      </c>
      <c r="AB173">
        <f t="shared" si="37"/>
        <v>1</v>
      </c>
      <c r="AC173">
        <f t="shared" si="38"/>
        <v>2</v>
      </c>
      <c r="AD173">
        <f t="shared" si="39"/>
        <v>3</v>
      </c>
      <c r="AE173">
        <f t="shared" si="40"/>
        <v>1</v>
      </c>
      <c r="AF173">
        <f t="shared" si="41"/>
        <v>0</v>
      </c>
      <c r="AG173">
        <f t="shared" si="42"/>
        <v>7</v>
      </c>
      <c r="AH173">
        <f t="shared" ca="1" si="43"/>
        <v>0</v>
      </c>
      <c r="AI173">
        <f>IF(ROW($AA173) - $AA$51 &lt; ($H$16+1)^5, IF(AG173 &gt;= BaseBonus!$C$16, AG173*BaseBonus!$E$31, 0), "")</f>
        <v>6.5733750690480575</v>
      </c>
      <c r="AJ173">
        <f t="shared" ca="1" si="44"/>
        <v>0</v>
      </c>
      <c r="AK173" s="44"/>
    </row>
    <row r="174" spans="8:37" x14ac:dyDescent="0.3">
      <c r="H174" t="str" cm="1">
        <f t="array" aca="1" ref="H174" ca="1">IF(ROW(A174)-H$15 &lt; H$14,A174,IF(ROW(A174) - H$15 -H$16 + 1 &lt; H$14,INDIRECT(ADDRESS(MOD(ROW(A174) - H$15, H$14) + H$15, COLUMN(A174))),""))</f>
        <v/>
      </c>
      <c r="I174" t="str" cm="1">
        <f t="array" aca="1" ref="I174" ca="1">IF(ROW(B174)-I$15 &lt; I$14,B174,IF(ROW(B174) - I$15 -I$16 + 1 &lt; I$14,INDIRECT(ADDRESS(MOD(ROW(B174) - I$15, I$14) + I$15, COLUMN(B174))),""))</f>
        <v/>
      </c>
      <c r="J174" t="str" cm="1">
        <f t="array" aca="1" ref="J174" ca="1">IF(ROW(C174)-J$15 &lt; J$14,C174,IF(ROW(C174) - J$15 -J$16 + 1 &lt; J$14,INDIRECT(ADDRESS(MOD(ROW(C174) - J$15, J$14) + J$15, COLUMN(C174))),""))</f>
        <v/>
      </c>
      <c r="K174" t="str" cm="1">
        <f t="array" aca="1" ref="K174" ca="1">IF(ROW(D174)-K$15 &lt; K$14,D174,IF(ROW(D174) - K$15 -K$16 + 1 &lt; K$14,INDIRECT(ADDRESS(MOD(ROW(D174) - K$15, K$14) + K$15, COLUMN(D174))),""))</f>
        <v/>
      </c>
      <c r="L174" t="str" cm="1">
        <f t="array" aca="1" ref="L174" ca="1">IF(ROW(E174)-L$15 &lt; L$14,E174,IF(ROW(E174) - L$15 -L$16 + 1 &lt; L$14,INDIRECT(ADDRESS(MOD(ROW(E174) - L$15, L$14) + L$15, COLUMN(E174))),""))</f>
        <v/>
      </c>
      <c r="N174" t="str" cm="1">
        <f t="array" aca="1" ref="N174" ca="1">IF(A174&lt;&gt;"", SUMPRODUCT((OFFSET(A174,0,0,H$16,1)=$T$24) +0),"")</f>
        <v/>
      </c>
      <c r="O174" t="str" cm="1">
        <f t="array" aca="1" ref="O174" ca="1">IF(B174&lt;&gt;"", SUMPRODUCT((OFFSET(B174,0,0,I$16,1)=$T$24) +0),"")</f>
        <v/>
      </c>
      <c r="P174" t="str" cm="1">
        <f t="array" aca="1" ref="P174" ca="1">IF(C174&lt;&gt;"", SUMPRODUCT((OFFSET(C174,0,0,J$16,1)=$T$24) +0),"")</f>
        <v/>
      </c>
      <c r="Q174" t="str" cm="1">
        <f t="array" aca="1" ref="Q174" ca="1">IF(D174&lt;&gt;"", SUMPRODUCT((OFFSET(D174,0,0,K$16,1)=$T$24) +0),"")</f>
        <v/>
      </c>
      <c r="R174" t="str" cm="1">
        <f t="array" aca="1" ref="R174" ca="1">IF(E174&lt;&gt;"", SUMPRODUCT((OFFSET(E174,0,0,L$16,1)=$T$24) +0),"")</f>
        <v/>
      </c>
      <c r="AB174">
        <f t="shared" si="37"/>
        <v>2</v>
      </c>
      <c r="AC174">
        <f t="shared" si="38"/>
        <v>2</v>
      </c>
      <c r="AD174">
        <f t="shared" si="39"/>
        <v>3</v>
      </c>
      <c r="AE174">
        <f t="shared" si="40"/>
        <v>1</v>
      </c>
      <c r="AF174">
        <f t="shared" si="41"/>
        <v>0</v>
      </c>
      <c r="AG174">
        <f t="shared" si="42"/>
        <v>8</v>
      </c>
      <c r="AH174">
        <f t="shared" ca="1" si="43"/>
        <v>0</v>
      </c>
      <c r="AI174">
        <f>IF(ROW($AA174) - $AA$51 &lt; ($H$16+1)^5, IF(AG174 &gt;= BaseBonus!$C$16, AG174*BaseBonus!$E$31, 0), "")</f>
        <v>7.5124286503406372</v>
      </c>
      <c r="AJ174">
        <f t="shared" ca="1" si="44"/>
        <v>0</v>
      </c>
      <c r="AK174" s="44"/>
    </row>
    <row r="175" spans="8:37" x14ac:dyDescent="0.3">
      <c r="H175" t="str" cm="1">
        <f t="array" aca="1" ref="H175" ca="1">IF(ROW(A175)-H$15 &lt; H$14,A175,IF(ROW(A175) - H$15 -H$16 + 1 &lt; H$14,INDIRECT(ADDRESS(MOD(ROW(A175) - H$15, H$14) + H$15, COLUMN(A175))),""))</f>
        <v/>
      </c>
      <c r="I175" t="str" cm="1">
        <f t="array" aca="1" ref="I175" ca="1">IF(ROW(B175)-I$15 &lt; I$14,B175,IF(ROW(B175) - I$15 -I$16 + 1 &lt; I$14,INDIRECT(ADDRESS(MOD(ROW(B175) - I$15, I$14) + I$15, COLUMN(B175))),""))</f>
        <v/>
      </c>
      <c r="J175" t="str" cm="1">
        <f t="array" aca="1" ref="J175" ca="1">IF(ROW(C175)-J$15 &lt; J$14,C175,IF(ROW(C175) - J$15 -J$16 + 1 &lt; J$14,INDIRECT(ADDRESS(MOD(ROW(C175) - J$15, J$14) + J$15, COLUMN(C175))),""))</f>
        <v/>
      </c>
      <c r="K175" t="str" cm="1">
        <f t="array" aca="1" ref="K175" ca="1">IF(ROW(D175)-K$15 &lt; K$14,D175,IF(ROW(D175) - K$15 -K$16 + 1 &lt; K$14,INDIRECT(ADDRESS(MOD(ROW(D175) - K$15, K$14) + K$15, COLUMN(D175))),""))</f>
        <v/>
      </c>
      <c r="L175" t="str" cm="1">
        <f t="array" aca="1" ref="L175" ca="1">IF(ROW(E175)-L$15 &lt; L$14,E175,IF(ROW(E175) - L$15 -L$16 + 1 &lt; L$14,INDIRECT(ADDRESS(MOD(ROW(E175) - L$15, L$14) + L$15, COLUMN(E175))),""))</f>
        <v/>
      </c>
      <c r="N175" t="str" cm="1">
        <f t="array" aca="1" ref="N175" ca="1">IF(A175&lt;&gt;"", SUMPRODUCT((OFFSET(A175,0,0,H$16,1)=$T$24) +0),"")</f>
        <v/>
      </c>
      <c r="O175" t="str" cm="1">
        <f t="array" aca="1" ref="O175" ca="1">IF(B175&lt;&gt;"", SUMPRODUCT((OFFSET(B175,0,0,I$16,1)=$T$24) +0),"")</f>
        <v/>
      </c>
      <c r="P175" t="str" cm="1">
        <f t="array" aca="1" ref="P175" ca="1">IF(C175&lt;&gt;"", SUMPRODUCT((OFFSET(C175,0,0,J$16,1)=$T$24) +0),"")</f>
        <v/>
      </c>
      <c r="Q175" t="str" cm="1">
        <f t="array" aca="1" ref="Q175" ca="1">IF(D175&lt;&gt;"", SUMPRODUCT((OFFSET(D175,0,0,K$16,1)=$T$24) +0),"")</f>
        <v/>
      </c>
      <c r="R175" t="str" cm="1">
        <f t="array" aca="1" ref="R175" ca="1">IF(E175&lt;&gt;"", SUMPRODUCT((OFFSET(E175,0,0,L$16,1)=$T$24) +0),"")</f>
        <v/>
      </c>
      <c r="AB175">
        <f t="shared" si="37"/>
        <v>3</v>
      </c>
      <c r="AC175">
        <f t="shared" si="38"/>
        <v>2</v>
      </c>
      <c r="AD175">
        <f t="shared" si="39"/>
        <v>3</v>
      </c>
      <c r="AE175">
        <f t="shared" si="40"/>
        <v>1</v>
      </c>
      <c r="AF175">
        <f t="shared" si="41"/>
        <v>0</v>
      </c>
      <c r="AG175">
        <f t="shared" si="42"/>
        <v>9</v>
      </c>
      <c r="AH175">
        <f t="shared" ca="1" si="43"/>
        <v>0</v>
      </c>
      <c r="AI175">
        <f>IF(ROW($AA175) - $AA$51 &lt; ($H$16+1)^5, IF(AG175 &gt;= BaseBonus!$C$16, AG175*BaseBonus!$E$31, 0), "")</f>
        <v>8.4514822316332161</v>
      </c>
      <c r="AJ175">
        <f t="shared" ca="1" si="44"/>
        <v>0</v>
      </c>
      <c r="AK175" s="44"/>
    </row>
    <row r="176" spans="8:37" x14ac:dyDescent="0.3">
      <c r="H176" t="str" cm="1">
        <f t="array" aca="1" ref="H176" ca="1">IF(ROW(A176)-H$15 &lt; H$14,A176,IF(ROW(A176) - H$15 -H$16 + 1 &lt; H$14,INDIRECT(ADDRESS(MOD(ROW(A176) - H$15, H$14) + H$15, COLUMN(A176))),""))</f>
        <v/>
      </c>
      <c r="I176" t="str" cm="1">
        <f t="array" aca="1" ref="I176" ca="1">IF(ROW(B176)-I$15 &lt; I$14,B176,IF(ROW(B176) - I$15 -I$16 + 1 &lt; I$14,INDIRECT(ADDRESS(MOD(ROW(B176) - I$15, I$14) + I$15, COLUMN(B176))),""))</f>
        <v/>
      </c>
      <c r="J176" t="str" cm="1">
        <f t="array" aca="1" ref="J176" ca="1">IF(ROW(C176)-J$15 &lt; J$14,C176,IF(ROW(C176) - J$15 -J$16 + 1 &lt; J$14,INDIRECT(ADDRESS(MOD(ROW(C176) - J$15, J$14) + J$15, COLUMN(C176))),""))</f>
        <v/>
      </c>
      <c r="K176" t="str" cm="1">
        <f t="array" aca="1" ref="K176" ca="1">IF(ROW(D176)-K$15 &lt; K$14,D176,IF(ROW(D176) - K$15 -K$16 + 1 &lt; K$14,INDIRECT(ADDRESS(MOD(ROW(D176) - K$15, K$14) + K$15, COLUMN(D176))),""))</f>
        <v/>
      </c>
      <c r="L176" t="str" cm="1">
        <f t="array" aca="1" ref="L176" ca="1">IF(ROW(E176)-L$15 &lt; L$14,E176,IF(ROW(E176) - L$15 -L$16 + 1 &lt; L$14,INDIRECT(ADDRESS(MOD(ROW(E176) - L$15, L$14) + L$15, COLUMN(E176))),""))</f>
        <v/>
      </c>
      <c r="N176" t="str" cm="1">
        <f t="array" aca="1" ref="N176" ca="1">IF(A176&lt;&gt;"", SUMPRODUCT((OFFSET(A176,0,0,H$16,1)=$T$24) +0),"")</f>
        <v/>
      </c>
      <c r="O176" t="str" cm="1">
        <f t="array" aca="1" ref="O176" ca="1">IF(B176&lt;&gt;"", SUMPRODUCT((OFFSET(B176,0,0,I$16,1)=$T$24) +0),"")</f>
        <v/>
      </c>
      <c r="P176" t="str" cm="1">
        <f t="array" aca="1" ref="P176" ca="1">IF(C176&lt;&gt;"", SUMPRODUCT((OFFSET(C176,0,0,J$16,1)=$T$24) +0),"")</f>
        <v/>
      </c>
      <c r="Q176" t="str" cm="1">
        <f t="array" aca="1" ref="Q176" ca="1">IF(D176&lt;&gt;"", SUMPRODUCT((OFFSET(D176,0,0,K$16,1)=$T$24) +0),"")</f>
        <v/>
      </c>
      <c r="R176" t="str" cm="1">
        <f t="array" aca="1" ref="R176" ca="1">IF(E176&lt;&gt;"", SUMPRODUCT((OFFSET(E176,0,0,L$16,1)=$T$24) +0),"")</f>
        <v/>
      </c>
      <c r="AB176">
        <f t="shared" si="37"/>
        <v>0</v>
      </c>
      <c r="AC176">
        <f t="shared" si="38"/>
        <v>3</v>
      </c>
      <c r="AD176">
        <f t="shared" si="39"/>
        <v>3</v>
      </c>
      <c r="AE176">
        <f t="shared" si="40"/>
        <v>1</v>
      </c>
      <c r="AF176">
        <f t="shared" si="41"/>
        <v>0</v>
      </c>
      <c r="AG176">
        <f t="shared" si="42"/>
        <v>7</v>
      </c>
      <c r="AH176">
        <f t="shared" ca="1" si="43"/>
        <v>0</v>
      </c>
      <c r="AI176">
        <f>IF(ROW($AA176) - $AA$51 &lt; ($H$16+1)^5, IF(AG176 &gt;= BaseBonus!$C$16, AG176*BaseBonus!$E$31, 0), "")</f>
        <v>6.5733750690480575</v>
      </c>
      <c r="AJ176">
        <f t="shared" ca="1" si="44"/>
        <v>0</v>
      </c>
      <c r="AK176" s="44"/>
    </row>
    <row r="177" spans="8:37" x14ac:dyDescent="0.3">
      <c r="H177" t="str" cm="1">
        <f t="array" aca="1" ref="H177" ca="1">IF(ROW(A177)-H$15 &lt; H$14,A177,IF(ROW(A177) - H$15 -H$16 + 1 &lt; H$14,INDIRECT(ADDRESS(MOD(ROW(A177) - H$15, H$14) + H$15, COLUMN(A177))),""))</f>
        <v/>
      </c>
      <c r="I177" t="str" cm="1">
        <f t="array" aca="1" ref="I177" ca="1">IF(ROW(B177)-I$15 &lt; I$14,B177,IF(ROW(B177) - I$15 -I$16 + 1 &lt; I$14,INDIRECT(ADDRESS(MOD(ROW(B177) - I$15, I$14) + I$15, COLUMN(B177))),""))</f>
        <v/>
      </c>
      <c r="J177" t="str" cm="1">
        <f t="array" aca="1" ref="J177" ca="1">IF(ROW(C177)-J$15 &lt; J$14,C177,IF(ROW(C177) - J$15 -J$16 + 1 &lt; J$14,INDIRECT(ADDRESS(MOD(ROW(C177) - J$15, J$14) + J$15, COLUMN(C177))),""))</f>
        <v/>
      </c>
      <c r="K177" t="str" cm="1">
        <f t="array" aca="1" ref="K177" ca="1">IF(ROW(D177)-K$15 &lt; K$14,D177,IF(ROW(D177) - K$15 -K$16 + 1 &lt; K$14,INDIRECT(ADDRESS(MOD(ROW(D177) - K$15, K$14) + K$15, COLUMN(D177))),""))</f>
        <v/>
      </c>
      <c r="L177" t="str" cm="1">
        <f t="array" aca="1" ref="L177" ca="1">IF(ROW(E177)-L$15 &lt; L$14,E177,IF(ROW(E177) - L$15 -L$16 + 1 &lt; L$14,INDIRECT(ADDRESS(MOD(ROW(E177) - L$15, L$14) + L$15, COLUMN(E177))),""))</f>
        <v/>
      </c>
      <c r="N177" t="str" cm="1">
        <f t="array" aca="1" ref="N177" ca="1">IF(A177&lt;&gt;"", SUMPRODUCT((OFFSET(A177,0,0,H$16,1)=$T$24) +0),"")</f>
        <v/>
      </c>
      <c r="O177" t="str" cm="1">
        <f t="array" aca="1" ref="O177" ca="1">IF(B177&lt;&gt;"", SUMPRODUCT((OFFSET(B177,0,0,I$16,1)=$T$24) +0),"")</f>
        <v/>
      </c>
      <c r="P177" t="str" cm="1">
        <f t="array" aca="1" ref="P177" ca="1">IF(C177&lt;&gt;"", SUMPRODUCT((OFFSET(C177,0,0,J$16,1)=$T$24) +0),"")</f>
        <v/>
      </c>
      <c r="Q177" t="str" cm="1">
        <f t="array" aca="1" ref="Q177" ca="1">IF(D177&lt;&gt;"", SUMPRODUCT((OFFSET(D177,0,0,K$16,1)=$T$24) +0),"")</f>
        <v/>
      </c>
      <c r="R177" t="str" cm="1">
        <f t="array" aca="1" ref="R177" ca="1">IF(E177&lt;&gt;"", SUMPRODUCT((OFFSET(E177,0,0,L$16,1)=$T$24) +0),"")</f>
        <v/>
      </c>
      <c r="AB177">
        <f t="shared" si="37"/>
        <v>1</v>
      </c>
      <c r="AC177">
        <f t="shared" si="38"/>
        <v>3</v>
      </c>
      <c r="AD177">
        <f t="shared" si="39"/>
        <v>3</v>
      </c>
      <c r="AE177">
        <f t="shared" si="40"/>
        <v>1</v>
      </c>
      <c r="AF177">
        <f t="shared" si="41"/>
        <v>0</v>
      </c>
      <c r="AG177">
        <f t="shared" si="42"/>
        <v>8</v>
      </c>
      <c r="AH177">
        <f t="shared" ca="1" si="43"/>
        <v>0</v>
      </c>
      <c r="AI177">
        <f>IF(ROW($AA177) - $AA$51 &lt; ($H$16+1)^5, IF(AG177 &gt;= BaseBonus!$C$16, AG177*BaseBonus!$E$31, 0), "")</f>
        <v>7.5124286503406372</v>
      </c>
      <c r="AJ177">
        <f t="shared" ca="1" si="44"/>
        <v>0</v>
      </c>
      <c r="AK177" s="44"/>
    </row>
    <row r="178" spans="8:37" x14ac:dyDescent="0.3">
      <c r="H178" t="str" cm="1">
        <f t="array" aca="1" ref="H178" ca="1">IF(ROW(A178)-H$15 &lt; H$14,A178,IF(ROW(A178) - H$15 -H$16 + 1 &lt; H$14,INDIRECT(ADDRESS(MOD(ROW(A178) - H$15, H$14) + H$15, COLUMN(A178))),""))</f>
        <v/>
      </c>
      <c r="I178" t="str" cm="1">
        <f t="array" aca="1" ref="I178" ca="1">IF(ROW(B178)-I$15 &lt; I$14,B178,IF(ROW(B178) - I$15 -I$16 + 1 &lt; I$14,INDIRECT(ADDRESS(MOD(ROW(B178) - I$15, I$14) + I$15, COLUMN(B178))),""))</f>
        <v/>
      </c>
      <c r="J178" t="str" cm="1">
        <f t="array" aca="1" ref="J178" ca="1">IF(ROW(C178)-J$15 &lt; J$14,C178,IF(ROW(C178) - J$15 -J$16 + 1 &lt; J$14,INDIRECT(ADDRESS(MOD(ROW(C178) - J$15, J$14) + J$15, COLUMN(C178))),""))</f>
        <v/>
      </c>
      <c r="K178" t="str" cm="1">
        <f t="array" aca="1" ref="K178" ca="1">IF(ROW(D178)-K$15 &lt; K$14,D178,IF(ROW(D178) - K$15 -K$16 + 1 &lt; K$14,INDIRECT(ADDRESS(MOD(ROW(D178) - K$15, K$14) + K$15, COLUMN(D178))),""))</f>
        <v/>
      </c>
      <c r="L178" t="str" cm="1">
        <f t="array" aca="1" ref="L178" ca="1">IF(ROW(E178)-L$15 &lt; L$14,E178,IF(ROW(E178) - L$15 -L$16 + 1 &lt; L$14,INDIRECT(ADDRESS(MOD(ROW(E178) - L$15, L$14) + L$15, COLUMN(E178))),""))</f>
        <v/>
      </c>
      <c r="N178" t="str" cm="1">
        <f t="array" aca="1" ref="N178" ca="1">IF(A178&lt;&gt;"", SUMPRODUCT((OFFSET(A178,0,0,H$16,1)=$T$24) +0),"")</f>
        <v/>
      </c>
      <c r="O178" t="str" cm="1">
        <f t="array" aca="1" ref="O178" ca="1">IF(B178&lt;&gt;"", SUMPRODUCT((OFFSET(B178,0,0,I$16,1)=$T$24) +0),"")</f>
        <v/>
      </c>
      <c r="P178" t="str" cm="1">
        <f t="array" aca="1" ref="P178" ca="1">IF(C178&lt;&gt;"", SUMPRODUCT((OFFSET(C178,0,0,J$16,1)=$T$24) +0),"")</f>
        <v/>
      </c>
      <c r="Q178" t="str" cm="1">
        <f t="array" aca="1" ref="Q178" ca="1">IF(D178&lt;&gt;"", SUMPRODUCT((OFFSET(D178,0,0,K$16,1)=$T$24) +0),"")</f>
        <v/>
      </c>
      <c r="R178" t="str" cm="1">
        <f t="array" aca="1" ref="R178" ca="1">IF(E178&lt;&gt;"", SUMPRODUCT((OFFSET(E178,0,0,L$16,1)=$T$24) +0),"")</f>
        <v/>
      </c>
      <c r="AB178">
        <f t="shared" si="37"/>
        <v>2</v>
      </c>
      <c r="AC178">
        <f t="shared" si="38"/>
        <v>3</v>
      </c>
      <c r="AD178">
        <f t="shared" si="39"/>
        <v>3</v>
      </c>
      <c r="AE178">
        <f t="shared" si="40"/>
        <v>1</v>
      </c>
      <c r="AF178">
        <f t="shared" si="41"/>
        <v>0</v>
      </c>
      <c r="AG178">
        <f t="shared" si="42"/>
        <v>9</v>
      </c>
      <c r="AH178">
        <f t="shared" ca="1" si="43"/>
        <v>0</v>
      </c>
      <c r="AI178">
        <f>IF(ROW($AA178) - $AA$51 &lt; ($H$16+1)^5, IF(AG178 &gt;= BaseBonus!$C$16, AG178*BaseBonus!$E$31, 0), "")</f>
        <v>8.4514822316332161</v>
      </c>
      <c r="AJ178">
        <f t="shared" ca="1" si="44"/>
        <v>0</v>
      </c>
      <c r="AK178" s="44"/>
    </row>
    <row r="179" spans="8:37" x14ac:dyDescent="0.3">
      <c r="H179" t="str" cm="1">
        <f t="array" aca="1" ref="H179" ca="1">IF(ROW(A179)-H$15 &lt; H$14,A179,IF(ROW(A179) - H$15 -H$16 + 1 &lt; H$14,INDIRECT(ADDRESS(MOD(ROW(A179) - H$15, H$14) + H$15, COLUMN(A179))),""))</f>
        <v/>
      </c>
      <c r="I179" t="str" cm="1">
        <f t="array" aca="1" ref="I179" ca="1">IF(ROW(B179)-I$15 &lt; I$14,B179,IF(ROW(B179) - I$15 -I$16 + 1 &lt; I$14,INDIRECT(ADDRESS(MOD(ROW(B179) - I$15, I$14) + I$15, COLUMN(B179))),""))</f>
        <v/>
      </c>
      <c r="J179" t="str" cm="1">
        <f t="array" aca="1" ref="J179" ca="1">IF(ROW(C179)-J$15 &lt; J$14,C179,IF(ROW(C179) - J$15 -J$16 + 1 &lt; J$14,INDIRECT(ADDRESS(MOD(ROW(C179) - J$15, J$14) + J$15, COLUMN(C179))),""))</f>
        <v/>
      </c>
      <c r="K179" t="str" cm="1">
        <f t="array" aca="1" ref="K179" ca="1">IF(ROW(D179)-K$15 &lt; K$14,D179,IF(ROW(D179) - K$15 -K$16 + 1 &lt; K$14,INDIRECT(ADDRESS(MOD(ROW(D179) - K$15, K$14) + K$15, COLUMN(D179))),""))</f>
        <v/>
      </c>
      <c r="L179" t="str" cm="1">
        <f t="array" aca="1" ref="L179" ca="1">IF(ROW(E179)-L$15 &lt; L$14,E179,IF(ROW(E179) - L$15 -L$16 + 1 &lt; L$14,INDIRECT(ADDRESS(MOD(ROW(E179) - L$15, L$14) + L$15, COLUMN(E179))),""))</f>
        <v/>
      </c>
      <c r="N179" t="str" cm="1">
        <f t="array" aca="1" ref="N179" ca="1">IF(A179&lt;&gt;"", SUMPRODUCT((OFFSET(A179,0,0,H$16,1)=$T$24) +0),"")</f>
        <v/>
      </c>
      <c r="O179" t="str" cm="1">
        <f t="array" aca="1" ref="O179" ca="1">IF(B179&lt;&gt;"", SUMPRODUCT((OFFSET(B179,0,0,I$16,1)=$T$24) +0),"")</f>
        <v/>
      </c>
      <c r="P179" t="str" cm="1">
        <f t="array" aca="1" ref="P179" ca="1">IF(C179&lt;&gt;"", SUMPRODUCT((OFFSET(C179,0,0,J$16,1)=$T$24) +0),"")</f>
        <v/>
      </c>
      <c r="Q179" t="str" cm="1">
        <f t="array" aca="1" ref="Q179" ca="1">IF(D179&lt;&gt;"", SUMPRODUCT((OFFSET(D179,0,0,K$16,1)=$T$24) +0),"")</f>
        <v/>
      </c>
      <c r="R179" t="str" cm="1">
        <f t="array" aca="1" ref="R179" ca="1">IF(E179&lt;&gt;"", SUMPRODUCT((OFFSET(E179,0,0,L$16,1)=$T$24) +0),"")</f>
        <v/>
      </c>
      <c r="AB179">
        <f t="shared" si="37"/>
        <v>3</v>
      </c>
      <c r="AC179">
        <f t="shared" si="38"/>
        <v>3</v>
      </c>
      <c r="AD179">
        <f t="shared" si="39"/>
        <v>3</v>
      </c>
      <c r="AE179">
        <f t="shared" si="40"/>
        <v>1</v>
      </c>
      <c r="AF179">
        <f t="shared" si="41"/>
        <v>0</v>
      </c>
      <c r="AG179">
        <f t="shared" si="42"/>
        <v>10</v>
      </c>
      <c r="AH179">
        <f t="shared" ca="1" si="43"/>
        <v>0</v>
      </c>
      <c r="AI179">
        <f>IF(ROW($AA179) - $AA$51 &lt; ($H$16+1)^5, IF(AG179 &gt;= BaseBonus!$C$16, AG179*BaseBonus!$E$31, 0), "")</f>
        <v>9.3905358129257959</v>
      </c>
      <c r="AJ179">
        <f t="shared" ca="1" si="44"/>
        <v>0</v>
      </c>
      <c r="AK179" s="44"/>
    </row>
    <row r="180" spans="8:37" x14ac:dyDescent="0.3">
      <c r="H180" t="str" cm="1">
        <f t="array" aca="1" ref="H180" ca="1">IF(ROW(A180)-H$15 &lt; H$14,A180,IF(ROW(A180) - H$15 -H$16 + 1 &lt; H$14,INDIRECT(ADDRESS(MOD(ROW(A180) - H$15, H$14) + H$15, COLUMN(A180))),""))</f>
        <v/>
      </c>
      <c r="I180" t="str" cm="1">
        <f t="array" aca="1" ref="I180" ca="1">IF(ROW(B180)-I$15 &lt; I$14,B180,IF(ROW(B180) - I$15 -I$16 + 1 &lt; I$14,INDIRECT(ADDRESS(MOD(ROW(B180) - I$15, I$14) + I$15, COLUMN(B180))),""))</f>
        <v/>
      </c>
      <c r="J180" t="str" cm="1">
        <f t="array" aca="1" ref="J180" ca="1">IF(ROW(C180)-J$15 &lt; J$14,C180,IF(ROW(C180) - J$15 -J$16 + 1 &lt; J$14,INDIRECT(ADDRESS(MOD(ROW(C180) - J$15, J$14) + J$15, COLUMN(C180))),""))</f>
        <v/>
      </c>
      <c r="K180" t="str" cm="1">
        <f t="array" aca="1" ref="K180" ca="1">IF(ROW(D180)-K$15 &lt; K$14,D180,IF(ROW(D180) - K$15 -K$16 + 1 &lt; K$14,INDIRECT(ADDRESS(MOD(ROW(D180) - K$15, K$14) + K$15, COLUMN(D180))),""))</f>
        <v/>
      </c>
      <c r="L180" t="str" cm="1">
        <f t="array" aca="1" ref="L180" ca="1">IF(ROW(E180)-L$15 &lt; L$14,E180,IF(ROW(E180) - L$15 -L$16 + 1 &lt; L$14,INDIRECT(ADDRESS(MOD(ROW(E180) - L$15, L$14) + L$15, COLUMN(E180))),""))</f>
        <v/>
      </c>
      <c r="N180" t="str" cm="1">
        <f t="array" aca="1" ref="N180" ca="1">IF(A180&lt;&gt;"", SUMPRODUCT((OFFSET(A180,0,0,H$16,1)=$T$24) +0),"")</f>
        <v/>
      </c>
      <c r="O180" t="str" cm="1">
        <f t="array" aca="1" ref="O180" ca="1">IF(B180&lt;&gt;"", SUMPRODUCT((OFFSET(B180,0,0,I$16,1)=$T$24) +0),"")</f>
        <v/>
      </c>
      <c r="P180" t="str" cm="1">
        <f t="array" aca="1" ref="P180" ca="1">IF(C180&lt;&gt;"", SUMPRODUCT((OFFSET(C180,0,0,J$16,1)=$T$24) +0),"")</f>
        <v/>
      </c>
      <c r="Q180" t="str" cm="1">
        <f t="array" aca="1" ref="Q180" ca="1">IF(D180&lt;&gt;"", SUMPRODUCT((OFFSET(D180,0,0,K$16,1)=$T$24) +0),"")</f>
        <v/>
      </c>
      <c r="R180" t="str" cm="1">
        <f t="array" aca="1" ref="R180" ca="1">IF(E180&lt;&gt;"", SUMPRODUCT((OFFSET(E180,0,0,L$16,1)=$T$24) +0),"")</f>
        <v/>
      </c>
      <c r="AB180">
        <f t="shared" ref="AB180:AB243" si="45">IF(ROW()-$AA$51 &lt; (H$16+1)^5, MOD(_xlfn.FLOOR.MATH((ROW()-$AA$51)/AB$50), H$16+1), "")</f>
        <v>0</v>
      </c>
      <c r="AC180">
        <f t="shared" ref="AC180:AC243" si="46">IF(ROW()-$AA$51 &lt; (I$16+1)^5, MOD(_xlfn.FLOOR.MATH((ROW()-$AA$51)/AC$50), I$16+1), "")</f>
        <v>0</v>
      </c>
      <c r="AD180">
        <f t="shared" ref="AD180:AD243" si="47">IF(ROW()-$AA$51 &lt; (J$16+1)^5, MOD(_xlfn.FLOOR.MATH((ROW()-$AA$51)/AD$50), J$16+1), "")</f>
        <v>0</v>
      </c>
      <c r="AE180">
        <f t="shared" ref="AE180:AE243" si="48">IF(ROW()-$AA$51 &lt; (K$16+1)^5, MOD(_xlfn.FLOOR.MATH((ROW()-$AA$51)/AE$50), K$16+1), "")</f>
        <v>2</v>
      </c>
      <c r="AF180">
        <f t="shared" ref="AF180:AF243" si="49">IF(ROW()-$AA$51 &lt; (L$16+1)^5, MOD(_xlfn.FLOOR.MATH((ROW()-$AA$51)/AF$50), L$16+1), "")</f>
        <v>0</v>
      </c>
      <c r="AG180">
        <f t="shared" ref="AG180:AG243" si="50">IF(ROW($AA180) - $AA$51 &lt; ($H$16+1)^5, SUM(AB180:AF180), "")</f>
        <v>2</v>
      </c>
      <c r="AH180">
        <f t="shared" ref="AH180:AH243" ca="1" si="51">IF(ROW($AA180) - $AA$51 &lt; (4)^5,
    (_xlfn.XLOOKUP(AB180,$T$51:$T$55,U$51:U$55,0)/U$27) * (_xlfn.XLOOKUP(AC180,$T$51:$T$55,V$51:V$55,0)/V$27) * (_xlfn.XLOOKUP(AD180,$T$51:$T$55,W$51:W$55,0)/W$27) * (_xlfn.XLOOKUP(AE180,$T$51:$T$55,X$51:X$55,0)/X$27) * (_xlfn.XLOOKUP(AF180,$T$51:$T$55,Y$51:Y$55,0)/Y$27),
"")</f>
        <v>2.5546708567591815E-2</v>
      </c>
      <c r="AI180">
        <f>IF(ROW($AA180) - $AA$51 &lt; ($H$16+1)^5, IF(AG180 &gt;= BaseBonus!$C$16, AG180*BaseBonus!$E$31, 0), "")</f>
        <v>0</v>
      </c>
      <c r="AJ180">
        <f t="shared" ref="AJ180:AJ243" ca="1" si="52">IF(ROW($AA180) - $AA$51 &lt; ($H$16+1)^5, AH180*AI180, "")</f>
        <v>0</v>
      </c>
      <c r="AK180" s="44"/>
    </row>
    <row r="181" spans="8:37" x14ac:dyDescent="0.3">
      <c r="H181" t="str" cm="1">
        <f t="array" aca="1" ref="H181" ca="1">IF(ROW(A181)-H$15 &lt; H$14,A181,IF(ROW(A181) - H$15 -H$16 + 1 &lt; H$14,INDIRECT(ADDRESS(MOD(ROW(A181) - H$15, H$14) + H$15, COLUMN(A181))),""))</f>
        <v/>
      </c>
      <c r="I181" t="str" cm="1">
        <f t="array" aca="1" ref="I181" ca="1">IF(ROW(B181)-I$15 &lt; I$14,B181,IF(ROW(B181) - I$15 -I$16 + 1 &lt; I$14,INDIRECT(ADDRESS(MOD(ROW(B181) - I$15, I$14) + I$15, COLUMN(B181))),""))</f>
        <v/>
      </c>
      <c r="J181" t="str" cm="1">
        <f t="array" aca="1" ref="J181" ca="1">IF(ROW(C181)-J$15 &lt; J$14,C181,IF(ROW(C181) - J$15 -J$16 + 1 &lt; J$14,INDIRECT(ADDRESS(MOD(ROW(C181) - J$15, J$14) + J$15, COLUMN(C181))),""))</f>
        <v/>
      </c>
      <c r="K181" t="str" cm="1">
        <f t="array" aca="1" ref="K181" ca="1">IF(ROW(D181)-K$15 &lt; K$14,D181,IF(ROW(D181) - K$15 -K$16 + 1 &lt; K$14,INDIRECT(ADDRESS(MOD(ROW(D181) - K$15, K$14) + K$15, COLUMN(D181))),""))</f>
        <v/>
      </c>
      <c r="L181" t="str" cm="1">
        <f t="array" aca="1" ref="L181" ca="1">IF(ROW(E181)-L$15 &lt; L$14,E181,IF(ROW(E181) - L$15 -L$16 + 1 &lt; L$14,INDIRECT(ADDRESS(MOD(ROW(E181) - L$15, L$14) + L$15, COLUMN(E181))),""))</f>
        <v/>
      </c>
      <c r="N181" t="str" cm="1">
        <f t="array" aca="1" ref="N181" ca="1">IF(A181&lt;&gt;"", SUMPRODUCT((OFFSET(A181,0,0,H$16,1)=$T$24) +0),"")</f>
        <v/>
      </c>
      <c r="O181" t="str" cm="1">
        <f t="array" aca="1" ref="O181" ca="1">IF(B181&lt;&gt;"", SUMPRODUCT((OFFSET(B181,0,0,I$16,1)=$T$24) +0),"")</f>
        <v/>
      </c>
      <c r="P181" t="str" cm="1">
        <f t="array" aca="1" ref="P181" ca="1">IF(C181&lt;&gt;"", SUMPRODUCT((OFFSET(C181,0,0,J$16,1)=$T$24) +0),"")</f>
        <v/>
      </c>
      <c r="Q181" t="str" cm="1">
        <f t="array" aca="1" ref="Q181" ca="1">IF(D181&lt;&gt;"", SUMPRODUCT((OFFSET(D181,0,0,K$16,1)=$T$24) +0),"")</f>
        <v/>
      </c>
      <c r="R181" t="str" cm="1">
        <f t="array" aca="1" ref="R181" ca="1">IF(E181&lt;&gt;"", SUMPRODUCT((OFFSET(E181,0,0,L$16,1)=$T$24) +0),"")</f>
        <v/>
      </c>
      <c r="AB181">
        <f t="shared" si="45"/>
        <v>1</v>
      </c>
      <c r="AC181">
        <f t="shared" si="46"/>
        <v>0</v>
      </c>
      <c r="AD181">
        <f t="shared" si="47"/>
        <v>0</v>
      </c>
      <c r="AE181">
        <f t="shared" si="48"/>
        <v>2</v>
      </c>
      <c r="AF181">
        <f t="shared" si="49"/>
        <v>0</v>
      </c>
      <c r="AG181">
        <f t="shared" si="50"/>
        <v>3</v>
      </c>
      <c r="AH181">
        <f t="shared" ca="1" si="51"/>
        <v>4.7900078564234649E-3</v>
      </c>
      <c r="AI181">
        <f>IF(ROW($AA181) - $AA$51 &lt; ($H$16+1)^5, IF(AG181 &gt;= BaseBonus!$C$16, AG181*BaseBonus!$E$31, 0), "")</f>
        <v>0</v>
      </c>
      <c r="AJ181">
        <f t="shared" ca="1" si="52"/>
        <v>0</v>
      </c>
      <c r="AK181" s="44"/>
    </row>
    <row r="182" spans="8:37" x14ac:dyDescent="0.3">
      <c r="H182" t="str" cm="1">
        <f t="array" aca="1" ref="H182" ca="1">IF(ROW(A182)-H$15 &lt; H$14,A182,IF(ROW(A182) - H$15 -H$16 + 1 &lt; H$14,INDIRECT(ADDRESS(MOD(ROW(A182) - H$15, H$14) + H$15, COLUMN(A182))),""))</f>
        <v/>
      </c>
      <c r="I182" t="str" cm="1">
        <f t="array" aca="1" ref="I182" ca="1">IF(ROW(B182)-I$15 &lt; I$14,B182,IF(ROW(B182) - I$15 -I$16 + 1 &lt; I$14,INDIRECT(ADDRESS(MOD(ROW(B182) - I$15, I$14) + I$15, COLUMN(B182))),""))</f>
        <v/>
      </c>
      <c r="J182" t="str" cm="1">
        <f t="array" aca="1" ref="J182" ca="1">IF(ROW(C182)-J$15 &lt; J$14,C182,IF(ROW(C182) - J$15 -J$16 + 1 &lt; J$14,INDIRECT(ADDRESS(MOD(ROW(C182) - J$15, J$14) + J$15, COLUMN(C182))),""))</f>
        <v/>
      </c>
      <c r="K182" t="str" cm="1">
        <f t="array" aca="1" ref="K182" ca="1">IF(ROW(D182)-K$15 &lt; K$14,D182,IF(ROW(D182) - K$15 -K$16 + 1 &lt; K$14,INDIRECT(ADDRESS(MOD(ROW(D182) - K$15, K$14) + K$15, COLUMN(D182))),""))</f>
        <v/>
      </c>
      <c r="L182" t="str" cm="1">
        <f t="array" aca="1" ref="L182" ca="1">IF(ROW(E182)-L$15 &lt; L$14,E182,IF(ROW(E182) - L$15 -L$16 + 1 &lt; L$14,INDIRECT(ADDRESS(MOD(ROW(E182) - L$15, L$14) + L$15, COLUMN(E182))),""))</f>
        <v/>
      </c>
      <c r="N182" t="str" cm="1">
        <f t="array" aca="1" ref="N182" ca="1">IF(A182&lt;&gt;"", SUMPRODUCT((OFFSET(A182,0,0,H$16,1)=$T$24) +0),"")</f>
        <v/>
      </c>
      <c r="O182" t="str" cm="1">
        <f t="array" aca="1" ref="O182" ca="1">IF(B182&lt;&gt;"", SUMPRODUCT((OFFSET(B182,0,0,I$16,1)=$T$24) +0),"")</f>
        <v/>
      </c>
      <c r="P182" t="str" cm="1">
        <f t="array" aca="1" ref="P182" ca="1">IF(C182&lt;&gt;"", SUMPRODUCT((OFFSET(C182,0,0,J$16,1)=$T$24) +0),"")</f>
        <v/>
      </c>
      <c r="Q182" t="str" cm="1">
        <f t="array" aca="1" ref="Q182" ca="1">IF(D182&lt;&gt;"", SUMPRODUCT((OFFSET(D182,0,0,K$16,1)=$T$24) +0),"")</f>
        <v/>
      </c>
      <c r="R182" t="str" cm="1">
        <f t="array" aca="1" ref="R182" ca="1">IF(E182&lt;&gt;"", SUMPRODUCT((OFFSET(E182,0,0,L$16,1)=$T$24) +0),"")</f>
        <v/>
      </c>
      <c r="AB182">
        <f t="shared" si="45"/>
        <v>2</v>
      </c>
      <c r="AC182">
        <f t="shared" si="46"/>
        <v>0</v>
      </c>
      <c r="AD182">
        <f t="shared" si="47"/>
        <v>0</v>
      </c>
      <c r="AE182">
        <f t="shared" si="48"/>
        <v>2</v>
      </c>
      <c r="AF182">
        <f t="shared" si="49"/>
        <v>0</v>
      </c>
      <c r="AG182">
        <f t="shared" si="50"/>
        <v>4</v>
      </c>
      <c r="AH182">
        <f t="shared" ca="1" si="51"/>
        <v>2.3950039282117325E-3</v>
      </c>
      <c r="AI182">
        <f>IF(ROW($AA182) - $AA$51 &lt; ($H$16+1)^5, IF(AG182 &gt;= BaseBonus!$C$16, AG182*BaseBonus!$E$31, 0), "")</f>
        <v>0</v>
      </c>
      <c r="AJ182">
        <f t="shared" ca="1" si="52"/>
        <v>0</v>
      </c>
      <c r="AK182" s="44"/>
    </row>
    <row r="183" spans="8:37" x14ac:dyDescent="0.3">
      <c r="H183" t="str" cm="1">
        <f t="array" aca="1" ref="H183" ca="1">IF(ROW(A183)-H$15 &lt; H$14,A183,IF(ROW(A183) - H$15 -H$16 + 1 &lt; H$14,INDIRECT(ADDRESS(MOD(ROW(A183) - H$15, H$14) + H$15, COLUMN(A183))),""))</f>
        <v/>
      </c>
      <c r="I183" t="str" cm="1">
        <f t="array" aca="1" ref="I183" ca="1">IF(ROW(B183)-I$15 &lt; I$14,B183,IF(ROW(B183) - I$15 -I$16 + 1 &lt; I$14,INDIRECT(ADDRESS(MOD(ROW(B183) - I$15, I$14) + I$15, COLUMN(B183))),""))</f>
        <v/>
      </c>
      <c r="J183" t="str" cm="1">
        <f t="array" aca="1" ref="J183" ca="1">IF(ROW(C183)-J$15 &lt; J$14,C183,IF(ROW(C183) - J$15 -J$16 + 1 &lt; J$14,INDIRECT(ADDRESS(MOD(ROW(C183) - J$15, J$14) + J$15, COLUMN(C183))),""))</f>
        <v/>
      </c>
      <c r="K183" t="str" cm="1">
        <f t="array" aca="1" ref="K183" ca="1">IF(ROW(D183)-K$15 &lt; K$14,D183,IF(ROW(D183) - K$15 -K$16 + 1 &lt; K$14,INDIRECT(ADDRESS(MOD(ROW(D183) - K$15, K$14) + K$15, COLUMN(D183))),""))</f>
        <v/>
      </c>
      <c r="L183" t="str" cm="1">
        <f t="array" aca="1" ref="L183" ca="1">IF(ROW(E183)-L$15 &lt; L$14,E183,IF(ROW(E183) - L$15 -L$16 + 1 &lt; L$14,INDIRECT(ADDRESS(MOD(ROW(E183) - L$15, L$14) + L$15, COLUMN(E183))),""))</f>
        <v/>
      </c>
      <c r="N183" t="str" cm="1">
        <f t="array" aca="1" ref="N183" ca="1">IF(A183&lt;&gt;"", SUMPRODUCT((OFFSET(A183,0,0,H$16,1)=$T$24) +0),"")</f>
        <v/>
      </c>
      <c r="O183" t="str" cm="1">
        <f t="array" aca="1" ref="O183" ca="1">IF(B183&lt;&gt;"", SUMPRODUCT((OFFSET(B183,0,0,I$16,1)=$T$24) +0),"")</f>
        <v/>
      </c>
      <c r="P183" t="str" cm="1">
        <f t="array" aca="1" ref="P183" ca="1">IF(C183&lt;&gt;"", SUMPRODUCT((OFFSET(C183,0,0,J$16,1)=$T$24) +0),"")</f>
        <v/>
      </c>
      <c r="Q183" t="str" cm="1">
        <f t="array" aca="1" ref="Q183" ca="1">IF(D183&lt;&gt;"", SUMPRODUCT((OFFSET(D183,0,0,K$16,1)=$T$24) +0),"")</f>
        <v/>
      </c>
      <c r="R183" t="str" cm="1">
        <f t="array" aca="1" ref="R183" ca="1">IF(E183&lt;&gt;"", SUMPRODUCT((OFFSET(E183,0,0,L$16,1)=$T$24) +0),"")</f>
        <v/>
      </c>
      <c r="AB183">
        <f t="shared" si="45"/>
        <v>3</v>
      </c>
      <c r="AC183">
        <f t="shared" si="46"/>
        <v>0</v>
      </c>
      <c r="AD183">
        <f t="shared" si="47"/>
        <v>0</v>
      </c>
      <c r="AE183">
        <f t="shared" si="48"/>
        <v>2</v>
      </c>
      <c r="AF183">
        <f t="shared" si="49"/>
        <v>0</v>
      </c>
      <c r="AG183">
        <f t="shared" si="50"/>
        <v>5</v>
      </c>
      <c r="AH183">
        <f t="shared" ca="1" si="51"/>
        <v>0</v>
      </c>
      <c r="AI183">
        <f>IF(ROW($AA183) - $AA$51 &lt; ($H$16+1)^5, IF(AG183 &gt;= BaseBonus!$C$16, AG183*BaseBonus!$E$31, 0), "")</f>
        <v>4.6952679064628979</v>
      </c>
      <c r="AJ183">
        <f t="shared" ca="1" si="52"/>
        <v>0</v>
      </c>
      <c r="AK183" s="44"/>
    </row>
    <row r="184" spans="8:37" x14ac:dyDescent="0.3">
      <c r="H184" t="str" cm="1">
        <f t="array" aca="1" ref="H184" ca="1">IF(ROW(A184)-H$15 &lt; H$14,A184,IF(ROW(A184) - H$15 -H$16 + 1 &lt; H$14,INDIRECT(ADDRESS(MOD(ROW(A184) - H$15, H$14) + H$15, COLUMN(A184))),""))</f>
        <v/>
      </c>
      <c r="I184" t="str" cm="1">
        <f t="array" aca="1" ref="I184" ca="1">IF(ROW(B184)-I$15 &lt; I$14,B184,IF(ROW(B184) - I$15 -I$16 + 1 &lt; I$14,INDIRECT(ADDRESS(MOD(ROW(B184) - I$15, I$14) + I$15, COLUMN(B184))),""))</f>
        <v/>
      </c>
      <c r="J184" t="str" cm="1">
        <f t="array" aca="1" ref="J184" ca="1">IF(ROW(C184)-J$15 &lt; J$14,C184,IF(ROW(C184) - J$15 -J$16 + 1 &lt; J$14,INDIRECT(ADDRESS(MOD(ROW(C184) - J$15, J$14) + J$15, COLUMN(C184))),""))</f>
        <v/>
      </c>
      <c r="K184" t="str" cm="1">
        <f t="array" aca="1" ref="K184" ca="1">IF(ROW(D184)-K$15 &lt; K$14,D184,IF(ROW(D184) - K$15 -K$16 + 1 &lt; K$14,INDIRECT(ADDRESS(MOD(ROW(D184) - K$15, K$14) + K$15, COLUMN(D184))),""))</f>
        <v/>
      </c>
      <c r="L184" t="str" cm="1">
        <f t="array" aca="1" ref="L184" ca="1">IF(ROW(E184)-L$15 &lt; L$14,E184,IF(ROW(E184) - L$15 -L$16 + 1 &lt; L$14,INDIRECT(ADDRESS(MOD(ROW(E184) - L$15, L$14) + L$15, COLUMN(E184))),""))</f>
        <v/>
      </c>
      <c r="N184" t="str" cm="1">
        <f t="array" aca="1" ref="N184" ca="1">IF(A184&lt;&gt;"", SUMPRODUCT((OFFSET(A184,0,0,H$16,1)=$T$24) +0),"")</f>
        <v/>
      </c>
      <c r="O184" t="str" cm="1">
        <f t="array" aca="1" ref="O184" ca="1">IF(B184&lt;&gt;"", SUMPRODUCT((OFFSET(B184,0,0,I$16,1)=$T$24) +0),"")</f>
        <v/>
      </c>
      <c r="P184" t="str" cm="1">
        <f t="array" aca="1" ref="P184" ca="1">IF(C184&lt;&gt;"", SUMPRODUCT((OFFSET(C184,0,0,J$16,1)=$T$24) +0),"")</f>
        <v/>
      </c>
      <c r="Q184" t="str" cm="1">
        <f t="array" aca="1" ref="Q184" ca="1">IF(D184&lt;&gt;"", SUMPRODUCT((OFFSET(D184,0,0,K$16,1)=$T$24) +0),"")</f>
        <v/>
      </c>
      <c r="R184" t="str" cm="1">
        <f t="array" aca="1" ref="R184" ca="1">IF(E184&lt;&gt;"", SUMPRODUCT((OFFSET(E184,0,0,L$16,1)=$T$24) +0),"")</f>
        <v/>
      </c>
      <c r="AB184">
        <f t="shared" si="45"/>
        <v>0</v>
      </c>
      <c r="AC184">
        <f t="shared" si="46"/>
        <v>1</v>
      </c>
      <c r="AD184">
        <f t="shared" si="47"/>
        <v>0</v>
      </c>
      <c r="AE184">
        <f t="shared" si="48"/>
        <v>2</v>
      </c>
      <c r="AF184">
        <f t="shared" si="49"/>
        <v>0</v>
      </c>
      <c r="AG184">
        <f t="shared" si="50"/>
        <v>3</v>
      </c>
      <c r="AH184">
        <f t="shared" ca="1" si="51"/>
        <v>7.7939110884178422E-3</v>
      </c>
      <c r="AI184">
        <f>IF(ROW($AA184) - $AA$51 &lt; ($H$16+1)^5, IF(AG184 &gt;= BaseBonus!$C$16, AG184*BaseBonus!$E$31, 0), "")</f>
        <v>0</v>
      </c>
      <c r="AJ184">
        <f t="shared" ca="1" si="52"/>
        <v>0</v>
      </c>
      <c r="AK184" s="44"/>
    </row>
    <row r="185" spans="8:37" x14ac:dyDescent="0.3">
      <c r="H185" t="str" cm="1">
        <f t="array" aca="1" ref="H185" ca="1">IF(ROW(A185)-H$15 &lt; H$14,A185,IF(ROW(A185) - H$15 -H$16 + 1 &lt; H$14,INDIRECT(ADDRESS(MOD(ROW(A185) - H$15, H$14) + H$15, COLUMN(A185))),""))</f>
        <v/>
      </c>
      <c r="I185" t="str" cm="1">
        <f t="array" aca="1" ref="I185" ca="1">IF(ROW(B185)-I$15 &lt; I$14,B185,IF(ROW(B185) - I$15 -I$16 + 1 &lt; I$14,INDIRECT(ADDRESS(MOD(ROW(B185) - I$15, I$14) + I$15, COLUMN(B185))),""))</f>
        <v/>
      </c>
      <c r="J185" t="str" cm="1">
        <f t="array" aca="1" ref="J185" ca="1">IF(ROW(C185)-J$15 &lt; J$14,C185,IF(ROW(C185) - J$15 -J$16 + 1 &lt; J$14,INDIRECT(ADDRESS(MOD(ROW(C185) - J$15, J$14) + J$15, COLUMN(C185))),""))</f>
        <v/>
      </c>
      <c r="K185" t="str" cm="1">
        <f t="array" aca="1" ref="K185" ca="1">IF(ROW(D185)-K$15 &lt; K$14,D185,IF(ROW(D185) - K$15 -K$16 + 1 &lt; K$14,INDIRECT(ADDRESS(MOD(ROW(D185) - K$15, K$14) + K$15, COLUMN(D185))),""))</f>
        <v/>
      </c>
      <c r="L185" t="str" cm="1">
        <f t="array" aca="1" ref="L185" ca="1">IF(ROW(E185)-L$15 &lt; L$14,E185,IF(ROW(E185) - L$15 -L$16 + 1 &lt; L$14,INDIRECT(ADDRESS(MOD(ROW(E185) - L$15, L$14) + L$15, COLUMN(E185))),""))</f>
        <v/>
      </c>
      <c r="N185" t="str" cm="1">
        <f t="array" aca="1" ref="N185" ca="1">IF(A185&lt;&gt;"", SUMPRODUCT((OFFSET(A185,0,0,H$16,1)=$T$24) +0),"")</f>
        <v/>
      </c>
      <c r="O185" t="str" cm="1">
        <f t="array" aca="1" ref="O185" ca="1">IF(B185&lt;&gt;"", SUMPRODUCT((OFFSET(B185,0,0,I$16,1)=$T$24) +0),"")</f>
        <v/>
      </c>
      <c r="P185" t="str" cm="1">
        <f t="array" aca="1" ref="P185" ca="1">IF(C185&lt;&gt;"", SUMPRODUCT((OFFSET(C185,0,0,J$16,1)=$T$24) +0),"")</f>
        <v/>
      </c>
      <c r="Q185" t="str" cm="1">
        <f t="array" aca="1" ref="Q185" ca="1">IF(D185&lt;&gt;"", SUMPRODUCT((OFFSET(D185,0,0,K$16,1)=$T$24) +0),"")</f>
        <v/>
      </c>
      <c r="R185" t="str" cm="1">
        <f t="array" aca="1" ref="R185" ca="1">IF(E185&lt;&gt;"", SUMPRODUCT((OFFSET(E185,0,0,L$16,1)=$T$24) +0),"")</f>
        <v/>
      </c>
      <c r="AB185">
        <f t="shared" si="45"/>
        <v>1</v>
      </c>
      <c r="AC185">
        <f t="shared" si="46"/>
        <v>1</v>
      </c>
      <c r="AD185">
        <f t="shared" si="47"/>
        <v>0</v>
      </c>
      <c r="AE185">
        <f t="shared" si="48"/>
        <v>2</v>
      </c>
      <c r="AF185">
        <f t="shared" si="49"/>
        <v>0</v>
      </c>
      <c r="AG185">
        <f t="shared" si="50"/>
        <v>4</v>
      </c>
      <c r="AH185">
        <f t="shared" ca="1" si="51"/>
        <v>1.4613583290783456E-3</v>
      </c>
      <c r="AI185">
        <f>IF(ROW($AA185) - $AA$51 &lt; ($H$16+1)^5, IF(AG185 &gt;= BaseBonus!$C$16, AG185*BaseBonus!$E$31, 0), "")</f>
        <v>0</v>
      </c>
      <c r="AJ185">
        <f t="shared" ca="1" si="52"/>
        <v>0</v>
      </c>
      <c r="AK185" s="44"/>
    </row>
    <row r="186" spans="8:37" x14ac:dyDescent="0.3">
      <c r="H186" t="str" cm="1">
        <f t="array" aca="1" ref="H186" ca="1">IF(ROW(A186)-H$15 &lt; H$14,A186,IF(ROW(A186) - H$15 -H$16 + 1 &lt; H$14,INDIRECT(ADDRESS(MOD(ROW(A186) - H$15, H$14) + H$15, COLUMN(A186))),""))</f>
        <v/>
      </c>
      <c r="I186" t="str" cm="1">
        <f t="array" aca="1" ref="I186" ca="1">IF(ROW(B186)-I$15 &lt; I$14,B186,IF(ROW(B186) - I$15 -I$16 + 1 &lt; I$14,INDIRECT(ADDRESS(MOD(ROW(B186) - I$15, I$14) + I$15, COLUMN(B186))),""))</f>
        <v/>
      </c>
      <c r="J186" t="str" cm="1">
        <f t="array" aca="1" ref="J186" ca="1">IF(ROW(C186)-J$15 &lt; J$14,C186,IF(ROW(C186) - J$15 -J$16 + 1 &lt; J$14,INDIRECT(ADDRESS(MOD(ROW(C186) - J$15, J$14) + J$15, COLUMN(C186))),""))</f>
        <v/>
      </c>
      <c r="K186" t="str" cm="1">
        <f t="array" aca="1" ref="K186" ca="1">IF(ROW(D186)-K$15 &lt; K$14,D186,IF(ROW(D186) - K$15 -K$16 + 1 &lt; K$14,INDIRECT(ADDRESS(MOD(ROW(D186) - K$15, K$14) + K$15, COLUMN(D186))),""))</f>
        <v/>
      </c>
      <c r="L186" t="str" cm="1">
        <f t="array" aca="1" ref="L186" ca="1">IF(ROW(E186)-L$15 &lt; L$14,E186,IF(ROW(E186) - L$15 -L$16 + 1 &lt; L$14,INDIRECT(ADDRESS(MOD(ROW(E186) - L$15, L$14) + L$15, COLUMN(E186))),""))</f>
        <v/>
      </c>
      <c r="N186" t="str" cm="1">
        <f t="array" aca="1" ref="N186" ca="1">IF(A186&lt;&gt;"", SUMPRODUCT((OFFSET(A186,0,0,H$16,1)=$T$24) +0),"")</f>
        <v/>
      </c>
      <c r="O186" t="str" cm="1">
        <f t="array" aca="1" ref="O186" ca="1">IF(B186&lt;&gt;"", SUMPRODUCT((OFFSET(B186,0,0,I$16,1)=$T$24) +0),"")</f>
        <v/>
      </c>
      <c r="P186" t="str" cm="1">
        <f t="array" aca="1" ref="P186" ca="1">IF(C186&lt;&gt;"", SUMPRODUCT((OFFSET(C186,0,0,J$16,1)=$T$24) +0),"")</f>
        <v/>
      </c>
      <c r="Q186" t="str" cm="1">
        <f t="array" aca="1" ref="Q186" ca="1">IF(D186&lt;&gt;"", SUMPRODUCT((OFFSET(D186,0,0,K$16,1)=$T$24) +0),"")</f>
        <v/>
      </c>
      <c r="R186" t="str" cm="1">
        <f t="array" aca="1" ref="R186" ca="1">IF(E186&lt;&gt;"", SUMPRODUCT((OFFSET(E186,0,0,L$16,1)=$T$24) +0),"")</f>
        <v/>
      </c>
      <c r="AB186">
        <f t="shared" si="45"/>
        <v>2</v>
      </c>
      <c r="AC186">
        <f t="shared" si="46"/>
        <v>1</v>
      </c>
      <c r="AD186">
        <f t="shared" si="47"/>
        <v>0</v>
      </c>
      <c r="AE186">
        <f t="shared" si="48"/>
        <v>2</v>
      </c>
      <c r="AF186">
        <f t="shared" si="49"/>
        <v>0</v>
      </c>
      <c r="AG186">
        <f t="shared" si="50"/>
        <v>5</v>
      </c>
      <c r="AH186">
        <f t="shared" ca="1" si="51"/>
        <v>7.3067916453917279E-4</v>
      </c>
      <c r="AI186">
        <f>IF(ROW($AA186) - $AA$51 &lt; ($H$16+1)^5, IF(AG186 &gt;= BaseBonus!$C$16, AG186*BaseBonus!$E$31, 0), "")</f>
        <v>4.6952679064628979</v>
      </c>
      <c r="AJ186">
        <f t="shared" ca="1" si="52"/>
        <v>3.4307344311819013E-3</v>
      </c>
      <c r="AK186" s="44"/>
    </row>
    <row r="187" spans="8:37" x14ac:dyDescent="0.3">
      <c r="H187" t="str" cm="1">
        <f t="array" aca="1" ref="H187" ca="1">IF(ROW(A187)-H$15 &lt; H$14,A187,IF(ROW(A187) - H$15 -H$16 + 1 &lt; H$14,INDIRECT(ADDRESS(MOD(ROW(A187) - H$15, H$14) + H$15, COLUMN(A187))),""))</f>
        <v/>
      </c>
      <c r="I187" t="str" cm="1">
        <f t="array" aca="1" ref="I187" ca="1">IF(ROW(B187)-I$15 &lt; I$14,B187,IF(ROW(B187) - I$15 -I$16 + 1 &lt; I$14,INDIRECT(ADDRESS(MOD(ROW(B187) - I$15, I$14) + I$15, COLUMN(B187))),""))</f>
        <v/>
      </c>
      <c r="J187" t="str" cm="1">
        <f t="array" aca="1" ref="J187" ca="1">IF(ROW(C187)-J$15 &lt; J$14,C187,IF(ROW(C187) - J$15 -J$16 + 1 &lt; J$14,INDIRECT(ADDRESS(MOD(ROW(C187) - J$15, J$14) + J$15, COLUMN(C187))),""))</f>
        <v/>
      </c>
      <c r="K187" t="str" cm="1">
        <f t="array" aca="1" ref="K187" ca="1">IF(ROW(D187)-K$15 &lt; K$14,D187,IF(ROW(D187) - K$15 -K$16 + 1 &lt; K$14,INDIRECT(ADDRESS(MOD(ROW(D187) - K$15, K$14) + K$15, COLUMN(D187))),""))</f>
        <v/>
      </c>
      <c r="L187" t="str" cm="1">
        <f t="array" aca="1" ref="L187" ca="1">IF(ROW(E187)-L$15 &lt; L$14,E187,IF(ROW(E187) - L$15 -L$16 + 1 &lt; L$14,INDIRECT(ADDRESS(MOD(ROW(E187) - L$15, L$14) + L$15, COLUMN(E187))),""))</f>
        <v/>
      </c>
      <c r="N187" t="str" cm="1">
        <f t="array" aca="1" ref="N187" ca="1">IF(A187&lt;&gt;"", SUMPRODUCT((OFFSET(A187,0,0,H$16,1)=$T$24) +0),"")</f>
        <v/>
      </c>
      <c r="O187" t="str" cm="1">
        <f t="array" aca="1" ref="O187" ca="1">IF(B187&lt;&gt;"", SUMPRODUCT((OFFSET(B187,0,0,I$16,1)=$T$24) +0),"")</f>
        <v/>
      </c>
      <c r="P187" t="str" cm="1">
        <f t="array" aca="1" ref="P187" ca="1">IF(C187&lt;&gt;"", SUMPRODUCT((OFFSET(C187,0,0,J$16,1)=$T$24) +0),"")</f>
        <v/>
      </c>
      <c r="Q187" t="str" cm="1">
        <f t="array" aca="1" ref="Q187" ca="1">IF(D187&lt;&gt;"", SUMPRODUCT((OFFSET(D187,0,0,K$16,1)=$T$24) +0),"")</f>
        <v/>
      </c>
      <c r="R187" t="str" cm="1">
        <f t="array" aca="1" ref="R187" ca="1">IF(E187&lt;&gt;"", SUMPRODUCT((OFFSET(E187,0,0,L$16,1)=$T$24) +0),"")</f>
        <v/>
      </c>
      <c r="AB187">
        <f t="shared" si="45"/>
        <v>3</v>
      </c>
      <c r="AC187">
        <f t="shared" si="46"/>
        <v>1</v>
      </c>
      <c r="AD187">
        <f t="shared" si="47"/>
        <v>0</v>
      </c>
      <c r="AE187">
        <f t="shared" si="48"/>
        <v>2</v>
      </c>
      <c r="AF187">
        <f t="shared" si="49"/>
        <v>0</v>
      </c>
      <c r="AG187">
        <f t="shared" si="50"/>
        <v>6</v>
      </c>
      <c r="AH187">
        <f t="shared" ca="1" si="51"/>
        <v>0</v>
      </c>
      <c r="AI187">
        <f>IF(ROW($AA187) - $AA$51 &lt; ($H$16+1)^5, IF(AG187 &gt;= BaseBonus!$C$16, AG187*BaseBonus!$E$31, 0), "")</f>
        <v>5.6343214877554777</v>
      </c>
      <c r="AJ187">
        <f t="shared" ca="1" si="52"/>
        <v>0</v>
      </c>
      <c r="AK187" s="44"/>
    </row>
    <row r="188" spans="8:37" x14ac:dyDescent="0.3">
      <c r="H188" t="str" cm="1">
        <f t="array" aca="1" ref="H188" ca="1">IF(ROW(A188)-H$15 &lt; H$14,A188,IF(ROW(A188) - H$15 -H$16 + 1 &lt; H$14,INDIRECT(ADDRESS(MOD(ROW(A188) - H$15, H$14) + H$15, COLUMN(A188))),""))</f>
        <v/>
      </c>
      <c r="I188" t="str" cm="1">
        <f t="array" aca="1" ref="I188" ca="1">IF(ROW(B188)-I$15 &lt; I$14,B188,IF(ROW(B188) - I$15 -I$16 + 1 &lt; I$14,INDIRECT(ADDRESS(MOD(ROW(B188) - I$15, I$14) + I$15, COLUMN(B188))),""))</f>
        <v/>
      </c>
      <c r="J188" t="str" cm="1">
        <f t="array" aca="1" ref="J188" ca="1">IF(ROW(C188)-J$15 &lt; J$14,C188,IF(ROW(C188) - J$15 -J$16 + 1 &lt; J$14,INDIRECT(ADDRESS(MOD(ROW(C188) - J$15, J$14) + J$15, COLUMN(C188))),""))</f>
        <v/>
      </c>
      <c r="K188" t="str" cm="1">
        <f t="array" aca="1" ref="K188" ca="1">IF(ROW(D188)-K$15 &lt; K$14,D188,IF(ROW(D188) - K$15 -K$16 + 1 &lt; K$14,INDIRECT(ADDRESS(MOD(ROW(D188) - K$15, K$14) + K$15, COLUMN(D188))),""))</f>
        <v/>
      </c>
      <c r="L188" t="str" cm="1">
        <f t="array" aca="1" ref="L188" ca="1">IF(ROW(E188)-L$15 &lt; L$14,E188,IF(ROW(E188) - L$15 -L$16 + 1 &lt; L$14,INDIRECT(ADDRESS(MOD(ROW(E188) - L$15, L$14) + L$15, COLUMN(E188))),""))</f>
        <v/>
      </c>
      <c r="N188" t="str" cm="1">
        <f t="array" aca="1" ref="N188" ca="1">IF(A188&lt;&gt;"", SUMPRODUCT((OFFSET(A188,0,0,H$16,1)=$T$24) +0),"")</f>
        <v/>
      </c>
      <c r="O188" t="str" cm="1">
        <f t="array" aca="1" ref="O188" ca="1">IF(B188&lt;&gt;"", SUMPRODUCT((OFFSET(B188,0,0,I$16,1)=$T$24) +0),"")</f>
        <v/>
      </c>
      <c r="P188" t="str" cm="1">
        <f t="array" aca="1" ref="P188" ca="1">IF(C188&lt;&gt;"", SUMPRODUCT((OFFSET(C188,0,0,J$16,1)=$T$24) +0),"")</f>
        <v/>
      </c>
      <c r="Q188" t="str" cm="1">
        <f t="array" aca="1" ref="Q188" ca="1">IF(D188&lt;&gt;"", SUMPRODUCT((OFFSET(D188,0,0,K$16,1)=$T$24) +0),"")</f>
        <v/>
      </c>
      <c r="R188" t="str" cm="1">
        <f t="array" aca="1" ref="R188" ca="1">IF(E188&lt;&gt;"", SUMPRODUCT((OFFSET(E188,0,0,L$16,1)=$T$24) +0),"")</f>
        <v/>
      </c>
      <c r="AB188">
        <f t="shared" si="45"/>
        <v>0</v>
      </c>
      <c r="AC188">
        <f t="shared" si="46"/>
        <v>2</v>
      </c>
      <c r="AD188">
        <f t="shared" si="47"/>
        <v>0</v>
      </c>
      <c r="AE188">
        <f t="shared" si="48"/>
        <v>2</v>
      </c>
      <c r="AF188">
        <f t="shared" si="49"/>
        <v>0</v>
      </c>
      <c r="AG188">
        <f t="shared" si="50"/>
        <v>4</v>
      </c>
      <c r="AH188">
        <f t="shared" ca="1" si="51"/>
        <v>1.2989851814029737E-3</v>
      </c>
      <c r="AI188">
        <f>IF(ROW($AA188) - $AA$51 &lt; ($H$16+1)^5, IF(AG188 &gt;= BaseBonus!$C$16, AG188*BaseBonus!$E$31, 0), "")</f>
        <v>0</v>
      </c>
      <c r="AJ188">
        <f t="shared" ca="1" si="52"/>
        <v>0</v>
      </c>
      <c r="AK188" s="44"/>
    </row>
    <row r="189" spans="8:37" x14ac:dyDescent="0.3">
      <c r="H189" t="str" cm="1">
        <f t="array" aca="1" ref="H189" ca="1">IF(ROW(A189)-H$15 &lt; H$14,A189,IF(ROW(A189) - H$15 -H$16 + 1 &lt; H$14,INDIRECT(ADDRESS(MOD(ROW(A189) - H$15, H$14) + H$15, COLUMN(A189))),""))</f>
        <v/>
      </c>
      <c r="I189" t="str" cm="1">
        <f t="array" aca="1" ref="I189" ca="1">IF(ROW(B189)-I$15 &lt; I$14,B189,IF(ROW(B189) - I$15 -I$16 + 1 &lt; I$14,INDIRECT(ADDRESS(MOD(ROW(B189) - I$15, I$14) + I$15, COLUMN(B189))),""))</f>
        <v/>
      </c>
      <c r="J189" t="str" cm="1">
        <f t="array" aca="1" ref="J189" ca="1">IF(ROW(C189)-J$15 &lt; J$14,C189,IF(ROW(C189) - J$15 -J$16 + 1 &lt; J$14,INDIRECT(ADDRESS(MOD(ROW(C189) - J$15, J$14) + J$15, COLUMN(C189))),""))</f>
        <v/>
      </c>
      <c r="K189" t="str" cm="1">
        <f t="array" aca="1" ref="K189" ca="1">IF(ROW(D189)-K$15 &lt; K$14,D189,IF(ROW(D189) - K$15 -K$16 + 1 &lt; K$14,INDIRECT(ADDRESS(MOD(ROW(D189) - K$15, K$14) + K$15, COLUMN(D189))),""))</f>
        <v/>
      </c>
      <c r="L189" t="str" cm="1">
        <f t="array" aca="1" ref="L189" ca="1">IF(ROW(E189)-L$15 &lt; L$14,E189,IF(ROW(E189) - L$15 -L$16 + 1 &lt; L$14,INDIRECT(ADDRESS(MOD(ROW(E189) - L$15, L$14) + L$15, COLUMN(E189))),""))</f>
        <v/>
      </c>
      <c r="N189" t="str" cm="1">
        <f t="array" aca="1" ref="N189" ca="1">IF(A189&lt;&gt;"", SUMPRODUCT((OFFSET(A189,0,0,H$16,1)=$T$24) +0),"")</f>
        <v/>
      </c>
      <c r="O189" t="str" cm="1">
        <f t="array" aca="1" ref="O189" ca="1">IF(B189&lt;&gt;"", SUMPRODUCT((OFFSET(B189,0,0,I$16,1)=$T$24) +0),"")</f>
        <v/>
      </c>
      <c r="P189" t="str" cm="1">
        <f t="array" aca="1" ref="P189" ca="1">IF(C189&lt;&gt;"", SUMPRODUCT((OFFSET(C189,0,0,J$16,1)=$T$24) +0),"")</f>
        <v/>
      </c>
      <c r="Q189" t="str" cm="1">
        <f t="array" aca="1" ref="Q189" ca="1">IF(D189&lt;&gt;"", SUMPRODUCT((OFFSET(D189,0,0,K$16,1)=$T$24) +0),"")</f>
        <v/>
      </c>
      <c r="R189" t="str" cm="1">
        <f t="array" aca="1" ref="R189" ca="1">IF(E189&lt;&gt;"", SUMPRODUCT((OFFSET(E189,0,0,L$16,1)=$T$24) +0),"")</f>
        <v/>
      </c>
      <c r="AB189">
        <f t="shared" si="45"/>
        <v>1</v>
      </c>
      <c r="AC189">
        <f t="shared" si="46"/>
        <v>2</v>
      </c>
      <c r="AD189">
        <f t="shared" si="47"/>
        <v>0</v>
      </c>
      <c r="AE189">
        <f t="shared" si="48"/>
        <v>2</v>
      </c>
      <c r="AF189">
        <f t="shared" si="49"/>
        <v>0</v>
      </c>
      <c r="AG189">
        <f t="shared" si="50"/>
        <v>5</v>
      </c>
      <c r="AH189">
        <f t="shared" ca="1" si="51"/>
        <v>2.4355972151305754E-4</v>
      </c>
      <c r="AI189">
        <f>IF(ROW($AA189) - $AA$51 &lt; ($H$16+1)^5, IF(AG189 &gt;= BaseBonus!$C$16, AG189*BaseBonus!$E$31, 0), "")</f>
        <v>4.6952679064628979</v>
      </c>
      <c r="AJ189">
        <f t="shared" ca="1" si="52"/>
        <v>1.1435781437273002E-3</v>
      </c>
      <c r="AK189" s="44"/>
    </row>
    <row r="190" spans="8:37" x14ac:dyDescent="0.3">
      <c r="H190" t="str" cm="1">
        <f t="array" aca="1" ref="H190" ca="1">IF(ROW(A190)-H$15 &lt; H$14,A190,IF(ROW(A190) - H$15 -H$16 + 1 &lt; H$14,INDIRECT(ADDRESS(MOD(ROW(A190) - H$15, H$14) + H$15, COLUMN(A190))),""))</f>
        <v/>
      </c>
      <c r="I190" t="str" cm="1">
        <f t="array" aca="1" ref="I190" ca="1">IF(ROW(B190)-I$15 &lt; I$14,B190,IF(ROW(B190) - I$15 -I$16 + 1 &lt; I$14,INDIRECT(ADDRESS(MOD(ROW(B190) - I$15, I$14) + I$15, COLUMN(B190))),""))</f>
        <v/>
      </c>
      <c r="J190" t="str" cm="1">
        <f t="array" aca="1" ref="J190" ca="1">IF(ROW(C190)-J$15 &lt; J$14,C190,IF(ROW(C190) - J$15 -J$16 + 1 &lt; J$14,INDIRECT(ADDRESS(MOD(ROW(C190) - J$15, J$14) + J$15, COLUMN(C190))),""))</f>
        <v/>
      </c>
      <c r="K190" t="str" cm="1">
        <f t="array" aca="1" ref="K190" ca="1">IF(ROW(D190)-K$15 &lt; K$14,D190,IF(ROW(D190) - K$15 -K$16 + 1 &lt; K$14,INDIRECT(ADDRESS(MOD(ROW(D190) - K$15, K$14) + K$15, COLUMN(D190))),""))</f>
        <v/>
      </c>
      <c r="L190" t="str" cm="1">
        <f t="array" aca="1" ref="L190" ca="1">IF(ROW(E190)-L$15 &lt; L$14,E190,IF(ROW(E190) - L$15 -L$16 + 1 &lt; L$14,INDIRECT(ADDRESS(MOD(ROW(E190) - L$15, L$14) + L$15, COLUMN(E190))),""))</f>
        <v/>
      </c>
      <c r="N190" t="str" cm="1">
        <f t="array" aca="1" ref="N190" ca="1">IF(A190&lt;&gt;"", SUMPRODUCT((OFFSET(A190,0,0,H$16,1)=$T$24) +0),"")</f>
        <v/>
      </c>
      <c r="O190" t="str" cm="1">
        <f t="array" aca="1" ref="O190" ca="1">IF(B190&lt;&gt;"", SUMPRODUCT((OFFSET(B190,0,0,I$16,1)=$T$24) +0),"")</f>
        <v/>
      </c>
      <c r="P190" t="str" cm="1">
        <f t="array" aca="1" ref="P190" ca="1">IF(C190&lt;&gt;"", SUMPRODUCT((OFFSET(C190,0,0,J$16,1)=$T$24) +0),"")</f>
        <v/>
      </c>
      <c r="Q190" t="str" cm="1">
        <f t="array" aca="1" ref="Q190" ca="1">IF(D190&lt;&gt;"", SUMPRODUCT((OFFSET(D190,0,0,K$16,1)=$T$24) +0),"")</f>
        <v/>
      </c>
      <c r="R190" t="str" cm="1">
        <f t="array" aca="1" ref="R190" ca="1">IF(E190&lt;&gt;"", SUMPRODUCT((OFFSET(E190,0,0,L$16,1)=$T$24) +0),"")</f>
        <v/>
      </c>
      <c r="AB190">
        <f t="shared" si="45"/>
        <v>2</v>
      </c>
      <c r="AC190">
        <f t="shared" si="46"/>
        <v>2</v>
      </c>
      <c r="AD190">
        <f t="shared" si="47"/>
        <v>0</v>
      </c>
      <c r="AE190">
        <f t="shared" si="48"/>
        <v>2</v>
      </c>
      <c r="AF190">
        <f t="shared" si="49"/>
        <v>0</v>
      </c>
      <c r="AG190">
        <f t="shared" si="50"/>
        <v>6</v>
      </c>
      <c r="AH190">
        <f t="shared" ca="1" si="51"/>
        <v>1.2177986075652877E-4</v>
      </c>
      <c r="AI190">
        <f>IF(ROW($AA190) - $AA$51 &lt; ($H$16+1)^5, IF(AG190 &gt;= BaseBonus!$C$16, AG190*BaseBonus!$E$31, 0), "")</f>
        <v>5.6343214877554777</v>
      </c>
      <c r="AJ190">
        <f t="shared" ca="1" si="52"/>
        <v>6.8614688623638007E-4</v>
      </c>
      <c r="AK190" s="44"/>
    </row>
    <row r="191" spans="8:37" x14ac:dyDescent="0.3">
      <c r="H191" t="str" cm="1">
        <f t="array" aca="1" ref="H191" ca="1">IF(ROW(A191)-H$15 &lt; H$14,A191,IF(ROW(A191) - H$15 -H$16 + 1 &lt; H$14,INDIRECT(ADDRESS(MOD(ROW(A191) - H$15, H$14) + H$15, COLUMN(A191))),""))</f>
        <v/>
      </c>
      <c r="I191" t="str" cm="1">
        <f t="array" aca="1" ref="I191" ca="1">IF(ROW(B191)-I$15 &lt; I$14,B191,IF(ROW(B191) - I$15 -I$16 + 1 &lt; I$14,INDIRECT(ADDRESS(MOD(ROW(B191) - I$15, I$14) + I$15, COLUMN(B191))),""))</f>
        <v/>
      </c>
      <c r="J191" t="str" cm="1">
        <f t="array" aca="1" ref="J191" ca="1">IF(ROW(C191)-J$15 &lt; J$14,C191,IF(ROW(C191) - J$15 -J$16 + 1 &lt; J$14,INDIRECT(ADDRESS(MOD(ROW(C191) - J$15, J$14) + J$15, COLUMN(C191))),""))</f>
        <v/>
      </c>
      <c r="K191" t="str" cm="1">
        <f t="array" aca="1" ref="K191" ca="1">IF(ROW(D191)-K$15 &lt; K$14,D191,IF(ROW(D191) - K$15 -K$16 + 1 &lt; K$14,INDIRECT(ADDRESS(MOD(ROW(D191) - K$15, K$14) + K$15, COLUMN(D191))),""))</f>
        <v/>
      </c>
      <c r="L191" t="str" cm="1">
        <f t="array" aca="1" ref="L191" ca="1">IF(ROW(E191)-L$15 &lt; L$14,E191,IF(ROW(E191) - L$15 -L$16 + 1 &lt; L$14,INDIRECT(ADDRESS(MOD(ROW(E191) - L$15, L$14) + L$15, COLUMN(E191))),""))</f>
        <v/>
      </c>
      <c r="N191" t="str" cm="1">
        <f t="array" aca="1" ref="N191" ca="1">IF(A191&lt;&gt;"", SUMPRODUCT((OFFSET(A191,0,0,H$16,1)=$T$24) +0),"")</f>
        <v/>
      </c>
      <c r="O191" t="str" cm="1">
        <f t="array" aca="1" ref="O191" ca="1">IF(B191&lt;&gt;"", SUMPRODUCT((OFFSET(B191,0,0,I$16,1)=$T$24) +0),"")</f>
        <v/>
      </c>
      <c r="P191" t="str" cm="1">
        <f t="array" aca="1" ref="P191" ca="1">IF(C191&lt;&gt;"", SUMPRODUCT((OFFSET(C191,0,0,J$16,1)=$T$24) +0),"")</f>
        <v/>
      </c>
      <c r="Q191" t="str" cm="1">
        <f t="array" aca="1" ref="Q191" ca="1">IF(D191&lt;&gt;"", SUMPRODUCT((OFFSET(D191,0,0,K$16,1)=$T$24) +0),"")</f>
        <v/>
      </c>
      <c r="R191" t="str" cm="1">
        <f t="array" aca="1" ref="R191" ca="1">IF(E191&lt;&gt;"", SUMPRODUCT((OFFSET(E191,0,0,L$16,1)=$T$24) +0),"")</f>
        <v/>
      </c>
      <c r="AB191">
        <f t="shared" si="45"/>
        <v>3</v>
      </c>
      <c r="AC191">
        <f t="shared" si="46"/>
        <v>2</v>
      </c>
      <c r="AD191">
        <f t="shared" si="47"/>
        <v>0</v>
      </c>
      <c r="AE191">
        <f t="shared" si="48"/>
        <v>2</v>
      </c>
      <c r="AF191">
        <f t="shared" si="49"/>
        <v>0</v>
      </c>
      <c r="AG191">
        <f t="shared" si="50"/>
        <v>7</v>
      </c>
      <c r="AH191">
        <f t="shared" ca="1" si="51"/>
        <v>0</v>
      </c>
      <c r="AI191">
        <f>IF(ROW($AA191) - $AA$51 &lt; ($H$16+1)^5, IF(AG191 &gt;= BaseBonus!$C$16, AG191*BaseBonus!$E$31, 0), "")</f>
        <v>6.5733750690480575</v>
      </c>
      <c r="AJ191">
        <f t="shared" ca="1" si="52"/>
        <v>0</v>
      </c>
      <c r="AK191" s="44"/>
    </row>
    <row r="192" spans="8:37" x14ac:dyDescent="0.3">
      <c r="H192" t="str" cm="1">
        <f t="array" aca="1" ref="H192" ca="1">IF(ROW(A192)-H$15 &lt; H$14,A192,IF(ROW(A192) - H$15 -H$16 + 1 &lt; H$14,INDIRECT(ADDRESS(MOD(ROW(A192) - H$15, H$14) + H$15, COLUMN(A192))),""))</f>
        <v/>
      </c>
      <c r="I192" t="str" cm="1">
        <f t="array" aca="1" ref="I192" ca="1">IF(ROW(B192)-I$15 &lt; I$14,B192,IF(ROW(B192) - I$15 -I$16 + 1 &lt; I$14,INDIRECT(ADDRESS(MOD(ROW(B192) - I$15, I$14) + I$15, COLUMN(B192))),""))</f>
        <v/>
      </c>
      <c r="J192" t="str" cm="1">
        <f t="array" aca="1" ref="J192" ca="1">IF(ROW(C192)-J$15 &lt; J$14,C192,IF(ROW(C192) - J$15 -J$16 + 1 &lt; J$14,INDIRECT(ADDRESS(MOD(ROW(C192) - J$15, J$14) + J$15, COLUMN(C192))),""))</f>
        <v/>
      </c>
      <c r="K192" t="str" cm="1">
        <f t="array" aca="1" ref="K192" ca="1">IF(ROW(D192)-K$15 &lt; K$14,D192,IF(ROW(D192) - K$15 -K$16 + 1 &lt; K$14,INDIRECT(ADDRESS(MOD(ROW(D192) - K$15, K$14) + K$15, COLUMN(D192))),""))</f>
        <v/>
      </c>
      <c r="L192" t="str" cm="1">
        <f t="array" aca="1" ref="L192" ca="1">IF(ROW(E192)-L$15 &lt; L$14,E192,IF(ROW(E192) - L$15 -L$16 + 1 &lt; L$14,INDIRECT(ADDRESS(MOD(ROW(E192) - L$15, L$14) + L$15, COLUMN(E192))),""))</f>
        <v/>
      </c>
      <c r="N192" t="str" cm="1">
        <f t="array" aca="1" ref="N192" ca="1">IF(A192&lt;&gt;"", SUMPRODUCT((OFFSET(A192,0,0,H$16,1)=$T$24) +0),"")</f>
        <v/>
      </c>
      <c r="O192" t="str" cm="1">
        <f t="array" aca="1" ref="O192" ca="1">IF(B192&lt;&gt;"", SUMPRODUCT((OFFSET(B192,0,0,I$16,1)=$T$24) +0),"")</f>
        <v/>
      </c>
      <c r="P192" t="str" cm="1">
        <f t="array" aca="1" ref="P192" ca="1">IF(C192&lt;&gt;"", SUMPRODUCT((OFFSET(C192,0,0,J$16,1)=$T$24) +0),"")</f>
        <v/>
      </c>
      <c r="Q192" t="str" cm="1">
        <f t="array" aca="1" ref="Q192" ca="1">IF(D192&lt;&gt;"", SUMPRODUCT((OFFSET(D192,0,0,K$16,1)=$T$24) +0),"")</f>
        <v/>
      </c>
      <c r="R192" t="str" cm="1">
        <f t="array" aca="1" ref="R192" ca="1">IF(E192&lt;&gt;"", SUMPRODUCT((OFFSET(E192,0,0,L$16,1)=$T$24) +0),"")</f>
        <v/>
      </c>
      <c r="AB192">
        <f t="shared" si="45"/>
        <v>0</v>
      </c>
      <c r="AC192">
        <f t="shared" si="46"/>
        <v>3</v>
      </c>
      <c r="AD192">
        <f t="shared" si="47"/>
        <v>0</v>
      </c>
      <c r="AE192">
        <f t="shared" si="48"/>
        <v>2</v>
      </c>
      <c r="AF192">
        <f t="shared" si="49"/>
        <v>0</v>
      </c>
      <c r="AG192">
        <f t="shared" si="50"/>
        <v>5</v>
      </c>
      <c r="AH192">
        <f t="shared" ca="1" si="51"/>
        <v>0</v>
      </c>
      <c r="AI192">
        <f>IF(ROW($AA192) - $AA$51 &lt; ($H$16+1)^5, IF(AG192 &gt;= BaseBonus!$C$16, AG192*BaseBonus!$E$31, 0), "")</f>
        <v>4.6952679064628979</v>
      </c>
      <c r="AJ192">
        <f t="shared" ca="1" si="52"/>
        <v>0</v>
      </c>
      <c r="AK192" s="44"/>
    </row>
    <row r="193" spans="8:37" x14ac:dyDescent="0.3">
      <c r="H193" t="str" cm="1">
        <f t="array" aca="1" ref="H193" ca="1">IF(ROW(A193)-H$15 &lt; H$14,A193,IF(ROW(A193) - H$15 -H$16 + 1 &lt; H$14,INDIRECT(ADDRESS(MOD(ROW(A193) - H$15, H$14) + H$15, COLUMN(A193))),""))</f>
        <v/>
      </c>
      <c r="I193" t="str" cm="1">
        <f t="array" aca="1" ref="I193" ca="1">IF(ROW(B193)-I$15 &lt; I$14,B193,IF(ROW(B193) - I$15 -I$16 + 1 &lt; I$14,INDIRECT(ADDRESS(MOD(ROW(B193) - I$15, I$14) + I$15, COLUMN(B193))),""))</f>
        <v/>
      </c>
      <c r="J193" t="str" cm="1">
        <f t="array" aca="1" ref="J193" ca="1">IF(ROW(C193)-J$15 &lt; J$14,C193,IF(ROW(C193) - J$15 -J$16 + 1 &lt; J$14,INDIRECT(ADDRESS(MOD(ROW(C193) - J$15, J$14) + J$15, COLUMN(C193))),""))</f>
        <v/>
      </c>
      <c r="K193" t="str" cm="1">
        <f t="array" aca="1" ref="K193" ca="1">IF(ROW(D193)-K$15 &lt; K$14,D193,IF(ROW(D193) - K$15 -K$16 + 1 &lt; K$14,INDIRECT(ADDRESS(MOD(ROW(D193) - K$15, K$14) + K$15, COLUMN(D193))),""))</f>
        <v/>
      </c>
      <c r="L193" t="str" cm="1">
        <f t="array" aca="1" ref="L193" ca="1">IF(ROW(E193)-L$15 &lt; L$14,E193,IF(ROW(E193) - L$15 -L$16 + 1 &lt; L$14,INDIRECT(ADDRESS(MOD(ROW(E193) - L$15, L$14) + L$15, COLUMN(E193))),""))</f>
        <v/>
      </c>
      <c r="N193" t="str" cm="1">
        <f t="array" aca="1" ref="N193" ca="1">IF(A193&lt;&gt;"", SUMPRODUCT((OFFSET(A193,0,0,H$16,1)=$T$24) +0),"")</f>
        <v/>
      </c>
      <c r="O193" t="str" cm="1">
        <f t="array" aca="1" ref="O193" ca="1">IF(B193&lt;&gt;"", SUMPRODUCT((OFFSET(B193,0,0,I$16,1)=$T$24) +0),"")</f>
        <v/>
      </c>
      <c r="P193" t="str" cm="1">
        <f t="array" aca="1" ref="P193" ca="1">IF(C193&lt;&gt;"", SUMPRODUCT((OFFSET(C193,0,0,J$16,1)=$T$24) +0),"")</f>
        <v/>
      </c>
      <c r="Q193" t="str" cm="1">
        <f t="array" aca="1" ref="Q193" ca="1">IF(D193&lt;&gt;"", SUMPRODUCT((OFFSET(D193,0,0,K$16,1)=$T$24) +0),"")</f>
        <v/>
      </c>
      <c r="R193" t="str" cm="1">
        <f t="array" aca="1" ref="R193" ca="1">IF(E193&lt;&gt;"", SUMPRODUCT((OFFSET(E193,0,0,L$16,1)=$T$24) +0),"")</f>
        <v/>
      </c>
      <c r="AB193">
        <f t="shared" si="45"/>
        <v>1</v>
      </c>
      <c r="AC193">
        <f t="shared" si="46"/>
        <v>3</v>
      </c>
      <c r="AD193">
        <f t="shared" si="47"/>
        <v>0</v>
      </c>
      <c r="AE193">
        <f t="shared" si="48"/>
        <v>2</v>
      </c>
      <c r="AF193">
        <f t="shared" si="49"/>
        <v>0</v>
      </c>
      <c r="AG193">
        <f t="shared" si="50"/>
        <v>6</v>
      </c>
      <c r="AH193">
        <f t="shared" ca="1" si="51"/>
        <v>0</v>
      </c>
      <c r="AI193">
        <f>IF(ROW($AA193) - $AA$51 &lt; ($H$16+1)^5, IF(AG193 &gt;= BaseBonus!$C$16, AG193*BaseBonus!$E$31, 0), "")</f>
        <v>5.6343214877554777</v>
      </c>
      <c r="AJ193">
        <f t="shared" ca="1" si="52"/>
        <v>0</v>
      </c>
      <c r="AK193" s="44"/>
    </row>
    <row r="194" spans="8:37" x14ac:dyDescent="0.3">
      <c r="H194" t="str" cm="1">
        <f t="array" aca="1" ref="H194" ca="1">IF(ROW(A194)-H$15 &lt; H$14,A194,IF(ROW(A194) - H$15 -H$16 + 1 &lt; H$14,INDIRECT(ADDRESS(MOD(ROW(A194) - H$15, H$14) + H$15, COLUMN(A194))),""))</f>
        <v/>
      </c>
      <c r="I194" t="str" cm="1">
        <f t="array" aca="1" ref="I194" ca="1">IF(ROW(B194)-I$15 &lt; I$14,B194,IF(ROW(B194) - I$15 -I$16 + 1 &lt; I$14,INDIRECT(ADDRESS(MOD(ROW(B194) - I$15, I$14) + I$15, COLUMN(B194))),""))</f>
        <v/>
      </c>
      <c r="J194" t="str" cm="1">
        <f t="array" aca="1" ref="J194" ca="1">IF(ROW(C194)-J$15 &lt; J$14,C194,IF(ROW(C194) - J$15 -J$16 + 1 &lt; J$14,INDIRECT(ADDRESS(MOD(ROW(C194) - J$15, J$14) + J$15, COLUMN(C194))),""))</f>
        <v/>
      </c>
      <c r="K194" t="str" cm="1">
        <f t="array" aca="1" ref="K194" ca="1">IF(ROW(D194)-K$15 &lt; K$14,D194,IF(ROW(D194) - K$15 -K$16 + 1 &lt; K$14,INDIRECT(ADDRESS(MOD(ROW(D194) - K$15, K$14) + K$15, COLUMN(D194))),""))</f>
        <v/>
      </c>
      <c r="L194" t="str" cm="1">
        <f t="array" aca="1" ref="L194" ca="1">IF(ROW(E194)-L$15 &lt; L$14,E194,IF(ROW(E194) - L$15 -L$16 + 1 &lt; L$14,INDIRECT(ADDRESS(MOD(ROW(E194) - L$15, L$14) + L$15, COLUMN(E194))),""))</f>
        <v/>
      </c>
      <c r="N194" t="str" cm="1">
        <f t="array" aca="1" ref="N194" ca="1">IF(A194&lt;&gt;"", SUMPRODUCT((OFFSET(A194,0,0,H$16,1)=$T$24) +0),"")</f>
        <v/>
      </c>
      <c r="O194" t="str" cm="1">
        <f t="array" aca="1" ref="O194" ca="1">IF(B194&lt;&gt;"", SUMPRODUCT((OFFSET(B194,0,0,I$16,1)=$T$24) +0),"")</f>
        <v/>
      </c>
      <c r="P194" t="str" cm="1">
        <f t="array" aca="1" ref="P194" ca="1">IF(C194&lt;&gt;"", SUMPRODUCT((OFFSET(C194,0,0,J$16,1)=$T$24) +0),"")</f>
        <v/>
      </c>
      <c r="Q194" t="str" cm="1">
        <f t="array" aca="1" ref="Q194" ca="1">IF(D194&lt;&gt;"", SUMPRODUCT((OFFSET(D194,0,0,K$16,1)=$T$24) +0),"")</f>
        <v/>
      </c>
      <c r="R194" t="str" cm="1">
        <f t="array" aca="1" ref="R194" ca="1">IF(E194&lt;&gt;"", SUMPRODUCT((OFFSET(E194,0,0,L$16,1)=$T$24) +0),"")</f>
        <v/>
      </c>
      <c r="AB194">
        <f t="shared" si="45"/>
        <v>2</v>
      </c>
      <c r="AC194">
        <f t="shared" si="46"/>
        <v>3</v>
      </c>
      <c r="AD194">
        <f t="shared" si="47"/>
        <v>0</v>
      </c>
      <c r="AE194">
        <f t="shared" si="48"/>
        <v>2</v>
      </c>
      <c r="AF194">
        <f t="shared" si="49"/>
        <v>0</v>
      </c>
      <c r="AG194">
        <f t="shared" si="50"/>
        <v>7</v>
      </c>
      <c r="AH194">
        <f t="shared" ca="1" si="51"/>
        <v>0</v>
      </c>
      <c r="AI194">
        <f>IF(ROW($AA194) - $AA$51 &lt; ($H$16+1)^5, IF(AG194 &gt;= BaseBonus!$C$16, AG194*BaseBonus!$E$31, 0), "")</f>
        <v>6.5733750690480575</v>
      </c>
      <c r="AJ194">
        <f t="shared" ca="1" si="52"/>
        <v>0</v>
      </c>
      <c r="AK194" s="44"/>
    </row>
    <row r="195" spans="8:37" x14ac:dyDescent="0.3">
      <c r="H195" t="str" cm="1">
        <f t="array" aca="1" ref="H195" ca="1">IF(ROW(A195)-H$15 &lt; H$14,A195,IF(ROW(A195) - H$15 -H$16 + 1 &lt; H$14,INDIRECT(ADDRESS(MOD(ROW(A195) - H$15, H$14) + H$15, COLUMN(A195))),""))</f>
        <v/>
      </c>
      <c r="I195" t="str" cm="1">
        <f t="array" aca="1" ref="I195" ca="1">IF(ROW(B195)-I$15 &lt; I$14,B195,IF(ROW(B195) - I$15 -I$16 + 1 &lt; I$14,INDIRECT(ADDRESS(MOD(ROW(B195) - I$15, I$14) + I$15, COLUMN(B195))),""))</f>
        <v/>
      </c>
      <c r="J195" t="str" cm="1">
        <f t="array" aca="1" ref="J195" ca="1">IF(ROW(C195)-J$15 &lt; J$14,C195,IF(ROW(C195) - J$15 -J$16 + 1 &lt; J$14,INDIRECT(ADDRESS(MOD(ROW(C195) - J$15, J$14) + J$15, COLUMN(C195))),""))</f>
        <v/>
      </c>
      <c r="K195" t="str" cm="1">
        <f t="array" aca="1" ref="K195" ca="1">IF(ROW(D195)-K$15 &lt; K$14,D195,IF(ROW(D195) - K$15 -K$16 + 1 &lt; K$14,INDIRECT(ADDRESS(MOD(ROW(D195) - K$15, K$14) + K$15, COLUMN(D195))),""))</f>
        <v/>
      </c>
      <c r="L195" t="str" cm="1">
        <f t="array" aca="1" ref="L195" ca="1">IF(ROW(E195)-L$15 &lt; L$14,E195,IF(ROW(E195) - L$15 -L$16 + 1 &lt; L$14,INDIRECT(ADDRESS(MOD(ROW(E195) - L$15, L$14) + L$15, COLUMN(E195))),""))</f>
        <v/>
      </c>
      <c r="N195" t="str" cm="1">
        <f t="array" aca="1" ref="N195" ca="1">IF(A195&lt;&gt;"", SUMPRODUCT((OFFSET(A195,0,0,H$16,1)=$T$24) +0),"")</f>
        <v/>
      </c>
      <c r="O195" t="str" cm="1">
        <f t="array" aca="1" ref="O195" ca="1">IF(B195&lt;&gt;"", SUMPRODUCT((OFFSET(B195,0,0,I$16,1)=$T$24) +0),"")</f>
        <v/>
      </c>
      <c r="P195" t="str" cm="1">
        <f t="array" aca="1" ref="P195" ca="1">IF(C195&lt;&gt;"", SUMPRODUCT((OFFSET(C195,0,0,J$16,1)=$T$24) +0),"")</f>
        <v/>
      </c>
      <c r="Q195" t="str" cm="1">
        <f t="array" aca="1" ref="Q195" ca="1">IF(D195&lt;&gt;"", SUMPRODUCT((OFFSET(D195,0,0,K$16,1)=$T$24) +0),"")</f>
        <v/>
      </c>
      <c r="R195" t="str" cm="1">
        <f t="array" aca="1" ref="R195" ca="1">IF(E195&lt;&gt;"", SUMPRODUCT((OFFSET(E195,0,0,L$16,1)=$T$24) +0),"")</f>
        <v/>
      </c>
      <c r="AB195">
        <f t="shared" si="45"/>
        <v>3</v>
      </c>
      <c r="AC195">
        <f t="shared" si="46"/>
        <v>3</v>
      </c>
      <c r="AD195">
        <f t="shared" si="47"/>
        <v>0</v>
      </c>
      <c r="AE195">
        <f t="shared" si="48"/>
        <v>2</v>
      </c>
      <c r="AF195">
        <f t="shared" si="49"/>
        <v>0</v>
      </c>
      <c r="AG195">
        <f t="shared" si="50"/>
        <v>8</v>
      </c>
      <c r="AH195">
        <f t="shared" ca="1" si="51"/>
        <v>0</v>
      </c>
      <c r="AI195">
        <f>IF(ROW($AA195) - $AA$51 &lt; ($H$16+1)^5, IF(AG195 &gt;= BaseBonus!$C$16, AG195*BaseBonus!$E$31, 0), "")</f>
        <v>7.5124286503406372</v>
      </c>
      <c r="AJ195">
        <f t="shared" ca="1" si="52"/>
        <v>0</v>
      </c>
      <c r="AK195" s="44"/>
    </row>
    <row r="196" spans="8:37" x14ac:dyDescent="0.3">
      <c r="H196" t="str" cm="1">
        <f t="array" aca="1" ref="H196" ca="1">IF(ROW(A196)-H$15 &lt; H$14,A196,IF(ROW(A196) - H$15 -H$16 + 1 &lt; H$14,INDIRECT(ADDRESS(MOD(ROW(A196) - H$15, H$14) + H$15, COLUMN(A196))),""))</f>
        <v/>
      </c>
      <c r="I196" t="str" cm="1">
        <f t="array" aca="1" ref="I196" ca="1">IF(ROW(B196)-I$15 &lt; I$14,B196,IF(ROW(B196) - I$15 -I$16 + 1 &lt; I$14,INDIRECT(ADDRESS(MOD(ROW(B196) - I$15, I$14) + I$15, COLUMN(B196))),""))</f>
        <v/>
      </c>
      <c r="J196" t="str" cm="1">
        <f t="array" aca="1" ref="J196" ca="1">IF(ROW(C196)-J$15 &lt; J$14,C196,IF(ROW(C196) - J$15 -J$16 + 1 &lt; J$14,INDIRECT(ADDRESS(MOD(ROW(C196) - J$15, J$14) + J$15, COLUMN(C196))),""))</f>
        <v/>
      </c>
      <c r="L196" t="str" cm="1">
        <f t="array" aca="1" ref="L196" ca="1">IF(ROW(E196)-L$15 &lt; L$14,E196,IF(ROW(E196) - L$15 -L$16 + 1 &lt; L$14,INDIRECT(ADDRESS(MOD(ROW(E196) - L$15, L$14) + L$15, COLUMN(E196))),""))</f>
        <v/>
      </c>
      <c r="N196" t="str" cm="1">
        <f t="array" aca="1" ref="N196" ca="1">IF(A196&lt;&gt;"", SUMPRODUCT((OFFSET(A196,0,0,H$16,1)=$T$24) +0),"")</f>
        <v/>
      </c>
      <c r="O196" t="str" cm="1">
        <f t="array" aca="1" ref="O196" ca="1">IF(B196&lt;&gt;"", SUMPRODUCT((OFFSET(B196,0,0,I$16,1)=$T$24) +0),"")</f>
        <v/>
      </c>
      <c r="P196" t="str" cm="1">
        <f t="array" aca="1" ref="P196" ca="1">IF(C196&lt;&gt;"", SUMPRODUCT((OFFSET(C196,0,0,J$16,1)=$T$24) +0),"")</f>
        <v/>
      </c>
      <c r="Q196" t="str" cm="1">
        <f t="array" aca="1" ref="Q196" ca="1">IF(D196&lt;&gt;"", SUMPRODUCT((OFFSET(D196,0,0,K$16,1)=$T$24) +0),"")</f>
        <v/>
      </c>
      <c r="R196" t="str" cm="1">
        <f t="array" aca="1" ref="R196" ca="1">IF(E196&lt;&gt;"", SUMPRODUCT((OFFSET(E196,0,0,L$16,1)=$T$24) +0),"")</f>
        <v/>
      </c>
      <c r="AB196">
        <f t="shared" si="45"/>
        <v>0</v>
      </c>
      <c r="AC196">
        <f t="shared" si="46"/>
        <v>0</v>
      </c>
      <c r="AD196">
        <f t="shared" si="47"/>
        <v>1</v>
      </c>
      <c r="AE196">
        <f t="shared" si="48"/>
        <v>2</v>
      </c>
      <c r="AF196">
        <f t="shared" si="49"/>
        <v>0</v>
      </c>
      <c r="AG196">
        <f t="shared" si="50"/>
        <v>3</v>
      </c>
      <c r="AH196">
        <f t="shared" ca="1" si="51"/>
        <v>5.8631790155128762E-3</v>
      </c>
      <c r="AI196">
        <f>IF(ROW($AA196) - $AA$51 &lt; ($H$16+1)^5, IF(AG196 &gt;= BaseBonus!$C$16, AG196*BaseBonus!$E$31, 0), "")</f>
        <v>0</v>
      </c>
      <c r="AJ196">
        <f t="shared" ca="1" si="52"/>
        <v>0</v>
      </c>
      <c r="AK196" s="44"/>
    </row>
    <row r="197" spans="8:37" x14ac:dyDescent="0.3">
      <c r="H197" t="str" cm="1">
        <f t="array" aca="1" ref="H197" ca="1">IF(ROW(A197)-H$15 &lt; H$14,A197,IF(ROW(A197) - H$15 -H$16 + 1 &lt; H$14,INDIRECT(ADDRESS(MOD(ROW(A197) - H$15, H$14) + H$15, COLUMN(A197))),""))</f>
        <v/>
      </c>
      <c r="I197" t="str" cm="1">
        <f t="array" aca="1" ref="I197" ca="1">IF(ROW(B197)-I$15 &lt; I$14,B197,IF(ROW(B197) - I$15 -I$16 + 1 &lt; I$14,INDIRECT(ADDRESS(MOD(ROW(B197) - I$15, I$14) + I$15, COLUMN(B197))),""))</f>
        <v/>
      </c>
      <c r="J197" t="str" cm="1">
        <f t="array" aca="1" ref="J197" ca="1">IF(ROW(C197)-J$15 &lt; J$14,C197,IF(ROW(C197) - J$15 -J$16 + 1 &lt; J$14,INDIRECT(ADDRESS(MOD(ROW(C197) - J$15, J$14) + J$15, COLUMN(C197))),""))</f>
        <v/>
      </c>
      <c r="L197" t="str" cm="1">
        <f t="array" aca="1" ref="L197" ca="1">IF(ROW(E197)-L$15 &lt; L$14,E197,IF(ROW(E197) - L$15 -L$16 + 1 &lt; L$14,INDIRECT(ADDRESS(MOD(ROW(E197) - L$15, L$14) + L$15, COLUMN(E197))),""))</f>
        <v/>
      </c>
      <c r="N197" t="str" cm="1">
        <f t="array" aca="1" ref="N197" ca="1">IF(A197&lt;&gt;"", SUMPRODUCT((OFFSET(A197,0,0,H$16,1)=$T$24) +0),"")</f>
        <v/>
      </c>
      <c r="O197" t="str" cm="1">
        <f t="array" aca="1" ref="O197" ca="1">IF(B197&lt;&gt;"", SUMPRODUCT((OFFSET(B197,0,0,I$16,1)=$T$24) +0),"")</f>
        <v/>
      </c>
      <c r="P197" t="str" cm="1">
        <f t="array" aca="1" ref="P197" ca="1">IF(C197&lt;&gt;"", SUMPRODUCT((OFFSET(C197,0,0,J$16,1)=$T$24) +0),"")</f>
        <v/>
      </c>
      <c r="Q197" t="str" cm="1">
        <f t="array" aca="1" ref="Q197" ca="1">IF(D197&lt;&gt;"", SUMPRODUCT((OFFSET(D197,0,0,K$16,1)=$T$24) +0),"")</f>
        <v/>
      </c>
      <c r="R197" t="str" cm="1">
        <f t="array" aca="1" ref="R197" ca="1">IF(E197&lt;&gt;"", SUMPRODUCT((OFFSET(E197,0,0,L$16,1)=$T$24) +0),"")</f>
        <v/>
      </c>
      <c r="AB197">
        <f t="shared" si="45"/>
        <v>1</v>
      </c>
      <c r="AC197">
        <f t="shared" si="46"/>
        <v>0</v>
      </c>
      <c r="AD197">
        <f t="shared" si="47"/>
        <v>1</v>
      </c>
      <c r="AE197">
        <f t="shared" si="48"/>
        <v>2</v>
      </c>
      <c r="AF197">
        <f t="shared" si="49"/>
        <v>0</v>
      </c>
      <c r="AG197">
        <f t="shared" si="50"/>
        <v>4</v>
      </c>
      <c r="AH197">
        <f t="shared" ca="1" si="51"/>
        <v>1.0993460654086643E-3</v>
      </c>
      <c r="AI197">
        <f>IF(ROW($AA197) - $AA$51 &lt; ($H$16+1)^5, IF(AG197 &gt;= BaseBonus!$C$16, AG197*BaseBonus!$E$31, 0), "")</f>
        <v>0</v>
      </c>
      <c r="AJ197">
        <f t="shared" ca="1" si="52"/>
        <v>0</v>
      </c>
      <c r="AK197" s="44"/>
    </row>
    <row r="198" spans="8:37" x14ac:dyDescent="0.3">
      <c r="H198" t="str" cm="1">
        <f t="array" aca="1" ref="H198" ca="1">IF(ROW(A198)-H$15 &lt; H$14,A198,IF(ROW(A198) - H$15 -H$16 + 1 &lt; H$14,INDIRECT(ADDRESS(MOD(ROW(A198) - H$15, H$14) + H$15, COLUMN(A198))),""))</f>
        <v/>
      </c>
      <c r="I198" t="str" cm="1">
        <f t="array" aca="1" ref="I198" ca="1">IF(ROW(B198)-I$15 &lt; I$14,B198,IF(ROW(B198) - I$15 -I$16 + 1 &lt; I$14,INDIRECT(ADDRESS(MOD(ROW(B198) - I$15, I$14) + I$15, COLUMN(B198))),""))</f>
        <v/>
      </c>
      <c r="J198" t="str" cm="1">
        <f t="array" aca="1" ref="J198" ca="1">IF(ROW(C198)-J$15 &lt; J$14,C198,IF(ROW(C198) - J$15 -J$16 + 1 &lt; J$14,INDIRECT(ADDRESS(MOD(ROW(C198) - J$15, J$14) + J$15, COLUMN(C198))),""))</f>
        <v/>
      </c>
      <c r="N198" t="str" cm="1">
        <f t="array" aca="1" ref="N198" ca="1">IF(A198&lt;&gt;"", SUMPRODUCT((OFFSET(A198,0,0,H$16,1)=$T$24) +0),"")</f>
        <v/>
      </c>
      <c r="O198" t="str" cm="1">
        <f t="array" aca="1" ref="O198" ca="1">IF(B198&lt;&gt;"", SUMPRODUCT((OFFSET(B198,0,0,I$16,1)=$T$24) +0),"")</f>
        <v/>
      </c>
      <c r="P198" t="str" cm="1">
        <f t="array" aca="1" ref="P198" ca="1">IF(C198&lt;&gt;"", SUMPRODUCT((OFFSET(C198,0,0,J$16,1)=$T$24) +0),"")</f>
        <v/>
      </c>
      <c r="Q198" t="str" cm="1">
        <f t="array" aca="1" ref="Q198" ca="1">IF(D198&lt;&gt;"", SUMPRODUCT((OFFSET(D198,0,0,K$16,1)=$T$24) +0),"")</f>
        <v/>
      </c>
      <c r="R198" t="str" cm="1">
        <f t="array" aca="1" ref="R198" ca="1">IF(E198&lt;&gt;"", SUMPRODUCT((OFFSET(E198,0,0,L$16,1)=$T$24) +0),"")</f>
        <v/>
      </c>
      <c r="AB198">
        <f t="shared" si="45"/>
        <v>2</v>
      </c>
      <c r="AC198">
        <f t="shared" si="46"/>
        <v>0</v>
      </c>
      <c r="AD198">
        <f t="shared" si="47"/>
        <v>1</v>
      </c>
      <c r="AE198">
        <f t="shared" si="48"/>
        <v>2</v>
      </c>
      <c r="AF198">
        <f t="shared" si="49"/>
        <v>0</v>
      </c>
      <c r="AG198">
        <f t="shared" si="50"/>
        <v>5</v>
      </c>
      <c r="AH198">
        <f t="shared" ca="1" si="51"/>
        <v>5.4967303270433217E-4</v>
      </c>
      <c r="AI198">
        <f>IF(ROW($AA198) - $AA$51 &lt; ($H$16+1)^5, IF(AG198 &gt;= BaseBonus!$C$16, AG198*BaseBonus!$E$31, 0), "")</f>
        <v>4.6952679064628979</v>
      </c>
      <c r="AJ198">
        <f t="shared" ca="1" si="52"/>
        <v>2.5808621495047816E-3</v>
      </c>
      <c r="AK198" s="44"/>
    </row>
    <row r="199" spans="8:37" x14ac:dyDescent="0.3">
      <c r="H199" t="str" cm="1">
        <f t="array" aca="1" ref="H199" ca="1">IF(ROW(A199)-H$15 &lt; H$14,A199,IF(ROW(A199) - H$15 -H$16 + 1 &lt; H$14,INDIRECT(ADDRESS(MOD(ROW(A199) - H$15, H$14) + H$15, COLUMN(A199))),""))</f>
        <v/>
      </c>
      <c r="I199" t="str" cm="1">
        <f t="array" aca="1" ref="I199" ca="1">IF(ROW(B199)-I$15 &lt; I$14,B199,IF(ROW(B199) - I$15 -I$16 + 1 &lt; I$14,INDIRECT(ADDRESS(MOD(ROW(B199) - I$15, I$14) + I$15, COLUMN(B199))),""))</f>
        <v/>
      </c>
      <c r="J199" t="str" cm="1">
        <f t="array" aca="1" ref="J199" ca="1">IF(ROW(C199)-J$15 &lt; J$14,C199,IF(ROW(C199) - J$15 -J$16 + 1 &lt; J$14,INDIRECT(ADDRESS(MOD(ROW(C199) - J$15, J$14) + J$15, COLUMN(C199))),""))</f>
        <v/>
      </c>
      <c r="N199" t="str" cm="1">
        <f t="array" aca="1" ref="N199" ca="1">IF(A199&lt;&gt;"", SUMPRODUCT((OFFSET(A199,0,0,H$16,1)=$T$24) +0),"")</f>
        <v/>
      </c>
      <c r="O199" t="str" cm="1">
        <f t="array" aca="1" ref="O199" ca="1">IF(B199&lt;&gt;"", SUMPRODUCT((OFFSET(B199,0,0,I$16,1)=$T$24) +0),"")</f>
        <v/>
      </c>
      <c r="P199" t="str" cm="1">
        <f t="array" aca="1" ref="P199" ca="1">IF(C199&lt;&gt;"", SUMPRODUCT((OFFSET(C199,0,0,J$16,1)=$T$24) +0),"")</f>
        <v/>
      </c>
      <c r="Q199" t="str" cm="1">
        <f t="array" aca="1" ref="Q199" ca="1">IF(D199&lt;&gt;"", SUMPRODUCT((OFFSET(D199,0,0,K$16,1)=$T$24) +0),"")</f>
        <v/>
      </c>
      <c r="R199" t="str" cm="1">
        <f t="array" aca="1" ref="R199" ca="1">IF(E199&lt;&gt;"", SUMPRODUCT((OFFSET(E199,0,0,L$16,1)=$T$24) +0),"")</f>
        <v/>
      </c>
      <c r="AB199">
        <f t="shared" si="45"/>
        <v>3</v>
      </c>
      <c r="AC199">
        <f t="shared" si="46"/>
        <v>0</v>
      </c>
      <c r="AD199">
        <f t="shared" si="47"/>
        <v>1</v>
      </c>
      <c r="AE199">
        <f t="shared" si="48"/>
        <v>2</v>
      </c>
      <c r="AF199">
        <f t="shared" si="49"/>
        <v>0</v>
      </c>
      <c r="AG199">
        <f t="shared" si="50"/>
        <v>6</v>
      </c>
      <c r="AH199">
        <f t="shared" ca="1" si="51"/>
        <v>0</v>
      </c>
      <c r="AI199">
        <f>IF(ROW($AA199) - $AA$51 &lt; ($H$16+1)^5, IF(AG199 &gt;= BaseBonus!$C$16, AG199*BaseBonus!$E$31, 0), "")</f>
        <v>5.6343214877554777</v>
      </c>
      <c r="AJ199">
        <f t="shared" ca="1" si="52"/>
        <v>0</v>
      </c>
      <c r="AK199" s="44"/>
    </row>
    <row r="200" spans="8:37" x14ac:dyDescent="0.3">
      <c r="H200" t="str" cm="1">
        <f t="array" aca="1" ref="H200" ca="1">IF(ROW(A200)-H$15 &lt; H$14,A200,IF(ROW(A200) - H$15 -H$16 + 1 &lt; H$14,INDIRECT(ADDRESS(MOD(ROW(A200) - H$15, H$14) + H$15, COLUMN(A200))),""))</f>
        <v/>
      </c>
      <c r="I200" t="str" cm="1">
        <f t="array" aca="1" ref="I200" ca="1">IF(ROW(B200)-I$15 &lt; I$14,B200,IF(ROW(B200) - I$15 -I$16 + 1 &lt; I$14,INDIRECT(ADDRESS(MOD(ROW(B200) - I$15, I$14) + I$15, COLUMN(B200))),""))</f>
        <v/>
      </c>
      <c r="J200" t="str" cm="1">
        <f t="array" aca="1" ref="J200" ca="1">IF(ROW(C200)-J$15 &lt; J$14,C200,IF(ROW(C200) - J$15 -J$16 + 1 &lt; J$14,INDIRECT(ADDRESS(MOD(ROW(C200) - J$15, J$14) + J$15, COLUMN(C200))),""))</f>
        <v/>
      </c>
      <c r="N200" t="str" cm="1">
        <f t="array" aca="1" ref="N200" ca="1">IF(A200&lt;&gt;"", SUMPRODUCT((OFFSET(A200,0,0,H$16,1)=$T$24) +0),"")</f>
        <v/>
      </c>
      <c r="O200" t="str" cm="1">
        <f t="array" aca="1" ref="O200" ca="1">IF(B200&lt;&gt;"", SUMPRODUCT((OFFSET(B200,0,0,I$16,1)=$T$24) +0),"")</f>
        <v/>
      </c>
      <c r="P200" t="str" cm="1">
        <f t="array" aca="1" ref="P200" ca="1">IF(C200&lt;&gt;"", SUMPRODUCT((OFFSET(C200,0,0,J$16,1)=$T$24) +0),"")</f>
        <v/>
      </c>
      <c r="Q200" t="str" cm="1">
        <f t="array" aca="1" ref="Q200" ca="1">IF(D200&lt;&gt;"", SUMPRODUCT((OFFSET(D200,0,0,K$16,1)=$T$24) +0),"")</f>
        <v/>
      </c>
      <c r="R200" t="str" cm="1">
        <f t="array" aca="1" ref="R200" ca="1">IF(E200&lt;&gt;"", SUMPRODUCT((OFFSET(E200,0,0,L$16,1)=$T$24) +0),"")</f>
        <v/>
      </c>
      <c r="AB200">
        <f t="shared" si="45"/>
        <v>0</v>
      </c>
      <c r="AC200">
        <f t="shared" si="46"/>
        <v>1</v>
      </c>
      <c r="AD200">
        <f t="shared" si="47"/>
        <v>1</v>
      </c>
      <c r="AE200">
        <f t="shared" si="48"/>
        <v>2</v>
      </c>
      <c r="AF200">
        <f t="shared" si="49"/>
        <v>0</v>
      </c>
      <c r="AG200">
        <f t="shared" si="50"/>
        <v>4</v>
      </c>
      <c r="AH200">
        <f t="shared" ca="1" si="51"/>
        <v>1.7887664793090133E-3</v>
      </c>
      <c r="AI200">
        <f>IF(ROW($AA200) - $AA$51 &lt; ($H$16+1)^5, IF(AG200 &gt;= BaseBonus!$C$16, AG200*BaseBonus!$E$31, 0), "")</f>
        <v>0</v>
      </c>
      <c r="AJ200">
        <f t="shared" ca="1" si="52"/>
        <v>0</v>
      </c>
      <c r="AK200" s="44"/>
    </row>
    <row r="201" spans="8:37" x14ac:dyDescent="0.3">
      <c r="H201" t="str" cm="1">
        <f t="array" aca="1" ref="H201" ca="1">IF(ROW(A201)-H$15 &lt; H$14,A201,IF(ROW(A201) - H$15 -H$16 + 1 &lt; H$14,INDIRECT(ADDRESS(MOD(ROW(A201) - H$15, H$14) + H$15, COLUMN(A201))),""))</f>
        <v/>
      </c>
      <c r="I201" t="str" cm="1">
        <f t="array" aca="1" ref="I201" ca="1">IF(ROW(B201)-I$15 &lt; I$14,B201,IF(ROW(B201) - I$15 -I$16 + 1 &lt; I$14,INDIRECT(ADDRESS(MOD(ROW(B201) - I$15, I$14) + I$15, COLUMN(B201))),""))</f>
        <v/>
      </c>
      <c r="J201" t="str" cm="1">
        <f t="array" aca="1" ref="J201" ca="1">IF(ROW(C201)-J$15 &lt; J$14,C201,IF(ROW(C201) - J$15 -J$16 + 1 &lt; J$14,INDIRECT(ADDRESS(MOD(ROW(C201) - J$15, J$14) + J$15, COLUMN(C201))),""))</f>
        <v/>
      </c>
      <c r="N201" t="str" cm="1">
        <f t="array" aca="1" ref="N201" ca="1">IF(A201&lt;&gt;"", SUMPRODUCT((OFFSET(A201,0,0,H$16,1)=$T$24) +0),"")</f>
        <v/>
      </c>
      <c r="O201" t="str" cm="1">
        <f t="array" aca="1" ref="O201" ca="1">IF(B201&lt;&gt;"", SUMPRODUCT((OFFSET(B201,0,0,I$16,1)=$T$24) +0),"")</f>
        <v/>
      </c>
      <c r="P201" t="str" cm="1">
        <f t="array" aca="1" ref="P201" ca="1">IF(C201&lt;&gt;"", SUMPRODUCT((OFFSET(C201,0,0,J$16,1)=$T$24) +0),"")</f>
        <v/>
      </c>
      <c r="Q201" t="str" cm="1">
        <f t="array" aca="1" ref="Q201" ca="1">IF(D201&lt;&gt;"", SUMPRODUCT((OFFSET(D201,0,0,K$16,1)=$T$24) +0),"")</f>
        <v/>
      </c>
      <c r="R201" t="str" cm="1">
        <f t="array" aca="1" ref="R201" ca="1">IF(E201&lt;&gt;"", SUMPRODUCT((OFFSET(E201,0,0,L$16,1)=$T$24) +0),"")</f>
        <v/>
      </c>
      <c r="AB201">
        <f t="shared" si="45"/>
        <v>1</v>
      </c>
      <c r="AC201">
        <f t="shared" si="46"/>
        <v>1</v>
      </c>
      <c r="AD201">
        <f t="shared" si="47"/>
        <v>1</v>
      </c>
      <c r="AE201">
        <f t="shared" si="48"/>
        <v>2</v>
      </c>
      <c r="AF201">
        <f t="shared" si="49"/>
        <v>0</v>
      </c>
      <c r="AG201">
        <f t="shared" si="50"/>
        <v>5</v>
      </c>
      <c r="AH201">
        <f t="shared" ca="1" si="51"/>
        <v>3.3539371487043994E-4</v>
      </c>
      <c r="AI201">
        <f>IF(ROW($AA201) - $AA$51 &lt; ($H$16+1)^5, IF(AG201 &gt;= BaseBonus!$C$16, AG201*BaseBonus!$E$31, 0), "")</f>
        <v>4.6952679064628979</v>
      </c>
      <c r="AJ201">
        <f t="shared" ca="1" si="52"/>
        <v>1.5747633454605446E-3</v>
      </c>
      <c r="AK201" s="44"/>
    </row>
    <row r="202" spans="8:37" x14ac:dyDescent="0.3">
      <c r="AB202">
        <f t="shared" si="45"/>
        <v>2</v>
      </c>
      <c r="AC202">
        <f t="shared" si="46"/>
        <v>1</v>
      </c>
      <c r="AD202">
        <f t="shared" si="47"/>
        <v>1</v>
      </c>
      <c r="AE202">
        <f t="shared" si="48"/>
        <v>2</v>
      </c>
      <c r="AF202">
        <f t="shared" si="49"/>
        <v>0</v>
      </c>
      <c r="AG202">
        <f t="shared" si="50"/>
        <v>6</v>
      </c>
      <c r="AH202">
        <f t="shared" ca="1" si="51"/>
        <v>1.6769685743521997E-4</v>
      </c>
      <c r="AI202">
        <f>IF(ROW($AA202) - $AA$51 &lt; ($H$16+1)^5, IF(AG202 &gt;= BaseBonus!$C$16, AG202*BaseBonus!$E$31, 0), "")</f>
        <v>5.6343214877554777</v>
      </c>
      <c r="AJ202">
        <f t="shared" ca="1" si="52"/>
        <v>9.4485800727632681E-4</v>
      </c>
      <c r="AK202" s="44"/>
    </row>
    <row r="203" spans="8:37" x14ac:dyDescent="0.3">
      <c r="AB203">
        <f t="shared" si="45"/>
        <v>3</v>
      </c>
      <c r="AC203">
        <f t="shared" si="46"/>
        <v>1</v>
      </c>
      <c r="AD203">
        <f t="shared" si="47"/>
        <v>1</v>
      </c>
      <c r="AE203">
        <f t="shared" si="48"/>
        <v>2</v>
      </c>
      <c r="AF203">
        <f t="shared" si="49"/>
        <v>0</v>
      </c>
      <c r="AG203">
        <f t="shared" si="50"/>
        <v>7</v>
      </c>
      <c r="AH203">
        <f t="shared" ca="1" si="51"/>
        <v>0</v>
      </c>
      <c r="AI203">
        <f>IF(ROW($AA203) - $AA$51 &lt; ($H$16+1)^5, IF(AG203 &gt;= BaseBonus!$C$16, AG203*BaseBonus!$E$31, 0), "")</f>
        <v>6.5733750690480575</v>
      </c>
      <c r="AJ203">
        <f t="shared" ca="1" si="52"/>
        <v>0</v>
      </c>
      <c r="AK203" s="44"/>
    </row>
    <row r="204" spans="8:37" x14ac:dyDescent="0.3">
      <c r="AB204">
        <f t="shared" si="45"/>
        <v>0</v>
      </c>
      <c r="AC204">
        <f t="shared" si="46"/>
        <v>2</v>
      </c>
      <c r="AD204">
        <f t="shared" si="47"/>
        <v>1</v>
      </c>
      <c r="AE204">
        <f t="shared" si="48"/>
        <v>2</v>
      </c>
      <c r="AF204">
        <f t="shared" si="49"/>
        <v>0</v>
      </c>
      <c r="AG204">
        <f t="shared" si="50"/>
        <v>5</v>
      </c>
      <c r="AH204">
        <f t="shared" ca="1" si="51"/>
        <v>2.9812774655150218E-4</v>
      </c>
      <c r="AI204">
        <f>IF(ROW($AA204) - $AA$51 &lt; ($H$16+1)^5, IF(AG204 &gt;= BaseBonus!$C$16, AG204*BaseBonus!$E$31, 0), "")</f>
        <v>4.6952679064628979</v>
      </c>
      <c r="AJ204">
        <f t="shared" ca="1" si="52"/>
        <v>1.3997896404093731E-3</v>
      </c>
      <c r="AK204" s="44"/>
    </row>
    <row r="205" spans="8:37" x14ac:dyDescent="0.3">
      <c r="AB205">
        <f t="shared" si="45"/>
        <v>1</v>
      </c>
      <c r="AC205">
        <f t="shared" si="46"/>
        <v>2</v>
      </c>
      <c r="AD205">
        <f t="shared" si="47"/>
        <v>1</v>
      </c>
      <c r="AE205">
        <f t="shared" si="48"/>
        <v>2</v>
      </c>
      <c r="AF205">
        <f t="shared" si="49"/>
        <v>0</v>
      </c>
      <c r="AG205">
        <f t="shared" si="50"/>
        <v>6</v>
      </c>
      <c r="AH205">
        <f t="shared" ca="1" si="51"/>
        <v>5.5898952478406651E-5</v>
      </c>
      <c r="AI205">
        <f>IF(ROW($AA205) - $AA$51 &lt; ($H$16+1)^5, IF(AG205 &gt;= BaseBonus!$C$16, AG205*BaseBonus!$E$31, 0), "")</f>
        <v>5.6343214877554777</v>
      </c>
      <c r="AJ205">
        <f t="shared" ca="1" si="52"/>
        <v>3.1495266909210894E-4</v>
      </c>
      <c r="AK205" s="44"/>
    </row>
    <row r="206" spans="8:37" x14ac:dyDescent="0.3">
      <c r="AB206">
        <f t="shared" si="45"/>
        <v>2</v>
      </c>
      <c r="AC206">
        <f t="shared" si="46"/>
        <v>2</v>
      </c>
      <c r="AD206">
        <f t="shared" si="47"/>
        <v>1</v>
      </c>
      <c r="AE206">
        <f t="shared" si="48"/>
        <v>2</v>
      </c>
      <c r="AF206">
        <f t="shared" si="49"/>
        <v>0</v>
      </c>
      <c r="AG206">
        <f t="shared" si="50"/>
        <v>7</v>
      </c>
      <c r="AH206">
        <f t="shared" ca="1" si="51"/>
        <v>2.7949476239203326E-5</v>
      </c>
      <c r="AI206">
        <f>IF(ROW($AA206) - $AA$51 &lt; ($H$16+1)^5, IF(AG206 &gt;= BaseBonus!$C$16, AG206*BaseBonus!$E$31, 0), "")</f>
        <v>6.5733750690480575</v>
      </c>
      <c r="AJ206">
        <f t="shared" ca="1" si="52"/>
        <v>1.8372239030373021E-4</v>
      </c>
      <c r="AK206" s="44"/>
    </row>
    <row r="207" spans="8:37" x14ac:dyDescent="0.3">
      <c r="AB207">
        <f t="shared" si="45"/>
        <v>3</v>
      </c>
      <c r="AC207">
        <f t="shared" si="46"/>
        <v>2</v>
      </c>
      <c r="AD207">
        <f t="shared" si="47"/>
        <v>1</v>
      </c>
      <c r="AE207">
        <f t="shared" si="48"/>
        <v>2</v>
      </c>
      <c r="AF207">
        <f t="shared" si="49"/>
        <v>0</v>
      </c>
      <c r="AG207">
        <f t="shared" si="50"/>
        <v>8</v>
      </c>
      <c r="AH207">
        <f t="shared" ca="1" si="51"/>
        <v>0</v>
      </c>
      <c r="AI207">
        <f>IF(ROW($AA207) - $AA$51 &lt; ($H$16+1)^5, IF(AG207 &gt;= BaseBonus!$C$16, AG207*BaseBonus!$E$31, 0), "")</f>
        <v>7.5124286503406372</v>
      </c>
      <c r="AJ207">
        <f t="shared" ca="1" si="52"/>
        <v>0</v>
      </c>
      <c r="AK207" s="44"/>
    </row>
    <row r="208" spans="8:37" x14ac:dyDescent="0.3">
      <c r="AB208">
        <f t="shared" si="45"/>
        <v>0</v>
      </c>
      <c r="AC208">
        <f t="shared" si="46"/>
        <v>3</v>
      </c>
      <c r="AD208">
        <f t="shared" si="47"/>
        <v>1</v>
      </c>
      <c r="AE208">
        <f t="shared" si="48"/>
        <v>2</v>
      </c>
      <c r="AF208">
        <f t="shared" si="49"/>
        <v>0</v>
      </c>
      <c r="AG208">
        <f t="shared" si="50"/>
        <v>6</v>
      </c>
      <c r="AH208">
        <f t="shared" ca="1" si="51"/>
        <v>0</v>
      </c>
      <c r="AI208">
        <f>IF(ROW($AA208) - $AA$51 &lt; ($H$16+1)^5, IF(AG208 &gt;= BaseBonus!$C$16, AG208*BaseBonus!$E$31, 0), "")</f>
        <v>5.6343214877554777</v>
      </c>
      <c r="AJ208">
        <f t="shared" ca="1" si="52"/>
        <v>0</v>
      </c>
      <c r="AK208" s="44"/>
    </row>
    <row r="209" spans="28:37" x14ac:dyDescent="0.3">
      <c r="AB209">
        <f t="shared" si="45"/>
        <v>1</v>
      </c>
      <c r="AC209">
        <f t="shared" si="46"/>
        <v>3</v>
      </c>
      <c r="AD209">
        <f t="shared" si="47"/>
        <v>1</v>
      </c>
      <c r="AE209">
        <f t="shared" si="48"/>
        <v>2</v>
      </c>
      <c r="AF209">
        <f t="shared" si="49"/>
        <v>0</v>
      </c>
      <c r="AG209">
        <f t="shared" si="50"/>
        <v>7</v>
      </c>
      <c r="AH209">
        <f t="shared" ca="1" si="51"/>
        <v>0</v>
      </c>
      <c r="AI209">
        <f>IF(ROW($AA209) - $AA$51 &lt; ($H$16+1)^5, IF(AG209 &gt;= BaseBonus!$C$16, AG209*BaseBonus!$E$31, 0), "")</f>
        <v>6.5733750690480575</v>
      </c>
      <c r="AJ209">
        <f t="shared" ca="1" si="52"/>
        <v>0</v>
      </c>
      <c r="AK209" s="44"/>
    </row>
    <row r="210" spans="28:37" x14ac:dyDescent="0.3">
      <c r="AB210">
        <f t="shared" si="45"/>
        <v>2</v>
      </c>
      <c r="AC210">
        <f t="shared" si="46"/>
        <v>3</v>
      </c>
      <c r="AD210">
        <f t="shared" si="47"/>
        <v>1</v>
      </c>
      <c r="AE210">
        <f t="shared" si="48"/>
        <v>2</v>
      </c>
      <c r="AF210">
        <f t="shared" si="49"/>
        <v>0</v>
      </c>
      <c r="AG210">
        <f t="shared" si="50"/>
        <v>8</v>
      </c>
      <c r="AH210">
        <f t="shared" ca="1" si="51"/>
        <v>0</v>
      </c>
      <c r="AI210">
        <f>IF(ROW($AA210) - $AA$51 &lt; ($H$16+1)^5, IF(AG210 &gt;= BaseBonus!$C$16, AG210*BaseBonus!$E$31, 0), "")</f>
        <v>7.5124286503406372</v>
      </c>
      <c r="AJ210">
        <f t="shared" ca="1" si="52"/>
        <v>0</v>
      </c>
      <c r="AK210" s="44"/>
    </row>
    <row r="211" spans="28:37" x14ac:dyDescent="0.3">
      <c r="AB211">
        <f t="shared" si="45"/>
        <v>3</v>
      </c>
      <c r="AC211">
        <f t="shared" si="46"/>
        <v>3</v>
      </c>
      <c r="AD211">
        <f t="shared" si="47"/>
        <v>1</v>
      </c>
      <c r="AE211">
        <f t="shared" si="48"/>
        <v>2</v>
      </c>
      <c r="AF211">
        <f t="shared" si="49"/>
        <v>0</v>
      </c>
      <c r="AG211">
        <f t="shared" si="50"/>
        <v>9</v>
      </c>
      <c r="AH211">
        <f t="shared" ca="1" si="51"/>
        <v>0</v>
      </c>
      <c r="AI211">
        <f>IF(ROW($AA211) - $AA$51 &lt; ($H$16+1)^5, IF(AG211 &gt;= BaseBonus!$C$16, AG211*BaseBonus!$E$31, 0), "")</f>
        <v>8.4514822316332161</v>
      </c>
      <c r="AJ211">
        <f t="shared" ca="1" si="52"/>
        <v>0</v>
      </c>
      <c r="AK211" s="44"/>
    </row>
    <row r="212" spans="28:37" x14ac:dyDescent="0.3">
      <c r="AB212">
        <f t="shared" si="45"/>
        <v>0</v>
      </c>
      <c r="AC212">
        <f t="shared" si="46"/>
        <v>0</v>
      </c>
      <c r="AD212">
        <f t="shared" si="47"/>
        <v>2</v>
      </c>
      <c r="AE212">
        <f t="shared" si="48"/>
        <v>2</v>
      </c>
      <c r="AF212">
        <f t="shared" si="49"/>
        <v>0</v>
      </c>
      <c r="AG212">
        <f t="shared" si="50"/>
        <v>4</v>
      </c>
      <c r="AH212">
        <f t="shared" ca="1" si="51"/>
        <v>4.6067835121886879E-3</v>
      </c>
      <c r="AI212">
        <f>IF(ROW($AA212) - $AA$51 &lt; ($H$16+1)^5, IF(AG212 &gt;= BaseBonus!$C$16, AG212*BaseBonus!$E$31, 0), "")</f>
        <v>0</v>
      </c>
      <c r="AJ212">
        <f t="shared" ca="1" si="52"/>
        <v>0</v>
      </c>
      <c r="AK212" s="44"/>
    </row>
    <row r="213" spans="28:37" x14ac:dyDescent="0.3">
      <c r="AB213">
        <f t="shared" si="45"/>
        <v>1</v>
      </c>
      <c r="AC213">
        <f t="shared" si="46"/>
        <v>0</v>
      </c>
      <c r="AD213">
        <f t="shared" si="47"/>
        <v>2</v>
      </c>
      <c r="AE213">
        <f t="shared" si="48"/>
        <v>2</v>
      </c>
      <c r="AF213">
        <f t="shared" si="49"/>
        <v>0</v>
      </c>
      <c r="AG213">
        <f t="shared" si="50"/>
        <v>5</v>
      </c>
      <c r="AH213">
        <f t="shared" ca="1" si="51"/>
        <v>8.6377190853537903E-4</v>
      </c>
      <c r="AI213">
        <f>IF(ROW($AA213) - $AA$51 &lt; ($H$16+1)^5, IF(AG213 &gt;= BaseBonus!$C$16, AG213*BaseBonus!$E$31, 0), "")</f>
        <v>4.6952679064628979</v>
      </c>
      <c r="AJ213">
        <f t="shared" ca="1" si="52"/>
        <v>4.055640520650371E-3</v>
      </c>
      <c r="AK213" s="44"/>
    </row>
    <row r="214" spans="28:37" x14ac:dyDescent="0.3">
      <c r="AB214">
        <f t="shared" si="45"/>
        <v>2</v>
      </c>
      <c r="AC214">
        <f t="shared" si="46"/>
        <v>0</v>
      </c>
      <c r="AD214">
        <f t="shared" si="47"/>
        <v>2</v>
      </c>
      <c r="AE214">
        <f t="shared" si="48"/>
        <v>2</v>
      </c>
      <c r="AF214">
        <f t="shared" si="49"/>
        <v>0</v>
      </c>
      <c r="AG214">
        <f t="shared" si="50"/>
        <v>6</v>
      </c>
      <c r="AH214">
        <f t="shared" ca="1" si="51"/>
        <v>4.3188595426768952E-4</v>
      </c>
      <c r="AI214">
        <f>IF(ROW($AA214) - $AA$51 &lt; ($H$16+1)^5, IF(AG214 &gt;= BaseBonus!$C$16, AG214*BaseBonus!$E$31, 0), "")</f>
        <v>5.6343214877554777</v>
      </c>
      <c r="AJ214">
        <f t="shared" ca="1" si="52"/>
        <v>2.4333843123902224E-3</v>
      </c>
      <c r="AK214" s="44"/>
    </row>
    <row r="215" spans="28:37" x14ac:dyDescent="0.3">
      <c r="AB215">
        <f t="shared" si="45"/>
        <v>3</v>
      </c>
      <c r="AC215">
        <f t="shared" si="46"/>
        <v>0</v>
      </c>
      <c r="AD215">
        <f t="shared" si="47"/>
        <v>2</v>
      </c>
      <c r="AE215">
        <f t="shared" si="48"/>
        <v>2</v>
      </c>
      <c r="AF215">
        <f t="shared" si="49"/>
        <v>0</v>
      </c>
      <c r="AG215">
        <f t="shared" si="50"/>
        <v>7</v>
      </c>
      <c r="AH215">
        <f t="shared" ca="1" si="51"/>
        <v>0</v>
      </c>
      <c r="AI215">
        <f>IF(ROW($AA215) - $AA$51 &lt; ($H$16+1)^5, IF(AG215 &gt;= BaseBonus!$C$16, AG215*BaseBonus!$E$31, 0), "")</f>
        <v>6.5733750690480575</v>
      </c>
      <c r="AJ215">
        <f t="shared" ca="1" si="52"/>
        <v>0</v>
      </c>
      <c r="AK215" s="44"/>
    </row>
    <row r="216" spans="28:37" x14ac:dyDescent="0.3">
      <c r="AB216">
        <f t="shared" si="45"/>
        <v>0</v>
      </c>
      <c r="AC216">
        <f t="shared" si="46"/>
        <v>1</v>
      </c>
      <c r="AD216">
        <f t="shared" si="47"/>
        <v>2</v>
      </c>
      <c r="AE216">
        <f t="shared" si="48"/>
        <v>2</v>
      </c>
      <c r="AF216">
        <f t="shared" si="49"/>
        <v>0</v>
      </c>
      <c r="AG216">
        <f t="shared" si="50"/>
        <v>5</v>
      </c>
      <c r="AH216">
        <f t="shared" ca="1" si="51"/>
        <v>1.4054593765999387E-3</v>
      </c>
      <c r="AI216">
        <f>IF(ROW($AA216) - $AA$51 &lt; ($H$16+1)^5, IF(AG216 &gt;= BaseBonus!$C$16, AG216*BaseBonus!$E$31, 0), "")</f>
        <v>4.6952679064628979</v>
      </c>
      <c r="AJ216">
        <f t="shared" ca="1" si="52"/>
        <v>6.5990083047870437E-3</v>
      </c>
      <c r="AK216" s="44"/>
    </row>
    <row r="217" spans="28:37" x14ac:dyDescent="0.3">
      <c r="AB217">
        <f t="shared" si="45"/>
        <v>1</v>
      </c>
      <c r="AC217">
        <f t="shared" si="46"/>
        <v>1</v>
      </c>
      <c r="AD217">
        <f t="shared" si="47"/>
        <v>2</v>
      </c>
      <c r="AE217">
        <f t="shared" si="48"/>
        <v>2</v>
      </c>
      <c r="AF217">
        <f t="shared" si="49"/>
        <v>0</v>
      </c>
      <c r="AG217">
        <f t="shared" si="50"/>
        <v>6</v>
      </c>
      <c r="AH217">
        <f t="shared" ca="1" si="51"/>
        <v>2.6352363311248853E-4</v>
      </c>
      <c r="AI217">
        <f>IF(ROW($AA217) - $AA$51 &lt; ($H$16+1)^5, IF(AG217 &gt;= BaseBonus!$C$16, AG217*BaseBonus!$E$31, 0), "")</f>
        <v>5.6343214877554777</v>
      </c>
      <c r="AJ217">
        <f t="shared" ca="1" si="52"/>
        <v>1.484776868577085E-3</v>
      </c>
      <c r="AK217" s="44"/>
    </row>
    <row r="218" spans="28:37" x14ac:dyDescent="0.3">
      <c r="AB218">
        <f t="shared" si="45"/>
        <v>2</v>
      </c>
      <c r="AC218">
        <f t="shared" si="46"/>
        <v>1</v>
      </c>
      <c r="AD218">
        <f t="shared" si="47"/>
        <v>2</v>
      </c>
      <c r="AE218">
        <f t="shared" si="48"/>
        <v>2</v>
      </c>
      <c r="AF218">
        <f t="shared" si="49"/>
        <v>0</v>
      </c>
      <c r="AG218">
        <f t="shared" si="50"/>
        <v>7</v>
      </c>
      <c r="AH218">
        <f t="shared" ca="1" si="51"/>
        <v>1.3176181655624427E-4</v>
      </c>
      <c r="AI218">
        <f>IF(ROW($AA218) - $AA$51 &lt; ($H$16+1)^5, IF(AG218 &gt;= BaseBonus!$C$16, AG218*BaseBonus!$E$31, 0), "")</f>
        <v>6.5733750690480575</v>
      </c>
      <c r="AJ218">
        <f t="shared" ca="1" si="52"/>
        <v>8.661198400032996E-4</v>
      </c>
      <c r="AK218" s="44"/>
    </row>
    <row r="219" spans="28:37" x14ac:dyDescent="0.3">
      <c r="AB219">
        <f t="shared" si="45"/>
        <v>3</v>
      </c>
      <c r="AC219">
        <f t="shared" si="46"/>
        <v>1</v>
      </c>
      <c r="AD219">
        <f t="shared" si="47"/>
        <v>2</v>
      </c>
      <c r="AE219">
        <f t="shared" si="48"/>
        <v>2</v>
      </c>
      <c r="AF219">
        <f t="shared" si="49"/>
        <v>0</v>
      </c>
      <c r="AG219">
        <f t="shared" si="50"/>
        <v>8</v>
      </c>
      <c r="AH219">
        <f t="shared" ca="1" si="51"/>
        <v>0</v>
      </c>
      <c r="AI219">
        <f>IF(ROW($AA219) - $AA$51 &lt; ($H$16+1)^5, IF(AG219 &gt;= BaseBonus!$C$16, AG219*BaseBonus!$E$31, 0), "")</f>
        <v>7.5124286503406372</v>
      </c>
      <c r="AJ219">
        <f t="shared" ca="1" si="52"/>
        <v>0</v>
      </c>
      <c r="AK219" s="44"/>
    </row>
    <row r="220" spans="28:37" x14ac:dyDescent="0.3">
      <c r="AB220">
        <f t="shared" si="45"/>
        <v>0</v>
      </c>
      <c r="AC220">
        <f t="shared" si="46"/>
        <v>2</v>
      </c>
      <c r="AD220">
        <f t="shared" si="47"/>
        <v>2</v>
      </c>
      <c r="AE220">
        <f t="shared" si="48"/>
        <v>2</v>
      </c>
      <c r="AF220">
        <f t="shared" si="49"/>
        <v>0</v>
      </c>
      <c r="AG220">
        <f t="shared" si="50"/>
        <v>6</v>
      </c>
      <c r="AH220">
        <f t="shared" ca="1" si="51"/>
        <v>2.3424322943332312E-4</v>
      </c>
      <c r="AI220">
        <f>IF(ROW($AA220) - $AA$51 &lt; ($H$16+1)^5, IF(AG220 &gt;= BaseBonus!$C$16, AG220*BaseBonus!$E$31, 0), "")</f>
        <v>5.6343214877554777</v>
      </c>
      <c r="AJ220">
        <f t="shared" ca="1" si="52"/>
        <v>1.3198016609574088E-3</v>
      </c>
      <c r="AK220" s="44"/>
    </row>
    <row r="221" spans="28:37" x14ac:dyDescent="0.3">
      <c r="AB221">
        <f t="shared" si="45"/>
        <v>1</v>
      </c>
      <c r="AC221">
        <f t="shared" si="46"/>
        <v>2</v>
      </c>
      <c r="AD221">
        <f t="shared" si="47"/>
        <v>2</v>
      </c>
      <c r="AE221">
        <f t="shared" si="48"/>
        <v>2</v>
      </c>
      <c r="AF221">
        <f t="shared" si="49"/>
        <v>0</v>
      </c>
      <c r="AG221">
        <f t="shared" si="50"/>
        <v>7</v>
      </c>
      <c r="AH221">
        <f t="shared" ca="1" si="51"/>
        <v>4.3920605518748084E-5</v>
      </c>
      <c r="AI221">
        <f>IF(ROW($AA221) - $AA$51 &lt; ($H$16+1)^5, IF(AG221 &gt;= BaseBonus!$C$16, AG221*BaseBonus!$E$31, 0), "")</f>
        <v>6.5733750690480575</v>
      </c>
      <c r="AJ221">
        <f t="shared" ca="1" si="52"/>
        <v>2.8870661333443317E-4</v>
      </c>
      <c r="AK221" s="44"/>
    </row>
    <row r="222" spans="28:37" x14ac:dyDescent="0.3">
      <c r="AB222">
        <f t="shared" si="45"/>
        <v>2</v>
      </c>
      <c r="AC222">
        <f t="shared" si="46"/>
        <v>2</v>
      </c>
      <c r="AD222">
        <f t="shared" si="47"/>
        <v>2</v>
      </c>
      <c r="AE222">
        <f t="shared" si="48"/>
        <v>2</v>
      </c>
      <c r="AF222">
        <f t="shared" si="49"/>
        <v>0</v>
      </c>
      <c r="AG222">
        <f t="shared" si="50"/>
        <v>8</v>
      </c>
      <c r="AH222">
        <f t="shared" ca="1" si="51"/>
        <v>2.1960302759374042E-5</v>
      </c>
      <c r="AI222">
        <f>IF(ROW($AA222) - $AA$51 &lt; ($H$16+1)^5, IF(AG222 &gt;= BaseBonus!$C$16, AG222*BaseBonus!$E$31, 0), "")</f>
        <v>7.5124286503406372</v>
      </c>
      <c r="AJ222">
        <f t="shared" ca="1" si="52"/>
        <v>1.649752076196761E-4</v>
      </c>
      <c r="AK222" s="44"/>
    </row>
    <row r="223" spans="28:37" x14ac:dyDescent="0.3">
      <c r="AB223">
        <f t="shared" si="45"/>
        <v>3</v>
      </c>
      <c r="AC223">
        <f t="shared" si="46"/>
        <v>2</v>
      </c>
      <c r="AD223">
        <f t="shared" si="47"/>
        <v>2</v>
      </c>
      <c r="AE223">
        <f t="shared" si="48"/>
        <v>2</v>
      </c>
      <c r="AF223">
        <f t="shared" si="49"/>
        <v>0</v>
      </c>
      <c r="AG223">
        <f t="shared" si="50"/>
        <v>9</v>
      </c>
      <c r="AH223">
        <f t="shared" ca="1" si="51"/>
        <v>0</v>
      </c>
      <c r="AI223">
        <f>IF(ROW($AA223) - $AA$51 &lt; ($H$16+1)^5, IF(AG223 &gt;= BaseBonus!$C$16, AG223*BaseBonus!$E$31, 0), "")</f>
        <v>8.4514822316332161</v>
      </c>
      <c r="AJ223">
        <f t="shared" ca="1" si="52"/>
        <v>0</v>
      </c>
      <c r="AK223" s="44"/>
    </row>
    <row r="224" spans="28:37" x14ac:dyDescent="0.3">
      <c r="AB224">
        <f t="shared" si="45"/>
        <v>0</v>
      </c>
      <c r="AC224">
        <f t="shared" si="46"/>
        <v>3</v>
      </c>
      <c r="AD224">
        <f t="shared" si="47"/>
        <v>2</v>
      </c>
      <c r="AE224">
        <f t="shared" si="48"/>
        <v>2</v>
      </c>
      <c r="AF224">
        <f t="shared" si="49"/>
        <v>0</v>
      </c>
      <c r="AG224">
        <f t="shared" si="50"/>
        <v>7</v>
      </c>
      <c r="AH224">
        <f t="shared" ca="1" si="51"/>
        <v>0</v>
      </c>
      <c r="AI224">
        <f>IF(ROW($AA224) - $AA$51 &lt; ($H$16+1)^5, IF(AG224 &gt;= BaseBonus!$C$16, AG224*BaseBonus!$E$31, 0), "")</f>
        <v>6.5733750690480575</v>
      </c>
      <c r="AJ224">
        <f t="shared" ca="1" si="52"/>
        <v>0</v>
      </c>
      <c r="AK224" s="44"/>
    </row>
    <row r="225" spans="28:37" x14ac:dyDescent="0.3">
      <c r="AB225">
        <f t="shared" si="45"/>
        <v>1</v>
      </c>
      <c r="AC225">
        <f t="shared" si="46"/>
        <v>3</v>
      </c>
      <c r="AD225">
        <f t="shared" si="47"/>
        <v>2</v>
      </c>
      <c r="AE225">
        <f t="shared" si="48"/>
        <v>2</v>
      </c>
      <c r="AF225">
        <f t="shared" si="49"/>
        <v>0</v>
      </c>
      <c r="AG225">
        <f t="shared" si="50"/>
        <v>8</v>
      </c>
      <c r="AH225">
        <f t="shared" ca="1" si="51"/>
        <v>0</v>
      </c>
      <c r="AI225">
        <f>IF(ROW($AA225) - $AA$51 &lt; ($H$16+1)^5, IF(AG225 &gt;= BaseBonus!$C$16, AG225*BaseBonus!$E$31, 0), "")</f>
        <v>7.5124286503406372</v>
      </c>
      <c r="AJ225">
        <f t="shared" ca="1" si="52"/>
        <v>0</v>
      </c>
      <c r="AK225" s="44"/>
    </row>
    <row r="226" spans="28:37" x14ac:dyDescent="0.3">
      <c r="AB226">
        <f t="shared" si="45"/>
        <v>2</v>
      </c>
      <c r="AC226">
        <f t="shared" si="46"/>
        <v>3</v>
      </c>
      <c r="AD226">
        <f t="shared" si="47"/>
        <v>2</v>
      </c>
      <c r="AE226">
        <f t="shared" si="48"/>
        <v>2</v>
      </c>
      <c r="AF226">
        <f t="shared" si="49"/>
        <v>0</v>
      </c>
      <c r="AG226">
        <f t="shared" si="50"/>
        <v>9</v>
      </c>
      <c r="AH226">
        <f t="shared" ca="1" si="51"/>
        <v>0</v>
      </c>
      <c r="AI226">
        <f>IF(ROW($AA226) - $AA$51 &lt; ($H$16+1)^5, IF(AG226 &gt;= BaseBonus!$C$16, AG226*BaseBonus!$E$31, 0), "")</f>
        <v>8.4514822316332161</v>
      </c>
      <c r="AJ226">
        <f t="shared" ca="1" si="52"/>
        <v>0</v>
      </c>
      <c r="AK226" s="44"/>
    </row>
    <row r="227" spans="28:37" x14ac:dyDescent="0.3">
      <c r="AB227">
        <f t="shared" si="45"/>
        <v>3</v>
      </c>
      <c r="AC227">
        <f t="shared" si="46"/>
        <v>3</v>
      </c>
      <c r="AD227">
        <f t="shared" si="47"/>
        <v>2</v>
      </c>
      <c r="AE227">
        <f t="shared" si="48"/>
        <v>2</v>
      </c>
      <c r="AF227">
        <f t="shared" si="49"/>
        <v>0</v>
      </c>
      <c r="AG227">
        <f t="shared" si="50"/>
        <v>10</v>
      </c>
      <c r="AH227">
        <f t="shared" ca="1" si="51"/>
        <v>0</v>
      </c>
      <c r="AI227">
        <f>IF(ROW($AA227) - $AA$51 &lt; ($H$16+1)^5, IF(AG227 &gt;= BaseBonus!$C$16, AG227*BaseBonus!$E$31, 0), "")</f>
        <v>9.3905358129257959</v>
      </c>
      <c r="AJ227">
        <f t="shared" ca="1" si="52"/>
        <v>0</v>
      </c>
      <c r="AK227" s="44"/>
    </row>
    <row r="228" spans="28:37" x14ac:dyDescent="0.3">
      <c r="AB228">
        <f t="shared" si="45"/>
        <v>0</v>
      </c>
      <c r="AC228">
        <f t="shared" si="46"/>
        <v>0</v>
      </c>
      <c r="AD228">
        <f t="shared" si="47"/>
        <v>3</v>
      </c>
      <c r="AE228">
        <f t="shared" si="48"/>
        <v>2</v>
      </c>
      <c r="AF228">
        <f t="shared" si="49"/>
        <v>0</v>
      </c>
      <c r="AG228">
        <f t="shared" si="50"/>
        <v>5</v>
      </c>
      <c r="AH228">
        <f t="shared" ca="1" si="51"/>
        <v>0</v>
      </c>
      <c r="AI228">
        <f>IF(ROW($AA228) - $AA$51 &lt; ($H$16+1)^5, IF(AG228 &gt;= BaseBonus!$C$16, AG228*BaseBonus!$E$31, 0), "")</f>
        <v>4.6952679064628979</v>
      </c>
      <c r="AJ228">
        <f t="shared" ca="1" si="52"/>
        <v>0</v>
      </c>
      <c r="AK228" s="44"/>
    </row>
    <row r="229" spans="28:37" x14ac:dyDescent="0.3">
      <c r="AB229">
        <f t="shared" si="45"/>
        <v>1</v>
      </c>
      <c r="AC229">
        <f t="shared" si="46"/>
        <v>0</v>
      </c>
      <c r="AD229">
        <f t="shared" si="47"/>
        <v>3</v>
      </c>
      <c r="AE229">
        <f t="shared" si="48"/>
        <v>2</v>
      </c>
      <c r="AF229">
        <f t="shared" si="49"/>
        <v>0</v>
      </c>
      <c r="AG229">
        <f t="shared" si="50"/>
        <v>6</v>
      </c>
      <c r="AH229">
        <f t="shared" ca="1" si="51"/>
        <v>0</v>
      </c>
      <c r="AI229">
        <f>IF(ROW($AA229) - $AA$51 &lt; ($H$16+1)^5, IF(AG229 &gt;= BaseBonus!$C$16, AG229*BaseBonus!$E$31, 0), "")</f>
        <v>5.6343214877554777</v>
      </c>
      <c r="AJ229">
        <f t="shared" ca="1" si="52"/>
        <v>0</v>
      </c>
      <c r="AK229" s="44"/>
    </row>
    <row r="230" spans="28:37" x14ac:dyDescent="0.3">
      <c r="AB230">
        <f t="shared" si="45"/>
        <v>2</v>
      </c>
      <c r="AC230">
        <f t="shared" si="46"/>
        <v>0</v>
      </c>
      <c r="AD230">
        <f t="shared" si="47"/>
        <v>3</v>
      </c>
      <c r="AE230">
        <f t="shared" si="48"/>
        <v>2</v>
      </c>
      <c r="AF230">
        <f t="shared" si="49"/>
        <v>0</v>
      </c>
      <c r="AG230">
        <f t="shared" si="50"/>
        <v>7</v>
      </c>
      <c r="AH230">
        <f t="shared" ca="1" si="51"/>
        <v>0</v>
      </c>
      <c r="AI230">
        <f>IF(ROW($AA230) - $AA$51 &lt; ($H$16+1)^5, IF(AG230 &gt;= BaseBonus!$C$16, AG230*BaseBonus!$E$31, 0), "")</f>
        <v>6.5733750690480575</v>
      </c>
      <c r="AJ230">
        <f t="shared" ca="1" si="52"/>
        <v>0</v>
      </c>
      <c r="AK230" s="44"/>
    </row>
    <row r="231" spans="28:37" x14ac:dyDescent="0.3">
      <c r="AB231">
        <f t="shared" si="45"/>
        <v>3</v>
      </c>
      <c r="AC231">
        <f t="shared" si="46"/>
        <v>0</v>
      </c>
      <c r="AD231">
        <f t="shared" si="47"/>
        <v>3</v>
      </c>
      <c r="AE231">
        <f t="shared" si="48"/>
        <v>2</v>
      </c>
      <c r="AF231">
        <f t="shared" si="49"/>
        <v>0</v>
      </c>
      <c r="AG231">
        <f t="shared" si="50"/>
        <v>8</v>
      </c>
      <c r="AH231">
        <f t="shared" ca="1" si="51"/>
        <v>0</v>
      </c>
      <c r="AI231">
        <f>IF(ROW($AA231) - $AA$51 &lt; ($H$16+1)^5, IF(AG231 &gt;= BaseBonus!$C$16, AG231*BaseBonus!$E$31, 0), "")</f>
        <v>7.5124286503406372</v>
      </c>
      <c r="AJ231">
        <f t="shared" ca="1" si="52"/>
        <v>0</v>
      </c>
      <c r="AK231" s="44"/>
    </row>
    <row r="232" spans="28:37" x14ac:dyDescent="0.3">
      <c r="AB232">
        <f t="shared" si="45"/>
        <v>0</v>
      </c>
      <c r="AC232">
        <f t="shared" si="46"/>
        <v>1</v>
      </c>
      <c r="AD232">
        <f t="shared" si="47"/>
        <v>3</v>
      </c>
      <c r="AE232">
        <f t="shared" si="48"/>
        <v>2</v>
      </c>
      <c r="AF232">
        <f t="shared" si="49"/>
        <v>0</v>
      </c>
      <c r="AG232">
        <f t="shared" si="50"/>
        <v>6</v>
      </c>
      <c r="AH232">
        <f t="shared" ca="1" si="51"/>
        <v>0</v>
      </c>
      <c r="AI232">
        <f>IF(ROW($AA232) - $AA$51 &lt; ($H$16+1)^5, IF(AG232 &gt;= BaseBonus!$C$16, AG232*BaseBonus!$E$31, 0), "")</f>
        <v>5.6343214877554777</v>
      </c>
      <c r="AJ232">
        <f t="shared" ca="1" si="52"/>
        <v>0</v>
      </c>
      <c r="AK232" s="44"/>
    </row>
    <row r="233" spans="28:37" x14ac:dyDescent="0.3">
      <c r="AB233">
        <f t="shared" si="45"/>
        <v>1</v>
      </c>
      <c r="AC233">
        <f t="shared" si="46"/>
        <v>1</v>
      </c>
      <c r="AD233">
        <f t="shared" si="47"/>
        <v>3</v>
      </c>
      <c r="AE233">
        <f t="shared" si="48"/>
        <v>2</v>
      </c>
      <c r="AF233">
        <f t="shared" si="49"/>
        <v>0</v>
      </c>
      <c r="AG233">
        <f t="shared" si="50"/>
        <v>7</v>
      </c>
      <c r="AH233">
        <f t="shared" ca="1" si="51"/>
        <v>0</v>
      </c>
      <c r="AI233">
        <f>IF(ROW($AA233) - $AA$51 &lt; ($H$16+1)^5, IF(AG233 &gt;= BaseBonus!$C$16, AG233*BaseBonus!$E$31, 0), "")</f>
        <v>6.5733750690480575</v>
      </c>
      <c r="AJ233">
        <f t="shared" ca="1" si="52"/>
        <v>0</v>
      </c>
      <c r="AK233" s="44"/>
    </row>
    <row r="234" spans="28:37" x14ac:dyDescent="0.3">
      <c r="AB234">
        <f t="shared" si="45"/>
        <v>2</v>
      </c>
      <c r="AC234">
        <f t="shared" si="46"/>
        <v>1</v>
      </c>
      <c r="AD234">
        <f t="shared" si="47"/>
        <v>3</v>
      </c>
      <c r="AE234">
        <f t="shared" si="48"/>
        <v>2</v>
      </c>
      <c r="AF234">
        <f t="shared" si="49"/>
        <v>0</v>
      </c>
      <c r="AG234">
        <f t="shared" si="50"/>
        <v>8</v>
      </c>
      <c r="AH234">
        <f t="shared" ca="1" si="51"/>
        <v>0</v>
      </c>
      <c r="AI234">
        <f>IF(ROW($AA234) - $AA$51 &lt; ($H$16+1)^5, IF(AG234 &gt;= BaseBonus!$C$16, AG234*BaseBonus!$E$31, 0), "")</f>
        <v>7.5124286503406372</v>
      </c>
      <c r="AJ234">
        <f t="shared" ca="1" si="52"/>
        <v>0</v>
      </c>
      <c r="AK234" s="44"/>
    </row>
    <row r="235" spans="28:37" x14ac:dyDescent="0.3">
      <c r="AB235">
        <f t="shared" si="45"/>
        <v>3</v>
      </c>
      <c r="AC235">
        <f t="shared" si="46"/>
        <v>1</v>
      </c>
      <c r="AD235">
        <f t="shared" si="47"/>
        <v>3</v>
      </c>
      <c r="AE235">
        <f t="shared" si="48"/>
        <v>2</v>
      </c>
      <c r="AF235">
        <f t="shared" si="49"/>
        <v>0</v>
      </c>
      <c r="AG235">
        <f t="shared" si="50"/>
        <v>9</v>
      </c>
      <c r="AH235">
        <f t="shared" ca="1" si="51"/>
        <v>0</v>
      </c>
      <c r="AI235">
        <f>IF(ROW($AA235) - $AA$51 &lt; ($H$16+1)^5, IF(AG235 &gt;= BaseBonus!$C$16, AG235*BaseBonus!$E$31, 0), "")</f>
        <v>8.4514822316332161</v>
      </c>
      <c r="AJ235">
        <f t="shared" ca="1" si="52"/>
        <v>0</v>
      </c>
      <c r="AK235" s="44"/>
    </row>
    <row r="236" spans="28:37" x14ac:dyDescent="0.3">
      <c r="AB236">
        <f t="shared" si="45"/>
        <v>0</v>
      </c>
      <c r="AC236">
        <f t="shared" si="46"/>
        <v>2</v>
      </c>
      <c r="AD236">
        <f t="shared" si="47"/>
        <v>3</v>
      </c>
      <c r="AE236">
        <f t="shared" si="48"/>
        <v>2</v>
      </c>
      <c r="AF236">
        <f t="shared" si="49"/>
        <v>0</v>
      </c>
      <c r="AG236">
        <f t="shared" si="50"/>
        <v>7</v>
      </c>
      <c r="AH236">
        <f t="shared" ca="1" si="51"/>
        <v>0</v>
      </c>
      <c r="AI236">
        <f>IF(ROW($AA236) - $AA$51 &lt; ($H$16+1)^5, IF(AG236 &gt;= BaseBonus!$C$16, AG236*BaseBonus!$E$31, 0), "")</f>
        <v>6.5733750690480575</v>
      </c>
      <c r="AJ236">
        <f t="shared" ca="1" si="52"/>
        <v>0</v>
      </c>
      <c r="AK236" s="44"/>
    </row>
    <row r="237" spans="28:37" x14ac:dyDescent="0.3">
      <c r="AB237">
        <f t="shared" si="45"/>
        <v>1</v>
      </c>
      <c r="AC237">
        <f t="shared" si="46"/>
        <v>2</v>
      </c>
      <c r="AD237">
        <f t="shared" si="47"/>
        <v>3</v>
      </c>
      <c r="AE237">
        <f t="shared" si="48"/>
        <v>2</v>
      </c>
      <c r="AF237">
        <f t="shared" si="49"/>
        <v>0</v>
      </c>
      <c r="AG237">
        <f t="shared" si="50"/>
        <v>8</v>
      </c>
      <c r="AH237">
        <f t="shared" ca="1" si="51"/>
        <v>0</v>
      </c>
      <c r="AI237">
        <f>IF(ROW($AA237) - $AA$51 &lt; ($H$16+1)^5, IF(AG237 &gt;= BaseBonus!$C$16, AG237*BaseBonus!$E$31, 0), "")</f>
        <v>7.5124286503406372</v>
      </c>
      <c r="AJ237">
        <f t="shared" ca="1" si="52"/>
        <v>0</v>
      </c>
      <c r="AK237" s="44"/>
    </row>
    <row r="238" spans="28:37" x14ac:dyDescent="0.3">
      <c r="AB238">
        <f t="shared" si="45"/>
        <v>2</v>
      </c>
      <c r="AC238">
        <f t="shared" si="46"/>
        <v>2</v>
      </c>
      <c r="AD238">
        <f t="shared" si="47"/>
        <v>3</v>
      </c>
      <c r="AE238">
        <f t="shared" si="48"/>
        <v>2</v>
      </c>
      <c r="AF238">
        <f t="shared" si="49"/>
        <v>0</v>
      </c>
      <c r="AG238">
        <f t="shared" si="50"/>
        <v>9</v>
      </c>
      <c r="AH238">
        <f t="shared" ca="1" si="51"/>
        <v>0</v>
      </c>
      <c r="AI238">
        <f>IF(ROW($AA238) - $AA$51 &lt; ($H$16+1)^5, IF(AG238 &gt;= BaseBonus!$C$16, AG238*BaseBonus!$E$31, 0), "")</f>
        <v>8.4514822316332161</v>
      </c>
      <c r="AJ238">
        <f t="shared" ca="1" si="52"/>
        <v>0</v>
      </c>
      <c r="AK238" s="44"/>
    </row>
    <row r="239" spans="28:37" x14ac:dyDescent="0.3">
      <c r="AB239">
        <f t="shared" si="45"/>
        <v>3</v>
      </c>
      <c r="AC239">
        <f t="shared" si="46"/>
        <v>2</v>
      </c>
      <c r="AD239">
        <f t="shared" si="47"/>
        <v>3</v>
      </c>
      <c r="AE239">
        <f t="shared" si="48"/>
        <v>2</v>
      </c>
      <c r="AF239">
        <f t="shared" si="49"/>
        <v>0</v>
      </c>
      <c r="AG239">
        <f t="shared" si="50"/>
        <v>10</v>
      </c>
      <c r="AH239">
        <f t="shared" ca="1" si="51"/>
        <v>0</v>
      </c>
      <c r="AI239">
        <f>IF(ROW($AA239) - $AA$51 &lt; ($H$16+1)^5, IF(AG239 &gt;= BaseBonus!$C$16, AG239*BaseBonus!$E$31, 0), "")</f>
        <v>9.3905358129257959</v>
      </c>
      <c r="AJ239">
        <f t="shared" ca="1" si="52"/>
        <v>0</v>
      </c>
      <c r="AK239" s="44"/>
    </row>
    <row r="240" spans="28:37" x14ac:dyDescent="0.3">
      <c r="AB240">
        <f t="shared" si="45"/>
        <v>0</v>
      </c>
      <c r="AC240">
        <f t="shared" si="46"/>
        <v>3</v>
      </c>
      <c r="AD240">
        <f t="shared" si="47"/>
        <v>3</v>
      </c>
      <c r="AE240">
        <f t="shared" si="48"/>
        <v>2</v>
      </c>
      <c r="AF240">
        <f t="shared" si="49"/>
        <v>0</v>
      </c>
      <c r="AG240">
        <f t="shared" si="50"/>
        <v>8</v>
      </c>
      <c r="AH240">
        <f t="shared" ca="1" si="51"/>
        <v>0</v>
      </c>
      <c r="AI240">
        <f>IF(ROW($AA240) - $AA$51 &lt; ($H$16+1)^5, IF(AG240 &gt;= BaseBonus!$C$16, AG240*BaseBonus!$E$31, 0), "")</f>
        <v>7.5124286503406372</v>
      </c>
      <c r="AJ240">
        <f t="shared" ca="1" si="52"/>
        <v>0</v>
      </c>
      <c r="AK240" s="44"/>
    </row>
    <row r="241" spans="28:37" x14ac:dyDescent="0.3">
      <c r="AB241">
        <f t="shared" si="45"/>
        <v>1</v>
      </c>
      <c r="AC241">
        <f t="shared" si="46"/>
        <v>3</v>
      </c>
      <c r="AD241">
        <f t="shared" si="47"/>
        <v>3</v>
      </c>
      <c r="AE241">
        <f t="shared" si="48"/>
        <v>2</v>
      </c>
      <c r="AF241">
        <f t="shared" si="49"/>
        <v>0</v>
      </c>
      <c r="AG241">
        <f t="shared" si="50"/>
        <v>9</v>
      </c>
      <c r="AH241">
        <f t="shared" ca="1" si="51"/>
        <v>0</v>
      </c>
      <c r="AI241">
        <f>IF(ROW($AA241) - $AA$51 &lt; ($H$16+1)^5, IF(AG241 &gt;= BaseBonus!$C$16, AG241*BaseBonus!$E$31, 0), "")</f>
        <v>8.4514822316332161</v>
      </c>
      <c r="AJ241">
        <f t="shared" ca="1" si="52"/>
        <v>0</v>
      </c>
      <c r="AK241" s="44"/>
    </row>
    <row r="242" spans="28:37" x14ac:dyDescent="0.3">
      <c r="AB242">
        <f t="shared" si="45"/>
        <v>2</v>
      </c>
      <c r="AC242">
        <f t="shared" si="46"/>
        <v>3</v>
      </c>
      <c r="AD242">
        <f t="shared" si="47"/>
        <v>3</v>
      </c>
      <c r="AE242">
        <f t="shared" si="48"/>
        <v>2</v>
      </c>
      <c r="AF242">
        <f t="shared" si="49"/>
        <v>0</v>
      </c>
      <c r="AG242">
        <f t="shared" si="50"/>
        <v>10</v>
      </c>
      <c r="AH242">
        <f t="shared" ca="1" si="51"/>
        <v>0</v>
      </c>
      <c r="AI242">
        <f>IF(ROW($AA242) - $AA$51 &lt; ($H$16+1)^5, IF(AG242 &gt;= BaseBonus!$C$16, AG242*BaseBonus!$E$31, 0), "")</f>
        <v>9.3905358129257959</v>
      </c>
      <c r="AJ242">
        <f t="shared" ca="1" si="52"/>
        <v>0</v>
      </c>
      <c r="AK242" s="44"/>
    </row>
    <row r="243" spans="28:37" x14ac:dyDescent="0.3">
      <c r="AB243">
        <f t="shared" si="45"/>
        <v>3</v>
      </c>
      <c r="AC243">
        <f t="shared" si="46"/>
        <v>3</v>
      </c>
      <c r="AD243">
        <f t="shared" si="47"/>
        <v>3</v>
      </c>
      <c r="AE243">
        <f t="shared" si="48"/>
        <v>2</v>
      </c>
      <c r="AF243">
        <f t="shared" si="49"/>
        <v>0</v>
      </c>
      <c r="AG243">
        <f t="shared" si="50"/>
        <v>11</v>
      </c>
      <c r="AH243">
        <f t="shared" ca="1" si="51"/>
        <v>0</v>
      </c>
      <c r="AI243">
        <f>IF(ROW($AA243) - $AA$51 &lt; ($H$16+1)^5, IF(AG243 &gt;= BaseBonus!$C$16, AG243*BaseBonus!$E$31, 0), "")</f>
        <v>10.329589394218376</v>
      </c>
      <c r="AJ243">
        <f t="shared" ca="1" si="52"/>
        <v>0</v>
      </c>
      <c r="AK243" s="44"/>
    </row>
    <row r="244" spans="28:37" x14ac:dyDescent="0.3">
      <c r="AB244">
        <f t="shared" ref="AB244:AB307" si="53">IF(ROW()-$AA$51 &lt; (H$16+1)^5, MOD(_xlfn.FLOOR.MATH((ROW()-$AA$51)/AB$50), H$16+1), "")</f>
        <v>0</v>
      </c>
      <c r="AC244">
        <f t="shared" ref="AC244:AC307" si="54">IF(ROW()-$AA$51 &lt; (I$16+1)^5, MOD(_xlfn.FLOOR.MATH((ROW()-$AA$51)/AC$50), I$16+1), "")</f>
        <v>0</v>
      </c>
      <c r="AD244">
        <f t="shared" ref="AD244:AD307" si="55">IF(ROW()-$AA$51 &lt; (J$16+1)^5, MOD(_xlfn.FLOOR.MATH((ROW()-$AA$51)/AD$50), J$16+1), "")</f>
        <v>0</v>
      </c>
      <c r="AE244">
        <f t="shared" ref="AE244:AE307" si="56">IF(ROW()-$AA$51 &lt; (K$16+1)^5, MOD(_xlfn.FLOOR.MATH((ROW()-$AA$51)/AE$50), K$16+1), "")</f>
        <v>3</v>
      </c>
      <c r="AF244">
        <f t="shared" ref="AF244:AF307" si="57">IF(ROW()-$AA$51 &lt; (L$16+1)^5, MOD(_xlfn.FLOOR.MATH((ROW()-$AA$51)/AF$50), L$16+1), "")</f>
        <v>0</v>
      </c>
      <c r="AG244">
        <f t="shared" ref="AG244:AG307" si="58">IF(ROW($AA244) - $AA$51 &lt; ($H$16+1)^5, SUM(AB244:AF244), "")</f>
        <v>3</v>
      </c>
      <c r="AH244">
        <f t="shared" ref="AH244:AH307" ca="1" si="59">IF(ROW($AA244) - $AA$51 &lt; (4)^5,
    (_xlfn.XLOOKUP(AB244,$T$51:$T$55,U$51:U$55,0)/U$27) * (_xlfn.XLOOKUP(AC244,$T$51:$T$55,V$51:V$55,0)/V$27) * (_xlfn.XLOOKUP(AD244,$T$51:$T$55,W$51:W$55,0)/W$27) * (_xlfn.XLOOKUP(AE244,$T$51:$T$55,X$51:X$55,0)/X$27) * (_xlfn.XLOOKUP(AF244,$T$51:$T$55,Y$51:Y$55,0)/Y$27),
"")</f>
        <v>0</v>
      </c>
      <c r="AI244">
        <f>IF(ROW($AA244) - $AA$51 &lt; ($H$16+1)^5, IF(AG244 &gt;= BaseBonus!$C$16, AG244*BaseBonus!$E$31, 0), "")</f>
        <v>0</v>
      </c>
      <c r="AJ244">
        <f t="shared" ref="AJ244:AJ307" ca="1" si="60">IF(ROW($AA244) - $AA$51 &lt; ($H$16+1)^5, AH244*AI244, "")</f>
        <v>0</v>
      </c>
      <c r="AK244" s="44"/>
    </row>
    <row r="245" spans="28:37" x14ac:dyDescent="0.3">
      <c r="AB245">
        <f t="shared" si="53"/>
        <v>1</v>
      </c>
      <c r="AC245">
        <f t="shared" si="54"/>
        <v>0</v>
      </c>
      <c r="AD245">
        <f t="shared" si="55"/>
        <v>0</v>
      </c>
      <c r="AE245">
        <f t="shared" si="56"/>
        <v>3</v>
      </c>
      <c r="AF245">
        <f t="shared" si="57"/>
        <v>0</v>
      </c>
      <c r="AG245">
        <f t="shared" si="58"/>
        <v>4</v>
      </c>
      <c r="AH245">
        <f t="shared" ca="1" si="59"/>
        <v>0</v>
      </c>
      <c r="AI245">
        <f>IF(ROW($AA245) - $AA$51 &lt; ($H$16+1)^5, IF(AG245 &gt;= BaseBonus!$C$16, AG245*BaseBonus!$E$31, 0), "")</f>
        <v>0</v>
      </c>
      <c r="AJ245">
        <f t="shared" ca="1" si="60"/>
        <v>0</v>
      </c>
      <c r="AK245" s="44"/>
    </row>
    <row r="246" spans="28:37" x14ac:dyDescent="0.3">
      <c r="AB246">
        <f t="shared" si="53"/>
        <v>2</v>
      </c>
      <c r="AC246">
        <f t="shared" si="54"/>
        <v>0</v>
      </c>
      <c r="AD246">
        <f t="shared" si="55"/>
        <v>0</v>
      </c>
      <c r="AE246">
        <f t="shared" si="56"/>
        <v>3</v>
      </c>
      <c r="AF246">
        <f t="shared" si="57"/>
        <v>0</v>
      </c>
      <c r="AG246">
        <f t="shared" si="58"/>
        <v>5</v>
      </c>
      <c r="AH246">
        <f t="shared" ca="1" si="59"/>
        <v>0</v>
      </c>
      <c r="AI246">
        <f>IF(ROW($AA246) - $AA$51 &lt; ($H$16+1)^5, IF(AG246 &gt;= BaseBonus!$C$16, AG246*BaseBonus!$E$31, 0), "")</f>
        <v>4.6952679064628979</v>
      </c>
      <c r="AJ246">
        <f t="shared" ca="1" si="60"/>
        <v>0</v>
      </c>
      <c r="AK246" s="44"/>
    </row>
    <row r="247" spans="28:37" x14ac:dyDescent="0.3">
      <c r="AB247">
        <f t="shared" si="53"/>
        <v>3</v>
      </c>
      <c r="AC247">
        <f t="shared" si="54"/>
        <v>0</v>
      </c>
      <c r="AD247">
        <f t="shared" si="55"/>
        <v>0</v>
      </c>
      <c r="AE247">
        <f t="shared" si="56"/>
        <v>3</v>
      </c>
      <c r="AF247">
        <f t="shared" si="57"/>
        <v>0</v>
      </c>
      <c r="AG247">
        <f t="shared" si="58"/>
        <v>6</v>
      </c>
      <c r="AH247">
        <f t="shared" ca="1" si="59"/>
        <v>0</v>
      </c>
      <c r="AI247">
        <f>IF(ROW($AA247) - $AA$51 &lt; ($H$16+1)^5, IF(AG247 &gt;= BaseBonus!$C$16, AG247*BaseBonus!$E$31, 0), "")</f>
        <v>5.6343214877554777</v>
      </c>
      <c r="AJ247">
        <f t="shared" ca="1" si="60"/>
        <v>0</v>
      </c>
      <c r="AK247" s="44"/>
    </row>
    <row r="248" spans="28:37" x14ac:dyDescent="0.3">
      <c r="AB248">
        <f t="shared" si="53"/>
        <v>0</v>
      </c>
      <c r="AC248">
        <f t="shared" si="54"/>
        <v>1</v>
      </c>
      <c r="AD248">
        <f t="shared" si="55"/>
        <v>0</v>
      </c>
      <c r="AE248">
        <f t="shared" si="56"/>
        <v>3</v>
      </c>
      <c r="AF248">
        <f t="shared" si="57"/>
        <v>0</v>
      </c>
      <c r="AG248">
        <f t="shared" si="58"/>
        <v>4</v>
      </c>
      <c r="AH248">
        <f t="shared" ca="1" si="59"/>
        <v>0</v>
      </c>
      <c r="AI248">
        <f>IF(ROW($AA248) - $AA$51 &lt; ($H$16+1)^5, IF(AG248 &gt;= BaseBonus!$C$16, AG248*BaseBonus!$E$31, 0), "")</f>
        <v>0</v>
      </c>
      <c r="AJ248">
        <f t="shared" ca="1" si="60"/>
        <v>0</v>
      </c>
      <c r="AK248" s="44"/>
    </row>
    <row r="249" spans="28:37" x14ac:dyDescent="0.3">
      <c r="AB249">
        <f t="shared" si="53"/>
        <v>1</v>
      </c>
      <c r="AC249">
        <f t="shared" si="54"/>
        <v>1</v>
      </c>
      <c r="AD249">
        <f t="shared" si="55"/>
        <v>0</v>
      </c>
      <c r="AE249">
        <f t="shared" si="56"/>
        <v>3</v>
      </c>
      <c r="AF249">
        <f t="shared" si="57"/>
        <v>0</v>
      </c>
      <c r="AG249">
        <f t="shared" si="58"/>
        <v>5</v>
      </c>
      <c r="AH249">
        <f t="shared" ca="1" si="59"/>
        <v>0</v>
      </c>
      <c r="AI249">
        <f>IF(ROW($AA249) - $AA$51 &lt; ($H$16+1)^5, IF(AG249 &gt;= BaseBonus!$C$16, AG249*BaseBonus!$E$31, 0), "")</f>
        <v>4.6952679064628979</v>
      </c>
      <c r="AJ249">
        <f t="shared" ca="1" si="60"/>
        <v>0</v>
      </c>
      <c r="AK249" s="44"/>
    </row>
    <row r="250" spans="28:37" x14ac:dyDescent="0.3">
      <c r="AB250">
        <f t="shared" si="53"/>
        <v>2</v>
      </c>
      <c r="AC250">
        <f t="shared" si="54"/>
        <v>1</v>
      </c>
      <c r="AD250">
        <f t="shared" si="55"/>
        <v>0</v>
      </c>
      <c r="AE250">
        <f t="shared" si="56"/>
        <v>3</v>
      </c>
      <c r="AF250">
        <f t="shared" si="57"/>
        <v>0</v>
      </c>
      <c r="AG250">
        <f t="shared" si="58"/>
        <v>6</v>
      </c>
      <c r="AH250">
        <f t="shared" ca="1" si="59"/>
        <v>0</v>
      </c>
      <c r="AI250">
        <f>IF(ROW($AA250) - $AA$51 &lt; ($H$16+1)^5, IF(AG250 &gt;= BaseBonus!$C$16, AG250*BaseBonus!$E$31, 0), "")</f>
        <v>5.6343214877554777</v>
      </c>
      <c r="AJ250">
        <f t="shared" ca="1" si="60"/>
        <v>0</v>
      </c>
      <c r="AK250" s="44"/>
    </row>
    <row r="251" spans="28:37" x14ac:dyDescent="0.3">
      <c r="AB251">
        <f t="shared" si="53"/>
        <v>3</v>
      </c>
      <c r="AC251">
        <f t="shared" si="54"/>
        <v>1</v>
      </c>
      <c r="AD251">
        <f t="shared" si="55"/>
        <v>0</v>
      </c>
      <c r="AE251">
        <f t="shared" si="56"/>
        <v>3</v>
      </c>
      <c r="AF251">
        <f t="shared" si="57"/>
        <v>0</v>
      </c>
      <c r="AG251">
        <f t="shared" si="58"/>
        <v>7</v>
      </c>
      <c r="AH251">
        <f t="shared" ca="1" si="59"/>
        <v>0</v>
      </c>
      <c r="AI251">
        <f>IF(ROW($AA251) - $AA$51 &lt; ($H$16+1)^5, IF(AG251 &gt;= BaseBonus!$C$16, AG251*BaseBonus!$E$31, 0), "")</f>
        <v>6.5733750690480575</v>
      </c>
      <c r="AJ251">
        <f t="shared" ca="1" si="60"/>
        <v>0</v>
      </c>
      <c r="AK251" s="44"/>
    </row>
    <row r="252" spans="28:37" x14ac:dyDescent="0.3">
      <c r="AB252">
        <f t="shared" si="53"/>
        <v>0</v>
      </c>
      <c r="AC252">
        <f t="shared" si="54"/>
        <v>2</v>
      </c>
      <c r="AD252">
        <f t="shared" si="55"/>
        <v>0</v>
      </c>
      <c r="AE252">
        <f t="shared" si="56"/>
        <v>3</v>
      </c>
      <c r="AF252">
        <f t="shared" si="57"/>
        <v>0</v>
      </c>
      <c r="AG252">
        <f t="shared" si="58"/>
        <v>5</v>
      </c>
      <c r="AH252">
        <f t="shared" ca="1" si="59"/>
        <v>0</v>
      </c>
      <c r="AI252">
        <f>IF(ROW($AA252) - $AA$51 &lt; ($H$16+1)^5, IF(AG252 &gt;= BaseBonus!$C$16, AG252*BaseBonus!$E$31, 0), "")</f>
        <v>4.6952679064628979</v>
      </c>
      <c r="AJ252">
        <f t="shared" ca="1" si="60"/>
        <v>0</v>
      </c>
      <c r="AK252" s="44"/>
    </row>
    <row r="253" spans="28:37" x14ac:dyDescent="0.3">
      <c r="AB253">
        <f t="shared" si="53"/>
        <v>1</v>
      </c>
      <c r="AC253">
        <f t="shared" si="54"/>
        <v>2</v>
      </c>
      <c r="AD253">
        <f t="shared" si="55"/>
        <v>0</v>
      </c>
      <c r="AE253">
        <f t="shared" si="56"/>
        <v>3</v>
      </c>
      <c r="AF253">
        <f t="shared" si="57"/>
        <v>0</v>
      </c>
      <c r="AG253">
        <f t="shared" si="58"/>
        <v>6</v>
      </c>
      <c r="AH253">
        <f t="shared" ca="1" si="59"/>
        <v>0</v>
      </c>
      <c r="AI253">
        <f>IF(ROW($AA253) - $AA$51 &lt; ($H$16+1)^5, IF(AG253 &gt;= BaseBonus!$C$16, AG253*BaseBonus!$E$31, 0), "")</f>
        <v>5.6343214877554777</v>
      </c>
      <c r="AJ253">
        <f t="shared" ca="1" si="60"/>
        <v>0</v>
      </c>
      <c r="AK253" s="44"/>
    </row>
    <row r="254" spans="28:37" x14ac:dyDescent="0.3">
      <c r="AB254">
        <f t="shared" si="53"/>
        <v>2</v>
      </c>
      <c r="AC254">
        <f t="shared" si="54"/>
        <v>2</v>
      </c>
      <c r="AD254">
        <f t="shared" si="55"/>
        <v>0</v>
      </c>
      <c r="AE254">
        <f t="shared" si="56"/>
        <v>3</v>
      </c>
      <c r="AF254">
        <f t="shared" si="57"/>
        <v>0</v>
      </c>
      <c r="AG254">
        <f t="shared" si="58"/>
        <v>7</v>
      </c>
      <c r="AH254">
        <f t="shared" ca="1" si="59"/>
        <v>0</v>
      </c>
      <c r="AI254">
        <f>IF(ROW($AA254) - $AA$51 &lt; ($H$16+1)^5, IF(AG254 &gt;= BaseBonus!$C$16, AG254*BaseBonus!$E$31, 0), "")</f>
        <v>6.5733750690480575</v>
      </c>
      <c r="AJ254">
        <f t="shared" ca="1" si="60"/>
        <v>0</v>
      </c>
      <c r="AK254" s="44"/>
    </row>
    <row r="255" spans="28:37" x14ac:dyDescent="0.3">
      <c r="AB255">
        <f t="shared" si="53"/>
        <v>3</v>
      </c>
      <c r="AC255">
        <f t="shared" si="54"/>
        <v>2</v>
      </c>
      <c r="AD255">
        <f t="shared" si="55"/>
        <v>0</v>
      </c>
      <c r="AE255">
        <f t="shared" si="56"/>
        <v>3</v>
      </c>
      <c r="AF255">
        <f t="shared" si="57"/>
        <v>0</v>
      </c>
      <c r="AG255">
        <f t="shared" si="58"/>
        <v>8</v>
      </c>
      <c r="AH255">
        <f t="shared" ca="1" si="59"/>
        <v>0</v>
      </c>
      <c r="AI255">
        <f>IF(ROW($AA255) - $AA$51 &lt; ($H$16+1)^5, IF(AG255 &gt;= BaseBonus!$C$16, AG255*BaseBonus!$E$31, 0), "")</f>
        <v>7.5124286503406372</v>
      </c>
      <c r="AJ255">
        <f t="shared" ca="1" si="60"/>
        <v>0</v>
      </c>
      <c r="AK255" s="44"/>
    </row>
    <row r="256" spans="28:37" x14ac:dyDescent="0.3">
      <c r="AB256">
        <f t="shared" si="53"/>
        <v>0</v>
      </c>
      <c r="AC256">
        <f t="shared" si="54"/>
        <v>3</v>
      </c>
      <c r="AD256">
        <f t="shared" si="55"/>
        <v>0</v>
      </c>
      <c r="AE256">
        <f t="shared" si="56"/>
        <v>3</v>
      </c>
      <c r="AF256">
        <f t="shared" si="57"/>
        <v>0</v>
      </c>
      <c r="AG256">
        <f t="shared" si="58"/>
        <v>6</v>
      </c>
      <c r="AH256">
        <f t="shared" ca="1" si="59"/>
        <v>0</v>
      </c>
      <c r="AI256">
        <f>IF(ROW($AA256) - $AA$51 &lt; ($H$16+1)^5, IF(AG256 &gt;= BaseBonus!$C$16, AG256*BaseBonus!$E$31, 0), "")</f>
        <v>5.6343214877554777</v>
      </c>
      <c r="AJ256">
        <f t="shared" ca="1" si="60"/>
        <v>0</v>
      </c>
      <c r="AK256" s="44"/>
    </row>
    <row r="257" spans="28:37" x14ac:dyDescent="0.3">
      <c r="AB257">
        <f t="shared" si="53"/>
        <v>1</v>
      </c>
      <c r="AC257">
        <f t="shared" si="54"/>
        <v>3</v>
      </c>
      <c r="AD257">
        <f t="shared" si="55"/>
        <v>0</v>
      </c>
      <c r="AE257">
        <f t="shared" si="56"/>
        <v>3</v>
      </c>
      <c r="AF257">
        <f t="shared" si="57"/>
        <v>0</v>
      </c>
      <c r="AG257">
        <f t="shared" si="58"/>
        <v>7</v>
      </c>
      <c r="AH257">
        <f t="shared" ca="1" si="59"/>
        <v>0</v>
      </c>
      <c r="AI257">
        <f>IF(ROW($AA257) - $AA$51 &lt; ($H$16+1)^5, IF(AG257 &gt;= BaseBonus!$C$16, AG257*BaseBonus!$E$31, 0), "")</f>
        <v>6.5733750690480575</v>
      </c>
      <c r="AJ257">
        <f t="shared" ca="1" si="60"/>
        <v>0</v>
      </c>
      <c r="AK257" s="44"/>
    </row>
    <row r="258" spans="28:37" x14ac:dyDescent="0.3">
      <c r="AB258">
        <f t="shared" si="53"/>
        <v>2</v>
      </c>
      <c r="AC258">
        <f t="shared" si="54"/>
        <v>3</v>
      </c>
      <c r="AD258">
        <f t="shared" si="55"/>
        <v>0</v>
      </c>
      <c r="AE258">
        <f t="shared" si="56"/>
        <v>3</v>
      </c>
      <c r="AF258">
        <f t="shared" si="57"/>
        <v>0</v>
      </c>
      <c r="AG258">
        <f t="shared" si="58"/>
        <v>8</v>
      </c>
      <c r="AH258">
        <f t="shared" ca="1" si="59"/>
        <v>0</v>
      </c>
      <c r="AI258">
        <f>IF(ROW($AA258) - $AA$51 &lt; ($H$16+1)^5, IF(AG258 &gt;= BaseBonus!$C$16, AG258*BaseBonus!$E$31, 0), "")</f>
        <v>7.5124286503406372</v>
      </c>
      <c r="AJ258">
        <f t="shared" ca="1" si="60"/>
        <v>0</v>
      </c>
      <c r="AK258" s="44"/>
    </row>
    <row r="259" spans="28:37" x14ac:dyDescent="0.3">
      <c r="AB259">
        <f t="shared" si="53"/>
        <v>3</v>
      </c>
      <c r="AC259">
        <f t="shared" si="54"/>
        <v>3</v>
      </c>
      <c r="AD259">
        <f t="shared" si="55"/>
        <v>0</v>
      </c>
      <c r="AE259">
        <f t="shared" si="56"/>
        <v>3</v>
      </c>
      <c r="AF259">
        <f t="shared" si="57"/>
        <v>0</v>
      </c>
      <c r="AG259">
        <f t="shared" si="58"/>
        <v>9</v>
      </c>
      <c r="AH259">
        <f t="shared" ca="1" si="59"/>
        <v>0</v>
      </c>
      <c r="AI259">
        <f>IF(ROW($AA259) - $AA$51 &lt; ($H$16+1)^5, IF(AG259 &gt;= BaseBonus!$C$16, AG259*BaseBonus!$E$31, 0), "")</f>
        <v>8.4514822316332161</v>
      </c>
      <c r="AJ259">
        <f t="shared" ca="1" si="60"/>
        <v>0</v>
      </c>
      <c r="AK259" s="44"/>
    </row>
    <row r="260" spans="28:37" x14ac:dyDescent="0.3">
      <c r="AB260">
        <f t="shared" si="53"/>
        <v>0</v>
      </c>
      <c r="AC260">
        <f t="shared" si="54"/>
        <v>0</v>
      </c>
      <c r="AD260">
        <f t="shared" si="55"/>
        <v>1</v>
      </c>
      <c r="AE260">
        <f t="shared" si="56"/>
        <v>3</v>
      </c>
      <c r="AF260">
        <f t="shared" si="57"/>
        <v>0</v>
      </c>
      <c r="AG260">
        <f t="shared" si="58"/>
        <v>4</v>
      </c>
      <c r="AH260">
        <f t="shared" ca="1" si="59"/>
        <v>0</v>
      </c>
      <c r="AI260">
        <f>IF(ROW($AA260) - $AA$51 &lt; ($H$16+1)^5, IF(AG260 &gt;= BaseBonus!$C$16, AG260*BaseBonus!$E$31, 0), "")</f>
        <v>0</v>
      </c>
      <c r="AJ260">
        <f t="shared" ca="1" si="60"/>
        <v>0</v>
      </c>
      <c r="AK260" s="44"/>
    </row>
    <row r="261" spans="28:37" x14ac:dyDescent="0.3">
      <c r="AB261">
        <f t="shared" si="53"/>
        <v>1</v>
      </c>
      <c r="AC261">
        <f t="shared" si="54"/>
        <v>0</v>
      </c>
      <c r="AD261">
        <f t="shared" si="55"/>
        <v>1</v>
      </c>
      <c r="AE261">
        <f t="shared" si="56"/>
        <v>3</v>
      </c>
      <c r="AF261">
        <f t="shared" si="57"/>
        <v>0</v>
      </c>
      <c r="AG261">
        <f t="shared" si="58"/>
        <v>5</v>
      </c>
      <c r="AH261">
        <f t="shared" ca="1" si="59"/>
        <v>0</v>
      </c>
      <c r="AI261">
        <f>IF(ROW($AA261) - $AA$51 &lt; ($H$16+1)^5, IF(AG261 &gt;= BaseBonus!$C$16, AG261*BaseBonus!$E$31, 0), "")</f>
        <v>4.6952679064628979</v>
      </c>
      <c r="AJ261">
        <f t="shared" ca="1" si="60"/>
        <v>0</v>
      </c>
      <c r="AK261" s="44"/>
    </row>
    <row r="262" spans="28:37" x14ac:dyDescent="0.3">
      <c r="AB262">
        <f t="shared" si="53"/>
        <v>2</v>
      </c>
      <c r="AC262">
        <f t="shared" si="54"/>
        <v>0</v>
      </c>
      <c r="AD262">
        <f t="shared" si="55"/>
        <v>1</v>
      </c>
      <c r="AE262">
        <f t="shared" si="56"/>
        <v>3</v>
      </c>
      <c r="AF262">
        <f t="shared" si="57"/>
        <v>0</v>
      </c>
      <c r="AG262">
        <f t="shared" si="58"/>
        <v>6</v>
      </c>
      <c r="AH262">
        <f t="shared" ca="1" si="59"/>
        <v>0</v>
      </c>
      <c r="AI262">
        <f>IF(ROW($AA262) - $AA$51 &lt; ($H$16+1)^5, IF(AG262 &gt;= BaseBonus!$C$16, AG262*BaseBonus!$E$31, 0), "")</f>
        <v>5.6343214877554777</v>
      </c>
      <c r="AJ262">
        <f t="shared" ca="1" si="60"/>
        <v>0</v>
      </c>
      <c r="AK262" s="44"/>
    </row>
    <row r="263" spans="28:37" x14ac:dyDescent="0.3">
      <c r="AB263">
        <f t="shared" si="53"/>
        <v>3</v>
      </c>
      <c r="AC263">
        <f t="shared" si="54"/>
        <v>0</v>
      </c>
      <c r="AD263">
        <f t="shared" si="55"/>
        <v>1</v>
      </c>
      <c r="AE263">
        <f t="shared" si="56"/>
        <v>3</v>
      </c>
      <c r="AF263">
        <f t="shared" si="57"/>
        <v>0</v>
      </c>
      <c r="AG263">
        <f t="shared" si="58"/>
        <v>7</v>
      </c>
      <c r="AH263">
        <f t="shared" ca="1" si="59"/>
        <v>0</v>
      </c>
      <c r="AI263">
        <f>IF(ROW($AA263) - $AA$51 &lt; ($H$16+1)^5, IF(AG263 &gt;= BaseBonus!$C$16, AG263*BaseBonus!$E$31, 0), "")</f>
        <v>6.5733750690480575</v>
      </c>
      <c r="AJ263">
        <f t="shared" ca="1" si="60"/>
        <v>0</v>
      </c>
      <c r="AK263" s="44"/>
    </row>
    <row r="264" spans="28:37" x14ac:dyDescent="0.3">
      <c r="AB264">
        <f t="shared" si="53"/>
        <v>0</v>
      </c>
      <c r="AC264">
        <f t="shared" si="54"/>
        <v>1</v>
      </c>
      <c r="AD264">
        <f t="shared" si="55"/>
        <v>1</v>
      </c>
      <c r="AE264">
        <f t="shared" si="56"/>
        <v>3</v>
      </c>
      <c r="AF264">
        <f t="shared" si="57"/>
        <v>0</v>
      </c>
      <c r="AG264">
        <f t="shared" si="58"/>
        <v>5</v>
      </c>
      <c r="AH264">
        <f t="shared" ca="1" si="59"/>
        <v>0</v>
      </c>
      <c r="AI264">
        <f>IF(ROW($AA264) - $AA$51 &lt; ($H$16+1)^5, IF(AG264 &gt;= BaseBonus!$C$16, AG264*BaseBonus!$E$31, 0), "")</f>
        <v>4.6952679064628979</v>
      </c>
      <c r="AJ264">
        <f t="shared" ca="1" si="60"/>
        <v>0</v>
      </c>
      <c r="AK264" s="44"/>
    </row>
    <row r="265" spans="28:37" x14ac:dyDescent="0.3">
      <c r="AB265">
        <f t="shared" si="53"/>
        <v>1</v>
      </c>
      <c r="AC265">
        <f t="shared" si="54"/>
        <v>1</v>
      </c>
      <c r="AD265">
        <f t="shared" si="55"/>
        <v>1</v>
      </c>
      <c r="AE265">
        <f t="shared" si="56"/>
        <v>3</v>
      </c>
      <c r="AF265">
        <f t="shared" si="57"/>
        <v>0</v>
      </c>
      <c r="AG265">
        <f t="shared" si="58"/>
        <v>6</v>
      </c>
      <c r="AH265">
        <f t="shared" ca="1" si="59"/>
        <v>0</v>
      </c>
      <c r="AI265">
        <f>IF(ROW($AA265) - $AA$51 &lt; ($H$16+1)^5, IF(AG265 &gt;= BaseBonus!$C$16, AG265*BaseBonus!$E$31, 0), "")</f>
        <v>5.6343214877554777</v>
      </c>
      <c r="AJ265">
        <f t="shared" ca="1" si="60"/>
        <v>0</v>
      </c>
      <c r="AK265" s="44"/>
    </row>
    <row r="266" spans="28:37" x14ac:dyDescent="0.3">
      <c r="AB266">
        <f t="shared" si="53"/>
        <v>2</v>
      </c>
      <c r="AC266">
        <f t="shared" si="54"/>
        <v>1</v>
      </c>
      <c r="AD266">
        <f t="shared" si="55"/>
        <v>1</v>
      </c>
      <c r="AE266">
        <f t="shared" si="56"/>
        <v>3</v>
      </c>
      <c r="AF266">
        <f t="shared" si="57"/>
        <v>0</v>
      </c>
      <c r="AG266">
        <f t="shared" si="58"/>
        <v>7</v>
      </c>
      <c r="AH266">
        <f t="shared" ca="1" si="59"/>
        <v>0</v>
      </c>
      <c r="AI266">
        <f>IF(ROW($AA266) - $AA$51 &lt; ($H$16+1)^5, IF(AG266 &gt;= BaseBonus!$C$16, AG266*BaseBonus!$E$31, 0), "")</f>
        <v>6.5733750690480575</v>
      </c>
      <c r="AJ266">
        <f t="shared" ca="1" si="60"/>
        <v>0</v>
      </c>
      <c r="AK266" s="44"/>
    </row>
    <row r="267" spans="28:37" x14ac:dyDescent="0.3">
      <c r="AB267">
        <f t="shared" si="53"/>
        <v>3</v>
      </c>
      <c r="AC267">
        <f t="shared" si="54"/>
        <v>1</v>
      </c>
      <c r="AD267">
        <f t="shared" si="55"/>
        <v>1</v>
      </c>
      <c r="AE267">
        <f t="shared" si="56"/>
        <v>3</v>
      </c>
      <c r="AF267">
        <f t="shared" si="57"/>
        <v>0</v>
      </c>
      <c r="AG267">
        <f t="shared" si="58"/>
        <v>8</v>
      </c>
      <c r="AH267">
        <f t="shared" ca="1" si="59"/>
        <v>0</v>
      </c>
      <c r="AI267">
        <f>IF(ROW($AA267) - $AA$51 &lt; ($H$16+1)^5, IF(AG267 &gt;= BaseBonus!$C$16, AG267*BaseBonus!$E$31, 0), "")</f>
        <v>7.5124286503406372</v>
      </c>
      <c r="AJ267">
        <f t="shared" ca="1" si="60"/>
        <v>0</v>
      </c>
      <c r="AK267" s="44"/>
    </row>
    <row r="268" spans="28:37" x14ac:dyDescent="0.3">
      <c r="AB268">
        <f t="shared" si="53"/>
        <v>0</v>
      </c>
      <c r="AC268">
        <f t="shared" si="54"/>
        <v>2</v>
      </c>
      <c r="AD268">
        <f t="shared" si="55"/>
        <v>1</v>
      </c>
      <c r="AE268">
        <f t="shared" si="56"/>
        <v>3</v>
      </c>
      <c r="AF268">
        <f t="shared" si="57"/>
        <v>0</v>
      </c>
      <c r="AG268">
        <f t="shared" si="58"/>
        <v>6</v>
      </c>
      <c r="AH268">
        <f t="shared" ca="1" si="59"/>
        <v>0</v>
      </c>
      <c r="AI268">
        <f>IF(ROW($AA268) - $AA$51 &lt; ($H$16+1)^5, IF(AG268 &gt;= BaseBonus!$C$16, AG268*BaseBonus!$E$31, 0), "")</f>
        <v>5.6343214877554777</v>
      </c>
      <c r="AJ268">
        <f t="shared" ca="1" si="60"/>
        <v>0</v>
      </c>
      <c r="AK268" s="44"/>
    </row>
    <row r="269" spans="28:37" x14ac:dyDescent="0.3">
      <c r="AB269">
        <f t="shared" si="53"/>
        <v>1</v>
      </c>
      <c r="AC269">
        <f t="shared" si="54"/>
        <v>2</v>
      </c>
      <c r="AD269">
        <f t="shared" si="55"/>
        <v>1</v>
      </c>
      <c r="AE269">
        <f t="shared" si="56"/>
        <v>3</v>
      </c>
      <c r="AF269">
        <f t="shared" si="57"/>
        <v>0</v>
      </c>
      <c r="AG269">
        <f t="shared" si="58"/>
        <v>7</v>
      </c>
      <c r="AH269">
        <f t="shared" ca="1" si="59"/>
        <v>0</v>
      </c>
      <c r="AI269">
        <f>IF(ROW($AA269) - $AA$51 &lt; ($H$16+1)^5, IF(AG269 &gt;= BaseBonus!$C$16, AG269*BaseBonus!$E$31, 0), "")</f>
        <v>6.5733750690480575</v>
      </c>
      <c r="AJ269">
        <f t="shared" ca="1" si="60"/>
        <v>0</v>
      </c>
      <c r="AK269" s="44"/>
    </row>
    <row r="270" spans="28:37" x14ac:dyDescent="0.3">
      <c r="AB270">
        <f t="shared" si="53"/>
        <v>2</v>
      </c>
      <c r="AC270">
        <f t="shared" si="54"/>
        <v>2</v>
      </c>
      <c r="AD270">
        <f t="shared" si="55"/>
        <v>1</v>
      </c>
      <c r="AE270">
        <f t="shared" si="56"/>
        <v>3</v>
      </c>
      <c r="AF270">
        <f t="shared" si="57"/>
        <v>0</v>
      </c>
      <c r="AG270">
        <f t="shared" si="58"/>
        <v>8</v>
      </c>
      <c r="AH270">
        <f t="shared" ca="1" si="59"/>
        <v>0</v>
      </c>
      <c r="AI270">
        <f>IF(ROW($AA270) - $AA$51 &lt; ($H$16+1)^5, IF(AG270 &gt;= BaseBonus!$C$16, AG270*BaseBonus!$E$31, 0), "")</f>
        <v>7.5124286503406372</v>
      </c>
      <c r="AJ270">
        <f t="shared" ca="1" si="60"/>
        <v>0</v>
      </c>
      <c r="AK270" s="44"/>
    </row>
    <row r="271" spans="28:37" x14ac:dyDescent="0.3">
      <c r="AB271">
        <f t="shared" si="53"/>
        <v>3</v>
      </c>
      <c r="AC271">
        <f t="shared" si="54"/>
        <v>2</v>
      </c>
      <c r="AD271">
        <f t="shared" si="55"/>
        <v>1</v>
      </c>
      <c r="AE271">
        <f t="shared" si="56"/>
        <v>3</v>
      </c>
      <c r="AF271">
        <f t="shared" si="57"/>
        <v>0</v>
      </c>
      <c r="AG271">
        <f t="shared" si="58"/>
        <v>9</v>
      </c>
      <c r="AH271">
        <f t="shared" ca="1" si="59"/>
        <v>0</v>
      </c>
      <c r="AI271">
        <f>IF(ROW($AA271) - $AA$51 &lt; ($H$16+1)^5, IF(AG271 &gt;= BaseBonus!$C$16, AG271*BaseBonus!$E$31, 0), "")</f>
        <v>8.4514822316332161</v>
      </c>
      <c r="AJ271">
        <f t="shared" ca="1" si="60"/>
        <v>0</v>
      </c>
      <c r="AK271" s="44"/>
    </row>
    <row r="272" spans="28:37" x14ac:dyDescent="0.3">
      <c r="AB272">
        <f t="shared" si="53"/>
        <v>0</v>
      </c>
      <c r="AC272">
        <f t="shared" si="54"/>
        <v>3</v>
      </c>
      <c r="AD272">
        <f t="shared" si="55"/>
        <v>1</v>
      </c>
      <c r="AE272">
        <f t="shared" si="56"/>
        <v>3</v>
      </c>
      <c r="AF272">
        <f t="shared" si="57"/>
        <v>0</v>
      </c>
      <c r="AG272">
        <f t="shared" si="58"/>
        <v>7</v>
      </c>
      <c r="AH272">
        <f t="shared" ca="1" si="59"/>
        <v>0</v>
      </c>
      <c r="AI272">
        <f>IF(ROW($AA272) - $AA$51 &lt; ($H$16+1)^5, IF(AG272 &gt;= BaseBonus!$C$16, AG272*BaseBonus!$E$31, 0), "")</f>
        <v>6.5733750690480575</v>
      </c>
      <c r="AJ272">
        <f t="shared" ca="1" si="60"/>
        <v>0</v>
      </c>
      <c r="AK272" s="44"/>
    </row>
    <row r="273" spans="28:37" x14ac:dyDescent="0.3">
      <c r="AB273">
        <f t="shared" si="53"/>
        <v>1</v>
      </c>
      <c r="AC273">
        <f t="shared" si="54"/>
        <v>3</v>
      </c>
      <c r="AD273">
        <f t="shared" si="55"/>
        <v>1</v>
      </c>
      <c r="AE273">
        <f t="shared" si="56"/>
        <v>3</v>
      </c>
      <c r="AF273">
        <f t="shared" si="57"/>
        <v>0</v>
      </c>
      <c r="AG273">
        <f t="shared" si="58"/>
        <v>8</v>
      </c>
      <c r="AH273">
        <f t="shared" ca="1" si="59"/>
        <v>0</v>
      </c>
      <c r="AI273">
        <f>IF(ROW($AA273) - $AA$51 &lt; ($H$16+1)^5, IF(AG273 &gt;= BaseBonus!$C$16, AG273*BaseBonus!$E$31, 0), "")</f>
        <v>7.5124286503406372</v>
      </c>
      <c r="AJ273">
        <f t="shared" ca="1" si="60"/>
        <v>0</v>
      </c>
      <c r="AK273" s="44"/>
    </row>
    <row r="274" spans="28:37" x14ac:dyDescent="0.3">
      <c r="AB274">
        <f t="shared" si="53"/>
        <v>2</v>
      </c>
      <c r="AC274">
        <f t="shared" si="54"/>
        <v>3</v>
      </c>
      <c r="AD274">
        <f t="shared" si="55"/>
        <v>1</v>
      </c>
      <c r="AE274">
        <f t="shared" si="56"/>
        <v>3</v>
      </c>
      <c r="AF274">
        <f t="shared" si="57"/>
        <v>0</v>
      </c>
      <c r="AG274">
        <f t="shared" si="58"/>
        <v>9</v>
      </c>
      <c r="AH274">
        <f t="shared" ca="1" si="59"/>
        <v>0</v>
      </c>
      <c r="AI274">
        <f>IF(ROW($AA274) - $AA$51 &lt; ($H$16+1)^5, IF(AG274 &gt;= BaseBonus!$C$16, AG274*BaseBonus!$E$31, 0), "")</f>
        <v>8.4514822316332161</v>
      </c>
      <c r="AJ274">
        <f t="shared" ca="1" si="60"/>
        <v>0</v>
      </c>
      <c r="AK274" s="44"/>
    </row>
    <row r="275" spans="28:37" x14ac:dyDescent="0.3">
      <c r="AB275">
        <f t="shared" si="53"/>
        <v>3</v>
      </c>
      <c r="AC275">
        <f t="shared" si="54"/>
        <v>3</v>
      </c>
      <c r="AD275">
        <f t="shared" si="55"/>
        <v>1</v>
      </c>
      <c r="AE275">
        <f t="shared" si="56"/>
        <v>3</v>
      </c>
      <c r="AF275">
        <f t="shared" si="57"/>
        <v>0</v>
      </c>
      <c r="AG275">
        <f t="shared" si="58"/>
        <v>10</v>
      </c>
      <c r="AH275">
        <f t="shared" ca="1" si="59"/>
        <v>0</v>
      </c>
      <c r="AI275">
        <f>IF(ROW($AA275) - $AA$51 &lt; ($H$16+1)^5, IF(AG275 &gt;= BaseBonus!$C$16, AG275*BaseBonus!$E$31, 0), "")</f>
        <v>9.3905358129257959</v>
      </c>
      <c r="AJ275">
        <f t="shared" ca="1" si="60"/>
        <v>0</v>
      </c>
      <c r="AK275" s="44"/>
    </row>
    <row r="276" spans="28:37" x14ac:dyDescent="0.3">
      <c r="AB276">
        <f t="shared" si="53"/>
        <v>0</v>
      </c>
      <c r="AC276">
        <f t="shared" si="54"/>
        <v>0</v>
      </c>
      <c r="AD276">
        <f t="shared" si="55"/>
        <v>2</v>
      </c>
      <c r="AE276">
        <f t="shared" si="56"/>
        <v>3</v>
      </c>
      <c r="AF276">
        <f t="shared" si="57"/>
        <v>0</v>
      </c>
      <c r="AG276">
        <f t="shared" si="58"/>
        <v>5</v>
      </c>
      <c r="AH276">
        <f t="shared" ca="1" si="59"/>
        <v>0</v>
      </c>
      <c r="AI276">
        <f>IF(ROW($AA276) - $AA$51 &lt; ($H$16+1)^5, IF(AG276 &gt;= BaseBonus!$C$16, AG276*BaseBonus!$E$31, 0), "")</f>
        <v>4.6952679064628979</v>
      </c>
      <c r="AJ276">
        <f t="shared" ca="1" si="60"/>
        <v>0</v>
      </c>
      <c r="AK276" s="44"/>
    </row>
    <row r="277" spans="28:37" x14ac:dyDescent="0.3">
      <c r="AB277">
        <f t="shared" si="53"/>
        <v>1</v>
      </c>
      <c r="AC277">
        <f t="shared" si="54"/>
        <v>0</v>
      </c>
      <c r="AD277">
        <f t="shared" si="55"/>
        <v>2</v>
      </c>
      <c r="AE277">
        <f t="shared" si="56"/>
        <v>3</v>
      </c>
      <c r="AF277">
        <f t="shared" si="57"/>
        <v>0</v>
      </c>
      <c r="AG277">
        <f t="shared" si="58"/>
        <v>6</v>
      </c>
      <c r="AH277">
        <f t="shared" ca="1" si="59"/>
        <v>0</v>
      </c>
      <c r="AI277">
        <f>IF(ROW($AA277) - $AA$51 &lt; ($H$16+1)^5, IF(AG277 &gt;= BaseBonus!$C$16, AG277*BaseBonus!$E$31, 0), "")</f>
        <v>5.6343214877554777</v>
      </c>
      <c r="AJ277">
        <f t="shared" ca="1" si="60"/>
        <v>0</v>
      </c>
      <c r="AK277" s="44"/>
    </row>
    <row r="278" spans="28:37" x14ac:dyDescent="0.3">
      <c r="AB278">
        <f t="shared" si="53"/>
        <v>2</v>
      </c>
      <c r="AC278">
        <f t="shared" si="54"/>
        <v>0</v>
      </c>
      <c r="AD278">
        <f t="shared" si="55"/>
        <v>2</v>
      </c>
      <c r="AE278">
        <f t="shared" si="56"/>
        <v>3</v>
      </c>
      <c r="AF278">
        <f t="shared" si="57"/>
        <v>0</v>
      </c>
      <c r="AG278">
        <f t="shared" si="58"/>
        <v>7</v>
      </c>
      <c r="AH278">
        <f t="shared" ca="1" si="59"/>
        <v>0</v>
      </c>
      <c r="AI278">
        <f>IF(ROW($AA278) - $AA$51 &lt; ($H$16+1)^5, IF(AG278 &gt;= BaseBonus!$C$16, AG278*BaseBonus!$E$31, 0), "")</f>
        <v>6.5733750690480575</v>
      </c>
      <c r="AJ278">
        <f t="shared" ca="1" si="60"/>
        <v>0</v>
      </c>
      <c r="AK278" s="44"/>
    </row>
    <row r="279" spans="28:37" x14ac:dyDescent="0.3">
      <c r="AB279">
        <f t="shared" si="53"/>
        <v>3</v>
      </c>
      <c r="AC279">
        <f t="shared" si="54"/>
        <v>0</v>
      </c>
      <c r="AD279">
        <f t="shared" si="55"/>
        <v>2</v>
      </c>
      <c r="AE279">
        <f t="shared" si="56"/>
        <v>3</v>
      </c>
      <c r="AF279">
        <f t="shared" si="57"/>
        <v>0</v>
      </c>
      <c r="AG279">
        <f t="shared" si="58"/>
        <v>8</v>
      </c>
      <c r="AH279">
        <f t="shared" ca="1" si="59"/>
        <v>0</v>
      </c>
      <c r="AI279">
        <f>IF(ROW($AA279) - $AA$51 &lt; ($H$16+1)^5, IF(AG279 &gt;= BaseBonus!$C$16, AG279*BaseBonus!$E$31, 0), "")</f>
        <v>7.5124286503406372</v>
      </c>
      <c r="AJ279">
        <f t="shared" ca="1" si="60"/>
        <v>0</v>
      </c>
      <c r="AK279" s="44"/>
    </row>
    <row r="280" spans="28:37" x14ac:dyDescent="0.3">
      <c r="AB280">
        <f t="shared" si="53"/>
        <v>0</v>
      </c>
      <c r="AC280">
        <f t="shared" si="54"/>
        <v>1</v>
      </c>
      <c r="AD280">
        <f t="shared" si="55"/>
        <v>2</v>
      </c>
      <c r="AE280">
        <f t="shared" si="56"/>
        <v>3</v>
      </c>
      <c r="AF280">
        <f t="shared" si="57"/>
        <v>0</v>
      </c>
      <c r="AG280">
        <f t="shared" si="58"/>
        <v>6</v>
      </c>
      <c r="AH280">
        <f t="shared" ca="1" si="59"/>
        <v>0</v>
      </c>
      <c r="AI280">
        <f>IF(ROW($AA280) - $AA$51 &lt; ($H$16+1)^5, IF(AG280 &gt;= BaseBonus!$C$16, AG280*BaseBonus!$E$31, 0), "")</f>
        <v>5.6343214877554777</v>
      </c>
      <c r="AJ280">
        <f t="shared" ca="1" si="60"/>
        <v>0</v>
      </c>
      <c r="AK280" s="44"/>
    </row>
    <row r="281" spans="28:37" x14ac:dyDescent="0.3">
      <c r="AB281">
        <f t="shared" si="53"/>
        <v>1</v>
      </c>
      <c r="AC281">
        <f t="shared" si="54"/>
        <v>1</v>
      </c>
      <c r="AD281">
        <f t="shared" si="55"/>
        <v>2</v>
      </c>
      <c r="AE281">
        <f t="shared" si="56"/>
        <v>3</v>
      </c>
      <c r="AF281">
        <f t="shared" si="57"/>
        <v>0</v>
      </c>
      <c r="AG281">
        <f t="shared" si="58"/>
        <v>7</v>
      </c>
      <c r="AH281">
        <f t="shared" ca="1" si="59"/>
        <v>0</v>
      </c>
      <c r="AI281">
        <f>IF(ROW($AA281) - $AA$51 &lt; ($H$16+1)^5, IF(AG281 &gt;= BaseBonus!$C$16, AG281*BaseBonus!$E$31, 0), "")</f>
        <v>6.5733750690480575</v>
      </c>
      <c r="AJ281">
        <f t="shared" ca="1" si="60"/>
        <v>0</v>
      </c>
      <c r="AK281" s="44"/>
    </row>
    <row r="282" spans="28:37" x14ac:dyDescent="0.3">
      <c r="AB282">
        <f t="shared" si="53"/>
        <v>2</v>
      </c>
      <c r="AC282">
        <f t="shared" si="54"/>
        <v>1</v>
      </c>
      <c r="AD282">
        <f t="shared" si="55"/>
        <v>2</v>
      </c>
      <c r="AE282">
        <f t="shared" si="56"/>
        <v>3</v>
      </c>
      <c r="AF282">
        <f t="shared" si="57"/>
        <v>0</v>
      </c>
      <c r="AG282">
        <f t="shared" si="58"/>
        <v>8</v>
      </c>
      <c r="AH282">
        <f t="shared" ca="1" si="59"/>
        <v>0</v>
      </c>
      <c r="AI282">
        <f>IF(ROW($AA282) - $AA$51 &lt; ($H$16+1)^5, IF(AG282 &gt;= BaseBonus!$C$16, AG282*BaseBonus!$E$31, 0), "")</f>
        <v>7.5124286503406372</v>
      </c>
      <c r="AJ282">
        <f t="shared" ca="1" si="60"/>
        <v>0</v>
      </c>
      <c r="AK282" s="44"/>
    </row>
    <row r="283" spans="28:37" x14ac:dyDescent="0.3">
      <c r="AB283">
        <f t="shared" si="53"/>
        <v>3</v>
      </c>
      <c r="AC283">
        <f t="shared" si="54"/>
        <v>1</v>
      </c>
      <c r="AD283">
        <f t="shared" si="55"/>
        <v>2</v>
      </c>
      <c r="AE283">
        <f t="shared" si="56"/>
        <v>3</v>
      </c>
      <c r="AF283">
        <f t="shared" si="57"/>
        <v>0</v>
      </c>
      <c r="AG283">
        <f t="shared" si="58"/>
        <v>9</v>
      </c>
      <c r="AH283">
        <f t="shared" ca="1" si="59"/>
        <v>0</v>
      </c>
      <c r="AI283">
        <f>IF(ROW($AA283) - $AA$51 &lt; ($H$16+1)^5, IF(AG283 &gt;= BaseBonus!$C$16, AG283*BaseBonus!$E$31, 0), "")</f>
        <v>8.4514822316332161</v>
      </c>
      <c r="AJ283">
        <f t="shared" ca="1" si="60"/>
        <v>0</v>
      </c>
      <c r="AK283" s="44"/>
    </row>
    <row r="284" spans="28:37" x14ac:dyDescent="0.3">
      <c r="AB284">
        <f t="shared" si="53"/>
        <v>0</v>
      </c>
      <c r="AC284">
        <f t="shared" si="54"/>
        <v>2</v>
      </c>
      <c r="AD284">
        <f t="shared" si="55"/>
        <v>2</v>
      </c>
      <c r="AE284">
        <f t="shared" si="56"/>
        <v>3</v>
      </c>
      <c r="AF284">
        <f t="shared" si="57"/>
        <v>0</v>
      </c>
      <c r="AG284">
        <f t="shared" si="58"/>
        <v>7</v>
      </c>
      <c r="AH284">
        <f t="shared" ca="1" si="59"/>
        <v>0</v>
      </c>
      <c r="AI284">
        <f>IF(ROW($AA284) - $AA$51 &lt; ($H$16+1)^5, IF(AG284 &gt;= BaseBonus!$C$16, AG284*BaseBonus!$E$31, 0), "")</f>
        <v>6.5733750690480575</v>
      </c>
      <c r="AJ284">
        <f t="shared" ca="1" si="60"/>
        <v>0</v>
      </c>
      <c r="AK284" s="44"/>
    </row>
    <row r="285" spans="28:37" x14ac:dyDescent="0.3">
      <c r="AB285">
        <f t="shared" si="53"/>
        <v>1</v>
      </c>
      <c r="AC285">
        <f t="shared" si="54"/>
        <v>2</v>
      </c>
      <c r="AD285">
        <f t="shared" si="55"/>
        <v>2</v>
      </c>
      <c r="AE285">
        <f t="shared" si="56"/>
        <v>3</v>
      </c>
      <c r="AF285">
        <f t="shared" si="57"/>
        <v>0</v>
      </c>
      <c r="AG285">
        <f t="shared" si="58"/>
        <v>8</v>
      </c>
      <c r="AH285">
        <f t="shared" ca="1" si="59"/>
        <v>0</v>
      </c>
      <c r="AI285">
        <f>IF(ROW($AA285) - $AA$51 &lt; ($H$16+1)^5, IF(AG285 &gt;= BaseBonus!$C$16, AG285*BaseBonus!$E$31, 0), "")</f>
        <v>7.5124286503406372</v>
      </c>
      <c r="AJ285">
        <f t="shared" ca="1" si="60"/>
        <v>0</v>
      </c>
      <c r="AK285" s="44"/>
    </row>
    <row r="286" spans="28:37" x14ac:dyDescent="0.3">
      <c r="AB286">
        <f t="shared" si="53"/>
        <v>2</v>
      </c>
      <c r="AC286">
        <f t="shared" si="54"/>
        <v>2</v>
      </c>
      <c r="AD286">
        <f t="shared" si="55"/>
        <v>2</v>
      </c>
      <c r="AE286">
        <f t="shared" si="56"/>
        <v>3</v>
      </c>
      <c r="AF286">
        <f t="shared" si="57"/>
        <v>0</v>
      </c>
      <c r="AG286">
        <f t="shared" si="58"/>
        <v>9</v>
      </c>
      <c r="AH286">
        <f t="shared" ca="1" si="59"/>
        <v>0</v>
      </c>
      <c r="AI286">
        <f>IF(ROW($AA286) - $AA$51 &lt; ($H$16+1)^5, IF(AG286 &gt;= BaseBonus!$C$16, AG286*BaseBonus!$E$31, 0), "")</f>
        <v>8.4514822316332161</v>
      </c>
      <c r="AJ286">
        <f t="shared" ca="1" si="60"/>
        <v>0</v>
      </c>
      <c r="AK286" s="44"/>
    </row>
    <row r="287" spans="28:37" x14ac:dyDescent="0.3">
      <c r="AB287">
        <f t="shared" si="53"/>
        <v>3</v>
      </c>
      <c r="AC287">
        <f t="shared" si="54"/>
        <v>2</v>
      </c>
      <c r="AD287">
        <f t="shared" si="55"/>
        <v>2</v>
      </c>
      <c r="AE287">
        <f t="shared" si="56"/>
        <v>3</v>
      </c>
      <c r="AF287">
        <f t="shared" si="57"/>
        <v>0</v>
      </c>
      <c r="AG287">
        <f t="shared" si="58"/>
        <v>10</v>
      </c>
      <c r="AH287">
        <f t="shared" ca="1" si="59"/>
        <v>0</v>
      </c>
      <c r="AI287">
        <f>IF(ROW($AA287) - $AA$51 &lt; ($H$16+1)^5, IF(AG287 &gt;= BaseBonus!$C$16, AG287*BaseBonus!$E$31, 0), "")</f>
        <v>9.3905358129257959</v>
      </c>
      <c r="AJ287">
        <f t="shared" ca="1" si="60"/>
        <v>0</v>
      </c>
      <c r="AK287" s="44"/>
    </row>
    <row r="288" spans="28:37" x14ac:dyDescent="0.3">
      <c r="AB288">
        <f t="shared" si="53"/>
        <v>0</v>
      </c>
      <c r="AC288">
        <f t="shared" si="54"/>
        <v>3</v>
      </c>
      <c r="AD288">
        <f t="shared" si="55"/>
        <v>2</v>
      </c>
      <c r="AE288">
        <f t="shared" si="56"/>
        <v>3</v>
      </c>
      <c r="AF288">
        <f t="shared" si="57"/>
        <v>0</v>
      </c>
      <c r="AG288">
        <f t="shared" si="58"/>
        <v>8</v>
      </c>
      <c r="AH288">
        <f t="shared" ca="1" si="59"/>
        <v>0</v>
      </c>
      <c r="AI288">
        <f>IF(ROW($AA288) - $AA$51 &lt; ($H$16+1)^5, IF(AG288 &gt;= BaseBonus!$C$16, AG288*BaseBonus!$E$31, 0), "")</f>
        <v>7.5124286503406372</v>
      </c>
      <c r="AJ288">
        <f t="shared" ca="1" si="60"/>
        <v>0</v>
      </c>
    </row>
    <row r="289" spans="28:36" x14ac:dyDescent="0.3">
      <c r="AB289">
        <f t="shared" si="53"/>
        <v>1</v>
      </c>
      <c r="AC289">
        <f t="shared" si="54"/>
        <v>3</v>
      </c>
      <c r="AD289">
        <f t="shared" si="55"/>
        <v>2</v>
      </c>
      <c r="AE289">
        <f t="shared" si="56"/>
        <v>3</v>
      </c>
      <c r="AF289">
        <f t="shared" si="57"/>
        <v>0</v>
      </c>
      <c r="AG289">
        <f t="shared" si="58"/>
        <v>9</v>
      </c>
      <c r="AH289">
        <f t="shared" ca="1" si="59"/>
        <v>0</v>
      </c>
      <c r="AI289">
        <f>IF(ROW($AA289) - $AA$51 &lt; ($H$16+1)^5, IF(AG289 &gt;= BaseBonus!$C$16, AG289*BaseBonus!$E$31, 0), "")</f>
        <v>8.4514822316332161</v>
      </c>
      <c r="AJ289">
        <f t="shared" ca="1" si="60"/>
        <v>0</v>
      </c>
    </row>
    <row r="290" spans="28:36" x14ac:dyDescent="0.3">
      <c r="AB290">
        <f t="shared" si="53"/>
        <v>2</v>
      </c>
      <c r="AC290">
        <f t="shared" si="54"/>
        <v>3</v>
      </c>
      <c r="AD290">
        <f t="shared" si="55"/>
        <v>2</v>
      </c>
      <c r="AE290">
        <f t="shared" si="56"/>
        <v>3</v>
      </c>
      <c r="AF290">
        <f t="shared" si="57"/>
        <v>0</v>
      </c>
      <c r="AG290">
        <f t="shared" si="58"/>
        <v>10</v>
      </c>
      <c r="AH290">
        <f t="shared" ca="1" si="59"/>
        <v>0</v>
      </c>
      <c r="AI290">
        <f>IF(ROW($AA290) - $AA$51 &lt; ($H$16+1)^5, IF(AG290 &gt;= BaseBonus!$C$16, AG290*BaseBonus!$E$31, 0), "")</f>
        <v>9.3905358129257959</v>
      </c>
      <c r="AJ290">
        <f t="shared" ca="1" si="60"/>
        <v>0</v>
      </c>
    </row>
    <row r="291" spans="28:36" x14ac:dyDescent="0.3">
      <c r="AB291">
        <f t="shared" si="53"/>
        <v>3</v>
      </c>
      <c r="AC291">
        <f t="shared" si="54"/>
        <v>3</v>
      </c>
      <c r="AD291">
        <f t="shared" si="55"/>
        <v>2</v>
      </c>
      <c r="AE291">
        <f t="shared" si="56"/>
        <v>3</v>
      </c>
      <c r="AF291">
        <f t="shared" si="57"/>
        <v>0</v>
      </c>
      <c r="AG291">
        <f t="shared" si="58"/>
        <v>11</v>
      </c>
      <c r="AH291">
        <f t="shared" ca="1" si="59"/>
        <v>0</v>
      </c>
      <c r="AI291">
        <f>IF(ROW($AA291) - $AA$51 &lt; ($H$16+1)^5, IF(AG291 &gt;= BaseBonus!$C$16, AG291*BaseBonus!$E$31, 0), "")</f>
        <v>10.329589394218376</v>
      </c>
      <c r="AJ291">
        <f t="shared" ca="1" si="60"/>
        <v>0</v>
      </c>
    </row>
    <row r="292" spans="28:36" x14ac:dyDescent="0.3">
      <c r="AB292">
        <f t="shared" si="53"/>
        <v>0</v>
      </c>
      <c r="AC292">
        <f t="shared" si="54"/>
        <v>0</v>
      </c>
      <c r="AD292">
        <f t="shared" si="55"/>
        <v>3</v>
      </c>
      <c r="AE292">
        <f t="shared" si="56"/>
        <v>3</v>
      </c>
      <c r="AF292">
        <f t="shared" si="57"/>
        <v>0</v>
      </c>
      <c r="AG292">
        <f t="shared" si="58"/>
        <v>6</v>
      </c>
      <c r="AH292">
        <f t="shared" ca="1" si="59"/>
        <v>0</v>
      </c>
      <c r="AI292">
        <f>IF(ROW($AA292) - $AA$51 &lt; ($H$16+1)^5, IF(AG292 &gt;= BaseBonus!$C$16, AG292*BaseBonus!$E$31, 0), "")</f>
        <v>5.6343214877554777</v>
      </c>
      <c r="AJ292">
        <f t="shared" ca="1" si="60"/>
        <v>0</v>
      </c>
    </row>
    <row r="293" spans="28:36" x14ac:dyDescent="0.3">
      <c r="AB293">
        <f t="shared" si="53"/>
        <v>1</v>
      </c>
      <c r="AC293">
        <f t="shared" si="54"/>
        <v>0</v>
      </c>
      <c r="AD293">
        <f t="shared" si="55"/>
        <v>3</v>
      </c>
      <c r="AE293">
        <f t="shared" si="56"/>
        <v>3</v>
      </c>
      <c r="AF293">
        <f t="shared" si="57"/>
        <v>0</v>
      </c>
      <c r="AG293">
        <f t="shared" si="58"/>
        <v>7</v>
      </c>
      <c r="AH293">
        <f t="shared" ca="1" si="59"/>
        <v>0</v>
      </c>
      <c r="AI293">
        <f>IF(ROW($AA293) - $AA$51 &lt; ($H$16+1)^5, IF(AG293 &gt;= BaseBonus!$C$16, AG293*BaseBonus!$E$31, 0), "")</f>
        <v>6.5733750690480575</v>
      </c>
      <c r="AJ293">
        <f t="shared" ca="1" si="60"/>
        <v>0</v>
      </c>
    </row>
    <row r="294" spans="28:36" x14ac:dyDescent="0.3">
      <c r="AB294">
        <f t="shared" si="53"/>
        <v>2</v>
      </c>
      <c r="AC294">
        <f t="shared" si="54"/>
        <v>0</v>
      </c>
      <c r="AD294">
        <f t="shared" si="55"/>
        <v>3</v>
      </c>
      <c r="AE294">
        <f t="shared" si="56"/>
        <v>3</v>
      </c>
      <c r="AF294">
        <f t="shared" si="57"/>
        <v>0</v>
      </c>
      <c r="AG294">
        <f t="shared" si="58"/>
        <v>8</v>
      </c>
      <c r="AH294">
        <f t="shared" ca="1" si="59"/>
        <v>0</v>
      </c>
      <c r="AI294">
        <f>IF(ROW($AA294) - $AA$51 &lt; ($H$16+1)^5, IF(AG294 &gt;= BaseBonus!$C$16, AG294*BaseBonus!$E$31, 0), "")</f>
        <v>7.5124286503406372</v>
      </c>
      <c r="AJ294">
        <f t="shared" ca="1" si="60"/>
        <v>0</v>
      </c>
    </row>
    <row r="295" spans="28:36" x14ac:dyDescent="0.3">
      <c r="AB295">
        <f t="shared" si="53"/>
        <v>3</v>
      </c>
      <c r="AC295">
        <f t="shared" si="54"/>
        <v>0</v>
      </c>
      <c r="AD295">
        <f t="shared" si="55"/>
        <v>3</v>
      </c>
      <c r="AE295">
        <f t="shared" si="56"/>
        <v>3</v>
      </c>
      <c r="AF295">
        <f t="shared" si="57"/>
        <v>0</v>
      </c>
      <c r="AG295">
        <f t="shared" si="58"/>
        <v>9</v>
      </c>
      <c r="AH295">
        <f t="shared" ca="1" si="59"/>
        <v>0</v>
      </c>
      <c r="AI295">
        <f>IF(ROW($AA295) - $AA$51 &lt; ($H$16+1)^5, IF(AG295 &gt;= BaseBonus!$C$16, AG295*BaseBonus!$E$31, 0), "")</f>
        <v>8.4514822316332161</v>
      </c>
      <c r="AJ295">
        <f t="shared" ca="1" si="60"/>
        <v>0</v>
      </c>
    </row>
    <row r="296" spans="28:36" x14ac:dyDescent="0.3">
      <c r="AB296">
        <f t="shared" si="53"/>
        <v>0</v>
      </c>
      <c r="AC296">
        <f t="shared" si="54"/>
        <v>1</v>
      </c>
      <c r="AD296">
        <f t="shared" si="55"/>
        <v>3</v>
      </c>
      <c r="AE296">
        <f t="shared" si="56"/>
        <v>3</v>
      </c>
      <c r="AF296">
        <f t="shared" si="57"/>
        <v>0</v>
      </c>
      <c r="AG296">
        <f t="shared" si="58"/>
        <v>7</v>
      </c>
      <c r="AH296">
        <f t="shared" ca="1" si="59"/>
        <v>0</v>
      </c>
      <c r="AI296">
        <f>IF(ROW($AA296) - $AA$51 &lt; ($H$16+1)^5, IF(AG296 &gt;= BaseBonus!$C$16, AG296*BaseBonus!$E$31, 0), "")</f>
        <v>6.5733750690480575</v>
      </c>
      <c r="AJ296">
        <f t="shared" ca="1" si="60"/>
        <v>0</v>
      </c>
    </row>
    <row r="297" spans="28:36" x14ac:dyDescent="0.3">
      <c r="AB297">
        <f t="shared" si="53"/>
        <v>1</v>
      </c>
      <c r="AC297">
        <f t="shared" si="54"/>
        <v>1</v>
      </c>
      <c r="AD297">
        <f t="shared" si="55"/>
        <v>3</v>
      </c>
      <c r="AE297">
        <f t="shared" si="56"/>
        <v>3</v>
      </c>
      <c r="AF297">
        <f t="shared" si="57"/>
        <v>0</v>
      </c>
      <c r="AG297">
        <f t="shared" si="58"/>
        <v>8</v>
      </c>
      <c r="AH297">
        <f t="shared" ca="1" si="59"/>
        <v>0</v>
      </c>
      <c r="AI297">
        <f>IF(ROW($AA297) - $AA$51 &lt; ($H$16+1)^5, IF(AG297 &gt;= BaseBonus!$C$16, AG297*BaseBonus!$E$31, 0), "")</f>
        <v>7.5124286503406372</v>
      </c>
      <c r="AJ297">
        <f t="shared" ca="1" si="60"/>
        <v>0</v>
      </c>
    </row>
    <row r="298" spans="28:36" x14ac:dyDescent="0.3">
      <c r="AB298">
        <f t="shared" si="53"/>
        <v>2</v>
      </c>
      <c r="AC298">
        <f t="shared" si="54"/>
        <v>1</v>
      </c>
      <c r="AD298">
        <f t="shared" si="55"/>
        <v>3</v>
      </c>
      <c r="AE298">
        <f t="shared" si="56"/>
        <v>3</v>
      </c>
      <c r="AF298">
        <f t="shared" si="57"/>
        <v>0</v>
      </c>
      <c r="AG298">
        <f t="shared" si="58"/>
        <v>9</v>
      </c>
      <c r="AH298">
        <f t="shared" ca="1" si="59"/>
        <v>0</v>
      </c>
      <c r="AI298">
        <f>IF(ROW($AA298) - $AA$51 &lt; ($H$16+1)^5, IF(AG298 &gt;= BaseBonus!$C$16, AG298*BaseBonus!$E$31, 0), "")</f>
        <v>8.4514822316332161</v>
      </c>
      <c r="AJ298">
        <f t="shared" ca="1" si="60"/>
        <v>0</v>
      </c>
    </row>
    <row r="299" spans="28:36" x14ac:dyDescent="0.3">
      <c r="AB299">
        <f t="shared" si="53"/>
        <v>3</v>
      </c>
      <c r="AC299">
        <f t="shared" si="54"/>
        <v>1</v>
      </c>
      <c r="AD299">
        <f t="shared" si="55"/>
        <v>3</v>
      </c>
      <c r="AE299">
        <f t="shared" si="56"/>
        <v>3</v>
      </c>
      <c r="AF299">
        <f t="shared" si="57"/>
        <v>0</v>
      </c>
      <c r="AG299">
        <f t="shared" si="58"/>
        <v>10</v>
      </c>
      <c r="AH299">
        <f t="shared" ca="1" si="59"/>
        <v>0</v>
      </c>
      <c r="AI299">
        <f>IF(ROW($AA299) - $AA$51 &lt; ($H$16+1)^5, IF(AG299 &gt;= BaseBonus!$C$16, AG299*BaseBonus!$E$31, 0), "")</f>
        <v>9.3905358129257959</v>
      </c>
      <c r="AJ299">
        <f t="shared" ca="1" si="60"/>
        <v>0</v>
      </c>
    </row>
    <row r="300" spans="28:36" x14ac:dyDescent="0.3">
      <c r="AB300">
        <f t="shared" si="53"/>
        <v>0</v>
      </c>
      <c r="AC300">
        <f t="shared" si="54"/>
        <v>2</v>
      </c>
      <c r="AD300">
        <f t="shared" si="55"/>
        <v>3</v>
      </c>
      <c r="AE300">
        <f t="shared" si="56"/>
        <v>3</v>
      </c>
      <c r="AF300">
        <f t="shared" si="57"/>
        <v>0</v>
      </c>
      <c r="AG300">
        <f t="shared" si="58"/>
        <v>8</v>
      </c>
      <c r="AH300">
        <f t="shared" ca="1" si="59"/>
        <v>0</v>
      </c>
      <c r="AI300">
        <f>IF(ROW($AA300) - $AA$51 &lt; ($H$16+1)^5, IF(AG300 &gt;= BaseBonus!$C$16, AG300*BaseBonus!$E$31, 0), "")</f>
        <v>7.5124286503406372</v>
      </c>
      <c r="AJ300">
        <f t="shared" ca="1" si="60"/>
        <v>0</v>
      </c>
    </row>
    <row r="301" spans="28:36" x14ac:dyDescent="0.3">
      <c r="AB301">
        <f t="shared" si="53"/>
        <v>1</v>
      </c>
      <c r="AC301">
        <f t="shared" si="54"/>
        <v>2</v>
      </c>
      <c r="AD301">
        <f t="shared" si="55"/>
        <v>3</v>
      </c>
      <c r="AE301">
        <f t="shared" si="56"/>
        <v>3</v>
      </c>
      <c r="AF301">
        <f t="shared" si="57"/>
        <v>0</v>
      </c>
      <c r="AG301">
        <f t="shared" si="58"/>
        <v>9</v>
      </c>
      <c r="AH301">
        <f t="shared" ca="1" si="59"/>
        <v>0</v>
      </c>
      <c r="AI301">
        <f>IF(ROW($AA301) - $AA$51 &lt; ($H$16+1)^5, IF(AG301 &gt;= BaseBonus!$C$16, AG301*BaseBonus!$E$31, 0), "")</f>
        <v>8.4514822316332161</v>
      </c>
      <c r="AJ301">
        <f t="shared" ca="1" si="60"/>
        <v>0</v>
      </c>
    </row>
    <row r="302" spans="28:36" x14ac:dyDescent="0.3">
      <c r="AB302">
        <f t="shared" si="53"/>
        <v>2</v>
      </c>
      <c r="AC302">
        <f t="shared" si="54"/>
        <v>2</v>
      </c>
      <c r="AD302">
        <f t="shared" si="55"/>
        <v>3</v>
      </c>
      <c r="AE302">
        <f t="shared" si="56"/>
        <v>3</v>
      </c>
      <c r="AF302">
        <f t="shared" si="57"/>
        <v>0</v>
      </c>
      <c r="AG302">
        <f t="shared" si="58"/>
        <v>10</v>
      </c>
      <c r="AH302">
        <f t="shared" ca="1" si="59"/>
        <v>0</v>
      </c>
      <c r="AI302">
        <f>IF(ROW($AA302) - $AA$51 &lt; ($H$16+1)^5, IF(AG302 &gt;= BaseBonus!$C$16, AG302*BaseBonus!$E$31, 0), "")</f>
        <v>9.3905358129257959</v>
      </c>
      <c r="AJ302">
        <f t="shared" ca="1" si="60"/>
        <v>0</v>
      </c>
    </row>
    <row r="303" spans="28:36" x14ac:dyDescent="0.3">
      <c r="AB303">
        <f t="shared" si="53"/>
        <v>3</v>
      </c>
      <c r="AC303">
        <f t="shared" si="54"/>
        <v>2</v>
      </c>
      <c r="AD303">
        <f t="shared" si="55"/>
        <v>3</v>
      </c>
      <c r="AE303">
        <f t="shared" si="56"/>
        <v>3</v>
      </c>
      <c r="AF303">
        <f t="shared" si="57"/>
        <v>0</v>
      </c>
      <c r="AG303">
        <f t="shared" si="58"/>
        <v>11</v>
      </c>
      <c r="AH303">
        <f t="shared" ca="1" si="59"/>
        <v>0</v>
      </c>
      <c r="AI303">
        <f>IF(ROW($AA303) - $AA$51 &lt; ($H$16+1)^5, IF(AG303 &gt;= BaseBonus!$C$16, AG303*BaseBonus!$E$31, 0), "")</f>
        <v>10.329589394218376</v>
      </c>
      <c r="AJ303">
        <f t="shared" ca="1" si="60"/>
        <v>0</v>
      </c>
    </row>
    <row r="304" spans="28:36" x14ac:dyDescent="0.3">
      <c r="AB304">
        <f t="shared" si="53"/>
        <v>0</v>
      </c>
      <c r="AC304">
        <f t="shared" si="54"/>
        <v>3</v>
      </c>
      <c r="AD304">
        <f t="shared" si="55"/>
        <v>3</v>
      </c>
      <c r="AE304">
        <f t="shared" si="56"/>
        <v>3</v>
      </c>
      <c r="AF304">
        <f t="shared" si="57"/>
        <v>0</v>
      </c>
      <c r="AG304">
        <f t="shared" si="58"/>
        <v>9</v>
      </c>
      <c r="AH304">
        <f t="shared" ca="1" si="59"/>
        <v>0</v>
      </c>
      <c r="AI304">
        <f>IF(ROW($AA304) - $AA$51 &lt; ($H$16+1)^5, IF(AG304 &gt;= BaseBonus!$C$16, AG304*BaseBonus!$E$31, 0), "")</f>
        <v>8.4514822316332161</v>
      </c>
      <c r="AJ304">
        <f t="shared" ca="1" si="60"/>
        <v>0</v>
      </c>
    </row>
    <row r="305" spans="28:36" x14ac:dyDescent="0.3">
      <c r="AB305">
        <f t="shared" si="53"/>
        <v>1</v>
      </c>
      <c r="AC305">
        <f t="shared" si="54"/>
        <v>3</v>
      </c>
      <c r="AD305">
        <f t="shared" si="55"/>
        <v>3</v>
      </c>
      <c r="AE305">
        <f t="shared" si="56"/>
        <v>3</v>
      </c>
      <c r="AF305">
        <f t="shared" si="57"/>
        <v>0</v>
      </c>
      <c r="AG305">
        <f t="shared" si="58"/>
        <v>10</v>
      </c>
      <c r="AH305">
        <f t="shared" ca="1" si="59"/>
        <v>0</v>
      </c>
      <c r="AI305">
        <f>IF(ROW($AA305) - $AA$51 &lt; ($H$16+1)^5, IF(AG305 &gt;= BaseBonus!$C$16, AG305*BaseBonus!$E$31, 0), "")</f>
        <v>9.3905358129257959</v>
      </c>
      <c r="AJ305">
        <f t="shared" ca="1" si="60"/>
        <v>0</v>
      </c>
    </row>
    <row r="306" spans="28:36" x14ac:dyDescent="0.3">
      <c r="AB306">
        <f t="shared" si="53"/>
        <v>2</v>
      </c>
      <c r="AC306">
        <f t="shared" si="54"/>
        <v>3</v>
      </c>
      <c r="AD306">
        <f t="shared" si="55"/>
        <v>3</v>
      </c>
      <c r="AE306">
        <f t="shared" si="56"/>
        <v>3</v>
      </c>
      <c r="AF306">
        <f t="shared" si="57"/>
        <v>0</v>
      </c>
      <c r="AG306">
        <f t="shared" si="58"/>
        <v>11</v>
      </c>
      <c r="AH306">
        <f t="shared" ca="1" si="59"/>
        <v>0</v>
      </c>
      <c r="AI306">
        <f>IF(ROW($AA306) - $AA$51 &lt; ($H$16+1)^5, IF(AG306 &gt;= BaseBonus!$C$16, AG306*BaseBonus!$E$31, 0), "")</f>
        <v>10.329589394218376</v>
      </c>
      <c r="AJ306">
        <f t="shared" ca="1" si="60"/>
        <v>0</v>
      </c>
    </row>
    <row r="307" spans="28:36" x14ac:dyDescent="0.3">
      <c r="AB307">
        <f t="shared" si="53"/>
        <v>3</v>
      </c>
      <c r="AC307">
        <f t="shared" si="54"/>
        <v>3</v>
      </c>
      <c r="AD307">
        <f t="shared" si="55"/>
        <v>3</v>
      </c>
      <c r="AE307">
        <f t="shared" si="56"/>
        <v>3</v>
      </c>
      <c r="AF307">
        <f t="shared" si="57"/>
        <v>0</v>
      </c>
      <c r="AG307">
        <f t="shared" si="58"/>
        <v>12</v>
      </c>
      <c r="AH307">
        <f t="shared" ca="1" si="59"/>
        <v>0</v>
      </c>
      <c r="AI307">
        <f>IF(ROW($AA307) - $AA$51 &lt; ($H$16+1)^5, IF(AG307 &gt;= BaseBonus!$C$16, AG307*BaseBonus!$E$31, 0), "")</f>
        <v>11.268642975510955</v>
      </c>
      <c r="AJ307">
        <f t="shared" ca="1" si="60"/>
        <v>0</v>
      </c>
    </row>
    <row r="308" spans="28:36" x14ac:dyDescent="0.3">
      <c r="AB308">
        <f t="shared" ref="AB308:AB371" si="61">IF(ROW()-$AA$51 &lt; (H$16+1)^5, MOD(_xlfn.FLOOR.MATH((ROW()-$AA$51)/AB$50), H$16+1), "")</f>
        <v>0</v>
      </c>
      <c r="AC308">
        <f t="shared" ref="AC308:AC371" si="62">IF(ROW()-$AA$51 &lt; (I$16+1)^5, MOD(_xlfn.FLOOR.MATH((ROW()-$AA$51)/AC$50), I$16+1), "")</f>
        <v>0</v>
      </c>
      <c r="AD308">
        <f t="shared" ref="AD308:AD371" si="63">IF(ROW()-$AA$51 &lt; (J$16+1)^5, MOD(_xlfn.FLOOR.MATH((ROW()-$AA$51)/AD$50), J$16+1), "")</f>
        <v>0</v>
      </c>
      <c r="AE308">
        <f t="shared" ref="AE308:AE371" si="64">IF(ROW()-$AA$51 &lt; (K$16+1)^5, MOD(_xlfn.FLOOR.MATH((ROW()-$AA$51)/AE$50), K$16+1), "")</f>
        <v>0</v>
      </c>
      <c r="AF308">
        <f t="shared" ref="AF308:AF371" si="65">IF(ROW()-$AA$51 &lt; (L$16+1)^5, MOD(_xlfn.FLOOR.MATH((ROW()-$AA$51)/AF$50), L$16+1), "")</f>
        <v>1</v>
      </c>
      <c r="AG308">
        <f t="shared" ref="AG308:AG371" si="66">IF(ROW($AA308) - $AA$51 &lt; ($H$16+1)^5, SUM(AB308:AF308), "")</f>
        <v>1</v>
      </c>
      <c r="AH308">
        <f t="shared" ref="AH308:AH371" ca="1" si="67">IF(ROW($AA308) - $AA$51 &lt; (4)^5,
    (_xlfn.XLOOKUP(AB308,$T$51:$T$55,U$51:U$55,0)/U$27) * (_xlfn.XLOOKUP(AC308,$T$51:$T$55,V$51:V$55,0)/V$27) * (_xlfn.XLOOKUP(AD308,$T$51:$T$55,W$51:W$55,0)/W$27) * (_xlfn.XLOOKUP(AE308,$T$51:$T$55,X$51:X$55,0)/X$27) * (_xlfn.XLOOKUP(AF308,$T$51:$T$55,Y$51:Y$55,0)/Y$27),
"")</f>
        <v>5.2768611139615881E-2</v>
      </c>
      <c r="AI308">
        <f>IF(ROW($AA308) - $AA$51 &lt; ($H$16+1)^5, IF(AG308 &gt;= BaseBonus!$C$16, AG308*BaseBonus!$E$31, 0), "")</f>
        <v>0</v>
      </c>
      <c r="AJ308">
        <f t="shared" ref="AJ308:AJ371" ca="1" si="68">IF(ROW($AA308) - $AA$51 &lt; ($H$16+1)^5, AH308*AI308, "")</f>
        <v>0</v>
      </c>
    </row>
    <row r="309" spans="28:36" x14ac:dyDescent="0.3">
      <c r="AB309">
        <f t="shared" si="61"/>
        <v>1</v>
      </c>
      <c r="AC309">
        <f t="shared" si="62"/>
        <v>0</v>
      </c>
      <c r="AD309">
        <f t="shared" si="63"/>
        <v>0</v>
      </c>
      <c r="AE309">
        <f t="shared" si="64"/>
        <v>0</v>
      </c>
      <c r="AF309">
        <f t="shared" si="65"/>
        <v>1</v>
      </c>
      <c r="AG309">
        <f t="shared" si="66"/>
        <v>2</v>
      </c>
      <c r="AH309">
        <f t="shared" ca="1" si="67"/>
        <v>9.8941145886779769E-3</v>
      </c>
      <c r="AI309">
        <f>IF(ROW($AA309) - $AA$51 &lt; ($H$16+1)^5, IF(AG309 &gt;= BaseBonus!$C$16, AG309*BaseBonus!$E$31, 0), "")</f>
        <v>0</v>
      </c>
      <c r="AJ309">
        <f t="shared" ca="1" si="68"/>
        <v>0</v>
      </c>
    </row>
    <row r="310" spans="28:36" x14ac:dyDescent="0.3">
      <c r="AB310">
        <f t="shared" si="61"/>
        <v>2</v>
      </c>
      <c r="AC310">
        <f t="shared" si="62"/>
        <v>0</v>
      </c>
      <c r="AD310">
        <f t="shared" si="63"/>
        <v>0</v>
      </c>
      <c r="AE310">
        <f t="shared" si="64"/>
        <v>0</v>
      </c>
      <c r="AF310">
        <f t="shared" si="65"/>
        <v>1</v>
      </c>
      <c r="AG310">
        <f t="shared" si="66"/>
        <v>3</v>
      </c>
      <c r="AH310">
        <f t="shared" ca="1" si="67"/>
        <v>4.9470572943389884E-3</v>
      </c>
      <c r="AI310">
        <f>IF(ROW($AA310) - $AA$51 &lt; ($H$16+1)^5, IF(AG310 &gt;= BaseBonus!$C$16, AG310*BaseBonus!$E$31, 0), "")</f>
        <v>0</v>
      </c>
      <c r="AJ310">
        <f t="shared" ca="1" si="68"/>
        <v>0</v>
      </c>
    </row>
    <row r="311" spans="28:36" x14ac:dyDescent="0.3">
      <c r="AB311">
        <f t="shared" si="61"/>
        <v>3</v>
      </c>
      <c r="AC311">
        <f t="shared" si="62"/>
        <v>0</v>
      </c>
      <c r="AD311">
        <f t="shared" si="63"/>
        <v>0</v>
      </c>
      <c r="AE311">
        <f t="shared" si="64"/>
        <v>0</v>
      </c>
      <c r="AF311">
        <f t="shared" si="65"/>
        <v>1</v>
      </c>
      <c r="AG311">
        <f t="shared" si="66"/>
        <v>4</v>
      </c>
      <c r="AH311">
        <f t="shared" ca="1" si="67"/>
        <v>0</v>
      </c>
      <c r="AI311">
        <f>IF(ROW($AA311) - $AA$51 &lt; ($H$16+1)^5, IF(AG311 &gt;= BaseBonus!$C$16, AG311*BaseBonus!$E$31, 0), "")</f>
        <v>0</v>
      </c>
      <c r="AJ311">
        <f t="shared" ca="1" si="68"/>
        <v>0</v>
      </c>
    </row>
    <row r="312" spans="28:36" x14ac:dyDescent="0.3">
      <c r="AB312">
        <f t="shared" si="61"/>
        <v>0</v>
      </c>
      <c r="AC312">
        <f t="shared" si="62"/>
        <v>1</v>
      </c>
      <c r="AD312">
        <f t="shared" si="63"/>
        <v>0</v>
      </c>
      <c r="AE312">
        <f t="shared" si="64"/>
        <v>0</v>
      </c>
      <c r="AF312">
        <f t="shared" si="65"/>
        <v>1</v>
      </c>
      <c r="AG312">
        <f t="shared" si="66"/>
        <v>2</v>
      </c>
      <c r="AH312">
        <f t="shared" ca="1" si="67"/>
        <v>1.609889831378112E-2</v>
      </c>
      <c r="AI312">
        <f>IF(ROW($AA312) - $AA$51 &lt; ($H$16+1)^5, IF(AG312 &gt;= BaseBonus!$C$16, AG312*BaseBonus!$E$31, 0), "")</f>
        <v>0</v>
      </c>
      <c r="AJ312">
        <f t="shared" ca="1" si="68"/>
        <v>0</v>
      </c>
    </row>
    <row r="313" spans="28:36" x14ac:dyDescent="0.3">
      <c r="AB313">
        <f t="shared" si="61"/>
        <v>1</v>
      </c>
      <c r="AC313">
        <f t="shared" si="62"/>
        <v>1</v>
      </c>
      <c r="AD313">
        <f t="shared" si="63"/>
        <v>0</v>
      </c>
      <c r="AE313">
        <f t="shared" si="64"/>
        <v>0</v>
      </c>
      <c r="AF313">
        <f t="shared" si="65"/>
        <v>1</v>
      </c>
      <c r="AG313">
        <f t="shared" si="66"/>
        <v>3</v>
      </c>
      <c r="AH313">
        <f t="shared" ca="1" si="67"/>
        <v>3.0185434338339599E-3</v>
      </c>
      <c r="AI313">
        <f>IF(ROW($AA313) - $AA$51 &lt; ($H$16+1)^5, IF(AG313 &gt;= BaseBonus!$C$16, AG313*BaseBonus!$E$31, 0), "")</f>
        <v>0</v>
      </c>
      <c r="AJ313">
        <f t="shared" ca="1" si="68"/>
        <v>0</v>
      </c>
    </row>
    <row r="314" spans="28:36" x14ac:dyDescent="0.3">
      <c r="AB314">
        <f t="shared" si="61"/>
        <v>2</v>
      </c>
      <c r="AC314">
        <f t="shared" si="62"/>
        <v>1</v>
      </c>
      <c r="AD314">
        <f t="shared" si="63"/>
        <v>0</v>
      </c>
      <c r="AE314">
        <f t="shared" si="64"/>
        <v>0</v>
      </c>
      <c r="AF314">
        <f t="shared" si="65"/>
        <v>1</v>
      </c>
      <c r="AG314">
        <f t="shared" si="66"/>
        <v>4</v>
      </c>
      <c r="AH314">
        <f t="shared" ca="1" si="67"/>
        <v>1.50927171691698E-3</v>
      </c>
      <c r="AI314">
        <f>IF(ROW($AA314) - $AA$51 &lt; ($H$16+1)^5, IF(AG314 &gt;= BaseBonus!$C$16, AG314*BaseBonus!$E$31, 0), "")</f>
        <v>0</v>
      </c>
      <c r="AJ314">
        <f t="shared" ca="1" si="68"/>
        <v>0</v>
      </c>
    </row>
    <row r="315" spans="28:36" x14ac:dyDescent="0.3">
      <c r="AB315">
        <f t="shared" si="61"/>
        <v>3</v>
      </c>
      <c r="AC315">
        <f t="shared" si="62"/>
        <v>1</v>
      </c>
      <c r="AD315">
        <f t="shared" si="63"/>
        <v>0</v>
      </c>
      <c r="AE315">
        <f t="shared" si="64"/>
        <v>0</v>
      </c>
      <c r="AF315">
        <f t="shared" si="65"/>
        <v>1</v>
      </c>
      <c r="AG315">
        <f t="shared" si="66"/>
        <v>5</v>
      </c>
      <c r="AH315">
        <f t="shared" ca="1" si="67"/>
        <v>0</v>
      </c>
      <c r="AI315">
        <f>IF(ROW($AA315) - $AA$51 &lt; ($H$16+1)^5, IF(AG315 &gt;= BaseBonus!$C$16, AG315*BaseBonus!$E$31, 0), "")</f>
        <v>4.6952679064628979</v>
      </c>
      <c r="AJ315">
        <f t="shared" ca="1" si="68"/>
        <v>0</v>
      </c>
    </row>
    <row r="316" spans="28:36" x14ac:dyDescent="0.3">
      <c r="AB316">
        <f t="shared" si="61"/>
        <v>0</v>
      </c>
      <c r="AC316">
        <f t="shared" si="62"/>
        <v>2</v>
      </c>
      <c r="AD316">
        <f t="shared" si="63"/>
        <v>0</v>
      </c>
      <c r="AE316">
        <f t="shared" si="64"/>
        <v>0</v>
      </c>
      <c r="AF316">
        <f t="shared" si="65"/>
        <v>1</v>
      </c>
      <c r="AG316">
        <f t="shared" si="66"/>
        <v>3</v>
      </c>
      <c r="AH316">
        <f t="shared" ca="1" si="67"/>
        <v>2.6831497189635199E-3</v>
      </c>
      <c r="AI316">
        <f>IF(ROW($AA316) - $AA$51 &lt; ($H$16+1)^5, IF(AG316 &gt;= BaseBonus!$C$16, AG316*BaseBonus!$E$31, 0), "")</f>
        <v>0</v>
      </c>
      <c r="AJ316">
        <f t="shared" ca="1" si="68"/>
        <v>0</v>
      </c>
    </row>
    <row r="317" spans="28:36" x14ac:dyDescent="0.3">
      <c r="AB317">
        <f t="shared" si="61"/>
        <v>1</v>
      </c>
      <c r="AC317">
        <f t="shared" si="62"/>
        <v>2</v>
      </c>
      <c r="AD317">
        <f t="shared" si="63"/>
        <v>0</v>
      </c>
      <c r="AE317">
        <f t="shared" si="64"/>
        <v>0</v>
      </c>
      <c r="AF317">
        <f t="shared" si="65"/>
        <v>1</v>
      </c>
      <c r="AG317">
        <f t="shared" si="66"/>
        <v>4</v>
      </c>
      <c r="AH317">
        <f t="shared" ca="1" si="67"/>
        <v>5.0309057230565988E-4</v>
      </c>
      <c r="AI317">
        <f>IF(ROW($AA317) - $AA$51 &lt; ($H$16+1)^5, IF(AG317 &gt;= BaseBonus!$C$16, AG317*BaseBonus!$E$31, 0), "")</f>
        <v>0</v>
      </c>
      <c r="AJ317">
        <f t="shared" ca="1" si="68"/>
        <v>0</v>
      </c>
    </row>
    <row r="318" spans="28:36" x14ac:dyDescent="0.3">
      <c r="AB318">
        <f t="shared" si="61"/>
        <v>2</v>
      </c>
      <c r="AC318">
        <f t="shared" si="62"/>
        <v>2</v>
      </c>
      <c r="AD318">
        <f t="shared" si="63"/>
        <v>0</v>
      </c>
      <c r="AE318">
        <f t="shared" si="64"/>
        <v>0</v>
      </c>
      <c r="AF318">
        <f t="shared" si="65"/>
        <v>1</v>
      </c>
      <c r="AG318">
        <f t="shared" si="66"/>
        <v>5</v>
      </c>
      <c r="AH318">
        <f t="shared" ca="1" si="67"/>
        <v>2.5154528615282994E-4</v>
      </c>
      <c r="AI318">
        <f>IF(ROW($AA318) - $AA$51 &lt; ($H$16+1)^5, IF(AG318 &gt;= BaseBonus!$C$16, AG318*BaseBonus!$E$31, 0), "")</f>
        <v>4.6952679064628979</v>
      </c>
      <c r="AJ318">
        <f t="shared" ca="1" si="68"/>
        <v>1.1810725090954084E-3</v>
      </c>
    </row>
    <row r="319" spans="28:36" x14ac:dyDescent="0.3">
      <c r="AB319">
        <f t="shared" si="61"/>
        <v>3</v>
      </c>
      <c r="AC319">
        <f t="shared" si="62"/>
        <v>2</v>
      </c>
      <c r="AD319">
        <f t="shared" si="63"/>
        <v>0</v>
      </c>
      <c r="AE319">
        <f t="shared" si="64"/>
        <v>0</v>
      </c>
      <c r="AF319">
        <f t="shared" si="65"/>
        <v>1</v>
      </c>
      <c r="AG319">
        <f t="shared" si="66"/>
        <v>6</v>
      </c>
      <c r="AH319">
        <f t="shared" ca="1" si="67"/>
        <v>0</v>
      </c>
      <c r="AI319">
        <f>IF(ROW($AA319) - $AA$51 &lt; ($H$16+1)^5, IF(AG319 &gt;= BaseBonus!$C$16, AG319*BaseBonus!$E$31, 0), "")</f>
        <v>5.6343214877554777</v>
      </c>
      <c r="AJ319">
        <f t="shared" ca="1" si="68"/>
        <v>0</v>
      </c>
    </row>
    <row r="320" spans="28:36" x14ac:dyDescent="0.3">
      <c r="AB320">
        <f t="shared" si="61"/>
        <v>0</v>
      </c>
      <c r="AC320">
        <f t="shared" si="62"/>
        <v>3</v>
      </c>
      <c r="AD320">
        <f t="shared" si="63"/>
        <v>0</v>
      </c>
      <c r="AE320">
        <f t="shared" si="64"/>
        <v>0</v>
      </c>
      <c r="AF320">
        <f t="shared" si="65"/>
        <v>1</v>
      </c>
      <c r="AG320">
        <f t="shared" si="66"/>
        <v>4</v>
      </c>
      <c r="AH320">
        <f t="shared" ca="1" si="67"/>
        <v>0</v>
      </c>
      <c r="AI320">
        <f>IF(ROW($AA320) - $AA$51 &lt; ($H$16+1)^5, IF(AG320 &gt;= BaseBonus!$C$16, AG320*BaseBonus!$E$31, 0), "")</f>
        <v>0</v>
      </c>
      <c r="AJ320">
        <f t="shared" ca="1" si="68"/>
        <v>0</v>
      </c>
    </row>
    <row r="321" spans="28:36" x14ac:dyDescent="0.3">
      <c r="AB321">
        <f t="shared" si="61"/>
        <v>1</v>
      </c>
      <c r="AC321">
        <f t="shared" si="62"/>
        <v>3</v>
      </c>
      <c r="AD321">
        <f t="shared" si="63"/>
        <v>0</v>
      </c>
      <c r="AE321">
        <f t="shared" si="64"/>
        <v>0</v>
      </c>
      <c r="AF321">
        <f t="shared" si="65"/>
        <v>1</v>
      </c>
      <c r="AG321">
        <f t="shared" si="66"/>
        <v>5</v>
      </c>
      <c r="AH321">
        <f t="shared" ca="1" si="67"/>
        <v>0</v>
      </c>
      <c r="AI321">
        <f>IF(ROW($AA321) - $AA$51 &lt; ($H$16+1)^5, IF(AG321 &gt;= BaseBonus!$C$16, AG321*BaseBonus!$E$31, 0), "")</f>
        <v>4.6952679064628979</v>
      </c>
      <c r="AJ321">
        <f t="shared" ca="1" si="68"/>
        <v>0</v>
      </c>
    </row>
    <row r="322" spans="28:36" x14ac:dyDescent="0.3">
      <c r="AB322">
        <f t="shared" si="61"/>
        <v>2</v>
      </c>
      <c r="AC322">
        <f t="shared" si="62"/>
        <v>3</v>
      </c>
      <c r="AD322">
        <f t="shared" si="63"/>
        <v>0</v>
      </c>
      <c r="AE322">
        <f t="shared" si="64"/>
        <v>0</v>
      </c>
      <c r="AF322">
        <f t="shared" si="65"/>
        <v>1</v>
      </c>
      <c r="AG322">
        <f t="shared" si="66"/>
        <v>6</v>
      </c>
      <c r="AH322">
        <f t="shared" ca="1" si="67"/>
        <v>0</v>
      </c>
      <c r="AI322">
        <f>IF(ROW($AA322) - $AA$51 &lt; ($H$16+1)^5, IF(AG322 &gt;= BaseBonus!$C$16, AG322*BaseBonus!$E$31, 0), "")</f>
        <v>5.6343214877554777</v>
      </c>
      <c r="AJ322">
        <f t="shared" ca="1" si="68"/>
        <v>0</v>
      </c>
    </row>
    <row r="323" spans="28:36" x14ac:dyDescent="0.3">
      <c r="AB323">
        <f t="shared" si="61"/>
        <v>3</v>
      </c>
      <c r="AC323">
        <f t="shared" si="62"/>
        <v>3</v>
      </c>
      <c r="AD323">
        <f t="shared" si="63"/>
        <v>0</v>
      </c>
      <c r="AE323">
        <f t="shared" si="64"/>
        <v>0</v>
      </c>
      <c r="AF323">
        <f t="shared" si="65"/>
        <v>1</v>
      </c>
      <c r="AG323">
        <f t="shared" si="66"/>
        <v>7</v>
      </c>
      <c r="AH323">
        <f t="shared" ca="1" si="67"/>
        <v>0</v>
      </c>
      <c r="AI323">
        <f>IF(ROW($AA323) - $AA$51 &lt; ($H$16+1)^5, IF(AG323 &gt;= BaseBonus!$C$16, AG323*BaseBonus!$E$31, 0), "")</f>
        <v>6.5733750690480575</v>
      </c>
      <c r="AJ323">
        <f t="shared" ca="1" si="68"/>
        <v>0</v>
      </c>
    </row>
    <row r="324" spans="28:36" x14ac:dyDescent="0.3">
      <c r="AB324">
        <f t="shared" si="61"/>
        <v>0</v>
      </c>
      <c r="AC324">
        <f t="shared" si="62"/>
        <v>0</v>
      </c>
      <c r="AD324">
        <f t="shared" si="63"/>
        <v>1</v>
      </c>
      <c r="AE324">
        <f t="shared" si="64"/>
        <v>0</v>
      </c>
      <c r="AF324">
        <f t="shared" si="65"/>
        <v>1</v>
      </c>
      <c r="AG324">
        <f t="shared" si="66"/>
        <v>2</v>
      </c>
      <c r="AH324">
        <f t="shared" ca="1" si="67"/>
        <v>1.211082878614135E-2</v>
      </c>
      <c r="AI324">
        <f>IF(ROW($AA324) - $AA$51 &lt; ($H$16+1)^5, IF(AG324 &gt;= BaseBonus!$C$16, AG324*BaseBonus!$E$31, 0), "")</f>
        <v>0</v>
      </c>
      <c r="AJ324">
        <f t="shared" ca="1" si="68"/>
        <v>0</v>
      </c>
    </row>
    <row r="325" spans="28:36" x14ac:dyDescent="0.3">
      <c r="AB325">
        <f t="shared" si="61"/>
        <v>1</v>
      </c>
      <c r="AC325">
        <f t="shared" si="62"/>
        <v>0</v>
      </c>
      <c r="AD325">
        <f t="shared" si="63"/>
        <v>1</v>
      </c>
      <c r="AE325">
        <f t="shared" si="64"/>
        <v>0</v>
      </c>
      <c r="AF325">
        <f t="shared" si="65"/>
        <v>1</v>
      </c>
      <c r="AG325">
        <f t="shared" si="66"/>
        <v>3</v>
      </c>
      <c r="AH325">
        <f t="shared" ca="1" si="67"/>
        <v>2.2707803974015032E-3</v>
      </c>
      <c r="AI325">
        <f>IF(ROW($AA325) - $AA$51 &lt; ($H$16+1)^5, IF(AG325 &gt;= BaseBonus!$C$16, AG325*BaseBonus!$E$31, 0), "")</f>
        <v>0</v>
      </c>
      <c r="AJ325">
        <f t="shared" ca="1" si="68"/>
        <v>0</v>
      </c>
    </row>
    <row r="326" spans="28:36" x14ac:dyDescent="0.3">
      <c r="AB326">
        <f t="shared" si="61"/>
        <v>2</v>
      </c>
      <c r="AC326">
        <f t="shared" si="62"/>
        <v>0</v>
      </c>
      <c r="AD326">
        <f t="shared" si="63"/>
        <v>1</v>
      </c>
      <c r="AE326">
        <f t="shared" si="64"/>
        <v>0</v>
      </c>
      <c r="AF326">
        <f t="shared" si="65"/>
        <v>1</v>
      </c>
      <c r="AG326">
        <f t="shared" si="66"/>
        <v>4</v>
      </c>
      <c r="AH326">
        <f t="shared" ca="1" si="67"/>
        <v>1.1353901987007516E-3</v>
      </c>
      <c r="AI326">
        <f>IF(ROW($AA326) - $AA$51 &lt; ($H$16+1)^5, IF(AG326 &gt;= BaseBonus!$C$16, AG326*BaseBonus!$E$31, 0), "")</f>
        <v>0</v>
      </c>
      <c r="AJ326">
        <f t="shared" ca="1" si="68"/>
        <v>0</v>
      </c>
    </row>
    <row r="327" spans="28:36" x14ac:dyDescent="0.3">
      <c r="AB327">
        <f t="shared" si="61"/>
        <v>3</v>
      </c>
      <c r="AC327">
        <f t="shared" si="62"/>
        <v>0</v>
      </c>
      <c r="AD327">
        <f t="shared" si="63"/>
        <v>1</v>
      </c>
      <c r="AE327">
        <f t="shared" si="64"/>
        <v>0</v>
      </c>
      <c r="AF327">
        <f t="shared" si="65"/>
        <v>1</v>
      </c>
      <c r="AG327">
        <f t="shared" si="66"/>
        <v>5</v>
      </c>
      <c r="AH327">
        <f t="shared" ca="1" si="67"/>
        <v>0</v>
      </c>
      <c r="AI327">
        <f>IF(ROW($AA327) - $AA$51 &lt; ($H$16+1)^5, IF(AG327 &gt;= BaseBonus!$C$16, AG327*BaseBonus!$E$31, 0), "")</f>
        <v>4.6952679064628979</v>
      </c>
      <c r="AJ327">
        <f t="shared" ca="1" si="68"/>
        <v>0</v>
      </c>
    </row>
    <row r="328" spans="28:36" x14ac:dyDescent="0.3">
      <c r="AB328">
        <f t="shared" si="61"/>
        <v>0</v>
      </c>
      <c r="AC328">
        <f t="shared" si="62"/>
        <v>1</v>
      </c>
      <c r="AD328">
        <f t="shared" si="63"/>
        <v>1</v>
      </c>
      <c r="AE328">
        <f t="shared" si="64"/>
        <v>0</v>
      </c>
      <c r="AF328">
        <f t="shared" si="65"/>
        <v>1</v>
      </c>
      <c r="AG328">
        <f t="shared" si="66"/>
        <v>3</v>
      </c>
      <c r="AH328">
        <f t="shared" ca="1" si="67"/>
        <v>3.6948291211956665E-3</v>
      </c>
      <c r="AI328">
        <f>IF(ROW($AA328) - $AA$51 &lt; ($H$16+1)^5, IF(AG328 &gt;= BaseBonus!$C$16, AG328*BaseBonus!$E$31, 0), "")</f>
        <v>0</v>
      </c>
      <c r="AJ328">
        <f t="shared" ca="1" si="68"/>
        <v>0</v>
      </c>
    </row>
    <row r="329" spans="28:36" x14ac:dyDescent="0.3">
      <c r="AB329">
        <f t="shared" si="61"/>
        <v>1</v>
      </c>
      <c r="AC329">
        <f t="shared" si="62"/>
        <v>1</v>
      </c>
      <c r="AD329">
        <f t="shared" si="63"/>
        <v>1</v>
      </c>
      <c r="AE329">
        <f t="shared" si="64"/>
        <v>0</v>
      </c>
      <c r="AF329">
        <f t="shared" si="65"/>
        <v>1</v>
      </c>
      <c r="AG329">
        <f t="shared" si="66"/>
        <v>4</v>
      </c>
      <c r="AH329">
        <f t="shared" ca="1" si="67"/>
        <v>6.9278046022418747E-4</v>
      </c>
      <c r="AI329">
        <f>IF(ROW($AA329) - $AA$51 &lt; ($H$16+1)^5, IF(AG329 &gt;= BaseBonus!$C$16, AG329*BaseBonus!$E$31, 0), "")</f>
        <v>0</v>
      </c>
      <c r="AJ329">
        <f t="shared" ca="1" si="68"/>
        <v>0</v>
      </c>
    </row>
    <row r="330" spans="28:36" x14ac:dyDescent="0.3">
      <c r="AB330">
        <f t="shared" si="61"/>
        <v>2</v>
      </c>
      <c r="AC330">
        <f t="shared" si="62"/>
        <v>1</v>
      </c>
      <c r="AD330">
        <f t="shared" si="63"/>
        <v>1</v>
      </c>
      <c r="AE330">
        <f t="shared" si="64"/>
        <v>0</v>
      </c>
      <c r="AF330">
        <f t="shared" si="65"/>
        <v>1</v>
      </c>
      <c r="AG330">
        <f t="shared" si="66"/>
        <v>5</v>
      </c>
      <c r="AH330">
        <f t="shared" ca="1" si="67"/>
        <v>3.4639023011209374E-4</v>
      </c>
      <c r="AI330">
        <f>IF(ROW($AA330) - $AA$51 &lt; ($H$16+1)^5, IF(AG330 &gt;= BaseBonus!$C$16, AG330*BaseBonus!$E$31, 0), "")</f>
        <v>4.6952679064628979</v>
      </c>
      <c r="AJ330">
        <f t="shared" ca="1" si="68"/>
        <v>1.6263949305576118E-3</v>
      </c>
    </row>
    <row r="331" spans="28:36" x14ac:dyDescent="0.3">
      <c r="AB331">
        <f t="shared" si="61"/>
        <v>3</v>
      </c>
      <c r="AC331">
        <f t="shared" si="62"/>
        <v>1</v>
      </c>
      <c r="AD331">
        <f t="shared" si="63"/>
        <v>1</v>
      </c>
      <c r="AE331">
        <f t="shared" si="64"/>
        <v>0</v>
      </c>
      <c r="AF331">
        <f t="shared" si="65"/>
        <v>1</v>
      </c>
      <c r="AG331">
        <f t="shared" si="66"/>
        <v>6</v>
      </c>
      <c r="AH331">
        <f t="shared" ca="1" si="67"/>
        <v>0</v>
      </c>
      <c r="AI331">
        <f>IF(ROW($AA331) - $AA$51 &lt; ($H$16+1)^5, IF(AG331 &gt;= BaseBonus!$C$16, AG331*BaseBonus!$E$31, 0), "")</f>
        <v>5.6343214877554777</v>
      </c>
      <c r="AJ331">
        <f t="shared" ca="1" si="68"/>
        <v>0</v>
      </c>
    </row>
    <row r="332" spans="28:36" x14ac:dyDescent="0.3">
      <c r="AB332">
        <f t="shared" si="61"/>
        <v>0</v>
      </c>
      <c r="AC332">
        <f t="shared" si="62"/>
        <v>2</v>
      </c>
      <c r="AD332">
        <f t="shared" si="63"/>
        <v>1</v>
      </c>
      <c r="AE332">
        <f t="shared" si="64"/>
        <v>0</v>
      </c>
      <c r="AF332">
        <f t="shared" si="65"/>
        <v>1</v>
      </c>
      <c r="AG332">
        <f t="shared" si="66"/>
        <v>4</v>
      </c>
      <c r="AH332">
        <f t="shared" ca="1" si="67"/>
        <v>6.1580485353261109E-4</v>
      </c>
      <c r="AI332">
        <f>IF(ROW($AA332) - $AA$51 &lt; ($H$16+1)^5, IF(AG332 &gt;= BaseBonus!$C$16, AG332*BaseBonus!$E$31, 0), "")</f>
        <v>0</v>
      </c>
      <c r="AJ332">
        <f t="shared" ca="1" si="68"/>
        <v>0</v>
      </c>
    </row>
    <row r="333" spans="28:36" x14ac:dyDescent="0.3">
      <c r="AB333">
        <f t="shared" si="61"/>
        <v>1</v>
      </c>
      <c r="AC333">
        <f t="shared" si="62"/>
        <v>2</v>
      </c>
      <c r="AD333">
        <f t="shared" si="63"/>
        <v>1</v>
      </c>
      <c r="AE333">
        <f t="shared" si="64"/>
        <v>0</v>
      </c>
      <c r="AF333">
        <f t="shared" si="65"/>
        <v>1</v>
      </c>
      <c r="AG333">
        <f t="shared" si="66"/>
        <v>5</v>
      </c>
      <c r="AH333">
        <f t="shared" ca="1" si="67"/>
        <v>1.1546341003736457E-4</v>
      </c>
      <c r="AI333">
        <f>IF(ROW($AA333) - $AA$51 &lt; ($H$16+1)^5, IF(AG333 &gt;= BaseBonus!$C$16, AG333*BaseBonus!$E$31, 0), "")</f>
        <v>4.6952679064628979</v>
      </c>
      <c r="AJ333">
        <f t="shared" ca="1" si="68"/>
        <v>5.4213164351920391E-4</v>
      </c>
    </row>
    <row r="334" spans="28:36" x14ac:dyDescent="0.3">
      <c r="AB334">
        <f t="shared" si="61"/>
        <v>2</v>
      </c>
      <c r="AC334">
        <f t="shared" si="62"/>
        <v>2</v>
      </c>
      <c r="AD334">
        <f t="shared" si="63"/>
        <v>1</v>
      </c>
      <c r="AE334">
        <f t="shared" si="64"/>
        <v>0</v>
      </c>
      <c r="AF334">
        <f t="shared" si="65"/>
        <v>1</v>
      </c>
      <c r="AG334">
        <f t="shared" si="66"/>
        <v>6</v>
      </c>
      <c r="AH334">
        <f t="shared" ca="1" si="67"/>
        <v>5.7731705018682283E-5</v>
      </c>
      <c r="AI334">
        <f>IF(ROW($AA334) - $AA$51 &lt; ($H$16+1)^5, IF(AG334 &gt;= BaseBonus!$C$16, AG334*BaseBonus!$E$31, 0), "")</f>
        <v>5.6343214877554777</v>
      </c>
      <c r="AJ334">
        <f t="shared" ca="1" si="68"/>
        <v>3.2527898611152233E-4</v>
      </c>
    </row>
    <row r="335" spans="28:36" x14ac:dyDescent="0.3">
      <c r="AB335">
        <f t="shared" si="61"/>
        <v>3</v>
      </c>
      <c r="AC335">
        <f t="shared" si="62"/>
        <v>2</v>
      </c>
      <c r="AD335">
        <f t="shared" si="63"/>
        <v>1</v>
      </c>
      <c r="AE335">
        <f t="shared" si="64"/>
        <v>0</v>
      </c>
      <c r="AF335">
        <f t="shared" si="65"/>
        <v>1</v>
      </c>
      <c r="AG335">
        <f t="shared" si="66"/>
        <v>7</v>
      </c>
      <c r="AH335">
        <f t="shared" ca="1" si="67"/>
        <v>0</v>
      </c>
      <c r="AI335">
        <f>IF(ROW($AA335) - $AA$51 &lt; ($H$16+1)^5, IF(AG335 &gt;= BaseBonus!$C$16, AG335*BaseBonus!$E$31, 0), "")</f>
        <v>6.5733750690480575</v>
      </c>
      <c r="AJ335">
        <f t="shared" ca="1" si="68"/>
        <v>0</v>
      </c>
    </row>
    <row r="336" spans="28:36" x14ac:dyDescent="0.3">
      <c r="AB336">
        <f t="shared" si="61"/>
        <v>0</v>
      </c>
      <c r="AC336">
        <f t="shared" si="62"/>
        <v>3</v>
      </c>
      <c r="AD336">
        <f t="shared" si="63"/>
        <v>1</v>
      </c>
      <c r="AE336">
        <f t="shared" si="64"/>
        <v>0</v>
      </c>
      <c r="AF336">
        <f t="shared" si="65"/>
        <v>1</v>
      </c>
      <c r="AG336">
        <f t="shared" si="66"/>
        <v>5</v>
      </c>
      <c r="AH336">
        <f t="shared" ca="1" si="67"/>
        <v>0</v>
      </c>
      <c r="AI336">
        <f>IF(ROW($AA336) - $AA$51 &lt; ($H$16+1)^5, IF(AG336 &gt;= BaseBonus!$C$16, AG336*BaseBonus!$E$31, 0), "")</f>
        <v>4.6952679064628979</v>
      </c>
      <c r="AJ336">
        <f t="shared" ca="1" si="68"/>
        <v>0</v>
      </c>
    </row>
    <row r="337" spans="28:36" x14ac:dyDescent="0.3">
      <c r="AB337">
        <f t="shared" si="61"/>
        <v>1</v>
      </c>
      <c r="AC337">
        <f t="shared" si="62"/>
        <v>3</v>
      </c>
      <c r="AD337">
        <f t="shared" si="63"/>
        <v>1</v>
      </c>
      <c r="AE337">
        <f t="shared" si="64"/>
        <v>0</v>
      </c>
      <c r="AF337">
        <f t="shared" si="65"/>
        <v>1</v>
      </c>
      <c r="AG337">
        <f t="shared" si="66"/>
        <v>6</v>
      </c>
      <c r="AH337">
        <f t="shared" ca="1" si="67"/>
        <v>0</v>
      </c>
      <c r="AI337">
        <f>IF(ROW($AA337) - $AA$51 &lt; ($H$16+1)^5, IF(AG337 &gt;= BaseBonus!$C$16, AG337*BaseBonus!$E$31, 0), "")</f>
        <v>5.6343214877554777</v>
      </c>
      <c r="AJ337">
        <f t="shared" ca="1" si="68"/>
        <v>0</v>
      </c>
    </row>
    <row r="338" spans="28:36" x14ac:dyDescent="0.3">
      <c r="AB338">
        <f t="shared" si="61"/>
        <v>2</v>
      </c>
      <c r="AC338">
        <f t="shared" si="62"/>
        <v>3</v>
      </c>
      <c r="AD338">
        <f t="shared" si="63"/>
        <v>1</v>
      </c>
      <c r="AE338">
        <f t="shared" si="64"/>
        <v>0</v>
      </c>
      <c r="AF338">
        <f t="shared" si="65"/>
        <v>1</v>
      </c>
      <c r="AG338">
        <f t="shared" si="66"/>
        <v>7</v>
      </c>
      <c r="AH338">
        <f t="shared" ca="1" si="67"/>
        <v>0</v>
      </c>
      <c r="AI338">
        <f>IF(ROW($AA338) - $AA$51 &lt; ($H$16+1)^5, IF(AG338 &gt;= BaseBonus!$C$16, AG338*BaseBonus!$E$31, 0), "")</f>
        <v>6.5733750690480575</v>
      </c>
      <c r="AJ338">
        <f t="shared" ca="1" si="68"/>
        <v>0</v>
      </c>
    </row>
    <row r="339" spans="28:36" x14ac:dyDescent="0.3">
      <c r="AB339">
        <f t="shared" si="61"/>
        <v>3</v>
      </c>
      <c r="AC339">
        <f t="shared" si="62"/>
        <v>3</v>
      </c>
      <c r="AD339">
        <f t="shared" si="63"/>
        <v>1</v>
      </c>
      <c r="AE339">
        <f t="shared" si="64"/>
        <v>0</v>
      </c>
      <c r="AF339">
        <f t="shared" si="65"/>
        <v>1</v>
      </c>
      <c r="AG339">
        <f t="shared" si="66"/>
        <v>8</v>
      </c>
      <c r="AH339">
        <f t="shared" ca="1" si="67"/>
        <v>0</v>
      </c>
      <c r="AI339">
        <f>IF(ROW($AA339) - $AA$51 &lt; ($H$16+1)^5, IF(AG339 &gt;= BaseBonus!$C$16, AG339*BaseBonus!$E$31, 0), "")</f>
        <v>7.5124286503406372</v>
      </c>
      <c r="AJ339">
        <f t="shared" ca="1" si="68"/>
        <v>0</v>
      </c>
    </row>
    <row r="340" spans="28:36" x14ac:dyDescent="0.3">
      <c r="AB340">
        <f t="shared" si="61"/>
        <v>0</v>
      </c>
      <c r="AC340">
        <f t="shared" si="62"/>
        <v>0</v>
      </c>
      <c r="AD340">
        <f t="shared" si="63"/>
        <v>2</v>
      </c>
      <c r="AE340">
        <f t="shared" si="64"/>
        <v>0</v>
      </c>
      <c r="AF340">
        <f t="shared" si="65"/>
        <v>1</v>
      </c>
      <c r="AG340">
        <f t="shared" si="66"/>
        <v>3</v>
      </c>
      <c r="AH340">
        <f t="shared" ca="1" si="67"/>
        <v>9.5156511891110601E-3</v>
      </c>
      <c r="AI340">
        <f>IF(ROW($AA340) - $AA$51 &lt; ($H$16+1)^5, IF(AG340 &gt;= BaseBonus!$C$16, AG340*BaseBonus!$E$31, 0), "")</f>
        <v>0</v>
      </c>
      <c r="AJ340">
        <f t="shared" ca="1" si="68"/>
        <v>0</v>
      </c>
    </row>
    <row r="341" spans="28:36" x14ac:dyDescent="0.3">
      <c r="AB341">
        <f t="shared" si="61"/>
        <v>1</v>
      </c>
      <c r="AC341">
        <f t="shared" si="62"/>
        <v>0</v>
      </c>
      <c r="AD341">
        <f t="shared" si="63"/>
        <v>2</v>
      </c>
      <c r="AE341">
        <f t="shared" si="64"/>
        <v>0</v>
      </c>
      <c r="AF341">
        <f t="shared" si="65"/>
        <v>1</v>
      </c>
      <c r="AG341">
        <f t="shared" si="66"/>
        <v>4</v>
      </c>
      <c r="AH341">
        <f t="shared" ca="1" si="67"/>
        <v>1.7841845979583238E-3</v>
      </c>
      <c r="AI341">
        <f>IF(ROW($AA341) - $AA$51 &lt; ($H$16+1)^5, IF(AG341 &gt;= BaseBonus!$C$16, AG341*BaseBonus!$E$31, 0), "")</f>
        <v>0</v>
      </c>
      <c r="AJ341">
        <f t="shared" ca="1" si="68"/>
        <v>0</v>
      </c>
    </row>
    <row r="342" spans="28:36" x14ac:dyDescent="0.3">
      <c r="AB342">
        <f t="shared" si="61"/>
        <v>2</v>
      </c>
      <c r="AC342">
        <f t="shared" si="62"/>
        <v>0</v>
      </c>
      <c r="AD342">
        <f t="shared" si="63"/>
        <v>2</v>
      </c>
      <c r="AE342">
        <f t="shared" si="64"/>
        <v>0</v>
      </c>
      <c r="AF342">
        <f t="shared" si="65"/>
        <v>1</v>
      </c>
      <c r="AG342">
        <f t="shared" si="66"/>
        <v>5</v>
      </c>
      <c r="AH342">
        <f t="shared" ca="1" si="67"/>
        <v>8.9209229897916189E-4</v>
      </c>
      <c r="AI342">
        <f>IF(ROW($AA342) - $AA$51 &lt; ($H$16+1)^5, IF(AG342 &gt;= BaseBonus!$C$16, AG342*BaseBonus!$E$31, 0), "")</f>
        <v>4.6952679064628979</v>
      </c>
      <c r="AJ342">
        <f t="shared" ca="1" si="68"/>
        <v>4.1886123409995632E-3</v>
      </c>
    </row>
    <row r="343" spans="28:36" x14ac:dyDescent="0.3">
      <c r="AB343">
        <f t="shared" si="61"/>
        <v>3</v>
      </c>
      <c r="AC343">
        <f t="shared" si="62"/>
        <v>0</v>
      </c>
      <c r="AD343">
        <f t="shared" si="63"/>
        <v>2</v>
      </c>
      <c r="AE343">
        <f t="shared" si="64"/>
        <v>0</v>
      </c>
      <c r="AF343">
        <f t="shared" si="65"/>
        <v>1</v>
      </c>
      <c r="AG343">
        <f t="shared" si="66"/>
        <v>6</v>
      </c>
      <c r="AH343">
        <f t="shared" ca="1" si="67"/>
        <v>0</v>
      </c>
      <c r="AI343">
        <f>IF(ROW($AA343) - $AA$51 &lt; ($H$16+1)^5, IF(AG343 &gt;= BaseBonus!$C$16, AG343*BaseBonus!$E$31, 0), "")</f>
        <v>5.6343214877554777</v>
      </c>
      <c r="AJ343">
        <f t="shared" ca="1" si="68"/>
        <v>0</v>
      </c>
    </row>
    <row r="344" spans="28:36" x14ac:dyDescent="0.3">
      <c r="AB344">
        <f t="shared" si="61"/>
        <v>0</v>
      </c>
      <c r="AC344">
        <f t="shared" si="62"/>
        <v>1</v>
      </c>
      <c r="AD344">
        <f t="shared" si="63"/>
        <v>2</v>
      </c>
      <c r="AE344">
        <f t="shared" si="64"/>
        <v>0</v>
      </c>
      <c r="AF344">
        <f t="shared" si="65"/>
        <v>1</v>
      </c>
      <c r="AG344">
        <f t="shared" si="66"/>
        <v>4</v>
      </c>
      <c r="AH344">
        <f t="shared" ca="1" si="67"/>
        <v>2.9030800237965951E-3</v>
      </c>
      <c r="AI344">
        <f>IF(ROW($AA344) - $AA$51 &lt; ($H$16+1)^5, IF(AG344 &gt;= BaseBonus!$C$16, AG344*BaseBonus!$E$31, 0), "")</f>
        <v>0</v>
      </c>
      <c r="AJ344">
        <f t="shared" ca="1" si="68"/>
        <v>0</v>
      </c>
    </row>
    <row r="345" spans="28:36" x14ac:dyDescent="0.3">
      <c r="AB345">
        <f t="shared" si="61"/>
        <v>1</v>
      </c>
      <c r="AC345">
        <f t="shared" si="62"/>
        <v>1</v>
      </c>
      <c r="AD345">
        <f t="shared" si="63"/>
        <v>2</v>
      </c>
      <c r="AE345">
        <f t="shared" si="64"/>
        <v>0</v>
      </c>
      <c r="AF345">
        <f t="shared" si="65"/>
        <v>1</v>
      </c>
      <c r="AG345">
        <f t="shared" si="66"/>
        <v>5</v>
      </c>
      <c r="AH345">
        <f t="shared" ca="1" si="67"/>
        <v>5.4432750446186155E-4</v>
      </c>
      <c r="AI345">
        <f>IF(ROW($AA345) - $AA$51 &lt; ($H$16+1)^5, IF(AG345 &gt;= BaseBonus!$C$16, AG345*BaseBonus!$E$31, 0), "")</f>
        <v>4.6952679064628979</v>
      </c>
      <c r="AJ345">
        <f t="shared" ca="1" si="68"/>
        <v>2.5557634623048185E-3</v>
      </c>
    </row>
    <row r="346" spans="28:36" x14ac:dyDescent="0.3">
      <c r="AB346">
        <f t="shared" si="61"/>
        <v>2</v>
      </c>
      <c r="AC346">
        <f t="shared" si="62"/>
        <v>1</v>
      </c>
      <c r="AD346">
        <f t="shared" si="63"/>
        <v>2</v>
      </c>
      <c r="AE346">
        <f t="shared" si="64"/>
        <v>0</v>
      </c>
      <c r="AF346">
        <f t="shared" si="65"/>
        <v>1</v>
      </c>
      <c r="AG346">
        <f t="shared" si="66"/>
        <v>6</v>
      </c>
      <c r="AH346">
        <f t="shared" ca="1" si="67"/>
        <v>2.7216375223093077E-4</v>
      </c>
      <c r="AI346">
        <f>IF(ROW($AA346) - $AA$51 &lt; ($H$16+1)^5, IF(AG346 &gt;= BaseBonus!$C$16, AG346*BaseBonus!$E$31, 0), "")</f>
        <v>5.6343214877554777</v>
      </c>
      <c r="AJ346">
        <f t="shared" ca="1" si="68"/>
        <v>1.533458077382891E-3</v>
      </c>
    </row>
    <row r="347" spans="28:36" x14ac:dyDescent="0.3">
      <c r="AB347">
        <f t="shared" si="61"/>
        <v>3</v>
      </c>
      <c r="AC347">
        <f t="shared" si="62"/>
        <v>1</v>
      </c>
      <c r="AD347">
        <f t="shared" si="63"/>
        <v>2</v>
      </c>
      <c r="AE347">
        <f t="shared" si="64"/>
        <v>0</v>
      </c>
      <c r="AF347">
        <f t="shared" si="65"/>
        <v>1</v>
      </c>
      <c r="AG347">
        <f t="shared" si="66"/>
        <v>7</v>
      </c>
      <c r="AH347">
        <f t="shared" ca="1" si="67"/>
        <v>0</v>
      </c>
      <c r="AI347">
        <f>IF(ROW($AA347) - $AA$51 &lt; ($H$16+1)^5, IF(AG347 &gt;= BaseBonus!$C$16, AG347*BaseBonus!$E$31, 0), "")</f>
        <v>6.5733750690480575</v>
      </c>
      <c r="AJ347">
        <f t="shared" ca="1" si="68"/>
        <v>0</v>
      </c>
    </row>
    <row r="348" spans="28:36" x14ac:dyDescent="0.3">
      <c r="AB348">
        <f t="shared" si="61"/>
        <v>0</v>
      </c>
      <c r="AC348">
        <f t="shared" si="62"/>
        <v>2</v>
      </c>
      <c r="AD348">
        <f t="shared" si="63"/>
        <v>2</v>
      </c>
      <c r="AE348">
        <f t="shared" si="64"/>
        <v>0</v>
      </c>
      <c r="AF348">
        <f t="shared" si="65"/>
        <v>1</v>
      </c>
      <c r="AG348">
        <f t="shared" si="66"/>
        <v>5</v>
      </c>
      <c r="AH348">
        <f t="shared" ca="1" si="67"/>
        <v>4.8384667063276586E-4</v>
      </c>
      <c r="AI348">
        <f>IF(ROW($AA348) - $AA$51 &lt; ($H$16+1)^5, IF(AG348 &gt;= BaseBonus!$C$16, AG348*BaseBonus!$E$31, 0), "")</f>
        <v>4.6952679064628979</v>
      </c>
      <c r="AJ348">
        <f t="shared" ca="1" si="68"/>
        <v>2.2717897442709497E-3</v>
      </c>
    </row>
    <row r="349" spans="28:36" x14ac:dyDescent="0.3">
      <c r="AB349">
        <f t="shared" si="61"/>
        <v>1</v>
      </c>
      <c r="AC349">
        <f t="shared" si="62"/>
        <v>2</v>
      </c>
      <c r="AD349">
        <f t="shared" si="63"/>
        <v>2</v>
      </c>
      <c r="AE349">
        <f t="shared" si="64"/>
        <v>0</v>
      </c>
      <c r="AF349">
        <f t="shared" si="65"/>
        <v>1</v>
      </c>
      <c r="AG349">
        <f t="shared" si="66"/>
        <v>6</v>
      </c>
      <c r="AH349">
        <f t="shared" ca="1" si="67"/>
        <v>9.0721250743643582E-5</v>
      </c>
      <c r="AI349">
        <f>IF(ROW($AA349) - $AA$51 &lt; ($H$16+1)^5, IF(AG349 &gt;= BaseBonus!$C$16, AG349*BaseBonus!$E$31, 0), "")</f>
        <v>5.6343214877554777</v>
      </c>
      <c r="AJ349">
        <f t="shared" ca="1" si="68"/>
        <v>5.1115269246096364E-4</v>
      </c>
    </row>
    <row r="350" spans="28:36" x14ac:dyDescent="0.3">
      <c r="AB350">
        <f t="shared" si="61"/>
        <v>2</v>
      </c>
      <c r="AC350">
        <f t="shared" si="62"/>
        <v>2</v>
      </c>
      <c r="AD350">
        <f t="shared" si="63"/>
        <v>2</v>
      </c>
      <c r="AE350">
        <f t="shared" si="64"/>
        <v>0</v>
      </c>
      <c r="AF350">
        <f t="shared" si="65"/>
        <v>1</v>
      </c>
      <c r="AG350">
        <f t="shared" si="66"/>
        <v>7</v>
      </c>
      <c r="AH350">
        <f t="shared" ca="1" si="67"/>
        <v>4.5360625371821791E-5</v>
      </c>
      <c r="AI350">
        <f>IF(ROW($AA350) - $AA$51 &lt; ($H$16+1)^5, IF(AG350 &gt;= BaseBonus!$C$16, AG350*BaseBonus!$E$31, 0), "")</f>
        <v>6.5733750690480575</v>
      </c>
      <c r="AJ350">
        <f t="shared" ca="1" si="68"/>
        <v>2.9817240393556211E-4</v>
      </c>
    </row>
    <row r="351" spans="28:36" x14ac:dyDescent="0.3">
      <c r="AB351">
        <f t="shared" si="61"/>
        <v>3</v>
      </c>
      <c r="AC351">
        <f t="shared" si="62"/>
        <v>2</v>
      </c>
      <c r="AD351">
        <f t="shared" si="63"/>
        <v>2</v>
      </c>
      <c r="AE351">
        <f t="shared" si="64"/>
        <v>0</v>
      </c>
      <c r="AF351">
        <f t="shared" si="65"/>
        <v>1</v>
      </c>
      <c r="AG351">
        <f t="shared" si="66"/>
        <v>8</v>
      </c>
      <c r="AH351">
        <f t="shared" ca="1" si="67"/>
        <v>0</v>
      </c>
      <c r="AI351">
        <f>IF(ROW($AA351) - $AA$51 &lt; ($H$16+1)^5, IF(AG351 &gt;= BaseBonus!$C$16, AG351*BaseBonus!$E$31, 0), "")</f>
        <v>7.5124286503406372</v>
      </c>
      <c r="AJ351">
        <f t="shared" ca="1" si="68"/>
        <v>0</v>
      </c>
    </row>
    <row r="352" spans="28:36" x14ac:dyDescent="0.3">
      <c r="AB352">
        <f t="shared" si="61"/>
        <v>0</v>
      </c>
      <c r="AC352">
        <f t="shared" si="62"/>
        <v>3</v>
      </c>
      <c r="AD352">
        <f t="shared" si="63"/>
        <v>2</v>
      </c>
      <c r="AE352">
        <f t="shared" si="64"/>
        <v>0</v>
      </c>
      <c r="AF352">
        <f t="shared" si="65"/>
        <v>1</v>
      </c>
      <c r="AG352">
        <f t="shared" si="66"/>
        <v>6</v>
      </c>
      <c r="AH352">
        <f t="shared" ca="1" si="67"/>
        <v>0</v>
      </c>
      <c r="AI352">
        <f>IF(ROW($AA352) - $AA$51 &lt; ($H$16+1)^5, IF(AG352 &gt;= BaseBonus!$C$16, AG352*BaseBonus!$E$31, 0), "")</f>
        <v>5.6343214877554777</v>
      </c>
      <c r="AJ352">
        <f t="shared" ca="1" si="68"/>
        <v>0</v>
      </c>
    </row>
    <row r="353" spans="28:36" x14ac:dyDescent="0.3">
      <c r="AB353">
        <f t="shared" si="61"/>
        <v>1</v>
      </c>
      <c r="AC353">
        <f t="shared" si="62"/>
        <v>3</v>
      </c>
      <c r="AD353">
        <f t="shared" si="63"/>
        <v>2</v>
      </c>
      <c r="AE353">
        <f t="shared" si="64"/>
        <v>0</v>
      </c>
      <c r="AF353">
        <f t="shared" si="65"/>
        <v>1</v>
      </c>
      <c r="AG353">
        <f t="shared" si="66"/>
        <v>7</v>
      </c>
      <c r="AH353">
        <f t="shared" ca="1" si="67"/>
        <v>0</v>
      </c>
      <c r="AI353">
        <f>IF(ROW($AA353) - $AA$51 &lt; ($H$16+1)^5, IF(AG353 &gt;= BaseBonus!$C$16, AG353*BaseBonus!$E$31, 0), "")</f>
        <v>6.5733750690480575</v>
      </c>
      <c r="AJ353">
        <f t="shared" ca="1" si="68"/>
        <v>0</v>
      </c>
    </row>
    <row r="354" spans="28:36" x14ac:dyDescent="0.3">
      <c r="AB354">
        <f t="shared" si="61"/>
        <v>2</v>
      </c>
      <c r="AC354">
        <f t="shared" si="62"/>
        <v>3</v>
      </c>
      <c r="AD354">
        <f t="shared" si="63"/>
        <v>2</v>
      </c>
      <c r="AE354">
        <f t="shared" si="64"/>
        <v>0</v>
      </c>
      <c r="AF354">
        <f t="shared" si="65"/>
        <v>1</v>
      </c>
      <c r="AG354">
        <f t="shared" si="66"/>
        <v>8</v>
      </c>
      <c r="AH354">
        <f t="shared" ca="1" si="67"/>
        <v>0</v>
      </c>
      <c r="AI354">
        <f>IF(ROW($AA354) - $AA$51 &lt; ($H$16+1)^5, IF(AG354 &gt;= BaseBonus!$C$16, AG354*BaseBonus!$E$31, 0), "")</f>
        <v>7.5124286503406372</v>
      </c>
      <c r="AJ354">
        <f t="shared" ca="1" si="68"/>
        <v>0</v>
      </c>
    </row>
    <row r="355" spans="28:36" x14ac:dyDescent="0.3">
      <c r="AB355">
        <f t="shared" si="61"/>
        <v>3</v>
      </c>
      <c r="AC355">
        <f t="shared" si="62"/>
        <v>3</v>
      </c>
      <c r="AD355">
        <f t="shared" si="63"/>
        <v>2</v>
      </c>
      <c r="AE355">
        <f t="shared" si="64"/>
        <v>0</v>
      </c>
      <c r="AF355">
        <f t="shared" si="65"/>
        <v>1</v>
      </c>
      <c r="AG355">
        <f t="shared" si="66"/>
        <v>9</v>
      </c>
      <c r="AH355">
        <f t="shared" ca="1" si="67"/>
        <v>0</v>
      </c>
      <c r="AI355">
        <f>IF(ROW($AA355) - $AA$51 &lt; ($H$16+1)^5, IF(AG355 &gt;= BaseBonus!$C$16, AG355*BaseBonus!$E$31, 0), "")</f>
        <v>8.4514822316332161</v>
      </c>
      <c r="AJ355">
        <f t="shared" ca="1" si="68"/>
        <v>0</v>
      </c>
    </row>
    <row r="356" spans="28:36" x14ac:dyDescent="0.3">
      <c r="AB356">
        <f t="shared" si="61"/>
        <v>0</v>
      </c>
      <c r="AC356">
        <f t="shared" si="62"/>
        <v>0</v>
      </c>
      <c r="AD356">
        <f t="shared" si="63"/>
        <v>3</v>
      </c>
      <c r="AE356">
        <f t="shared" si="64"/>
        <v>0</v>
      </c>
      <c r="AF356">
        <f t="shared" si="65"/>
        <v>1</v>
      </c>
      <c r="AG356">
        <f t="shared" si="66"/>
        <v>4</v>
      </c>
      <c r="AH356">
        <f t="shared" ca="1" si="67"/>
        <v>0</v>
      </c>
      <c r="AI356">
        <f>IF(ROW($AA356) - $AA$51 &lt; ($H$16+1)^5, IF(AG356 &gt;= BaseBonus!$C$16, AG356*BaseBonus!$E$31, 0), "")</f>
        <v>0</v>
      </c>
      <c r="AJ356">
        <f t="shared" ca="1" si="68"/>
        <v>0</v>
      </c>
    </row>
    <row r="357" spans="28:36" x14ac:dyDescent="0.3">
      <c r="AB357">
        <f t="shared" si="61"/>
        <v>1</v>
      </c>
      <c r="AC357">
        <f t="shared" si="62"/>
        <v>0</v>
      </c>
      <c r="AD357">
        <f t="shared" si="63"/>
        <v>3</v>
      </c>
      <c r="AE357">
        <f t="shared" si="64"/>
        <v>0</v>
      </c>
      <c r="AF357">
        <f t="shared" si="65"/>
        <v>1</v>
      </c>
      <c r="AG357">
        <f t="shared" si="66"/>
        <v>5</v>
      </c>
      <c r="AH357">
        <f t="shared" ca="1" si="67"/>
        <v>0</v>
      </c>
      <c r="AI357">
        <f>IF(ROW($AA357) - $AA$51 &lt; ($H$16+1)^5, IF(AG357 &gt;= BaseBonus!$C$16, AG357*BaseBonus!$E$31, 0), "")</f>
        <v>4.6952679064628979</v>
      </c>
      <c r="AJ357">
        <f t="shared" ca="1" si="68"/>
        <v>0</v>
      </c>
    </row>
    <row r="358" spans="28:36" x14ac:dyDescent="0.3">
      <c r="AB358">
        <f t="shared" si="61"/>
        <v>2</v>
      </c>
      <c r="AC358">
        <f t="shared" si="62"/>
        <v>0</v>
      </c>
      <c r="AD358">
        <f t="shared" si="63"/>
        <v>3</v>
      </c>
      <c r="AE358">
        <f t="shared" si="64"/>
        <v>0</v>
      </c>
      <c r="AF358">
        <f t="shared" si="65"/>
        <v>1</v>
      </c>
      <c r="AG358">
        <f t="shared" si="66"/>
        <v>6</v>
      </c>
      <c r="AH358">
        <f t="shared" ca="1" si="67"/>
        <v>0</v>
      </c>
      <c r="AI358">
        <f>IF(ROW($AA358) - $AA$51 &lt; ($H$16+1)^5, IF(AG358 &gt;= BaseBonus!$C$16, AG358*BaseBonus!$E$31, 0), "")</f>
        <v>5.6343214877554777</v>
      </c>
      <c r="AJ358">
        <f t="shared" ca="1" si="68"/>
        <v>0</v>
      </c>
    </row>
    <row r="359" spans="28:36" x14ac:dyDescent="0.3">
      <c r="AB359">
        <f t="shared" si="61"/>
        <v>3</v>
      </c>
      <c r="AC359">
        <f t="shared" si="62"/>
        <v>0</v>
      </c>
      <c r="AD359">
        <f t="shared" si="63"/>
        <v>3</v>
      </c>
      <c r="AE359">
        <f t="shared" si="64"/>
        <v>0</v>
      </c>
      <c r="AF359">
        <f t="shared" si="65"/>
        <v>1</v>
      </c>
      <c r="AG359">
        <f t="shared" si="66"/>
        <v>7</v>
      </c>
      <c r="AH359">
        <f t="shared" ca="1" si="67"/>
        <v>0</v>
      </c>
      <c r="AI359">
        <f>IF(ROW($AA359) - $AA$51 &lt; ($H$16+1)^5, IF(AG359 &gt;= BaseBonus!$C$16, AG359*BaseBonus!$E$31, 0), "")</f>
        <v>6.5733750690480575</v>
      </c>
      <c r="AJ359">
        <f t="shared" ca="1" si="68"/>
        <v>0</v>
      </c>
    </row>
    <row r="360" spans="28:36" x14ac:dyDescent="0.3">
      <c r="AB360">
        <f t="shared" si="61"/>
        <v>0</v>
      </c>
      <c r="AC360">
        <f t="shared" si="62"/>
        <v>1</v>
      </c>
      <c r="AD360">
        <f t="shared" si="63"/>
        <v>3</v>
      </c>
      <c r="AE360">
        <f t="shared" si="64"/>
        <v>0</v>
      </c>
      <c r="AF360">
        <f t="shared" si="65"/>
        <v>1</v>
      </c>
      <c r="AG360">
        <f t="shared" si="66"/>
        <v>5</v>
      </c>
      <c r="AH360">
        <f t="shared" ca="1" si="67"/>
        <v>0</v>
      </c>
      <c r="AI360">
        <f>IF(ROW($AA360) - $AA$51 &lt; ($H$16+1)^5, IF(AG360 &gt;= BaseBonus!$C$16, AG360*BaseBonus!$E$31, 0), "")</f>
        <v>4.6952679064628979</v>
      </c>
      <c r="AJ360">
        <f t="shared" ca="1" si="68"/>
        <v>0</v>
      </c>
    </row>
    <row r="361" spans="28:36" x14ac:dyDescent="0.3">
      <c r="AB361">
        <f t="shared" si="61"/>
        <v>1</v>
      </c>
      <c r="AC361">
        <f t="shared" si="62"/>
        <v>1</v>
      </c>
      <c r="AD361">
        <f t="shared" si="63"/>
        <v>3</v>
      </c>
      <c r="AE361">
        <f t="shared" si="64"/>
        <v>0</v>
      </c>
      <c r="AF361">
        <f t="shared" si="65"/>
        <v>1</v>
      </c>
      <c r="AG361">
        <f t="shared" si="66"/>
        <v>6</v>
      </c>
      <c r="AH361">
        <f t="shared" ca="1" si="67"/>
        <v>0</v>
      </c>
      <c r="AI361">
        <f>IF(ROW($AA361) - $AA$51 &lt; ($H$16+1)^5, IF(AG361 &gt;= BaseBonus!$C$16, AG361*BaseBonus!$E$31, 0), "")</f>
        <v>5.6343214877554777</v>
      </c>
      <c r="AJ361">
        <f t="shared" ca="1" si="68"/>
        <v>0</v>
      </c>
    </row>
    <row r="362" spans="28:36" x14ac:dyDescent="0.3">
      <c r="AB362">
        <f t="shared" si="61"/>
        <v>2</v>
      </c>
      <c r="AC362">
        <f t="shared" si="62"/>
        <v>1</v>
      </c>
      <c r="AD362">
        <f t="shared" si="63"/>
        <v>3</v>
      </c>
      <c r="AE362">
        <f t="shared" si="64"/>
        <v>0</v>
      </c>
      <c r="AF362">
        <f t="shared" si="65"/>
        <v>1</v>
      </c>
      <c r="AG362">
        <f t="shared" si="66"/>
        <v>7</v>
      </c>
      <c r="AH362">
        <f t="shared" ca="1" si="67"/>
        <v>0</v>
      </c>
      <c r="AI362">
        <f>IF(ROW($AA362) - $AA$51 &lt; ($H$16+1)^5, IF(AG362 &gt;= BaseBonus!$C$16, AG362*BaseBonus!$E$31, 0), "")</f>
        <v>6.5733750690480575</v>
      </c>
      <c r="AJ362">
        <f t="shared" ca="1" si="68"/>
        <v>0</v>
      </c>
    </row>
    <row r="363" spans="28:36" x14ac:dyDescent="0.3">
      <c r="AB363">
        <f t="shared" si="61"/>
        <v>3</v>
      </c>
      <c r="AC363">
        <f t="shared" si="62"/>
        <v>1</v>
      </c>
      <c r="AD363">
        <f t="shared" si="63"/>
        <v>3</v>
      </c>
      <c r="AE363">
        <f t="shared" si="64"/>
        <v>0</v>
      </c>
      <c r="AF363">
        <f t="shared" si="65"/>
        <v>1</v>
      </c>
      <c r="AG363">
        <f t="shared" si="66"/>
        <v>8</v>
      </c>
      <c r="AH363">
        <f t="shared" ca="1" si="67"/>
        <v>0</v>
      </c>
      <c r="AI363">
        <f>IF(ROW($AA363) - $AA$51 &lt; ($H$16+1)^5, IF(AG363 &gt;= BaseBonus!$C$16, AG363*BaseBonus!$E$31, 0), "")</f>
        <v>7.5124286503406372</v>
      </c>
      <c r="AJ363">
        <f t="shared" ca="1" si="68"/>
        <v>0</v>
      </c>
    </row>
    <row r="364" spans="28:36" x14ac:dyDescent="0.3">
      <c r="AB364">
        <f t="shared" si="61"/>
        <v>0</v>
      </c>
      <c r="AC364">
        <f t="shared" si="62"/>
        <v>2</v>
      </c>
      <c r="AD364">
        <f t="shared" si="63"/>
        <v>3</v>
      </c>
      <c r="AE364">
        <f t="shared" si="64"/>
        <v>0</v>
      </c>
      <c r="AF364">
        <f t="shared" si="65"/>
        <v>1</v>
      </c>
      <c r="AG364">
        <f t="shared" si="66"/>
        <v>6</v>
      </c>
      <c r="AH364">
        <f t="shared" ca="1" si="67"/>
        <v>0</v>
      </c>
      <c r="AI364">
        <f>IF(ROW($AA364) - $AA$51 &lt; ($H$16+1)^5, IF(AG364 &gt;= BaseBonus!$C$16, AG364*BaseBonus!$E$31, 0), "")</f>
        <v>5.6343214877554777</v>
      </c>
      <c r="AJ364">
        <f t="shared" ca="1" si="68"/>
        <v>0</v>
      </c>
    </row>
    <row r="365" spans="28:36" x14ac:dyDescent="0.3">
      <c r="AB365">
        <f t="shared" si="61"/>
        <v>1</v>
      </c>
      <c r="AC365">
        <f t="shared" si="62"/>
        <v>2</v>
      </c>
      <c r="AD365">
        <f t="shared" si="63"/>
        <v>3</v>
      </c>
      <c r="AE365">
        <f t="shared" si="64"/>
        <v>0</v>
      </c>
      <c r="AF365">
        <f t="shared" si="65"/>
        <v>1</v>
      </c>
      <c r="AG365">
        <f t="shared" si="66"/>
        <v>7</v>
      </c>
      <c r="AH365">
        <f t="shared" ca="1" si="67"/>
        <v>0</v>
      </c>
      <c r="AI365">
        <f>IF(ROW($AA365) - $AA$51 &lt; ($H$16+1)^5, IF(AG365 &gt;= BaseBonus!$C$16, AG365*BaseBonus!$E$31, 0), "")</f>
        <v>6.5733750690480575</v>
      </c>
      <c r="AJ365">
        <f t="shared" ca="1" si="68"/>
        <v>0</v>
      </c>
    </row>
    <row r="366" spans="28:36" x14ac:dyDescent="0.3">
      <c r="AB366">
        <f t="shared" si="61"/>
        <v>2</v>
      </c>
      <c r="AC366">
        <f t="shared" si="62"/>
        <v>2</v>
      </c>
      <c r="AD366">
        <f t="shared" si="63"/>
        <v>3</v>
      </c>
      <c r="AE366">
        <f t="shared" si="64"/>
        <v>0</v>
      </c>
      <c r="AF366">
        <f t="shared" si="65"/>
        <v>1</v>
      </c>
      <c r="AG366">
        <f t="shared" si="66"/>
        <v>8</v>
      </c>
      <c r="AH366">
        <f t="shared" ca="1" si="67"/>
        <v>0</v>
      </c>
      <c r="AI366">
        <f>IF(ROW($AA366) - $AA$51 &lt; ($H$16+1)^5, IF(AG366 &gt;= BaseBonus!$C$16, AG366*BaseBonus!$E$31, 0), "")</f>
        <v>7.5124286503406372</v>
      </c>
      <c r="AJ366">
        <f t="shared" ca="1" si="68"/>
        <v>0</v>
      </c>
    </row>
    <row r="367" spans="28:36" x14ac:dyDescent="0.3">
      <c r="AB367">
        <f t="shared" si="61"/>
        <v>3</v>
      </c>
      <c r="AC367">
        <f t="shared" si="62"/>
        <v>2</v>
      </c>
      <c r="AD367">
        <f t="shared" si="63"/>
        <v>3</v>
      </c>
      <c r="AE367">
        <f t="shared" si="64"/>
        <v>0</v>
      </c>
      <c r="AF367">
        <f t="shared" si="65"/>
        <v>1</v>
      </c>
      <c r="AG367">
        <f t="shared" si="66"/>
        <v>9</v>
      </c>
      <c r="AH367">
        <f t="shared" ca="1" si="67"/>
        <v>0</v>
      </c>
      <c r="AI367">
        <f>IF(ROW($AA367) - $AA$51 &lt; ($H$16+1)^5, IF(AG367 &gt;= BaseBonus!$C$16, AG367*BaseBonus!$E$31, 0), "")</f>
        <v>8.4514822316332161</v>
      </c>
      <c r="AJ367">
        <f t="shared" ca="1" si="68"/>
        <v>0</v>
      </c>
    </row>
    <row r="368" spans="28:36" x14ac:dyDescent="0.3">
      <c r="AB368">
        <f t="shared" si="61"/>
        <v>0</v>
      </c>
      <c r="AC368">
        <f t="shared" si="62"/>
        <v>3</v>
      </c>
      <c r="AD368">
        <f t="shared" si="63"/>
        <v>3</v>
      </c>
      <c r="AE368">
        <f t="shared" si="64"/>
        <v>0</v>
      </c>
      <c r="AF368">
        <f t="shared" si="65"/>
        <v>1</v>
      </c>
      <c r="AG368">
        <f t="shared" si="66"/>
        <v>7</v>
      </c>
      <c r="AH368">
        <f t="shared" ca="1" si="67"/>
        <v>0</v>
      </c>
      <c r="AI368">
        <f>IF(ROW($AA368) - $AA$51 &lt; ($H$16+1)^5, IF(AG368 &gt;= BaseBonus!$C$16, AG368*BaseBonus!$E$31, 0), "")</f>
        <v>6.5733750690480575</v>
      </c>
      <c r="AJ368">
        <f t="shared" ca="1" si="68"/>
        <v>0</v>
      </c>
    </row>
    <row r="369" spans="28:36" x14ac:dyDescent="0.3">
      <c r="AB369">
        <f t="shared" si="61"/>
        <v>1</v>
      </c>
      <c r="AC369">
        <f t="shared" si="62"/>
        <v>3</v>
      </c>
      <c r="AD369">
        <f t="shared" si="63"/>
        <v>3</v>
      </c>
      <c r="AE369">
        <f t="shared" si="64"/>
        <v>0</v>
      </c>
      <c r="AF369">
        <f t="shared" si="65"/>
        <v>1</v>
      </c>
      <c r="AG369">
        <f t="shared" si="66"/>
        <v>8</v>
      </c>
      <c r="AH369">
        <f t="shared" ca="1" si="67"/>
        <v>0</v>
      </c>
      <c r="AI369">
        <f>IF(ROW($AA369) - $AA$51 &lt; ($H$16+1)^5, IF(AG369 &gt;= BaseBonus!$C$16, AG369*BaseBonus!$E$31, 0), "")</f>
        <v>7.5124286503406372</v>
      </c>
      <c r="AJ369">
        <f t="shared" ca="1" si="68"/>
        <v>0</v>
      </c>
    </row>
    <row r="370" spans="28:36" x14ac:dyDescent="0.3">
      <c r="AB370">
        <f t="shared" si="61"/>
        <v>2</v>
      </c>
      <c r="AC370">
        <f t="shared" si="62"/>
        <v>3</v>
      </c>
      <c r="AD370">
        <f t="shared" si="63"/>
        <v>3</v>
      </c>
      <c r="AE370">
        <f t="shared" si="64"/>
        <v>0</v>
      </c>
      <c r="AF370">
        <f t="shared" si="65"/>
        <v>1</v>
      </c>
      <c r="AG370">
        <f t="shared" si="66"/>
        <v>9</v>
      </c>
      <c r="AH370">
        <f t="shared" ca="1" si="67"/>
        <v>0</v>
      </c>
      <c r="AI370">
        <f>IF(ROW($AA370) - $AA$51 &lt; ($H$16+1)^5, IF(AG370 &gt;= BaseBonus!$C$16, AG370*BaseBonus!$E$31, 0), "")</f>
        <v>8.4514822316332161</v>
      </c>
      <c r="AJ370">
        <f t="shared" ca="1" si="68"/>
        <v>0</v>
      </c>
    </row>
    <row r="371" spans="28:36" x14ac:dyDescent="0.3">
      <c r="AB371">
        <f t="shared" si="61"/>
        <v>3</v>
      </c>
      <c r="AC371">
        <f t="shared" si="62"/>
        <v>3</v>
      </c>
      <c r="AD371">
        <f t="shared" si="63"/>
        <v>3</v>
      </c>
      <c r="AE371">
        <f t="shared" si="64"/>
        <v>0</v>
      </c>
      <c r="AF371">
        <f t="shared" si="65"/>
        <v>1</v>
      </c>
      <c r="AG371">
        <f t="shared" si="66"/>
        <v>10</v>
      </c>
      <c r="AH371">
        <f t="shared" ca="1" si="67"/>
        <v>0</v>
      </c>
      <c r="AI371">
        <f>IF(ROW($AA371) - $AA$51 &lt; ($H$16+1)^5, IF(AG371 &gt;= BaseBonus!$C$16, AG371*BaseBonus!$E$31, 0), "")</f>
        <v>9.3905358129257959</v>
      </c>
      <c r="AJ371">
        <f t="shared" ca="1" si="68"/>
        <v>0</v>
      </c>
    </row>
    <row r="372" spans="28:36" x14ac:dyDescent="0.3">
      <c r="AB372">
        <f t="shared" ref="AB372:AB435" si="69">IF(ROW()-$AA$51 &lt; (H$16+1)^5, MOD(_xlfn.FLOOR.MATH((ROW()-$AA$51)/AB$50), H$16+1), "")</f>
        <v>0</v>
      </c>
      <c r="AC372">
        <f t="shared" ref="AC372:AC435" si="70">IF(ROW()-$AA$51 &lt; (I$16+1)^5, MOD(_xlfn.FLOOR.MATH((ROW()-$AA$51)/AC$50), I$16+1), "")</f>
        <v>0</v>
      </c>
      <c r="AD372">
        <f t="shared" ref="AD372:AD435" si="71">IF(ROW()-$AA$51 &lt; (J$16+1)^5, MOD(_xlfn.FLOOR.MATH((ROW()-$AA$51)/AD$50), J$16+1), "")</f>
        <v>0</v>
      </c>
      <c r="AE372">
        <f t="shared" ref="AE372:AE435" si="72">IF(ROW()-$AA$51 &lt; (K$16+1)^5, MOD(_xlfn.FLOOR.MATH((ROW()-$AA$51)/AE$50), K$16+1), "")</f>
        <v>1</v>
      </c>
      <c r="AF372">
        <f t="shared" ref="AF372:AF435" si="73">IF(ROW()-$AA$51 &lt; (L$16+1)^5, MOD(_xlfn.FLOOR.MATH((ROW()-$AA$51)/AF$50), L$16+1), "")</f>
        <v>1</v>
      </c>
      <c r="AG372">
        <f t="shared" ref="AG372:AG435" si="74">IF(ROW($AA372) - $AA$51 &lt; ($H$16+1)^5, SUM(AB372:AF372), "")</f>
        <v>2</v>
      </c>
      <c r="AH372">
        <f t="shared" ref="AH372:AH435" ca="1" si="75">IF(ROW($AA372) - $AA$51 &lt; (4)^5,
    (_xlfn.XLOOKUP(AB372,$T$51:$T$55,U$51:U$55,0)/U$27) * (_xlfn.XLOOKUP(AC372,$T$51:$T$55,V$51:V$55,0)/V$27) * (_xlfn.XLOOKUP(AD372,$T$51:$T$55,W$51:W$55,0)/W$27) * (_xlfn.XLOOKUP(AE372,$T$51:$T$55,X$51:X$55,0)/X$27) * (_xlfn.XLOOKUP(AF372,$T$51:$T$55,Y$51:Y$55,0)/Y$27),
"")</f>
        <v>7.5383730199451255E-3</v>
      </c>
      <c r="AI372">
        <f>IF(ROW($AA372) - $AA$51 &lt; ($H$16+1)^5, IF(AG372 &gt;= BaseBonus!$C$16, AG372*BaseBonus!$E$31, 0), "")</f>
        <v>0</v>
      </c>
      <c r="AJ372">
        <f t="shared" ref="AJ372:AJ435" ca="1" si="76">IF(ROW($AA372) - $AA$51 &lt; ($H$16+1)^5, AH372*AI372, "")</f>
        <v>0</v>
      </c>
    </row>
    <row r="373" spans="28:36" x14ac:dyDescent="0.3">
      <c r="AB373">
        <f t="shared" si="69"/>
        <v>1</v>
      </c>
      <c r="AC373">
        <f t="shared" si="70"/>
        <v>0</v>
      </c>
      <c r="AD373">
        <f t="shared" si="71"/>
        <v>0</v>
      </c>
      <c r="AE373">
        <f t="shared" si="72"/>
        <v>1</v>
      </c>
      <c r="AF373">
        <f t="shared" si="73"/>
        <v>1</v>
      </c>
      <c r="AG373">
        <f t="shared" si="74"/>
        <v>3</v>
      </c>
      <c r="AH373">
        <f t="shared" ca="1" si="75"/>
        <v>1.4134449412397108E-3</v>
      </c>
      <c r="AI373">
        <f>IF(ROW($AA373) - $AA$51 &lt; ($H$16+1)^5, IF(AG373 &gt;= BaseBonus!$C$16, AG373*BaseBonus!$E$31, 0), "")</f>
        <v>0</v>
      </c>
      <c r="AJ373">
        <f t="shared" ca="1" si="76"/>
        <v>0</v>
      </c>
    </row>
    <row r="374" spans="28:36" x14ac:dyDescent="0.3">
      <c r="AB374">
        <f t="shared" si="69"/>
        <v>2</v>
      </c>
      <c r="AC374">
        <f t="shared" si="70"/>
        <v>0</v>
      </c>
      <c r="AD374">
        <f t="shared" si="71"/>
        <v>0</v>
      </c>
      <c r="AE374">
        <f t="shared" si="72"/>
        <v>1</v>
      </c>
      <c r="AF374">
        <f t="shared" si="73"/>
        <v>1</v>
      </c>
      <c r="AG374">
        <f t="shared" si="74"/>
        <v>4</v>
      </c>
      <c r="AH374">
        <f t="shared" ca="1" si="75"/>
        <v>7.0672247061985538E-4</v>
      </c>
      <c r="AI374">
        <f>IF(ROW($AA374) - $AA$51 &lt; ($H$16+1)^5, IF(AG374 &gt;= BaseBonus!$C$16, AG374*BaseBonus!$E$31, 0), "")</f>
        <v>0</v>
      </c>
      <c r="AJ374">
        <f t="shared" ca="1" si="76"/>
        <v>0</v>
      </c>
    </row>
    <row r="375" spans="28:36" x14ac:dyDescent="0.3">
      <c r="AB375">
        <f t="shared" si="69"/>
        <v>3</v>
      </c>
      <c r="AC375">
        <f t="shared" si="70"/>
        <v>0</v>
      </c>
      <c r="AD375">
        <f t="shared" si="71"/>
        <v>0</v>
      </c>
      <c r="AE375">
        <f t="shared" si="72"/>
        <v>1</v>
      </c>
      <c r="AF375">
        <f t="shared" si="73"/>
        <v>1</v>
      </c>
      <c r="AG375">
        <f t="shared" si="74"/>
        <v>5</v>
      </c>
      <c r="AH375">
        <f t="shared" ca="1" si="75"/>
        <v>0</v>
      </c>
      <c r="AI375">
        <f>IF(ROW($AA375) - $AA$51 &lt; ($H$16+1)^5, IF(AG375 &gt;= BaseBonus!$C$16, AG375*BaseBonus!$E$31, 0), "")</f>
        <v>4.6952679064628979</v>
      </c>
      <c r="AJ375">
        <f t="shared" ca="1" si="76"/>
        <v>0</v>
      </c>
    </row>
    <row r="376" spans="28:36" x14ac:dyDescent="0.3">
      <c r="AB376">
        <f t="shared" si="69"/>
        <v>0</v>
      </c>
      <c r="AC376">
        <f t="shared" si="70"/>
        <v>1</v>
      </c>
      <c r="AD376">
        <f t="shared" si="71"/>
        <v>0</v>
      </c>
      <c r="AE376">
        <f t="shared" si="72"/>
        <v>1</v>
      </c>
      <c r="AF376">
        <f t="shared" si="73"/>
        <v>1</v>
      </c>
      <c r="AG376">
        <f t="shared" si="74"/>
        <v>3</v>
      </c>
      <c r="AH376">
        <f t="shared" ca="1" si="75"/>
        <v>2.2998426162544449E-3</v>
      </c>
      <c r="AI376">
        <f>IF(ROW($AA376) - $AA$51 &lt; ($H$16+1)^5, IF(AG376 &gt;= BaseBonus!$C$16, AG376*BaseBonus!$E$31, 0), "")</f>
        <v>0</v>
      </c>
      <c r="AJ376">
        <f t="shared" ca="1" si="76"/>
        <v>0</v>
      </c>
    </row>
    <row r="377" spans="28:36" x14ac:dyDescent="0.3">
      <c r="AB377">
        <f t="shared" si="69"/>
        <v>1</v>
      </c>
      <c r="AC377">
        <f t="shared" si="70"/>
        <v>1</v>
      </c>
      <c r="AD377">
        <f t="shared" si="71"/>
        <v>0</v>
      </c>
      <c r="AE377">
        <f t="shared" si="72"/>
        <v>1</v>
      </c>
      <c r="AF377">
        <f t="shared" si="73"/>
        <v>1</v>
      </c>
      <c r="AG377">
        <f t="shared" si="74"/>
        <v>4</v>
      </c>
      <c r="AH377">
        <f t="shared" ca="1" si="75"/>
        <v>4.3122049054770847E-4</v>
      </c>
      <c r="AI377">
        <f>IF(ROW($AA377) - $AA$51 &lt; ($H$16+1)^5, IF(AG377 &gt;= BaseBonus!$C$16, AG377*BaseBonus!$E$31, 0), "")</f>
        <v>0</v>
      </c>
      <c r="AJ377">
        <f t="shared" ca="1" si="76"/>
        <v>0</v>
      </c>
    </row>
    <row r="378" spans="28:36" x14ac:dyDescent="0.3">
      <c r="AB378">
        <f t="shared" si="69"/>
        <v>2</v>
      </c>
      <c r="AC378">
        <f t="shared" si="70"/>
        <v>1</v>
      </c>
      <c r="AD378">
        <f t="shared" si="71"/>
        <v>0</v>
      </c>
      <c r="AE378">
        <f t="shared" si="72"/>
        <v>1</v>
      </c>
      <c r="AF378">
        <f t="shared" si="73"/>
        <v>1</v>
      </c>
      <c r="AG378">
        <f t="shared" si="74"/>
        <v>5</v>
      </c>
      <c r="AH378">
        <f t="shared" ca="1" si="75"/>
        <v>2.1561024527385424E-4</v>
      </c>
      <c r="AI378">
        <f>IF(ROW($AA378) - $AA$51 &lt; ($H$16+1)^5, IF(AG378 &gt;= BaseBonus!$C$16, AG378*BaseBonus!$E$31, 0), "")</f>
        <v>4.6952679064628979</v>
      </c>
      <c r="AJ378">
        <f t="shared" ca="1" si="76"/>
        <v>1.0123478649389215E-3</v>
      </c>
    </row>
    <row r="379" spans="28:36" x14ac:dyDescent="0.3">
      <c r="AB379">
        <f t="shared" si="69"/>
        <v>3</v>
      </c>
      <c r="AC379">
        <f t="shared" si="70"/>
        <v>1</v>
      </c>
      <c r="AD379">
        <f t="shared" si="71"/>
        <v>0</v>
      </c>
      <c r="AE379">
        <f t="shared" si="72"/>
        <v>1</v>
      </c>
      <c r="AF379">
        <f t="shared" si="73"/>
        <v>1</v>
      </c>
      <c r="AG379">
        <f t="shared" si="74"/>
        <v>6</v>
      </c>
      <c r="AH379">
        <f t="shared" ca="1" si="75"/>
        <v>0</v>
      </c>
      <c r="AI379">
        <f>IF(ROW($AA379) - $AA$51 &lt; ($H$16+1)^5, IF(AG379 &gt;= BaseBonus!$C$16, AG379*BaseBonus!$E$31, 0), "")</f>
        <v>5.6343214877554777</v>
      </c>
      <c r="AJ379">
        <f t="shared" ca="1" si="76"/>
        <v>0</v>
      </c>
    </row>
    <row r="380" spans="28:36" x14ac:dyDescent="0.3">
      <c r="AB380">
        <f t="shared" si="69"/>
        <v>0</v>
      </c>
      <c r="AC380">
        <f t="shared" si="70"/>
        <v>2</v>
      </c>
      <c r="AD380">
        <f t="shared" si="71"/>
        <v>0</v>
      </c>
      <c r="AE380">
        <f t="shared" si="72"/>
        <v>1</v>
      </c>
      <c r="AF380">
        <f t="shared" si="73"/>
        <v>1</v>
      </c>
      <c r="AG380">
        <f t="shared" si="74"/>
        <v>4</v>
      </c>
      <c r="AH380">
        <f t="shared" ca="1" si="75"/>
        <v>3.833071027090742E-4</v>
      </c>
      <c r="AI380">
        <f>IF(ROW($AA380) - $AA$51 &lt; ($H$16+1)^5, IF(AG380 &gt;= BaseBonus!$C$16, AG380*BaseBonus!$E$31, 0), "")</f>
        <v>0</v>
      </c>
      <c r="AJ380">
        <f t="shared" ca="1" si="76"/>
        <v>0</v>
      </c>
    </row>
    <row r="381" spans="28:36" x14ac:dyDescent="0.3">
      <c r="AB381">
        <f t="shared" si="69"/>
        <v>1</v>
      </c>
      <c r="AC381">
        <f t="shared" si="70"/>
        <v>2</v>
      </c>
      <c r="AD381">
        <f t="shared" si="71"/>
        <v>0</v>
      </c>
      <c r="AE381">
        <f t="shared" si="72"/>
        <v>1</v>
      </c>
      <c r="AF381">
        <f t="shared" si="73"/>
        <v>1</v>
      </c>
      <c r="AG381">
        <f t="shared" si="74"/>
        <v>5</v>
      </c>
      <c r="AH381">
        <f t="shared" ca="1" si="75"/>
        <v>7.1870081757951403E-5</v>
      </c>
      <c r="AI381">
        <f>IF(ROW($AA381) - $AA$51 &lt; ($H$16+1)^5, IF(AG381 &gt;= BaseBonus!$C$16, AG381*BaseBonus!$E$31, 0), "")</f>
        <v>4.6952679064628979</v>
      </c>
      <c r="AJ381">
        <f t="shared" ca="1" si="76"/>
        <v>3.3744928831297378E-4</v>
      </c>
    </row>
    <row r="382" spans="28:36" x14ac:dyDescent="0.3">
      <c r="AB382">
        <f t="shared" si="69"/>
        <v>2</v>
      </c>
      <c r="AC382">
        <f t="shared" si="70"/>
        <v>2</v>
      </c>
      <c r="AD382">
        <f t="shared" si="71"/>
        <v>0</v>
      </c>
      <c r="AE382">
        <f t="shared" si="72"/>
        <v>1</v>
      </c>
      <c r="AF382">
        <f t="shared" si="73"/>
        <v>1</v>
      </c>
      <c r="AG382">
        <f t="shared" si="74"/>
        <v>6</v>
      </c>
      <c r="AH382">
        <f t="shared" ca="1" si="75"/>
        <v>3.5935040878975702E-5</v>
      </c>
      <c r="AI382">
        <f>IF(ROW($AA382) - $AA$51 &lt; ($H$16+1)^5, IF(AG382 &gt;= BaseBonus!$C$16, AG382*BaseBonus!$E$31, 0), "")</f>
        <v>5.6343214877554777</v>
      </c>
      <c r="AJ382">
        <f t="shared" ca="1" si="76"/>
        <v>2.024695729877843E-4</v>
      </c>
    </row>
    <row r="383" spans="28:36" x14ac:dyDescent="0.3">
      <c r="AB383">
        <f t="shared" si="69"/>
        <v>3</v>
      </c>
      <c r="AC383">
        <f t="shared" si="70"/>
        <v>2</v>
      </c>
      <c r="AD383">
        <f t="shared" si="71"/>
        <v>0</v>
      </c>
      <c r="AE383">
        <f t="shared" si="72"/>
        <v>1</v>
      </c>
      <c r="AF383">
        <f t="shared" si="73"/>
        <v>1</v>
      </c>
      <c r="AG383">
        <f t="shared" si="74"/>
        <v>7</v>
      </c>
      <c r="AH383">
        <f t="shared" ca="1" si="75"/>
        <v>0</v>
      </c>
      <c r="AI383">
        <f>IF(ROW($AA383) - $AA$51 &lt; ($H$16+1)^5, IF(AG383 &gt;= BaseBonus!$C$16, AG383*BaseBonus!$E$31, 0), "")</f>
        <v>6.5733750690480575</v>
      </c>
      <c r="AJ383">
        <f t="shared" ca="1" si="76"/>
        <v>0</v>
      </c>
    </row>
    <row r="384" spans="28:36" x14ac:dyDescent="0.3">
      <c r="AB384">
        <f t="shared" si="69"/>
        <v>0</v>
      </c>
      <c r="AC384">
        <f t="shared" si="70"/>
        <v>3</v>
      </c>
      <c r="AD384">
        <f t="shared" si="71"/>
        <v>0</v>
      </c>
      <c r="AE384">
        <f t="shared" si="72"/>
        <v>1</v>
      </c>
      <c r="AF384">
        <f t="shared" si="73"/>
        <v>1</v>
      </c>
      <c r="AG384">
        <f t="shared" si="74"/>
        <v>5</v>
      </c>
      <c r="AH384">
        <f t="shared" ca="1" si="75"/>
        <v>0</v>
      </c>
      <c r="AI384">
        <f>IF(ROW($AA384) - $AA$51 &lt; ($H$16+1)^5, IF(AG384 &gt;= BaseBonus!$C$16, AG384*BaseBonus!$E$31, 0), "")</f>
        <v>4.6952679064628979</v>
      </c>
      <c r="AJ384">
        <f t="shared" ca="1" si="76"/>
        <v>0</v>
      </c>
    </row>
    <row r="385" spans="28:36" x14ac:dyDescent="0.3">
      <c r="AB385">
        <f t="shared" si="69"/>
        <v>1</v>
      </c>
      <c r="AC385">
        <f t="shared" si="70"/>
        <v>3</v>
      </c>
      <c r="AD385">
        <f t="shared" si="71"/>
        <v>0</v>
      </c>
      <c r="AE385">
        <f t="shared" si="72"/>
        <v>1</v>
      </c>
      <c r="AF385">
        <f t="shared" si="73"/>
        <v>1</v>
      </c>
      <c r="AG385">
        <f t="shared" si="74"/>
        <v>6</v>
      </c>
      <c r="AH385">
        <f t="shared" ca="1" si="75"/>
        <v>0</v>
      </c>
      <c r="AI385">
        <f>IF(ROW($AA385) - $AA$51 &lt; ($H$16+1)^5, IF(AG385 &gt;= BaseBonus!$C$16, AG385*BaseBonus!$E$31, 0), "")</f>
        <v>5.6343214877554777</v>
      </c>
      <c r="AJ385">
        <f t="shared" ca="1" si="76"/>
        <v>0</v>
      </c>
    </row>
    <row r="386" spans="28:36" x14ac:dyDescent="0.3">
      <c r="AB386">
        <f t="shared" si="69"/>
        <v>2</v>
      </c>
      <c r="AC386">
        <f t="shared" si="70"/>
        <v>3</v>
      </c>
      <c r="AD386">
        <f t="shared" si="71"/>
        <v>0</v>
      </c>
      <c r="AE386">
        <f t="shared" si="72"/>
        <v>1</v>
      </c>
      <c r="AF386">
        <f t="shared" si="73"/>
        <v>1</v>
      </c>
      <c r="AG386">
        <f t="shared" si="74"/>
        <v>7</v>
      </c>
      <c r="AH386">
        <f t="shared" ca="1" si="75"/>
        <v>0</v>
      </c>
      <c r="AI386">
        <f>IF(ROW($AA386) - $AA$51 &lt; ($H$16+1)^5, IF(AG386 &gt;= BaseBonus!$C$16, AG386*BaseBonus!$E$31, 0), "")</f>
        <v>6.5733750690480575</v>
      </c>
      <c r="AJ386">
        <f t="shared" ca="1" si="76"/>
        <v>0</v>
      </c>
    </row>
    <row r="387" spans="28:36" x14ac:dyDescent="0.3">
      <c r="AB387">
        <f t="shared" si="69"/>
        <v>3</v>
      </c>
      <c r="AC387">
        <f t="shared" si="70"/>
        <v>3</v>
      </c>
      <c r="AD387">
        <f t="shared" si="71"/>
        <v>0</v>
      </c>
      <c r="AE387">
        <f t="shared" si="72"/>
        <v>1</v>
      </c>
      <c r="AF387">
        <f t="shared" si="73"/>
        <v>1</v>
      </c>
      <c r="AG387">
        <f t="shared" si="74"/>
        <v>8</v>
      </c>
      <c r="AH387">
        <f t="shared" ca="1" si="75"/>
        <v>0</v>
      </c>
      <c r="AI387">
        <f>IF(ROW($AA387) - $AA$51 &lt; ($H$16+1)^5, IF(AG387 &gt;= BaseBonus!$C$16, AG387*BaseBonus!$E$31, 0), "")</f>
        <v>7.5124286503406372</v>
      </c>
      <c r="AJ387">
        <f t="shared" ca="1" si="76"/>
        <v>0</v>
      </c>
    </row>
    <row r="388" spans="28:36" x14ac:dyDescent="0.3">
      <c r="AB388">
        <f t="shared" si="69"/>
        <v>0</v>
      </c>
      <c r="AC388">
        <f t="shared" si="70"/>
        <v>0</v>
      </c>
      <c r="AD388">
        <f t="shared" si="71"/>
        <v>1</v>
      </c>
      <c r="AE388">
        <f t="shared" si="72"/>
        <v>1</v>
      </c>
      <c r="AF388">
        <f t="shared" si="73"/>
        <v>1</v>
      </c>
      <c r="AG388">
        <f t="shared" si="74"/>
        <v>3</v>
      </c>
      <c r="AH388">
        <f t="shared" ca="1" si="75"/>
        <v>1.7301183980201926E-3</v>
      </c>
      <c r="AI388">
        <f>IF(ROW($AA388) - $AA$51 &lt; ($H$16+1)^5, IF(AG388 &gt;= BaseBonus!$C$16, AG388*BaseBonus!$E$31, 0), "")</f>
        <v>0</v>
      </c>
      <c r="AJ388">
        <f t="shared" ca="1" si="76"/>
        <v>0</v>
      </c>
    </row>
    <row r="389" spans="28:36" x14ac:dyDescent="0.3">
      <c r="AB389">
        <f t="shared" si="69"/>
        <v>1</v>
      </c>
      <c r="AC389">
        <f t="shared" si="70"/>
        <v>0</v>
      </c>
      <c r="AD389">
        <f t="shared" si="71"/>
        <v>1</v>
      </c>
      <c r="AE389">
        <f t="shared" si="72"/>
        <v>1</v>
      </c>
      <c r="AF389">
        <f t="shared" si="73"/>
        <v>1</v>
      </c>
      <c r="AG389">
        <f t="shared" si="74"/>
        <v>4</v>
      </c>
      <c r="AH389">
        <f t="shared" ca="1" si="75"/>
        <v>3.2439719962878619E-4</v>
      </c>
      <c r="AI389">
        <f>IF(ROW($AA389) - $AA$51 &lt; ($H$16+1)^5, IF(AG389 &gt;= BaseBonus!$C$16, AG389*BaseBonus!$E$31, 0), "")</f>
        <v>0</v>
      </c>
      <c r="AJ389">
        <f t="shared" ca="1" si="76"/>
        <v>0</v>
      </c>
    </row>
    <row r="390" spans="28:36" x14ac:dyDescent="0.3">
      <c r="AB390">
        <f t="shared" si="69"/>
        <v>2</v>
      </c>
      <c r="AC390">
        <f t="shared" si="70"/>
        <v>0</v>
      </c>
      <c r="AD390">
        <f t="shared" si="71"/>
        <v>1</v>
      </c>
      <c r="AE390">
        <f t="shared" si="72"/>
        <v>1</v>
      </c>
      <c r="AF390">
        <f t="shared" si="73"/>
        <v>1</v>
      </c>
      <c r="AG390">
        <f t="shared" si="74"/>
        <v>5</v>
      </c>
      <c r="AH390">
        <f t="shared" ca="1" si="75"/>
        <v>1.6219859981439309E-4</v>
      </c>
      <c r="AI390">
        <f>IF(ROW($AA390) - $AA$51 &lt; ($H$16+1)^5, IF(AG390 &gt;= BaseBonus!$C$16, AG390*BaseBonus!$E$31, 0), "")</f>
        <v>4.6952679064628979</v>
      </c>
      <c r="AJ390">
        <f t="shared" ca="1" si="76"/>
        <v>7.6156588018173887E-4</v>
      </c>
    </row>
    <row r="391" spans="28:36" x14ac:dyDescent="0.3">
      <c r="AB391">
        <f t="shared" si="69"/>
        <v>3</v>
      </c>
      <c r="AC391">
        <f t="shared" si="70"/>
        <v>0</v>
      </c>
      <c r="AD391">
        <f t="shared" si="71"/>
        <v>1</v>
      </c>
      <c r="AE391">
        <f t="shared" si="72"/>
        <v>1</v>
      </c>
      <c r="AF391">
        <f t="shared" si="73"/>
        <v>1</v>
      </c>
      <c r="AG391">
        <f t="shared" si="74"/>
        <v>6</v>
      </c>
      <c r="AH391">
        <f t="shared" ca="1" si="75"/>
        <v>0</v>
      </c>
      <c r="AI391">
        <f>IF(ROW($AA391) - $AA$51 &lt; ($H$16+1)^5, IF(AG391 &gt;= BaseBonus!$C$16, AG391*BaseBonus!$E$31, 0), "")</f>
        <v>5.6343214877554777</v>
      </c>
      <c r="AJ391">
        <f t="shared" ca="1" si="76"/>
        <v>0</v>
      </c>
    </row>
    <row r="392" spans="28:36" x14ac:dyDescent="0.3">
      <c r="AB392">
        <f t="shared" si="69"/>
        <v>0</v>
      </c>
      <c r="AC392">
        <f t="shared" si="70"/>
        <v>1</v>
      </c>
      <c r="AD392">
        <f t="shared" si="71"/>
        <v>1</v>
      </c>
      <c r="AE392">
        <f t="shared" si="72"/>
        <v>1</v>
      </c>
      <c r="AF392">
        <f t="shared" si="73"/>
        <v>1</v>
      </c>
      <c r="AG392">
        <f t="shared" si="74"/>
        <v>4</v>
      </c>
      <c r="AH392">
        <f t="shared" ca="1" si="75"/>
        <v>5.278327315993809E-4</v>
      </c>
      <c r="AI392">
        <f>IF(ROW($AA392) - $AA$51 &lt; ($H$16+1)^5, IF(AG392 &gt;= BaseBonus!$C$16, AG392*BaseBonus!$E$31, 0), "")</f>
        <v>0</v>
      </c>
      <c r="AJ392">
        <f t="shared" ca="1" si="76"/>
        <v>0</v>
      </c>
    </row>
    <row r="393" spans="28:36" x14ac:dyDescent="0.3">
      <c r="AB393">
        <f t="shared" si="69"/>
        <v>1</v>
      </c>
      <c r="AC393">
        <f t="shared" si="70"/>
        <v>1</v>
      </c>
      <c r="AD393">
        <f t="shared" si="71"/>
        <v>1</v>
      </c>
      <c r="AE393">
        <f t="shared" si="72"/>
        <v>1</v>
      </c>
      <c r="AF393">
        <f t="shared" si="73"/>
        <v>1</v>
      </c>
      <c r="AG393">
        <f t="shared" si="74"/>
        <v>5</v>
      </c>
      <c r="AH393">
        <f t="shared" ca="1" si="75"/>
        <v>9.8968637174883919E-5</v>
      </c>
      <c r="AI393">
        <f>IF(ROW($AA393) - $AA$51 &lt; ($H$16+1)^5, IF(AG393 &gt;= BaseBonus!$C$16, AG393*BaseBonus!$E$31, 0), "")</f>
        <v>4.6952679064628979</v>
      </c>
      <c r="AJ393">
        <f t="shared" ca="1" si="76"/>
        <v>4.6468426587360334E-4</v>
      </c>
    </row>
    <row r="394" spans="28:36" x14ac:dyDescent="0.3">
      <c r="AB394">
        <f t="shared" si="69"/>
        <v>2</v>
      </c>
      <c r="AC394">
        <f t="shared" si="70"/>
        <v>1</v>
      </c>
      <c r="AD394">
        <f t="shared" si="71"/>
        <v>1</v>
      </c>
      <c r="AE394">
        <f t="shared" si="72"/>
        <v>1</v>
      </c>
      <c r="AF394">
        <f t="shared" si="73"/>
        <v>1</v>
      </c>
      <c r="AG394">
        <f t="shared" si="74"/>
        <v>6</v>
      </c>
      <c r="AH394">
        <f t="shared" ca="1" si="75"/>
        <v>4.9484318587441959E-5</v>
      </c>
      <c r="AI394">
        <f>IF(ROW($AA394) - $AA$51 &lt; ($H$16+1)^5, IF(AG394 &gt;= BaseBonus!$C$16, AG394*BaseBonus!$E$31, 0), "")</f>
        <v>5.6343214877554777</v>
      </c>
      <c r="AJ394">
        <f t="shared" ca="1" si="76"/>
        <v>2.7881055952416202E-4</v>
      </c>
    </row>
    <row r="395" spans="28:36" x14ac:dyDescent="0.3">
      <c r="AB395">
        <f t="shared" si="69"/>
        <v>3</v>
      </c>
      <c r="AC395">
        <f t="shared" si="70"/>
        <v>1</v>
      </c>
      <c r="AD395">
        <f t="shared" si="71"/>
        <v>1</v>
      </c>
      <c r="AE395">
        <f t="shared" si="72"/>
        <v>1</v>
      </c>
      <c r="AF395">
        <f t="shared" si="73"/>
        <v>1</v>
      </c>
      <c r="AG395">
        <f t="shared" si="74"/>
        <v>7</v>
      </c>
      <c r="AH395">
        <f t="shared" ca="1" si="75"/>
        <v>0</v>
      </c>
      <c r="AI395">
        <f>IF(ROW($AA395) - $AA$51 &lt; ($H$16+1)^5, IF(AG395 &gt;= BaseBonus!$C$16, AG395*BaseBonus!$E$31, 0), "")</f>
        <v>6.5733750690480575</v>
      </c>
      <c r="AJ395">
        <f t="shared" ca="1" si="76"/>
        <v>0</v>
      </c>
    </row>
    <row r="396" spans="28:36" x14ac:dyDescent="0.3">
      <c r="AB396">
        <f t="shared" si="69"/>
        <v>0</v>
      </c>
      <c r="AC396">
        <f t="shared" si="70"/>
        <v>2</v>
      </c>
      <c r="AD396">
        <f t="shared" si="71"/>
        <v>1</v>
      </c>
      <c r="AE396">
        <f t="shared" si="72"/>
        <v>1</v>
      </c>
      <c r="AF396">
        <f t="shared" si="73"/>
        <v>1</v>
      </c>
      <c r="AG396">
        <f t="shared" si="74"/>
        <v>5</v>
      </c>
      <c r="AH396">
        <f t="shared" ca="1" si="75"/>
        <v>8.7972121933230132E-5</v>
      </c>
      <c r="AI396">
        <f>IF(ROW($AA396) - $AA$51 &lt; ($H$16+1)^5, IF(AG396 &gt;= BaseBonus!$C$16, AG396*BaseBonus!$E$31, 0), "")</f>
        <v>4.6952679064628979</v>
      </c>
      <c r="AJ396">
        <f t="shared" ca="1" si="76"/>
        <v>4.1305268077653623E-4</v>
      </c>
    </row>
    <row r="397" spans="28:36" x14ac:dyDescent="0.3">
      <c r="AB397">
        <f t="shared" si="69"/>
        <v>1</v>
      </c>
      <c r="AC397">
        <f t="shared" si="70"/>
        <v>2</v>
      </c>
      <c r="AD397">
        <f t="shared" si="71"/>
        <v>1</v>
      </c>
      <c r="AE397">
        <f t="shared" si="72"/>
        <v>1</v>
      </c>
      <c r="AF397">
        <f t="shared" si="73"/>
        <v>1</v>
      </c>
      <c r="AG397">
        <f t="shared" si="74"/>
        <v>6</v>
      </c>
      <c r="AH397">
        <f t="shared" ca="1" si="75"/>
        <v>1.649477286248065E-5</v>
      </c>
      <c r="AI397">
        <f>IF(ROW($AA397) - $AA$51 &lt; ($H$16+1)^5, IF(AG397 &gt;= BaseBonus!$C$16, AG397*BaseBonus!$E$31, 0), "")</f>
        <v>5.6343214877554777</v>
      </c>
      <c r="AJ397">
        <f t="shared" ca="1" si="76"/>
        <v>9.2936853174720657E-5</v>
      </c>
    </row>
    <row r="398" spans="28:36" x14ac:dyDescent="0.3">
      <c r="AB398">
        <f t="shared" si="69"/>
        <v>2</v>
      </c>
      <c r="AC398">
        <f t="shared" si="70"/>
        <v>2</v>
      </c>
      <c r="AD398">
        <f t="shared" si="71"/>
        <v>1</v>
      </c>
      <c r="AE398">
        <f t="shared" si="72"/>
        <v>1</v>
      </c>
      <c r="AF398">
        <f t="shared" si="73"/>
        <v>1</v>
      </c>
      <c r="AG398">
        <f t="shared" si="74"/>
        <v>7</v>
      </c>
      <c r="AH398">
        <f t="shared" ca="1" si="75"/>
        <v>8.2473864312403249E-6</v>
      </c>
      <c r="AI398">
        <f>IF(ROW($AA398) - $AA$51 &lt; ($H$16+1)^5, IF(AG398 &gt;= BaseBonus!$C$16, AG398*BaseBonus!$E$31, 0), "")</f>
        <v>6.5733750690480575</v>
      </c>
      <c r="AJ398">
        <f t="shared" ca="1" si="76"/>
        <v>5.4213164351920383E-5</v>
      </c>
    </row>
    <row r="399" spans="28:36" x14ac:dyDescent="0.3">
      <c r="AB399">
        <f t="shared" si="69"/>
        <v>3</v>
      </c>
      <c r="AC399">
        <f t="shared" si="70"/>
        <v>2</v>
      </c>
      <c r="AD399">
        <f t="shared" si="71"/>
        <v>1</v>
      </c>
      <c r="AE399">
        <f t="shared" si="72"/>
        <v>1</v>
      </c>
      <c r="AF399">
        <f t="shared" si="73"/>
        <v>1</v>
      </c>
      <c r="AG399">
        <f t="shared" si="74"/>
        <v>8</v>
      </c>
      <c r="AH399">
        <f t="shared" ca="1" si="75"/>
        <v>0</v>
      </c>
      <c r="AI399">
        <f>IF(ROW($AA399) - $AA$51 &lt; ($H$16+1)^5, IF(AG399 &gt;= BaseBonus!$C$16, AG399*BaseBonus!$E$31, 0), "")</f>
        <v>7.5124286503406372</v>
      </c>
      <c r="AJ399">
        <f t="shared" ca="1" si="76"/>
        <v>0</v>
      </c>
    </row>
    <row r="400" spans="28:36" x14ac:dyDescent="0.3">
      <c r="AB400">
        <f t="shared" si="69"/>
        <v>0</v>
      </c>
      <c r="AC400">
        <f t="shared" si="70"/>
        <v>3</v>
      </c>
      <c r="AD400">
        <f t="shared" si="71"/>
        <v>1</v>
      </c>
      <c r="AE400">
        <f t="shared" si="72"/>
        <v>1</v>
      </c>
      <c r="AF400">
        <f t="shared" si="73"/>
        <v>1</v>
      </c>
      <c r="AG400">
        <f t="shared" si="74"/>
        <v>6</v>
      </c>
      <c r="AH400">
        <f t="shared" ca="1" si="75"/>
        <v>0</v>
      </c>
      <c r="AI400">
        <f>IF(ROW($AA400) - $AA$51 &lt; ($H$16+1)^5, IF(AG400 &gt;= BaseBonus!$C$16, AG400*BaseBonus!$E$31, 0), "")</f>
        <v>5.6343214877554777</v>
      </c>
      <c r="AJ400">
        <f t="shared" ca="1" si="76"/>
        <v>0</v>
      </c>
    </row>
    <row r="401" spans="28:36" x14ac:dyDescent="0.3">
      <c r="AB401">
        <f t="shared" si="69"/>
        <v>1</v>
      </c>
      <c r="AC401">
        <f t="shared" si="70"/>
        <v>3</v>
      </c>
      <c r="AD401">
        <f t="shared" si="71"/>
        <v>1</v>
      </c>
      <c r="AE401">
        <f t="shared" si="72"/>
        <v>1</v>
      </c>
      <c r="AF401">
        <f t="shared" si="73"/>
        <v>1</v>
      </c>
      <c r="AG401">
        <f t="shared" si="74"/>
        <v>7</v>
      </c>
      <c r="AH401">
        <f t="shared" ca="1" si="75"/>
        <v>0</v>
      </c>
      <c r="AI401">
        <f>IF(ROW($AA401) - $AA$51 &lt; ($H$16+1)^5, IF(AG401 &gt;= BaseBonus!$C$16, AG401*BaseBonus!$E$31, 0), "")</f>
        <v>6.5733750690480575</v>
      </c>
      <c r="AJ401">
        <f t="shared" ca="1" si="76"/>
        <v>0</v>
      </c>
    </row>
    <row r="402" spans="28:36" x14ac:dyDescent="0.3">
      <c r="AB402">
        <f t="shared" si="69"/>
        <v>2</v>
      </c>
      <c r="AC402">
        <f t="shared" si="70"/>
        <v>3</v>
      </c>
      <c r="AD402">
        <f t="shared" si="71"/>
        <v>1</v>
      </c>
      <c r="AE402">
        <f t="shared" si="72"/>
        <v>1</v>
      </c>
      <c r="AF402">
        <f t="shared" si="73"/>
        <v>1</v>
      </c>
      <c r="AG402">
        <f t="shared" si="74"/>
        <v>8</v>
      </c>
      <c r="AH402">
        <f t="shared" ca="1" si="75"/>
        <v>0</v>
      </c>
      <c r="AI402">
        <f>IF(ROW($AA402) - $AA$51 &lt; ($H$16+1)^5, IF(AG402 &gt;= BaseBonus!$C$16, AG402*BaseBonus!$E$31, 0), "")</f>
        <v>7.5124286503406372</v>
      </c>
      <c r="AJ402">
        <f t="shared" ca="1" si="76"/>
        <v>0</v>
      </c>
    </row>
    <row r="403" spans="28:36" x14ac:dyDescent="0.3">
      <c r="AB403">
        <f t="shared" si="69"/>
        <v>3</v>
      </c>
      <c r="AC403">
        <f t="shared" si="70"/>
        <v>3</v>
      </c>
      <c r="AD403">
        <f t="shared" si="71"/>
        <v>1</v>
      </c>
      <c r="AE403">
        <f t="shared" si="72"/>
        <v>1</v>
      </c>
      <c r="AF403">
        <f t="shared" si="73"/>
        <v>1</v>
      </c>
      <c r="AG403">
        <f t="shared" si="74"/>
        <v>9</v>
      </c>
      <c r="AH403">
        <f t="shared" ca="1" si="75"/>
        <v>0</v>
      </c>
      <c r="AI403">
        <f>IF(ROW($AA403) - $AA$51 &lt; ($H$16+1)^5, IF(AG403 &gt;= BaseBonus!$C$16, AG403*BaseBonus!$E$31, 0), "")</f>
        <v>8.4514822316332161</v>
      </c>
      <c r="AJ403">
        <f t="shared" ca="1" si="76"/>
        <v>0</v>
      </c>
    </row>
    <row r="404" spans="28:36" x14ac:dyDescent="0.3">
      <c r="AB404">
        <f t="shared" si="69"/>
        <v>0</v>
      </c>
      <c r="AC404">
        <f t="shared" si="70"/>
        <v>0</v>
      </c>
      <c r="AD404">
        <f t="shared" si="71"/>
        <v>2</v>
      </c>
      <c r="AE404">
        <f t="shared" si="72"/>
        <v>1</v>
      </c>
      <c r="AF404">
        <f t="shared" si="73"/>
        <v>1</v>
      </c>
      <c r="AG404">
        <f t="shared" si="74"/>
        <v>4</v>
      </c>
      <c r="AH404">
        <f t="shared" ca="1" si="75"/>
        <v>1.3593787413015801E-3</v>
      </c>
      <c r="AI404">
        <f>IF(ROW($AA404) - $AA$51 &lt; ($H$16+1)^5, IF(AG404 &gt;= BaseBonus!$C$16, AG404*BaseBonus!$E$31, 0), "")</f>
        <v>0</v>
      </c>
      <c r="AJ404">
        <f t="shared" ca="1" si="76"/>
        <v>0</v>
      </c>
    </row>
    <row r="405" spans="28:36" x14ac:dyDescent="0.3">
      <c r="AB405">
        <f t="shared" si="69"/>
        <v>1</v>
      </c>
      <c r="AC405">
        <f t="shared" si="70"/>
        <v>0</v>
      </c>
      <c r="AD405">
        <f t="shared" si="71"/>
        <v>2</v>
      </c>
      <c r="AE405">
        <f t="shared" si="72"/>
        <v>1</v>
      </c>
      <c r="AF405">
        <f t="shared" si="73"/>
        <v>1</v>
      </c>
      <c r="AG405">
        <f t="shared" si="74"/>
        <v>5</v>
      </c>
      <c r="AH405">
        <f t="shared" ca="1" si="75"/>
        <v>2.5488351399404624E-4</v>
      </c>
      <c r="AI405">
        <f>IF(ROW($AA405) - $AA$51 &lt; ($H$16+1)^5, IF(AG405 &gt;= BaseBonus!$C$16, AG405*BaseBonus!$E$31, 0), "")</f>
        <v>4.6952679064628979</v>
      </c>
      <c r="AJ405">
        <f t="shared" ca="1" si="76"/>
        <v>1.1967463831427322E-3</v>
      </c>
    </row>
    <row r="406" spans="28:36" x14ac:dyDescent="0.3">
      <c r="AB406">
        <f t="shared" si="69"/>
        <v>2</v>
      </c>
      <c r="AC406">
        <f t="shared" si="70"/>
        <v>0</v>
      </c>
      <c r="AD406">
        <f t="shared" si="71"/>
        <v>2</v>
      </c>
      <c r="AE406">
        <f t="shared" si="72"/>
        <v>1</v>
      </c>
      <c r="AF406">
        <f t="shared" si="73"/>
        <v>1</v>
      </c>
      <c r="AG406">
        <f t="shared" si="74"/>
        <v>6</v>
      </c>
      <c r="AH406">
        <f t="shared" ca="1" si="75"/>
        <v>1.2744175699702312E-4</v>
      </c>
      <c r="AI406">
        <f>IF(ROW($AA406) - $AA$51 &lt; ($H$16+1)^5, IF(AG406 &gt;= BaseBonus!$C$16, AG406*BaseBonus!$E$31, 0), "")</f>
        <v>5.6343214877554777</v>
      </c>
      <c r="AJ406">
        <f t="shared" ca="1" si="76"/>
        <v>7.1804782988563935E-4</v>
      </c>
    </row>
    <row r="407" spans="28:36" x14ac:dyDescent="0.3">
      <c r="AB407">
        <f t="shared" si="69"/>
        <v>3</v>
      </c>
      <c r="AC407">
        <f t="shared" si="70"/>
        <v>0</v>
      </c>
      <c r="AD407">
        <f t="shared" si="71"/>
        <v>2</v>
      </c>
      <c r="AE407">
        <f t="shared" si="72"/>
        <v>1</v>
      </c>
      <c r="AF407">
        <f t="shared" si="73"/>
        <v>1</v>
      </c>
      <c r="AG407">
        <f t="shared" si="74"/>
        <v>7</v>
      </c>
      <c r="AH407">
        <f t="shared" ca="1" si="75"/>
        <v>0</v>
      </c>
      <c r="AI407">
        <f>IF(ROW($AA407) - $AA$51 &lt; ($H$16+1)^5, IF(AG407 &gt;= BaseBonus!$C$16, AG407*BaseBonus!$E$31, 0), "")</f>
        <v>6.5733750690480575</v>
      </c>
      <c r="AJ407">
        <f t="shared" ca="1" si="76"/>
        <v>0</v>
      </c>
    </row>
    <row r="408" spans="28:36" x14ac:dyDescent="0.3">
      <c r="AB408">
        <f t="shared" si="69"/>
        <v>0</v>
      </c>
      <c r="AC408">
        <f t="shared" si="70"/>
        <v>1</v>
      </c>
      <c r="AD408">
        <f t="shared" si="71"/>
        <v>2</v>
      </c>
      <c r="AE408">
        <f t="shared" si="72"/>
        <v>1</v>
      </c>
      <c r="AF408">
        <f t="shared" si="73"/>
        <v>1</v>
      </c>
      <c r="AG408">
        <f t="shared" si="74"/>
        <v>5</v>
      </c>
      <c r="AH408">
        <f t="shared" ca="1" si="75"/>
        <v>4.1472571768522783E-4</v>
      </c>
      <c r="AI408">
        <f>IF(ROW($AA408) - $AA$51 &lt; ($H$16+1)^5, IF(AG408 &gt;= BaseBonus!$C$16, AG408*BaseBonus!$E$31, 0), "")</f>
        <v>4.6952679064628979</v>
      </c>
      <c r="AJ408">
        <f t="shared" ca="1" si="76"/>
        <v>1.9472483522322425E-3</v>
      </c>
    </row>
    <row r="409" spans="28:36" x14ac:dyDescent="0.3">
      <c r="AB409">
        <f t="shared" si="69"/>
        <v>1</v>
      </c>
      <c r="AC409">
        <f t="shared" si="70"/>
        <v>1</v>
      </c>
      <c r="AD409">
        <f t="shared" si="71"/>
        <v>2</v>
      </c>
      <c r="AE409">
        <f t="shared" si="72"/>
        <v>1</v>
      </c>
      <c r="AF409">
        <f t="shared" si="73"/>
        <v>1</v>
      </c>
      <c r="AG409">
        <f t="shared" si="74"/>
        <v>6</v>
      </c>
      <c r="AH409">
        <f t="shared" ca="1" si="75"/>
        <v>7.7761072065980207E-5</v>
      </c>
      <c r="AI409">
        <f>IF(ROW($AA409) - $AA$51 &lt; ($H$16+1)^5, IF(AG409 &gt;= BaseBonus!$C$16, AG409*BaseBonus!$E$31, 0), "")</f>
        <v>5.6343214877554777</v>
      </c>
      <c r="AJ409">
        <f t="shared" ca="1" si="76"/>
        <v>4.3813087925225451E-4</v>
      </c>
    </row>
    <row r="410" spans="28:36" x14ac:dyDescent="0.3">
      <c r="AB410">
        <f t="shared" si="69"/>
        <v>2</v>
      </c>
      <c r="AC410">
        <f t="shared" si="70"/>
        <v>1</v>
      </c>
      <c r="AD410">
        <f t="shared" si="71"/>
        <v>2</v>
      </c>
      <c r="AE410">
        <f t="shared" si="72"/>
        <v>1</v>
      </c>
      <c r="AF410">
        <f t="shared" si="73"/>
        <v>1</v>
      </c>
      <c r="AG410">
        <f t="shared" si="74"/>
        <v>7</v>
      </c>
      <c r="AH410">
        <f t="shared" ca="1" si="75"/>
        <v>3.8880536032990104E-5</v>
      </c>
      <c r="AI410">
        <f>IF(ROW($AA410) - $AA$51 &lt; ($H$16+1)^5, IF(AG410 &gt;= BaseBonus!$C$16, AG410*BaseBonus!$E$31, 0), "")</f>
        <v>6.5733750690480575</v>
      </c>
      <c r="AJ410">
        <f t="shared" ca="1" si="76"/>
        <v>2.5557634623048182E-4</v>
      </c>
    </row>
    <row r="411" spans="28:36" x14ac:dyDescent="0.3">
      <c r="AB411">
        <f t="shared" si="69"/>
        <v>3</v>
      </c>
      <c r="AC411">
        <f t="shared" si="70"/>
        <v>1</v>
      </c>
      <c r="AD411">
        <f t="shared" si="71"/>
        <v>2</v>
      </c>
      <c r="AE411">
        <f t="shared" si="72"/>
        <v>1</v>
      </c>
      <c r="AF411">
        <f t="shared" si="73"/>
        <v>1</v>
      </c>
      <c r="AG411">
        <f t="shared" si="74"/>
        <v>8</v>
      </c>
      <c r="AH411">
        <f t="shared" ca="1" si="75"/>
        <v>0</v>
      </c>
      <c r="AI411">
        <f>IF(ROW($AA411) - $AA$51 &lt; ($H$16+1)^5, IF(AG411 &gt;= BaseBonus!$C$16, AG411*BaseBonus!$E$31, 0), "")</f>
        <v>7.5124286503406372</v>
      </c>
      <c r="AJ411">
        <f t="shared" ca="1" si="76"/>
        <v>0</v>
      </c>
    </row>
    <row r="412" spans="28:36" x14ac:dyDescent="0.3">
      <c r="AB412">
        <f t="shared" si="69"/>
        <v>0</v>
      </c>
      <c r="AC412">
        <f t="shared" si="70"/>
        <v>2</v>
      </c>
      <c r="AD412">
        <f t="shared" si="71"/>
        <v>2</v>
      </c>
      <c r="AE412">
        <f t="shared" si="72"/>
        <v>1</v>
      </c>
      <c r="AF412">
        <f t="shared" si="73"/>
        <v>1</v>
      </c>
      <c r="AG412">
        <f t="shared" si="74"/>
        <v>6</v>
      </c>
      <c r="AH412">
        <f t="shared" ca="1" si="75"/>
        <v>6.9120952947537967E-5</v>
      </c>
      <c r="AI412">
        <f>IF(ROW($AA412) - $AA$51 &lt; ($H$16+1)^5, IF(AG412 &gt;= BaseBonus!$C$16, AG412*BaseBonus!$E$31, 0), "")</f>
        <v>5.6343214877554777</v>
      </c>
      <c r="AJ412">
        <f t="shared" ca="1" si="76"/>
        <v>3.8944967044644851E-4</v>
      </c>
    </row>
    <row r="413" spans="28:36" x14ac:dyDescent="0.3">
      <c r="AB413">
        <f t="shared" si="69"/>
        <v>1</v>
      </c>
      <c r="AC413">
        <f t="shared" si="70"/>
        <v>2</v>
      </c>
      <c r="AD413">
        <f t="shared" si="71"/>
        <v>2</v>
      </c>
      <c r="AE413">
        <f t="shared" si="72"/>
        <v>1</v>
      </c>
      <c r="AF413">
        <f t="shared" si="73"/>
        <v>1</v>
      </c>
      <c r="AG413">
        <f t="shared" si="74"/>
        <v>7</v>
      </c>
      <c r="AH413">
        <f t="shared" ca="1" si="75"/>
        <v>1.2960178677663368E-5</v>
      </c>
      <c r="AI413">
        <f>IF(ROW($AA413) - $AA$51 &lt; ($H$16+1)^5, IF(AG413 &gt;= BaseBonus!$C$16, AG413*BaseBonus!$E$31, 0), "")</f>
        <v>6.5733750690480575</v>
      </c>
      <c r="AJ413">
        <f t="shared" ca="1" si="76"/>
        <v>8.5192115410160602E-5</v>
      </c>
    </row>
    <row r="414" spans="28:36" x14ac:dyDescent="0.3">
      <c r="AB414">
        <f t="shared" si="69"/>
        <v>2</v>
      </c>
      <c r="AC414">
        <f t="shared" si="70"/>
        <v>2</v>
      </c>
      <c r="AD414">
        <f t="shared" si="71"/>
        <v>2</v>
      </c>
      <c r="AE414">
        <f t="shared" si="72"/>
        <v>1</v>
      </c>
      <c r="AF414">
        <f t="shared" si="73"/>
        <v>1</v>
      </c>
      <c r="AG414">
        <f t="shared" si="74"/>
        <v>8</v>
      </c>
      <c r="AH414">
        <f t="shared" ca="1" si="75"/>
        <v>6.4800893388316839E-6</v>
      </c>
      <c r="AI414">
        <f>IF(ROW($AA414) - $AA$51 &lt; ($H$16+1)^5, IF(AG414 &gt;= BaseBonus!$C$16, AG414*BaseBonus!$E$31, 0), "")</f>
        <v>7.5124286503406372</v>
      </c>
      <c r="AJ414">
        <f t="shared" ca="1" si="76"/>
        <v>4.8681208805806057E-5</v>
      </c>
    </row>
    <row r="415" spans="28:36" x14ac:dyDescent="0.3">
      <c r="AB415">
        <f t="shared" si="69"/>
        <v>3</v>
      </c>
      <c r="AC415">
        <f t="shared" si="70"/>
        <v>2</v>
      </c>
      <c r="AD415">
        <f t="shared" si="71"/>
        <v>2</v>
      </c>
      <c r="AE415">
        <f t="shared" si="72"/>
        <v>1</v>
      </c>
      <c r="AF415">
        <f t="shared" si="73"/>
        <v>1</v>
      </c>
      <c r="AG415">
        <f t="shared" si="74"/>
        <v>9</v>
      </c>
      <c r="AH415">
        <f t="shared" ca="1" si="75"/>
        <v>0</v>
      </c>
      <c r="AI415">
        <f>IF(ROW($AA415) - $AA$51 &lt; ($H$16+1)^5, IF(AG415 &gt;= BaseBonus!$C$16, AG415*BaseBonus!$E$31, 0), "")</f>
        <v>8.4514822316332161</v>
      </c>
      <c r="AJ415">
        <f t="shared" ca="1" si="76"/>
        <v>0</v>
      </c>
    </row>
    <row r="416" spans="28:36" x14ac:dyDescent="0.3">
      <c r="AB416">
        <f t="shared" si="69"/>
        <v>0</v>
      </c>
      <c r="AC416">
        <f t="shared" si="70"/>
        <v>3</v>
      </c>
      <c r="AD416">
        <f t="shared" si="71"/>
        <v>2</v>
      </c>
      <c r="AE416">
        <f t="shared" si="72"/>
        <v>1</v>
      </c>
      <c r="AF416">
        <f t="shared" si="73"/>
        <v>1</v>
      </c>
      <c r="AG416">
        <f t="shared" si="74"/>
        <v>7</v>
      </c>
      <c r="AH416">
        <f t="shared" ca="1" si="75"/>
        <v>0</v>
      </c>
      <c r="AI416">
        <f>IF(ROW($AA416) - $AA$51 &lt; ($H$16+1)^5, IF(AG416 &gt;= BaseBonus!$C$16, AG416*BaseBonus!$E$31, 0), "")</f>
        <v>6.5733750690480575</v>
      </c>
      <c r="AJ416">
        <f t="shared" ca="1" si="76"/>
        <v>0</v>
      </c>
    </row>
    <row r="417" spans="28:36" x14ac:dyDescent="0.3">
      <c r="AB417">
        <f t="shared" si="69"/>
        <v>1</v>
      </c>
      <c r="AC417">
        <f t="shared" si="70"/>
        <v>3</v>
      </c>
      <c r="AD417">
        <f t="shared" si="71"/>
        <v>2</v>
      </c>
      <c r="AE417">
        <f t="shared" si="72"/>
        <v>1</v>
      </c>
      <c r="AF417">
        <f t="shared" si="73"/>
        <v>1</v>
      </c>
      <c r="AG417">
        <f t="shared" si="74"/>
        <v>8</v>
      </c>
      <c r="AH417">
        <f t="shared" ca="1" si="75"/>
        <v>0</v>
      </c>
      <c r="AI417">
        <f>IF(ROW($AA417) - $AA$51 &lt; ($H$16+1)^5, IF(AG417 &gt;= BaseBonus!$C$16, AG417*BaseBonus!$E$31, 0), "")</f>
        <v>7.5124286503406372</v>
      </c>
      <c r="AJ417">
        <f t="shared" ca="1" si="76"/>
        <v>0</v>
      </c>
    </row>
    <row r="418" spans="28:36" x14ac:dyDescent="0.3">
      <c r="AB418">
        <f t="shared" si="69"/>
        <v>2</v>
      </c>
      <c r="AC418">
        <f t="shared" si="70"/>
        <v>3</v>
      </c>
      <c r="AD418">
        <f t="shared" si="71"/>
        <v>2</v>
      </c>
      <c r="AE418">
        <f t="shared" si="72"/>
        <v>1</v>
      </c>
      <c r="AF418">
        <f t="shared" si="73"/>
        <v>1</v>
      </c>
      <c r="AG418">
        <f t="shared" si="74"/>
        <v>9</v>
      </c>
      <c r="AH418">
        <f t="shared" ca="1" si="75"/>
        <v>0</v>
      </c>
      <c r="AI418">
        <f>IF(ROW($AA418) - $AA$51 &lt; ($H$16+1)^5, IF(AG418 &gt;= BaseBonus!$C$16, AG418*BaseBonus!$E$31, 0), "")</f>
        <v>8.4514822316332161</v>
      </c>
      <c r="AJ418">
        <f t="shared" ca="1" si="76"/>
        <v>0</v>
      </c>
    </row>
    <row r="419" spans="28:36" x14ac:dyDescent="0.3">
      <c r="AB419">
        <f t="shared" si="69"/>
        <v>3</v>
      </c>
      <c r="AC419">
        <f t="shared" si="70"/>
        <v>3</v>
      </c>
      <c r="AD419">
        <f t="shared" si="71"/>
        <v>2</v>
      </c>
      <c r="AE419">
        <f t="shared" si="72"/>
        <v>1</v>
      </c>
      <c r="AF419">
        <f t="shared" si="73"/>
        <v>1</v>
      </c>
      <c r="AG419">
        <f t="shared" si="74"/>
        <v>10</v>
      </c>
      <c r="AH419">
        <f t="shared" ca="1" si="75"/>
        <v>0</v>
      </c>
      <c r="AI419">
        <f>IF(ROW($AA419) - $AA$51 &lt; ($H$16+1)^5, IF(AG419 &gt;= BaseBonus!$C$16, AG419*BaseBonus!$E$31, 0), "")</f>
        <v>9.3905358129257959</v>
      </c>
      <c r="AJ419">
        <f t="shared" ca="1" si="76"/>
        <v>0</v>
      </c>
    </row>
    <row r="420" spans="28:36" x14ac:dyDescent="0.3">
      <c r="AB420">
        <f t="shared" si="69"/>
        <v>0</v>
      </c>
      <c r="AC420">
        <f t="shared" si="70"/>
        <v>0</v>
      </c>
      <c r="AD420">
        <f t="shared" si="71"/>
        <v>3</v>
      </c>
      <c r="AE420">
        <f t="shared" si="72"/>
        <v>1</v>
      </c>
      <c r="AF420">
        <f t="shared" si="73"/>
        <v>1</v>
      </c>
      <c r="AG420">
        <f t="shared" si="74"/>
        <v>5</v>
      </c>
      <c r="AH420">
        <f t="shared" ca="1" si="75"/>
        <v>0</v>
      </c>
      <c r="AI420">
        <f>IF(ROW($AA420) - $AA$51 &lt; ($H$16+1)^5, IF(AG420 &gt;= BaseBonus!$C$16, AG420*BaseBonus!$E$31, 0), "")</f>
        <v>4.6952679064628979</v>
      </c>
      <c r="AJ420">
        <f t="shared" ca="1" si="76"/>
        <v>0</v>
      </c>
    </row>
    <row r="421" spans="28:36" x14ac:dyDescent="0.3">
      <c r="AB421">
        <f t="shared" si="69"/>
        <v>1</v>
      </c>
      <c r="AC421">
        <f t="shared" si="70"/>
        <v>0</v>
      </c>
      <c r="AD421">
        <f t="shared" si="71"/>
        <v>3</v>
      </c>
      <c r="AE421">
        <f t="shared" si="72"/>
        <v>1</v>
      </c>
      <c r="AF421">
        <f t="shared" si="73"/>
        <v>1</v>
      </c>
      <c r="AG421">
        <f t="shared" si="74"/>
        <v>6</v>
      </c>
      <c r="AH421">
        <f t="shared" ca="1" si="75"/>
        <v>0</v>
      </c>
      <c r="AI421">
        <f>IF(ROW($AA421) - $AA$51 &lt; ($H$16+1)^5, IF(AG421 &gt;= BaseBonus!$C$16, AG421*BaseBonus!$E$31, 0), "")</f>
        <v>5.6343214877554777</v>
      </c>
      <c r="AJ421">
        <f t="shared" ca="1" si="76"/>
        <v>0</v>
      </c>
    </row>
    <row r="422" spans="28:36" x14ac:dyDescent="0.3">
      <c r="AB422">
        <f t="shared" si="69"/>
        <v>2</v>
      </c>
      <c r="AC422">
        <f t="shared" si="70"/>
        <v>0</v>
      </c>
      <c r="AD422">
        <f t="shared" si="71"/>
        <v>3</v>
      </c>
      <c r="AE422">
        <f t="shared" si="72"/>
        <v>1</v>
      </c>
      <c r="AF422">
        <f t="shared" si="73"/>
        <v>1</v>
      </c>
      <c r="AG422">
        <f t="shared" si="74"/>
        <v>7</v>
      </c>
      <c r="AH422">
        <f t="shared" ca="1" si="75"/>
        <v>0</v>
      </c>
      <c r="AI422">
        <f>IF(ROW($AA422) - $AA$51 &lt; ($H$16+1)^5, IF(AG422 &gt;= BaseBonus!$C$16, AG422*BaseBonus!$E$31, 0), "")</f>
        <v>6.5733750690480575</v>
      </c>
      <c r="AJ422">
        <f t="shared" ca="1" si="76"/>
        <v>0</v>
      </c>
    </row>
    <row r="423" spans="28:36" x14ac:dyDescent="0.3">
      <c r="AB423">
        <f t="shared" si="69"/>
        <v>3</v>
      </c>
      <c r="AC423">
        <f t="shared" si="70"/>
        <v>0</v>
      </c>
      <c r="AD423">
        <f t="shared" si="71"/>
        <v>3</v>
      </c>
      <c r="AE423">
        <f t="shared" si="72"/>
        <v>1</v>
      </c>
      <c r="AF423">
        <f t="shared" si="73"/>
        <v>1</v>
      </c>
      <c r="AG423">
        <f t="shared" si="74"/>
        <v>8</v>
      </c>
      <c r="AH423">
        <f t="shared" ca="1" si="75"/>
        <v>0</v>
      </c>
      <c r="AI423">
        <f>IF(ROW($AA423) - $AA$51 &lt; ($H$16+1)^5, IF(AG423 &gt;= BaseBonus!$C$16, AG423*BaseBonus!$E$31, 0), "")</f>
        <v>7.5124286503406372</v>
      </c>
      <c r="AJ423">
        <f t="shared" ca="1" si="76"/>
        <v>0</v>
      </c>
    </row>
    <row r="424" spans="28:36" x14ac:dyDescent="0.3">
      <c r="AB424">
        <f t="shared" si="69"/>
        <v>0</v>
      </c>
      <c r="AC424">
        <f t="shared" si="70"/>
        <v>1</v>
      </c>
      <c r="AD424">
        <f t="shared" si="71"/>
        <v>3</v>
      </c>
      <c r="AE424">
        <f t="shared" si="72"/>
        <v>1</v>
      </c>
      <c r="AF424">
        <f t="shared" si="73"/>
        <v>1</v>
      </c>
      <c r="AG424">
        <f t="shared" si="74"/>
        <v>6</v>
      </c>
      <c r="AH424">
        <f t="shared" ca="1" si="75"/>
        <v>0</v>
      </c>
      <c r="AI424">
        <f>IF(ROW($AA424) - $AA$51 &lt; ($H$16+1)^5, IF(AG424 &gt;= BaseBonus!$C$16, AG424*BaseBonus!$E$31, 0), "")</f>
        <v>5.6343214877554777</v>
      </c>
      <c r="AJ424">
        <f t="shared" ca="1" si="76"/>
        <v>0</v>
      </c>
    </row>
    <row r="425" spans="28:36" x14ac:dyDescent="0.3">
      <c r="AB425">
        <f t="shared" si="69"/>
        <v>1</v>
      </c>
      <c r="AC425">
        <f t="shared" si="70"/>
        <v>1</v>
      </c>
      <c r="AD425">
        <f t="shared" si="71"/>
        <v>3</v>
      </c>
      <c r="AE425">
        <f t="shared" si="72"/>
        <v>1</v>
      </c>
      <c r="AF425">
        <f t="shared" si="73"/>
        <v>1</v>
      </c>
      <c r="AG425">
        <f t="shared" si="74"/>
        <v>7</v>
      </c>
      <c r="AH425">
        <f t="shared" ca="1" si="75"/>
        <v>0</v>
      </c>
      <c r="AI425">
        <f>IF(ROW($AA425) - $AA$51 &lt; ($H$16+1)^5, IF(AG425 &gt;= BaseBonus!$C$16, AG425*BaseBonus!$E$31, 0), "")</f>
        <v>6.5733750690480575</v>
      </c>
      <c r="AJ425">
        <f t="shared" ca="1" si="76"/>
        <v>0</v>
      </c>
    </row>
    <row r="426" spans="28:36" x14ac:dyDescent="0.3">
      <c r="AB426">
        <f t="shared" si="69"/>
        <v>2</v>
      </c>
      <c r="AC426">
        <f t="shared" si="70"/>
        <v>1</v>
      </c>
      <c r="AD426">
        <f t="shared" si="71"/>
        <v>3</v>
      </c>
      <c r="AE426">
        <f t="shared" si="72"/>
        <v>1</v>
      </c>
      <c r="AF426">
        <f t="shared" si="73"/>
        <v>1</v>
      </c>
      <c r="AG426">
        <f t="shared" si="74"/>
        <v>8</v>
      </c>
      <c r="AH426">
        <f t="shared" ca="1" si="75"/>
        <v>0</v>
      </c>
      <c r="AI426">
        <f>IF(ROW($AA426) - $AA$51 &lt; ($H$16+1)^5, IF(AG426 &gt;= BaseBonus!$C$16, AG426*BaseBonus!$E$31, 0), "")</f>
        <v>7.5124286503406372</v>
      </c>
      <c r="AJ426">
        <f t="shared" ca="1" si="76"/>
        <v>0</v>
      </c>
    </row>
    <row r="427" spans="28:36" x14ac:dyDescent="0.3">
      <c r="AB427">
        <f t="shared" si="69"/>
        <v>3</v>
      </c>
      <c r="AC427">
        <f t="shared" si="70"/>
        <v>1</v>
      </c>
      <c r="AD427">
        <f t="shared" si="71"/>
        <v>3</v>
      </c>
      <c r="AE427">
        <f t="shared" si="72"/>
        <v>1</v>
      </c>
      <c r="AF427">
        <f t="shared" si="73"/>
        <v>1</v>
      </c>
      <c r="AG427">
        <f t="shared" si="74"/>
        <v>9</v>
      </c>
      <c r="AH427">
        <f t="shared" ca="1" si="75"/>
        <v>0</v>
      </c>
      <c r="AI427">
        <f>IF(ROW($AA427) - $AA$51 &lt; ($H$16+1)^5, IF(AG427 &gt;= BaseBonus!$C$16, AG427*BaseBonus!$E$31, 0), "")</f>
        <v>8.4514822316332161</v>
      </c>
      <c r="AJ427">
        <f t="shared" ca="1" si="76"/>
        <v>0</v>
      </c>
    </row>
    <row r="428" spans="28:36" x14ac:dyDescent="0.3">
      <c r="AB428">
        <f t="shared" si="69"/>
        <v>0</v>
      </c>
      <c r="AC428">
        <f t="shared" si="70"/>
        <v>2</v>
      </c>
      <c r="AD428">
        <f t="shared" si="71"/>
        <v>3</v>
      </c>
      <c r="AE428">
        <f t="shared" si="72"/>
        <v>1</v>
      </c>
      <c r="AF428">
        <f t="shared" si="73"/>
        <v>1</v>
      </c>
      <c r="AG428">
        <f t="shared" si="74"/>
        <v>7</v>
      </c>
      <c r="AH428">
        <f t="shared" ca="1" si="75"/>
        <v>0</v>
      </c>
      <c r="AI428">
        <f>IF(ROW($AA428) - $AA$51 &lt; ($H$16+1)^5, IF(AG428 &gt;= BaseBonus!$C$16, AG428*BaseBonus!$E$31, 0), "")</f>
        <v>6.5733750690480575</v>
      </c>
      <c r="AJ428">
        <f t="shared" ca="1" si="76"/>
        <v>0</v>
      </c>
    </row>
    <row r="429" spans="28:36" x14ac:dyDescent="0.3">
      <c r="AB429">
        <f t="shared" si="69"/>
        <v>1</v>
      </c>
      <c r="AC429">
        <f t="shared" si="70"/>
        <v>2</v>
      </c>
      <c r="AD429">
        <f t="shared" si="71"/>
        <v>3</v>
      </c>
      <c r="AE429">
        <f t="shared" si="72"/>
        <v>1</v>
      </c>
      <c r="AF429">
        <f t="shared" si="73"/>
        <v>1</v>
      </c>
      <c r="AG429">
        <f t="shared" si="74"/>
        <v>8</v>
      </c>
      <c r="AH429">
        <f t="shared" ca="1" si="75"/>
        <v>0</v>
      </c>
      <c r="AI429">
        <f>IF(ROW($AA429) - $AA$51 &lt; ($H$16+1)^5, IF(AG429 &gt;= BaseBonus!$C$16, AG429*BaseBonus!$E$31, 0), "")</f>
        <v>7.5124286503406372</v>
      </c>
      <c r="AJ429">
        <f t="shared" ca="1" si="76"/>
        <v>0</v>
      </c>
    </row>
    <row r="430" spans="28:36" x14ac:dyDescent="0.3">
      <c r="AB430">
        <f t="shared" si="69"/>
        <v>2</v>
      </c>
      <c r="AC430">
        <f t="shared" si="70"/>
        <v>2</v>
      </c>
      <c r="AD430">
        <f t="shared" si="71"/>
        <v>3</v>
      </c>
      <c r="AE430">
        <f t="shared" si="72"/>
        <v>1</v>
      </c>
      <c r="AF430">
        <f t="shared" si="73"/>
        <v>1</v>
      </c>
      <c r="AG430">
        <f t="shared" si="74"/>
        <v>9</v>
      </c>
      <c r="AH430">
        <f t="shared" ca="1" si="75"/>
        <v>0</v>
      </c>
      <c r="AI430">
        <f>IF(ROW($AA430) - $AA$51 &lt; ($H$16+1)^5, IF(AG430 &gt;= BaseBonus!$C$16, AG430*BaseBonus!$E$31, 0), "")</f>
        <v>8.4514822316332161</v>
      </c>
      <c r="AJ430">
        <f t="shared" ca="1" si="76"/>
        <v>0</v>
      </c>
    </row>
    <row r="431" spans="28:36" x14ac:dyDescent="0.3">
      <c r="AB431">
        <f t="shared" si="69"/>
        <v>3</v>
      </c>
      <c r="AC431">
        <f t="shared" si="70"/>
        <v>2</v>
      </c>
      <c r="AD431">
        <f t="shared" si="71"/>
        <v>3</v>
      </c>
      <c r="AE431">
        <f t="shared" si="72"/>
        <v>1</v>
      </c>
      <c r="AF431">
        <f t="shared" si="73"/>
        <v>1</v>
      </c>
      <c r="AG431">
        <f t="shared" si="74"/>
        <v>10</v>
      </c>
      <c r="AH431">
        <f t="shared" ca="1" si="75"/>
        <v>0</v>
      </c>
      <c r="AI431">
        <f>IF(ROW($AA431) - $AA$51 &lt; ($H$16+1)^5, IF(AG431 &gt;= BaseBonus!$C$16, AG431*BaseBonus!$E$31, 0), "")</f>
        <v>9.3905358129257959</v>
      </c>
      <c r="AJ431">
        <f t="shared" ca="1" si="76"/>
        <v>0</v>
      </c>
    </row>
    <row r="432" spans="28:36" x14ac:dyDescent="0.3">
      <c r="AB432">
        <f t="shared" si="69"/>
        <v>0</v>
      </c>
      <c r="AC432">
        <f t="shared" si="70"/>
        <v>3</v>
      </c>
      <c r="AD432">
        <f t="shared" si="71"/>
        <v>3</v>
      </c>
      <c r="AE432">
        <f t="shared" si="72"/>
        <v>1</v>
      </c>
      <c r="AF432">
        <f t="shared" si="73"/>
        <v>1</v>
      </c>
      <c r="AG432">
        <f t="shared" si="74"/>
        <v>8</v>
      </c>
      <c r="AH432">
        <f t="shared" ca="1" si="75"/>
        <v>0</v>
      </c>
      <c r="AI432">
        <f>IF(ROW($AA432) - $AA$51 &lt; ($H$16+1)^5, IF(AG432 &gt;= BaseBonus!$C$16, AG432*BaseBonus!$E$31, 0), "")</f>
        <v>7.5124286503406372</v>
      </c>
      <c r="AJ432">
        <f t="shared" ca="1" si="76"/>
        <v>0</v>
      </c>
    </row>
    <row r="433" spans="28:36" x14ac:dyDescent="0.3">
      <c r="AB433">
        <f t="shared" si="69"/>
        <v>1</v>
      </c>
      <c r="AC433">
        <f t="shared" si="70"/>
        <v>3</v>
      </c>
      <c r="AD433">
        <f t="shared" si="71"/>
        <v>3</v>
      </c>
      <c r="AE433">
        <f t="shared" si="72"/>
        <v>1</v>
      </c>
      <c r="AF433">
        <f t="shared" si="73"/>
        <v>1</v>
      </c>
      <c r="AG433">
        <f t="shared" si="74"/>
        <v>9</v>
      </c>
      <c r="AH433">
        <f t="shared" ca="1" si="75"/>
        <v>0</v>
      </c>
      <c r="AI433">
        <f>IF(ROW($AA433) - $AA$51 &lt; ($H$16+1)^5, IF(AG433 &gt;= BaseBonus!$C$16, AG433*BaseBonus!$E$31, 0), "")</f>
        <v>8.4514822316332161</v>
      </c>
      <c r="AJ433">
        <f t="shared" ca="1" si="76"/>
        <v>0</v>
      </c>
    </row>
    <row r="434" spans="28:36" x14ac:dyDescent="0.3">
      <c r="AB434">
        <f t="shared" si="69"/>
        <v>2</v>
      </c>
      <c r="AC434">
        <f t="shared" si="70"/>
        <v>3</v>
      </c>
      <c r="AD434">
        <f t="shared" si="71"/>
        <v>3</v>
      </c>
      <c r="AE434">
        <f t="shared" si="72"/>
        <v>1</v>
      </c>
      <c r="AF434">
        <f t="shared" si="73"/>
        <v>1</v>
      </c>
      <c r="AG434">
        <f t="shared" si="74"/>
        <v>10</v>
      </c>
      <c r="AH434">
        <f t="shared" ca="1" si="75"/>
        <v>0</v>
      </c>
      <c r="AI434">
        <f>IF(ROW($AA434) - $AA$51 &lt; ($H$16+1)^5, IF(AG434 &gt;= BaseBonus!$C$16, AG434*BaseBonus!$E$31, 0), "")</f>
        <v>9.3905358129257959</v>
      </c>
      <c r="AJ434">
        <f t="shared" ca="1" si="76"/>
        <v>0</v>
      </c>
    </row>
    <row r="435" spans="28:36" x14ac:dyDescent="0.3">
      <c r="AB435">
        <f t="shared" si="69"/>
        <v>3</v>
      </c>
      <c r="AC435">
        <f t="shared" si="70"/>
        <v>3</v>
      </c>
      <c r="AD435">
        <f t="shared" si="71"/>
        <v>3</v>
      </c>
      <c r="AE435">
        <f t="shared" si="72"/>
        <v>1</v>
      </c>
      <c r="AF435">
        <f t="shared" si="73"/>
        <v>1</v>
      </c>
      <c r="AG435">
        <f t="shared" si="74"/>
        <v>11</v>
      </c>
      <c r="AH435">
        <f t="shared" ca="1" si="75"/>
        <v>0</v>
      </c>
      <c r="AI435">
        <f>IF(ROW($AA435) - $AA$51 &lt; ($H$16+1)^5, IF(AG435 &gt;= BaseBonus!$C$16, AG435*BaseBonus!$E$31, 0), "")</f>
        <v>10.329589394218376</v>
      </c>
      <c r="AJ435">
        <f t="shared" ca="1" si="76"/>
        <v>0</v>
      </c>
    </row>
    <row r="436" spans="28:36" x14ac:dyDescent="0.3">
      <c r="AB436">
        <f t="shared" ref="AB436:AB499" si="77">IF(ROW()-$AA$51 &lt; (H$16+1)^5, MOD(_xlfn.FLOOR.MATH((ROW()-$AA$51)/AB$50), H$16+1), "")</f>
        <v>0</v>
      </c>
      <c r="AC436">
        <f t="shared" ref="AC436:AC499" si="78">IF(ROW()-$AA$51 &lt; (I$16+1)^5, MOD(_xlfn.FLOOR.MATH((ROW()-$AA$51)/AC$50), I$16+1), "")</f>
        <v>0</v>
      </c>
      <c r="AD436">
        <f t="shared" ref="AD436:AD499" si="79">IF(ROW()-$AA$51 &lt; (J$16+1)^5, MOD(_xlfn.FLOOR.MATH((ROW()-$AA$51)/AD$50), J$16+1), "")</f>
        <v>0</v>
      </c>
      <c r="AE436">
        <f t="shared" ref="AE436:AE499" si="80">IF(ROW()-$AA$51 &lt; (K$16+1)^5, MOD(_xlfn.FLOOR.MATH((ROW()-$AA$51)/AE$50), K$16+1), "")</f>
        <v>2</v>
      </c>
      <c r="AF436">
        <f t="shared" ref="AF436:AF499" si="81">IF(ROW()-$AA$51 &lt; (L$16+1)^5, MOD(_xlfn.FLOOR.MATH((ROW()-$AA$51)/AF$50), L$16+1), "")</f>
        <v>1</v>
      </c>
      <c r="AG436">
        <f t="shared" ref="AG436:AG499" si="82">IF(ROW($AA436) - $AA$51 &lt; ($H$16+1)^5, SUM(AB436:AF436), "")</f>
        <v>3</v>
      </c>
      <c r="AH436">
        <f t="shared" ref="AH436:AH499" ca="1" si="83">IF(ROW($AA436) - $AA$51 &lt; (4)^5,
    (_xlfn.XLOOKUP(AB436,$T$51:$T$55,U$51:U$55,0)/U$27) * (_xlfn.XLOOKUP(AC436,$T$51:$T$55,V$51:V$55,0)/V$27) * (_xlfn.XLOOKUP(AD436,$T$51:$T$55,W$51:W$55,0)/W$27) * (_xlfn.XLOOKUP(AE436,$T$51:$T$55,X$51:X$55,0)/X$27) * (_xlfn.XLOOKUP(AF436,$T$51:$T$55,Y$51:Y$55,0)/Y$27),
"")</f>
        <v>5.0255820132967498E-3</v>
      </c>
      <c r="AI436">
        <f>IF(ROW($AA436) - $AA$51 &lt; ($H$16+1)^5, IF(AG436 &gt;= BaseBonus!$C$16, AG436*BaseBonus!$E$31, 0), "")</f>
        <v>0</v>
      </c>
      <c r="AJ436">
        <f t="shared" ref="AJ436:AJ499" ca="1" si="84">IF(ROW($AA436) - $AA$51 &lt; ($H$16+1)^5, AH436*AI436, "")</f>
        <v>0</v>
      </c>
    </row>
    <row r="437" spans="28:36" x14ac:dyDescent="0.3">
      <c r="AB437">
        <f t="shared" si="77"/>
        <v>1</v>
      </c>
      <c r="AC437">
        <f t="shared" si="78"/>
        <v>0</v>
      </c>
      <c r="AD437">
        <f t="shared" si="79"/>
        <v>0</v>
      </c>
      <c r="AE437">
        <f t="shared" si="80"/>
        <v>2</v>
      </c>
      <c r="AF437">
        <f t="shared" si="81"/>
        <v>1</v>
      </c>
      <c r="AG437">
        <f t="shared" si="82"/>
        <v>4</v>
      </c>
      <c r="AH437">
        <f t="shared" ca="1" si="83"/>
        <v>9.4229662749314058E-4</v>
      </c>
      <c r="AI437">
        <f>IF(ROW($AA437) - $AA$51 &lt; ($H$16+1)^5, IF(AG437 &gt;= BaseBonus!$C$16, AG437*BaseBonus!$E$31, 0), "")</f>
        <v>0</v>
      </c>
      <c r="AJ437">
        <f t="shared" ca="1" si="84"/>
        <v>0</v>
      </c>
    </row>
    <row r="438" spans="28:36" x14ac:dyDescent="0.3">
      <c r="AB438">
        <f t="shared" si="77"/>
        <v>2</v>
      </c>
      <c r="AC438">
        <f t="shared" si="78"/>
        <v>0</v>
      </c>
      <c r="AD438">
        <f t="shared" si="79"/>
        <v>0</v>
      </c>
      <c r="AE438">
        <f t="shared" si="80"/>
        <v>2</v>
      </c>
      <c r="AF438">
        <f t="shared" si="81"/>
        <v>1</v>
      </c>
      <c r="AG438">
        <f t="shared" si="82"/>
        <v>5</v>
      </c>
      <c r="AH438">
        <f t="shared" ca="1" si="83"/>
        <v>4.7114831374657029E-4</v>
      </c>
      <c r="AI438">
        <f>IF(ROW($AA438) - $AA$51 &lt; ($H$16+1)^5, IF(AG438 &gt;= BaseBonus!$C$16, AG438*BaseBonus!$E$31, 0), "")</f>
        <v>4.6952679064628979</v>
      </c>
      <c r="AJ438">
        <f t="shared" ca="1" si="84"/>
        <v>2.2121675567183838E-3</v>
      </c>
    </row>
    <row r="439" spans="28:36" x14ac:dyDescent="0.3">
      <c r="AB439">
        <f t="shared" si="77"/>
        <v>3</v>
      </c>
      <c r="AC439">
        <f t="shared" si="78"/>
        <v>0</v>
      </c>
      <c r="AD439">
        <f t="shared" si="79"/>
        <v>0</v>
      </c>
      <c r="AE439">
        <f t="shared" si="80"/>
        <v>2</v>
      </c>
      <c r="AF439">
        <f t="shared" si="81"/>
        <v>1</v>
      </c>
      <c r="AG439">
        <f t="shared" si="82"/>
        <v>6</v>
      </c>
      <c r="AH439">
        <f t="shared" ca="1" si="83"/>
        <v>0</v>
      </c>
      <c r="AI439">
        <f>IF(ROW($AA439) - $AA$51 &lt; ($H$16+1)^5, IF(AG439 &gt;= BaseBonus!$C$16, AG439*BaseBonus!$E$31, 0), "")</f>
        <v>5.6343214877554777</v>
      </c>
      <c r="AJ439">
        <f t="shared" ca="1" si="84"/>
        <v>0</v>
      </c>
    </row>
    <row r="440" spans="28:36" x14ac:dyDescent="0.3">
      <c r="AB440">
        <f t="shared" si="77"/>
        <v>0</v>
      </c>
      <c r="AC440">
        <f t="shared" si="78"/>
        <v>1</v>
      </c>
      <c r="AD440">
        <f t="shared" si="79"/>
        <v>0</v>
      </c>
      <c r="AE440">
        <f t="shared" si="80"/>
        <v>2</v>
      </c>
      <c r="AF440">
        <f t="shared" si="81"/>
        <v>1</v>
      </c>
      <c r="AG440">
        <f t="shared" si="82"/>
        <v>4</v>
      </c>
      <c r="AH440">
        <f t="shared" ca="1" si="83"/>
        <v>1.5332284108362968E-3</v>
      </c>
      <c r="AI440">
        <f>IF(ROW($AA440) - $AA$51 &lt; ($H$16+1)^5, IF(AG440 &gt;= BaseBonus!$C$16, AG440*BaseBonus!$E$31, 0), "")</f>
        <v>0</v>
      </c>
      <c r="AJ440">
        <f t="shared" ca="1" si="84"/>
        <v>0</v>
      </c>
    </row>
    <row r="441" spans="28:36" x14ac:dyDescent="0.3">
      <c r="AB441">
        <f t="shared" si="77"/>
        <v>1</v>
      </c>
      <c r="AC441">
        <f t="shared" si="78"/>
        <v>1</v>
      </c>
      <c r="AD441">
        <f t="shared" si="79"/>
        <v>0</v>
      </c>
      <c r="AE441">
        <f t="shared" si="80"/>
        <v>2</v>
      </c>
      <c r="AF441">
        <f t="shared" si="81"/>
        <v>1</v>
      </c>
      <c r="AG441">
        <f t="shared" si="82"/>
        <v>5</v>
      </c>
      <c r="AH441">
        <f t="shared" ca="1" si="83"/>
        <v>2.8748032703180567E-4</v>
      </c>
      <c r="AI441">
        <f>IF(ROW($AA441) - $AA$51 &lt; ($H$16+1)^5, IF(AG441 &gt;= BaseBonus!$C$16, AG441*BaseBonus!$E$31, 0), "")</f>
        <v>4.6952679064628979</v>
      </c>
      <c r="AJ441">
        <f t="shared" ca="1" si="84"/>
        <v>1.3497971532518954E-3</v>
      </c>
    </row>
    <row r="442" spans="28:36" x14ac:dyDescent="0.3">
      <c r="AB442">
        <f t="shared" si="77"/>
        <v>2</v>
      </c>
      <c r="AC442">
        <f t="shared" si="78"/>
        <v>1</v>
      </c>
      <c r="AD442">
        <f t="shared" si="79"/>
        <v>0</v>
      </c>
      <c r="AE442">
        <f t="shared" si="80"/>
        <v>2</v>
      </c>
      <c r="AF442">
        <f t="shared" si="81"/>
        <v>1</v>
      </c>
      <c r="AG442">
        <f t="shared" si="82"/>
        <v>6</v>
      </c>
      <c r="AH442">
        <f t="shared" ca="1" si="83"/>
        <v>1.4374016351590283E-4</v>
      </c>
      <c r="AI442">
        <f>IF(ROW($AA442) - $AA$51 &lt; ($H$16+1)^5, IF(AG442 &gt;= BaseBonus!$C$16, AG442*BaseBonus!$E$31, 0), "")</f>
        <v>5.6343214877554777</v>
      </c>
      <c r="AJ442">
        <f t="shared" ca="1" si="84"/>
        <v>8.098782919511373E-4</v>
      </c>
    </row>
    <row r="443" spans="28:36" x14ac:dyDescent="0.3">
      <c r="AB443">
        <f t="shared" si="77"/>
        <v>3</v>
      </c>
      <c r="AC443">
        <f t="shared" si="78"/>
        <v>1</v>
      </c>
      <c r="AD443">
        <f t="shared" si="79"/>
        <v>0</v>
      </c>
      <c r="AE443">
        <f t="shared" si="80"/>
        <v>2</v>
      </c>
      <c r="AF443">
        <f t="shared" si="81"/>
        <v>1</v>
      </c>
      <c r="AG443">
        <f t="shared" si="82"/>
        <v>7</v>
      </c>
      <c r="AH443">
        <f t="shared" ca="1" si="83"/>
        <v>0</v>
      </c>
      <c r="AI443">
        <f>IF(ROW($AA443) - $AA$51 &lt; ($H$16+1)^5, IF(AG443 &gt;= BaseBonus!$C$16, AG443*BaseBonus!$E$31, 0), "")</f>
        <v>6.5733750690480575</v>
      </c>
      <c r="AJ443">
        <f t="shared" ca="1" si="84"/>
        <v>0</v>
      </c>
    </row>
    <row r="444" spans="28:36" x14ac:dyDescent="0.3">
      <c r="AB444">
        <f t="shared" si="77"/>
        <v>0</v>
      </c>
      <c r="AC444">
        <f t="shared" si="78"/>
        <v>2</v>
      </c>
      <c r="AD444">
        <f t="shared" si="79"/>
        <v>0</v>
      </c>
      <c r="AE444">
        <f t="shared" si="80"/>
        <v>2</v>
      </c>
      <c r="AF444">
        <f t="shared" si="81"/>
        <v>1</v>
      </c>
      <c r="AG444">
        <f t="shared" si="82"/>
        <v>5</v>
      </c>
      <c r="AH444">
        <f t="shared" ca="1" si="83"/>
        <v>2.5553806847271614E-4</v>
      </c>
      <c r="AI444">
        <f>IF(ROW($AA444) - $AA$51 &lt; ($H$16+1)^5, IF(AG444 &gt;= BaseBonus!$C$16, AG444*BaseBonus!$E$31, 0), "")</f>
        <v>4.6952679064628979</v>
      </c>
      <c r="AJ444">
        <f t="shared" ca="1" si="84"/>
        <v>1.1998196917794625E-3</v>
      </c>
    </row>
    <row r="445" spans="28:36" x14ac:dyDescent="0.3">
      <c r="AB445">
        <f t="shared" si="77"/>
        <v>1</v>
      </c>
      <c r="AC445">
        <f t="shared" si="78"/>
        <v>2</v>
      </c>
      <c r="AD445">
        <f t="shared" si="79"/>
        <v>0</v>
      </c>
      <c r="AE445">
        <f t="shared" si="80"/>
        <v>2</v>
      </c>
      <c r="AF445">
        <f t="shared" si="81"/>
        <v>1</v>
      </c>
      <c r="AG445">
        <f t="shared" si="82"/>
        <v>6</v>
      </c>
      <c r="AH445">
        <f t="shared" ca="1" si="83"/>
        <v>4.7913387838634269E-5</v>
      </c>
      <c r="AI445">
        <f>IF(ROW($AA445) - $AA$51 &lt; ($H$16+1)^5, IF(AG445 &gt;= BaseBonus!$C$16, AG445*BaseBonus!$E$31, 0), "")</f>
        <v>5.6343214877554777</v>
      </c>
      <c r="AJ445">
        <f t="shared" ca="1" si="84"/>
        <v>2.6995943065037903E-4</v>
      </c>
    </row>
    <row r="446" spans="28:36" x14ac:dyDescent="0.3">
      <c r="AB446">
        <f t="shared" si="77"/>
        <v>2</v>
      </c>
      <c r="AC446">
        <f t="shared" si="78"/>
        <v>2</v>
      </c>
      <c r="AD446">
        <f t="shared" si="79"/>
        <v>0</v>
      </c>
      <c r="AE446">
        <f t="shared" si="80"/>
        <v>2</v>
      </c>
      <c r="AF446">
        <f t="shared" si="81"/>
        <v>1</v>
      </c>
      <c r="AG446">
        <f t="shared" si="82"/>
        <v>7</v>
      </c>
      <c r="AH446">
        <f t="shared" ca="1" si="83"/>
        <v>2.3956693919317134E-5</v>
      </c>
      <c r="AI446">
        <f>IF(ROW($AA446) - $AA$51 &lt; ($H$16+1)^5, IF(AG446 &gt;= BaseBonus!$C$16, AG446*BaseBonus!$E$31, 0), "")</f>
        <v>6.5733750690480575</v>
      </c>
      <c r="AJ446">
        <f t="shared" ca="1" si="84"/>
        <v>1.5747633454605444E-4</v>
      </c>
    </row>
    <row r="447" spans="28:36" x14ac:dyDescent="0.3">
      <c r="AB447">
        <f t="shared" si="77"/>
        <v>3</v>
      </c>
      <c r="AC447">
        <f t="shared" si="78"/>
        <v>2</v>
      </c>
      <c r="AD447">
        <f t="shared" si="79"/>
        <v>0</v>
      </c>
      <c r="AE447">
        <f t="shared" si="80"/>
        <v>2</v>
      </c>
      <c r="AF447">
        <f t="shared" si="81"/>
        <v>1</v>
      </c>
      <c r="AG447">
        <f t="shared" si="82"/>
        <v>8</v>
      </c>
      <c r="AH447">
        <f t="shared" ca="1" si="83"/>
        <v>0</v>
      </c>
      <c r="AI447">
        <f>IF(ROW($AA447) - $AA$51 &lt; ($H$16+1)^5, IF(AG447 &gt;= BaseBonus!$C$16, AG447*BaseBonus!$E$31, 0), "")</f>
        <v>7.5124286503406372</v>
      </c>
      <c r="AJ447">
        <f t="shared" ca="1" si="84"/>
        <v>0</v>
      </c>
    </row>
    <row r="448" spans="28:36" x14ac:dyDescent="0.3">
      <c r="AB448">
        <f t="shared" si="77"/>
        <v>0</v>
      </c>
      <c r="AC448">
        <f t="shared" si="78"/>
        <v>3</v>
      </c>
      <c r="AD448">
        <f t="shared" si="79"/>
        <v>0</v>
      </c>
      <c r="AE448">
        <f t="shared" si="80"/>
        <v>2</v>
      </c>
      <c r="AF448">
        <f t="shared" si="81"/>
        <v>1</v>
      </c>
      <c r="AG448">
        <f t="shared" si="82"/>
        <v>6</v>
      </c>
      <c r="AH448">
        <f t="shared" ca="1" si="83"/>
        <v>0</v>
      </c>
      <c r="AI448">
        <f>IF(ROW($AA448) - $AA$51 &lt; ($H$16+1)^5, IF(AG448 &gt;= BaseBonus!$C$16, AG448*BaseBonus!$E$31, 0), "")</f>
        <v>5.6343214877554777</v>
      </c>
      <c r="AJ448">
        <f t="shared" ca="1" si="84"/>
        <v>0</v>
      </c>
    </row>
    <row r="449" spans="28:36" x14ac:dyDescent="0.3">
      <c r="AB449">
        <f t="shared" si="77"/>
        <v>1</v>
      </c>
      <c r="AC449">
        <f t="shared" si="78"/>
        <v>3</v>
      </c>
      <c r="AD449">
        <f t="shared" si="79"/>
        <v>0</v>
      </c>
      <c r="AE449">
        <f t="shared" si="80"/>
        <v>2</v>
      </c>
      <c r="AF449">
        <f t="shared" si="81"/>
        <v>1</v>
      </c>
      <c r="AG449">
        <f t="shared" si="82"/>
        <v>7</v>
      </c>
      <c r="AH449">
        <f t="shared" ca="1" si="83"/>
        <v>0</v>
      </c>
      <c r="AI449">
        <f>IF(ROW($AA449) - $AA$51 &lt; ($H$16+1)^5, IF(AG449 &gt;= BaseBonus!$C$16, AG449*BaseBonus!$E$31, 0), "")</f>
        <v>6.5733750690480575</v>
      </c>
      <c r="AJ449">
        <f t="shared" ca="1" si="84"/>
        <v>0</v>
      </c>
    </row>
    <row r="450" spans="28:36" x14ac:dyDescent="0.3">
      <c r="AB450">
        <f t="shared" si="77"/>
        <v>2</v>
      </c>
      <c r="AC450">
        <f t="shared" si="78"/>
        <v>3</v>
      </c>
      <c r="AD450">
        <f t="shared" si="79"/>
        <v>0</v>
      </c>
      <c r="AE450">
        <f t="shared" si="80"/>
        <v>2</v>
      </c>
      <c r="AF450">
        <f t="shared" si="81"/>
        <v>1</v>
      </c>
      <c r="AG450">
        <f t="shared" si="82"/>
        <v>8</v>
      </c>
      <c r="AH450">
        <f t="shared" ca="1" si="83"/>
        <v>0</v>
      </c>
      <c r="AI450">
        <f>IF(ROW($AA450) - $AA$51 &lt; ($H$16+1)^5, IF(AG450 &gt;= BaseBonus!$C$16, AG450*BaseBonus!$E$31, 0), "")</f>
        <v>7.5124286503406372</v>
      </c>
      <c r="AJ450">
        <f t="shared" ca="1" si="84"/>
        <v>0</v>
      </c>
    </row>
    <row r="451" spans="28:36" x14ac:dyDescent="0.3">
      <c r="AB451">
        <f t="shared" si="77"/>
        <v>3</v>
      </c>
      <c r="AC451">
        <f t="shared" si="78"/>
        <v>3</v>
      </c>
      <c r="AD451">
        <f t="shared" si="79"/>
        <v>0</v>
      </c>
      <c r="AE451">
        <f t="shared" si="80"/>
        <v>2</v>
      </c>
      <c r="AF451">
        <f t="shared" si="81"/>
        <v>1</v>
      </c>
      <c r="AG451">
        <f t="shared" si="82"/>
        <v>9</v>
      </c>
      <c r="AH451">
        <f t="shared" ca="1" si="83"/>
        <v>0</v>
      </c>
      <c r="AI451">
        <f>IF(ROW($AA451) - $AA$51 &lt; ($H$16+1)^5, IF(AG451 &gt;= BaseBonus!$C$16, AG451*BaseBonus!$E$31, 0), "")</f>
        <v>8.4514822316332161</v>
      </c>
      <c r="AJ451">
        <f t="shared" ca="1" si="84"/>
        <v>0</v>
      </c>
    </row>
    <row r="452" spans="28:36" x14ac:dyDescent="0.3">
      <c r="AB452">
        <f t="shared" si="77"/>
        <v>0</v>
      </c>
      <c r="AC452">
        <f t="shared" si="78"/>
        <v>0</v>
      </c>
      <c r="AD452">
        <f t="shared" si="79"/>
        <v>1</v>
      </c>
      <c r="AE452">
        <f t="shared" si="80"/>
        <v>2</v>
      </c>
      <c r="AF452">
        <f t="shared" si="81"/>
        <v>1</v>
      </c>
      <c r="AG452">
        <f t="shared" si="82"/>
        <v>4</v>
      </c>
      <c r="AH452">
        <f t="shared" ca="1" si="83"/>
        <v>1.1534122653467952E-3</v>
      </c>
      <c r="AI452">
        <f>IF(ROW($AA452) - $AA$51 &lt; ($H$16+1)^5, IF(AG452 &gt;= BaseBonus!$C$16, AG452*BaseBonus!$E$31, 0), "")</f>
        <v>0</v>
      </c>
      <c r="AJ452">
        <f t="shared" ca="1" si="84"/>
        <v>0</v>
      </c>
    </row>
    <row r="453" spans="28:36" x14ac:dyDescent="0.3">
      <c r="AB453">
        <f t="shared" si="77"/>
        <v>1</v>
      </c>
      <c r="AC453">
        <f t="shared" si="78"/>
        <v>0</v>
      </c>
      <c r="AD453">
        <f t="shared" si="79"/>
        <v>1</v>
      </c>
      <c r="AE453">
        <f t="shared" si="80"/>
        <v>2</v>
      </c>
      <c r="AF453">
        <f t="shared" si="81"/>
        <v>1</v>
      </c>
      <c r="AG453">
        <f t="shared" si="82"/>
        <v>5</v>
      </c>
      <c r="AH453">
        <f t="shared" ca="1" si="83"/>
        <v>2.1626479975252414E-4</v>
      </c>
      <c r="AI453">
        <f>IF(ROW($AA453) - $AA$51 &lt; ($H$16+1)^5, IF(AG453 &gt;= BaseBonus!$C$16, AG453*BaseBonus!$E$31, 0), "")</f>
        <v>4.6952679064628979</v>
      </c>
      <c r="AJ453">
        <f t="shared" ca="1" si="84"/>
        <v>1.0154211735756518E-3</v>
      </c>
    </row>
    <row r="454" spans="28:36" x14ac:dyDescent="0.3">
      <c r="AB454">
        <f t="shared" si="77"/>
        <v>2</v>
      </c>
      <c r="AC454">
        <f t="shared" si="78"/>
        <v>0</v>
      </c>
      <c r="AD454">
        <f t="shared" si="79"/>
        <v>1</v>
      </c>
      <c r="AE454">
        <f t="shared" si="80"/>
        <v>2</v>
      </c>
      <c r="AF454">
        <f t="shared" si="81"/>
        <v>1</v>
      </c>
      <c r="AG454">
        <f t="shared" si="82"/>
        <v>6</v>
      </c>
      <c r="AH454">
        <f t="shared" ca="1" si="83"/>
        <v>1.0813239987626207E-4</v>
      </c>
      <c r="AI454">
        <f>IF(ROW($AA454) - $AA$51 &lt; ($H$16+1)^5, IF(AG454 &gt;= BaseBonus!$C$16, AG454*BaseBonus!$E$31, 0), "")</f>
        <v>5.6343214877554777</v>
      </c>
      <c r="AJ454">
        <f t="shared" ca="1" si="84"/>
        <v>6.092527041453911E-4</v>
      </c>
    </row>
    <row r="455" spans="28:36" x14ac:dyDescent="0.3">
      <c r="AB455">
        <f t="shared" si="77"/>
        <v>3</v>
      </c>
      <c r="AC455">
        <f t="shared" si="78"/>
        <v>0</v>
      </c>
      <c r="AD455">
        <f t="shared" si="79"/>
        <v>1</v>
      </c>
      <c r="AE455">
        <f t="shared" si="80"/>
        <v>2</v>
      </c>
      <c r="AF455">
        <f t="shared" si="81"/>
        <v>1</v>
      </c>
      <c r="AG455">
        <f t="shared" si="82"/>
        <v>7</v>
      </c>
      <c r="AH455">
        <f t="shared" ca="1" si="83"/>
        <v>0</v>
      </c>
      <c r="AI455">
        <f>IF(ROW($AA455) - $AA$51 &lt; ($H$16+1)^5, IF(AG455 &gt;= BaseBonus!$C$16, AG455*BaseBonus!$E$31, 0), "")</f>
        <v>6.5733750690480575</v>
      </c>
      <c r="AJ455">
        <f t="shared" ca="1" si="84"/>
        <v>0</v>
      </c>
    </row>
    <row r="456" spans="28:36" x14ac:dyDescent="0.3">
      <c r="AB456">
        <f t="shared" si="77"/>
        <v>0</v>
      </c>
      <c r="AC456">
        <f t="shared" si="78"/>
        <v>1</v>
      </c>
      <c r="AD456">
        <f t="shared" si="79"/>
        <v>1</v>
      </c>
      <c r="AE456">
        <f t="shared" si="80"/>
        <v>2</v>
      </c>
      <c r="AF456">
        <f t="shared" si="81"/>
        <v>1</v>
      </c>
      <c r="AG456">
        <f t="shared" si="82"/>
        <v>5</v>
      </c>
      <c r="AH456">
        <f t="shared" ca="1" si="83"/>
        <v>3.5188848773292064E-4</v>
      </c>
      <c r="AI456">
        <f>IF(ROW($AA456) - $AA$51 &lt; ($H$16+1)^5, IF(AG456 &gt;= BaseBonus!$C$16, AG456*BaseBonus!$E$31, 0), "")</f>
        <v>4.6952679064628979</v>
      </c>
      <c r="AJ456">
        <f t="shared" ca="1" si="84"/>
        <v>1.6522107231061454E-3</v>
      </c>
    </row>
    <row r="457" spans="28:36" x14ac:dyDescent="0.3">
      <c r="AB457">
        <f t="shared" si="77"/>
        <v>1</v>
      </c>
      <c r="AC457">
        <f t="shared" si="78"/>
        <v>1</v>
      </c>
      <c r="AD457">
        <f t="shared" si="79"/>
        <v>1</v>
      </c>
      <c r="AE457">
        <f t="shared" si="80"/>
        <v>2</v>
      </c>
      <c r="AF457">
        <f t="shared" si="81"/>
        <v>1</v>
      </c>
      <c r="AG457">
        <f t="shared" si="82"/>
        <v>6</v>
      </c>
      <c r="AH457">
        <f t="shared" ca="1" si="83"/>
        <v>6.5979091449922613E-5</v>
      </c>
      <c r="AI457">
        <f>IF(ROW($AA457) - $AA$51 &lt; ($H$16+1)^5, IF(AG457 &gt;= BaseBonus!$C$16, AG457*BaseBonus!$E$31, 0), "")</f>
        <v>5.6343214877554777</v>
      </c>
      <c r="AJ457">
        <f t="shared" ca="1" si="84"/>
        <v>3.7174741269888268E-4</v>
      </c>
    </row>
    <row r="458" spans="28:36" x14ac:dyDescent="0.3">
      <c r="AB458">
        <f t="shared" si="77"/>
        <v>2</v>
      </c>
      <c r="AC458">
        <f t="shared" si="78"/>
        <v>1</v>
      </c>
      <c r="AD458">
        <f t="shared" si="79"/>
        <v>1</v>
      </c>
      <c r="AE458">
        <f t="shared" si="80"/>
        <v>2</v>
      </c>
      <c r="AF458">
        <f t="shared" si="81"/>
        <v>1</v>
      </c>
      <c r="AG458">
        <f t="shared" si="82"/>
        <v>7</v>
      </c>
      <c r="AH458">
        <f t="shared" ca="1" si="83"/>
        <v>3.2989545724961306E-5</v>
      </c>
      <c r="AI458">
        <f>IF(ROW($AA458) - $AA$51 &lt; ($H$16+1)^5, IF(AG458 &gt;= BaseBonus!$C$16, AG458*BaseBonus!$E$31, 0), "")</f>
        <v>6.5733750690480575</v>
      </c>
      <c r="AJ458">
        <f t="shared" ca="1" si="84"/>
        <v>2.1685265740768159E-4</v>
      </c>
    </row>
    <row r="459" spans="28:36" x14ac:dyDescent="0.3">
      <c r="AB459">
        <f t="shared" si="77"/>
        <v>3</v>
      </c>
      <c r="AC459">
        <f t="shared" si="78"/>
        <v>1</v>
      </c>
      <c r="AD459">
        <f t="shared" si="79"/>
        <v>1</v>
      </c>
      <c r="AE459">
        <f t="shared" si="80"/>
        <v>2</v>
      </c>
      <c r="AF459">
        <f t="shared" si="81"/>
        <v>1</v>
      </c>
      <c r="AG459">
        <f t="shared" si="82"/>
        <v>8</v>
      </c>
      <c r="AH459">
        <f t="shared" ca="1" si="83"/>
        <v>0</v>
      </c>
      <c r="AI459">
        <f>IF(ROW($AA459) - $AA$51 &lt; ($H$16+1)^5, IF(AG459 &gt;= BaseBonus!$C$16, AG459*BaseBonus!$E$31, 0), "")</f>
        <v>7.5124286503406372</v>
      </c>
      <c r="AJ459">
        <f t="shared" ca="1" si="84"/>
        <v>0</v>
      </c>
    </row>
    <row r="460" spans="28:36" x14ac:dyDescent="0.3">
      <c r="AB460">
        <f t="shared" si="77"/>
        <v>0</v>
      </c>
      <c r="AC460">
        <f t="shared" si="78"/>
        <v>2</v>
      </c>
      <c r="AD460">
        <f t="shared" si="79"/>
        <v>1</v>
      </c>
      <c r="AE460">
        <f t="shared" si="80"/>
        <v>2</v>
      </c>
      <c r="AF460">
        <f t="shared" si="81"/>
        <v>1</v>
      </c>
      <c r="AG460">
        <f t="shared" si="82"/>
        <v>6</v>
      </c>
      <c r="AH460">
        <f t="shared" ca="1" si="83"/>
        <v>5.8648081288820095E-5</v>
      </c>
      <c r="AI460">
        <f>IF(ROW($AA460) - $AA$51 &lt; ($H$16+1)^5, IF(AG460 &gt;= BaseBonus!$C$16, AG460*BaseBonus!$E$31, 0), "")</f>
        <v>5.6343214877554777</v>
      </c>
      <c r="AJ460">
        <f t="shared" ca="1" si="84"/>
        <v>3.3044214462122902E-4</v>
      </c>
    </row>
    <row r="461" spans="28:36" x14ac:dyDescent="0.3">
      <c r="AB461">
        <f t="shared" si="77"/>
        <v>1</v>
      </c>
      <c r="AC461">
        <f t="shared" si="78"/>
        <v>2</v>
      </c>
      <c r="AD461">
        <f t="shared" si="79"/>
        <v>1</v>
      </c>
      <c r="AE461">
        <f t="shared" si="80"/>
        <v>2</v>
      </c>
      <c r="AF461">
        <f t="shared" si="81"/>
        <v>1</v>
      </c>
      <c r="AG461">
        <f t="shared" si="82"/>
        <v>7</v>
      </c>
      <c r="AH461">
        <f t="shared" ca="1" si="83"/>
        <v>1.0996515241653766E-5</v>
      </c>
      <c r="AI461">
        <f>IF(ROW($AA461) - $AA$51 &lt; ($H$16+1)^5, IF(AG461 &gt;= BaseBonus!$C$16, AG461*BaseBonus!$E$31, 0), "")</f>
        <v>6.5733750690480575</v>
      </c>
      <c r="AJ461">
        <f t="shared" ca="1" si="84"/>
        <v>7.228421913589384E-5</v>
      </c>
    </row>
    <row r="462" spans="28:36" x14ac:dyDescent="0.3">
      <c r="AB462">
        <f t="shared" si="77"/>
        <v>2</v>
      </c>
      <c r="AC462">
        <f t="shared" si="78"/>
        <v>2</v>
      </c>
      <c r="AD462">
        <f t="shared" si="79"/>
        <v>1</v>
      </c>
      <c r="AE462">
        <f t="shared" si="80"/>
        <v>2</v>
      </c>
      <c r="AF462">
        <f t="shared" si="81"/>
        <v>1</v>
      </c>
      <c r="AG462">
        <f t="shared" si="82"/>
        <v>8</v>
      </c>
      <c r="AH462">
        <f t="shared" ca="1" si="83"/>
        <v>5.4982576208268832E-6</v>
      </c>
      <c r="AI462">
        <f>IF(ROW($AA462) - $AA$51 &lt; ($H$16+1)^5, IF(AG462 &gt;= BaseBonus!$C$16, AG462*BaseBonus!$E$31, 0), "")</f>
        <v>7.5124286503406372</v>
      </c>
      <c r="AJ462">
        <f t="shared" ca="1" si="84"/>
        <v>4.1305268077653627E-5</v>
      </c>
    </row>
    <row r="463" spans="28:36" x14ac:dyDescent="0.3">
      <c r="AB463">
        <f t="shared" si="77"/>
        <v>3</v>
      </c>
      <c r="AC463">
        <f t="shared" si="78"/>
        <v>2</v>
      </c>
      <c r="AD463">
        <f t="shared" si="79"/>
        <v>1</v>
      </c>
      <c r="AE463">
        <f t="shared" si="80"/>
        <v>2</v>
      </c>
      <c r="AF463">
        <f t="shared" si="81"/>
        <v>1</v>
      </c>
      <c r="AG463">
        <f t="shared" si="82"/>
        <v>9</v>
      </c>
      <c r="AH463">
        <f t="shared" ca="1" si="83"/>
        <v>0</v>
      </c>
      <c r="AI463">
        <f>IF(ROW($AA463) - $AA$51 &lt; ($H$16+1)^5, IF(AG463 &gt;= BaseBonus!$C$16, AG463*BaseBonus!$E$31, 0), "")</f>
        <v>8.4514822316332161</v>
      </c>
      <c r="AJ463">
        <f t="shared" ca="1" si="84"/>
        <v>0</v>
      </c>
    </row>
    <row r="464" spans="28:36" x14ac:dyDescent="0.3">
      <c r="AB464">
        <f t="shared" si="77"/>
        <v>0</v>
      </c>
      <c r="AC464">
        <f t="shared" si="78"/>
        <v>3</v>
      </c>
      <c r="AD464">
        <f t="shared" si="79"/>
        <v>1</v>
      </c>
      <c r="AE464">
        <f t="shared" si="80"/>
        <v>2</v>
      </c>
      <c r="AF464">
        <f t="shared" si="81"/>
        <v>1</v>
      </c>
      <c r="AG464">
        <f t="shared" si="82"/>
        <v>7</v>
      </c>
      <c r="AH464">
        <f t="shared" ca="1" si="83"/>
        <v>0</v>
      </c>
      <c r="AI464">
        <f>IF(ROW($AA464) - $AA$51 &lt; ($H$16+1)^5, IF(AG464 &gt;= BaseBonus!$C$16, AG464*BaseBonus!$E$31, 0), "")</f>
        <v>6.5733750690480575</v>
      </c>
      <c r="AJ464">
        <f t="shared" ca="1" si="84"/>
        <v>0</v>
      </c>
    </row>
    <row r="465" spans="28:36" x14ac:dyDescent="0.3">
      <c r="AB465">
        <f t="shared" si="77"/>
        <v>1</v>
      </c>
      <c r="AC465">
        <f t="shared" si="78"/>
        <v>3</v>
      </c>
      <c r="AD465">
        <f t="shared" si="79"/>
        <v>1</v>
      </c>
      <c r="AE465">
        <f t="shared" si="80"/>
        <v>2</v>
      </c>
      <c r="AF465">
        <f t="shared" si="81"/>
        <v>1</v>
      </c>
      <c r="AG465">
        <f t="shared" si="82"/>
        <v>8</v>
      </c>
      <c r="AH465">
        <f t="shared" ca="1" si="83"/>
        <v>0</v>
      </c>
      <c r="AI465">
        <f>IF(ROW($AA465) - $AA$51 &lt; ($H$16+1)^5, IF(AG465 &gt;= BaseBonus!$C$16, AG465*BaseBonus!$E$31, 0), "")</f>
        <v>7.5124286503406372</v>
      </c>
      <c r="AJ465">
        <f t="shared" ca="1" si="84"/>
        <v>0</v>
      </c>
    </row>
    <row r="466" spans="28:36" x14ac:dyDescent="0.3">
      <c r="AB466">
        <f t="shared" si="77"/>
        <v>2</v>
      </c>
      <c r="AC466">
        <f t="shared" si="78"/>
        <v>3</v>
      </c>
      <c r="AD466">
        <f t="shared" si="79"/>
        <v>1</v>
      </c>
      <c r="AE466">
        <f t="shared" si="80"/>
        <v>2</v>
      </c>
      <c r="AF466">
        <f t="shared" si="81"/>
        <v>1</v>
      </c>
      <c r="AG466">
        <f t="shared" si="82"/>
        <v>9</v>
      </c>
      <c r="AH466">
        <f t="shared" ca="1" si="83"/>
        <v>0</v>
      </c>
      <c r="AI466">
        <f>IF(ROW($AA466) - $AA$51 &lt; ($H$16+1)^5, IF(AG466 &gt;= BaseBonus!$C$16, AG466*BaseBonus!$E$31, 0), "")</f>
        <v>8.4514822316332161</v>
      </c>
      <c r="AJ466">
        <f t="shared" ca="1" si="84"/>
        <v>0</v>
      </c>
    </row>
    <row r="467" spans="28:36" x14ac:dyDescent="0.3">
      <c r="AB467">
        <f t="shared" si="77"/>
        <v>3</v>
      </c>
      <c r="AC467">
        <f t="shared" si="78"/>
        <v>3</v>
      </c>
      <c r="AD467">
        <f t="shared" si="79"/>
        <v>1</v>
      </c>
      <c r="AE467">
        <f t="shared" si="80"/>
        <v>2</v>
      </c>
      <c r="AF467">
        <f t="shared" si="81"/>
        <v>1</v>
      </c>
      <c r="AG467">
        <f t="shared" si="82"/>
        <v>10</v>
      </c>
      <c r="AH467">
        <f t="shared" ca="1" si="83"/>
        <v>0</v>
      </c>
      <c r="AI467">
        <f>IF(ROW($AA467) - $AA$51 &lt; ($H$16+1)^5, IF(AG467 &gt;= BaseBonus!$C$16, AG467*BaseBonus!$E$31, 0), "")</f>
        <v>9.3905358129257959</v>
      </c>
      <c r="AJ467">
        <f t="shared" ca="1" si="84"/>
        <v>0</v>
      </c>
    </row>
    <row r="468" spans="28:36" x14ac:dyDescent="0.3">
      <c r="AB468">
        <f t="shared" si="77"/>
        <v>0</v>
      </c>
      <c r="AC468">
        <f t="shared" si="78"/>
        <v>0</v>
      </c>
      <c r="AD468">
        <f t="shared" si="79"/>
        <v>2</v>
      </c>
      <c r="AE468">
        <f t="shared" si="80"/>
        <v>2</v>
      </c>
      <c r="AF468">
        <f t="shared" si="81"/>
        <v>1</v>
      </c>
      <c r="AG468">
        <f t="shared" si="82"/>
        <v>5</v>
      </c>
      <c r="AH468">
        <f t="shared" ca="1" si="83"/>
        <v>9.0625249420105331E-4</v>
      </c>
      <c r="AI468">
        <f>IF(ROW($AA468) - $AA$51 &lt; ($H$16+1)^5, IF(AG468 &gt;= BaseBonus!$C$16, AG468*BaseBonus!$E$31, 0), "")</f>
        <v>4.6952679064628979</v>
      </c>
      <c r="AJ468">
        <f t="shared" ca="1" si="84"/>
        <v>4.2550982511741593E-3</v>
      </c>
    </row>
    <row r="469" spans="28:36" x14ac:dyDescent="0.3">
      <c r="AB469">
        <f t="shared" si="77"/>
        <v>1</v>
      </c>
      <c r="AC469">
        <f t="shared" si="78"/>
        <v>0</v>
      </c>
      <c r="AD469">
        <f t="shared" si="79"/>
        <v>2</v>
      </c>
      <c r="AE469">
        <f t="shared" si="80"/>
        <v>2</v>
      </c>
      <c r="AF469">
        <f t="shared" si="81"/>
        <v>1</v>
      </c>
      <c r="AG469">
        <f t="shared" si="82"/>
        <v>6</v>
      </c>
      <c r="AH469">
        <f t="shared" ca="1" si="83"/>
        <v>1.6992234266269751E-4</v>
      </c>
      <c r="AI469">
        <f>IF(ROW($AA469) - $AA$51 &lt; ($H$16+1)^5, IF(AG469 &gt;= BaseBonus!$C$16, AG469*BaseBonus!$E$31, 0), "")</f>
        <v>5.6343214877554777</v>
      </c>
      <c r="AJ469">
        <f t="shared" ca="1" si="84"/>
        <v>9.5739710651418595E-4</v>
      </c>
    </row>
    <row r="470" spans="28:36" x14ac:dyDescent="0.3">
      <c r="AB470">
        <f t="shared" si="77"/>
        <v>2</v>
      </c>
      <c r="AC470">
        <f t="shared" si="78"/>
        <v>0</v>
      </c>
      <c r="AD470">
        <f t="shared" si="79"/>
        <v>2</v>
      </c>
      <c r="AE470">
        <f t="shared" si="80"/>
        <v>2</v>
      </c>
      <c r="AF470">
        <f t="shared" si="81"/>
        <v>1</v>
      </c>
      <c r="AG470">
        <f t="shared" si="82"/>
        <v>7</v>
      </c>
      <c r="AH470">
        <f t="shared" ca="1" si="83"/>
        <v>8.4961171331348755E-5</v>
      </c>
      <c r="AI470">
        <f>IF(ROW($AA470) - $AA$51 &lt; ($H$16+1)^5, IF(AG470 &gt;= BaseBonus!$C$16, AG470*BaseBonus!$E$31, 0), "")</f>
        <v>6.5733750690480575</v>
      </c>
      <c r="AJ470">
        <f t="shared" ca="1" si="84"/>
        <v>5.5848164546660843E-4</v>
      </c>
    </row>
    <row r="471" spans="28:36" x14ac:dyDescent="0.3">
      <c r="AB471">
        <f t="shared" si="77"/>
        <v>3</v>
      </c>
      <c r="AC471">
        <f t="shared" si="78"/>
        <v>0</v>
      </c>
      <c r="AD471">
        <f t="shared" si="79"/>
        <v>2</v>
      </c>
      <c r="AE471">
        <f t="shared" si="80"/>
        <v>2</v>
      </c>
      <c r="AF471">
        <f t="shared" si="81"/>
        <v>1</v>
      </c>
      <c r="AG471">
        <f t="shared" si="82"/>
        <v>8</v>
      </c>
      <c r="AH471">
        <f t="shared" ca="1" si="83"/>
        <v>0</v>
      </c>
      <c r="AI471">
        <f>IF(ROW($AA471) - $AA$51 &lt; ($H$16+1)^5, IF(AG471 &gt;= BaseBonus!$C$16, AG471*BaseBonus!$E$31, 0), "")</f>
        <v>7.5124286503406372</v>
      </c>
      <c r="AJ471">
        <f t="shared" ca="1" si="84"/>
        <v>0</v>
      </c>
    </row>
    <row r="472" spans="28:36" x14ac:dyDescent="0.3">
      <c r="AB472">
        <f t="shared" si="77"/>
        <v>0</v>
      </c>
      <c r="AC472">
        <f t="shared" si="78"/>
        <v>1</v>
      </c>
      <c r="AD472">
        <f t="shared" si="79"/>
        <v>2</v>
      </c>
      <c r="AE472">
        <f t="shared" si="80"/>
        <v>2</v>
      </c>
      <c r="AF472">
        <f t="shared" si="81"/>
        <v>1</v>
      </c>
      <c r="AG472">
        <f t="shared" si="82"/>
        <v>6</v>
      </c>
      <c r="AH472">
        <f t="shared" ca="1" si="83"/>
        <v>2.7648381179015187E-4</v>
      </c>
      <c r="AI472">
        <f>IF(ROW($AA472) - $AA$51 &lt; ($H$16+1)^5, IF(AG472 &gt;= BaseBonus!$C$16, AG472*BaseBonus!$E$31, 0), "")</f>
        <v>5.6343214877554777</v>
      </c>
      <c r="AJ472">
        <f t="shared" ca="1" si="84"/>
        <v>1.557798681785794E-3</v>
      </c>
    </row>
    <row r="473" spans="28:36" x14ac:dyDescent="0.3">
      <c r="AB473">
        <f t="shared" si="77"/>
        <v>1</v>
      </c>
      <c r="AC473">
        <f t="shared" si="78"/>
        <v>1</v>
      </c>
      <c r="AD473">
        <f t="shared" si="79"/>
        <v>2</v>
      </c>
      <c r="AE473">
        <f t="shared" si="80"/>
        <v>2</v>
      </c>
      <c r="AF473">
        <f t="shared" si="81"/>
        <v>1</v>
      </c>
      <c r="AG473">
        <f t="shared" si="82"/>
        <v>7</v>
      </c>
      <c r="AH473">
        <f t="shared" ca="1" si="83"/>
        <v>5.1840714710653478E-5</v>
      </c>
      <c r="AI473">
        <f>IF(ROW($AA473) - $AA$51 &lt; ($H$16+1)^5, IF(AG473 &gt;= BaseBonus!$C$16, AG473*BaseBonus!$E$31, 0), "")</f>
        <v>6.5733750690480575</v>
      </c>
      <c r="AJ473">
        <f t="shared" ca="1" si="84"/>
        <v>3.4076846164064246E-4</v>
      </c>
    </row>
    <row r="474" spans="28:36" x14ac:dyDescent="0.3">
      <c r="AB474">
        <f t="shared" si="77"/>
        <v>2</v>
      </c>
      <c r="AC474">
        <f t="shared" si="78"/>
        <v>1</v>
      </c>
      <c r="AD474">
        <f t="shared" si="79"/>
        <v>2</v>
      </c>
      <c r="AE474">
        <f t="shared" si="80"/>
        <v>2</v>
      </c>
      <c r="AF474">
        <f t="shared" si="81"/>
        <v>1</v>
      </c>
      <c r="AG474">
        <f t="shared" si="82"/>
        <v>8</v>
      </c>
      <c r="AH474">
        <f t="shared" ca="1" si="83"/>
        <v>2.5920357355326739E-5</v>
      </c>
      <c r="AI474">
        <f>IF(ROW($AA474) - $AA$51 &lt; ($H$16+1)^5, IF(AG474 &gt;= BaseBonus!$C$16, AG474*BaseBonus!$E$31, 0), "")</f>
        <v>7.5124286503406372</v>
      </c>
      <c r="AJ474">
        <f t="shared" ca="1" si="84"/>
        <v>1.9472483522322426E-4</v>
      </c>
    </row>
    <row r="475" spans="28:36" x14ac:dyDescent="0.3">
      <c r="AB475">
        <f t="shared" si="77"/>
        <v>3</v>
      </c>
      <c r="AC475">
        <f t="shared" si="78"/>
        <v>1</v>
      </c>
      <c r="AD475">
        <f t="shared" si="79"/>
        <v>2</v>
      </c>
      <c r="AE475">
        <f t="shared" si="80"/>
        <v>2</v>
      </c>
      <c r="AF475">
        <f t="shared" si="81"/>
        <v>1</v>
      </c>
      <c r="AG475">
        <f t="shared" si="82"/>
        <v>9</v>
      </c>
      <c r="AH475">
        <f t="shared" ca="1" si="83"/>
        <v>0</v>
      </c>
      <c r="AI475">
        <f>IF(ROW($AA475) - $AA$51 &lt; ($H$16+1)^5, IF(AG475 &gt;= BaseBonus!$C$16, AG475*BaseBonus!$E$31, 0), "")</f>
        <v>8.4514822316332161</v>
      </c>
      <c r="AJ475">
        <f t="shared" ca="1" si="84"/>
        <v>0</v>
      </c>
    </row>
    <row r="476" spans="28:36" x14ac:dyDescent="0.3">
      <c r="AB476">
        <f t="shared" si="77"/>
        <v>0</v>
      </c>
      <c r="AC476">
        <f t="shared" si="78"/>
        <v>2</v>
      </c>
      <c r="AD476">
        <f t="shared" si="79"/>
        <v>2</v>
      </c>
      <c r="AE476">
        <f t="shared" si="80"/>
        <v>2</v>
      </c>
      <c r="AF476">
        <f t="shared" si="81"/>
        <v>1</v>
      </c>
      <c r="AG476">
        <f t="shared" si="82"/>
        <v>7</v>
      </c>
      <c r="AH476">
        <f t="shared" ca="1" si="83"/>
        <v>4.6080635298358644E-5</v>
      </c>
      <c r="AI476">
        <f>IF(ROW($AA476) - $AA$51 &lt; ($H$16+1)^5, IF(AG476 &gt;= BaseBonus!$C$16, AG476*BaseBonus!$E$31, 0), "")</f>
        <v>6.5733750690480575</v>
      </c>
      <c r="AJ476">
        <f t="shared" ca="1" si="84"/>
        <v>3.0290529923612661E-4</v>
      </c>
    </row>
    <row r="477" spans="28:36" x14ac:dyDescent="0.3">
      <c r="AB477">
        <f t="shared" si="77"/>
        <v>1</v>
      </c>
      <c r="AC477">
        <f t="shared" si="78"/>
        <v>2</v>
      </c>
      <c r="AD477">
        <f t="shared" si="79"/>
        <v>2</v>
      </c>
      <c r="AE477">
        <f t="shared" si="80"/>
        <v>2</v>
      </c>
      <c r="AF477">
        <f t="shared" si="81"/>
        <v>1</v>
      </c>
      <c r="AG477">
        <f t="shared" si="82"/>
        <v>8</v>
      </c>
      <c r="AH477">
        <f t="shared" ca="1" si="83"/>
        <v>8.6401191184422441E-6</v>
      </c>
      <c r="AI477">
        <f>IF(ROW($AA477) - $AA$51 &lt; ($H$16+1)^5, IF(AG477 &gt;= BaseBonus!$C$16, AG477*BaseBonus!$E$31, 0), "")</f>
        <v>7.5124286503406372</v>
      </c>
      <c r="AJ477">
        <f t="shared" ca="1" si="84"/>
        <v>6.490827840774141E-5</v>
      </c>
    </row>
    <row r="478" spans="28:36" x14ac:dyDescent="0.3">
      <c r="AB478">
        <f t="shared" si="77"/>
        <v>2</v>
      </c>
      <c r="AC478">
        <f t="shared" si="78"/>
        <v>2</v>
      </c>
      <c r="AD478">
        <f t="shared" si="79"/>
        <v>2</v>
      </c>
      <c r="AE478">
        <f t="shared" si="80"/>
        <v>2</v>
      </c>
      <c r="AF478">
        <f t="shared" si="81"/>
        <v>1</v>
      </c>
      <c r="AG478">
        <f t="shared" si="82"/>
        <v>9</v>
      </c>
      <c r="AH478">
        <f t="shared" ca="1" si="83"/>
        <v>4.3200595592211221E-6</v>
      </c>
      <c r="AI478">
        <f>IF(ROW($AA478) - $AA$51 &lt; ($H$16+1)^5, IF(AG478 &gt;= BaseBonus!$C$16, AG478*BaseBonus!$E$31, 0), "")</f>
        <v>8.4514822316332161</v>
      </c>
      <c r="AJ478">
        <f t="shared" ca="1" si="84"/>
        <v>3.6510906604354538E-5</v>
      </c>
    </row>
    <row r="479" spans="28:36" x14ac:dyDescent="0.3">
      <c r="AB479">
        <f t="shared" si="77"/>
        <v>3</v>
      </c>
      <c r="AC479">
        <f t="shared" si="78"/>
        <v>2</v>
      </c>
      <c r="AD479">
        <f t="shared" si="79"/>
        <v>2</v>
      </c>
      <c r="AE479">
        <f t="shared" si="80"/>
        <v>2</v>
      </c>
      <c r="AF479">
        <f t="shared" si="81"/>
        <v>1</v>
      </c>
      <c r="AG479">
        <f t="shared" si="82"/>
        <v>10</v>
      </c>
      <c r="AH479">
        <f t="shared" ca="1" si="83"/>
        <v>0</v>
      </c>
      <c r="AI479">
        <f>IF(ROW($AA479) - $AA$51 &lt; ($H$16+1)^5, IF(AG479 &gt;= BaseBonus!$C$16, AG479*BaseBonus!$E$31, 0), "")</f>
        <v>9.3905358129257959</v>
      </c>
      <c r="AJ479">
        <f t="shared" ca="1" si="84"/>
        <v>0</v>
      </c>
    </row>
    <row r="480" spans="28:36" x14ac:dyDescent="0.3">
      <c r="AB480">
        <f t="shared" si="77"/>
        <v>0</v>
      </c>
      <c r="AC480">
        <f t="shared" si="78"/>
        <v>3</v>
      </c>
      <c r="AD480">
        <f t="shared" si="79"/>
        <v>2</v>
      </c>
      <c r="AE480">
        <f t="shared" si="80"/>
        <v>2</v>
      </c>
      <c r="AF480">
        <f t="shared" si="81"/>
        <v>1</v>
      </c>
      <c r="AG480">
        <f t="shared" si="82"/>
        <v>8</v>
      </c>
      <c r="AH480">
        <f t="shared" ca="1" si="83"/>
        <v>0</v>
      </c>
      <c r="AI480">
        <f>IF(ROW($AA480) - $AA$51 &lt; ($H$16+1)^5, IF(AG480 &gt;= BaseBonus!$C$16, AG480*BaseBonus!$E$31, 0), "")</f>
        <v>7.5124286503406372</v>
      </c>
      <c r="AJ480">
        <f t="shared" ca="1" si="84"/>
        <v>0</v>
      </c>
    </row>
    <row r="481" spans="28:36" x14ac:dyDescent="0.3">
      <c r="AB481">
        <f t="shared" si="77"/>
        <v>1</v>
      </c>
      <c r="AC481">
        <f t="shared" si="78"/>
        <v>3</v>
      </c>
      <c r="AD481">
        <f t="shared" si="79"/>
        <v>2</v>
      </c>
      <c r="AE481">
        <f t="shared" si="80"/>
        <v>2</v>
      </c>
      <c r="AF481">
        <f t="shared" si="81"/>
        <v>1</v>
      </c>
      <c r="AG481">
        <f t="shared" si="82"/>
        <v>9</v>
      </c>
      <c r="AH481">
        <f t="shared" ca="1" si="83"/>
        <v>0</v>
      </c>
      <c r="AI481">
        <f>IF(ROW($AA481) - $AA$51 &lt; ($H$16+1)^5, IF(AG481 &gt;= BaseBonus!$C$16, AG481*BaseBonus!$E$31, 0), "")</f>
        <v>8.4514822316332161</v>
      </c>
      <c r="AJ481">
        <f t="shared" ca="1" si="84"/>
        <v>0</v>
      </c>
    </row>
    <row r="482" spans="28:36" x14ac:dyDescent="0.3">
      <c r="AB482">
        <f t="shared" si="77"/>
        <v>2</v>
      </c>
      <c r="AC482">
        <f t="shared" si="78"/>
        <v>3</v>
      </c>
      <c r="AD482">
        <f t="shared" si="79"/>
        <v>2</v>
      </c>
      <c r="AE482">
        <f t="shared" si="80"/>
        <v>2</v>
      </c>
      <c r="AF482">
        <f t="shared" si="81"/>
        <v>1</v>
      </c>
      <c r="AG482">
        <f t="shared" si="82"/>
        <v>10</v>
      </c>
      <c r="AH482">
        <f t="shared" ca="1" si="83"/>
        <v>0</v>
      </c>
      <c r="AI482">
        <f>IF(ROW($AA482) - $AA$51 &lt; ($H$16+1)^5, IF(AG482 &gt;= BaseBonus!$C$16, AG482*BaseBonus!$E$31, 0), "")</f>
        <v>9.3905358129257959</v>
      </c>
      <c r="AJ482">
        <f t="shared" ca="1" si="84"/>
        <v>0</v>
      </c>
    </row>
    <row r="483" spans="28:36" x14ac:dyDescent="0.3">
      <c r="AB483">
        <f t="shared" si="77"/>
        <v>3</v>
      </c>
      <c r="AC483">
        <f t="shared" si="78"/>
        <v>3</v>
      </c>
      <c r="AD483">
        <f t="shared" si="79"/>
        <v>2</v>
      </c>
      <c r="AE483">
        <f t="shared" si="80"/>
        <v>2</v>
      </c>
      <c r="AF483">
        <f t="shared" si="81"/>
        <v>1</v>
      </c>
      <c r="AG483">
        <f t="shared" si="82"/>
        <v>11</v>
      </c>
      <c r="AH483">
        <f t="shared" ca="1" si="83"/>
        <v>0</v>
      </c>
      <c r="AI483">
        <f>IF(ROW($AA483) - $AA$51 &lt; ($H$16+1)^5, IF(AG483 &gt;= BaseBonus!$C$16, AG483*BaseBonus!$E$31, 0), "")</f>
        <v>10.329589394218376</v>
      </c>
      <c r="AJ483">
        <f t="shared" ca="1" si="84"/>
        <v>0</v>
      </c>
    </row>
    <row r="484" spans="28:36" x14ac:dyDescent="0.3">
      <c r="AB484">
        <f t="shared" si="77"/>
        <v>0</v>
      </c>
      <c r="AC484">
        <f t="shared" si="78"/>
        <v>0</v>
      </c>
      <c r="AD484">
        <f t="shared" si="79"/>
        <v>3</v>
      </c>
      <c r="AE484">
        <f t="shared" si="80"/>
        <v>2</v>
      </c>
      <c r="AF484">
        <f t="shared" si="81"/>
        <v>1</v>
      </c>
      <c r="AG484">
        <f t="shared" si="82"/>
        <v>6</v>
      </c>
      <c r="AH484">
        <f t="shared" ca="1" si="83"/>
        <v>0</v>
      </c>
      <c r="AI484">
        <f>IF(ROW($AA484) - $AA$51 &lt; ($H$16+1)^5, IF(AG484 &gt;= BaseBonus!$C$16, AG484*BaseBonus!$E$31, 0), "")</f>
        <v>5.6343214877554777</v>
      </c>
      <c r="AJ484">
        <f t="shared" ca="1" si="84"/>
        <v>0</v>
      </c>
    </row>
    <row r="485" spans="28:36" x14ac:dyDescent="0.3">
      <c r="AB485">
        <f t="shared" si="77"/>
        <v>1</v>
      </c>
      <c r="AC485">
        <f t="shared" si="78"/>
        <v>0</v>
      </c>
      <c r="AD485">
        <f t="shared" si="79"/>
        <v>3</v>
      </c>
      <c r="AE485">
        <f t="shared" si="80"/>
        <v>2</v>
      </c>
      <c r="AF485">
        <f t="shared" si="81"/>
        <v>1</v>
      </c>
      <c r="AG485">
        <f t="shared" si="82"/>
        <v>7</v>
      </c>
      <c r="AH485">
        <f t="shared" ca="1" si="83"/>
        <v>0</v>
      </c>
      <c r="AI485">
        <f>IF(ROW($AA485) - $AA$51 &lt; ($H$16+1)^5, IF(AG485 &gt;= BaseBonus!$C$16, AG485*BaseBonus!$E$31, 0), "")</f>
        <v>6.5733750690480575</v>
      </c>
      <c r="AJ485">
        <f t="shared" ca="1" si="84"/>
        <v>0</v>
      </c>
    </row>
    <row r="486" spans="28:36" x14ac:dyDescent="0.3">
      <c r="AB486">
        <f t="shared" si="77"/>
        <v>2</v>
      </c>
      <c r="AC486">
        <f t="shared" si="78"/>
        <v>0</v>
      </c>
      <c r="AD486">
        <f t="shared" si="79"/>
        <v>3</v>
      </c>
      <c r="AE486">
        <f t="shared" si="80"/>
        <v>2</v>
      </c>
      <c r="AF486">
        <f t="shared" si="81"/>
        <v>1</v>
      </c>
      <c r="AG486">
        <f t="shared" si="82"/>
        <v>8</v>
      </c>
      <c r="AH486">
        <f t="shared" ca="1" si="83"/>
        <v>0</v>
      </c>
      <c r="AI486">
        <f>IF(ROW($AA486) - $AA$51 &lt; ($H$16+1)^5, IF(AG486 &gt;= BaseBonus!$C$16, AG486*BaseBonus!$E$31, 0), "")</f>
        <v>7.5124286503406372</v>
      </c>
      <c r="AJ486">
        <f t="shared" ca="1" si="84"/>
        <v>0</v>
      </c>
    </row>
    <row r="487" spans="28:36" x14ac:dyDescent="0.3">
      <c r="AB487">
        <f t="shared" si="77"/>
        <v>3</v>
      </c>
      <c r="AC487">
        <f t="shared" si="78"/>
        <v>0</v>
      </c>
      <c r="AD487">
        <f t="shared" si="79"/>
        <v>3</v>
      </c>
      <c r="AE487">
        <f t="shared" si="80"/>
        <v>2</v>
      </c>
      <c r="AF487">
        <f t="shared" si="81"/>
        <v>1</v>
      </c>
      <c r="AG487">
        <f t="shared" si="82"/>
        <v>9</v>
      </c>
      <c r="AH487">
        <f t="shared" ca="1" si="83"/>
        <v>0</v>
      </c>
      <c r="AI487">
        <f>IF(ROW($AA487) - $AA$51 &lt; ($H$16+1)^5, IF(AG487 &gt;= BaseBonus!$C$16, AG487*BaseBonus!$E$31, 0), "")</f>
        <v>8.4514822316332161</v>
      </c>
      <c r="AJ487">
        <f t="shared" ca="1" si="84"/>
        <v>0</v>
      </c>
    </row>
    <row r="488" spans="28:36" x14ac:dyDescent="0.3">
      <c r="AB488">
        <f t="shared" si="77"/>
        <v>0</v>
      </c>
      <c r="AC488">
        <f t="shared" si="78"/>
        <v>1</v>
      </c>
      <c r="AD488">
        <f t="shared" si="79"/>
        <v>3</v>
      </c>
      <c r="AE488">
        <f t="shared" si="80"/>
        <v>2</v>
      </c>
      <c r="AF488">
        <f t="shared" si="81"/>
        <v>1</v>
      </c>
      <c r="AG488">
        <f t="shared" si="82"/>
        <v>7</v>
      </c>
      <c r="AH488">
        <f t="shared" ca="1" si="83"/>
        <v>0</v>
      </c>
      <c r="AI488">
        <f>IF(ROW($AA488) - $AA$51 &lt; ($H$16+1)^5, IF(AG488 &gt;= BaseBonus!$C$16, AG488*BaseBonus!$E$31, 0), "")</f>
        <v>6.5733750690480575</v>
      </c>
      <c r="AJ488">
        <f t="shared" ca="1" si="84"/>
        <v>0</v>
      </c>
    </row>
    <row r="489" spans="28:36" x14ac:dyDescent="0.3">
      <c r="AB489">
        <f t="shared" si="77"/>
        <v>1</v>
      </c>
      <c r="AC489">
        <f t="shared" si="78"/>
        <v>1</v>
      </c>
      <c r="AD489">
        <f t="shared" si="79"/>
        <v>3</v>
      </c>
      <c r="AE489">
        <f t="shared" si="80"/>
        <v>2</v>
      </c>
      <c r="AF489">
        <f t="shared" si="81"/>
        <v>1</v>
      </c>
      <c r="AG489">
        <f t="shared" si="82"/>
        <v>8</v>
      </c>
      <c r="AH489">
        <f t="shared" ca="1" si="83"/>
        <v>0</v>
      </c>
      <c r="AI489">
        <f>IF(ROW($AA489) - $AA$51 &lt; ($H$16+1)^5, IF(AG489 &gt;= BaseBonus!$C$16, AG489*BaseBonus!$E$31, 0), "")</f>
        <v>7.5124286503406372</v>
      </c>
      <c r="AJ489">
        <f t="shared" ca="1" si="84"/>
        <v>0</v>
      </c>
    </row>
    <row r="490" spans="28:36" x14ac:dyDescent="0.3">
      <c r="AB490">
        <f t="shared" si="77"/>
        <v>2</v>
      </c>
      <c r="AC490">
        <f t="shared" si="78"/>
        <v>1</v>
      </c>
      <c r="AD490">
        <f t="shared" si="79"/>
        <v>3</v>
      </c>
      <c r="AE490">
        <f t="shared" si="80"/>
        <v>2</v>
      </c>
      <c r="AF490">
        <f t="shared" si="81"/>
        <v>1</v>
      </c>
      <c r="AG490">
        <f t="shared" si="82"/>
        <v>9</v>
      </c>
      <c r="AH490">
        <f t="shared" ca="1" si="83"/>
        <v>0</v>
      </c>
      <c r="AI490">
        <f>IF(ROW($AA490) - $AA$51 &lt; ($H$16+1)^5, IF(AG490 &gt;= BaseBonus!$C$16, AG490*BaseBonus!$E$31, 0), "")</f>
        <v>8.4514822316332161</v>
      </c>
      <c r="AJ490">
        <f t="shared" ca="1" si="84"/>
        <v>0</v>
      </c>
    </row>
    <row r="491" spans="28:36" x14ac:dyDescent="0.3">
      <c r="AB491">
        <f t="shared" si="77"/>
        <v>3</v>
      </c>
      <c r="AC491">
        <f t="shared" si="78"/>
        <v>1</v>
      </c>
      <c r="AD491">
        <f t="shared" si="79"/>
        <v>3</v>
      </c>
      <c r="AE491">
        <f t="shared" si="80"/>
        <v>2</v>
      </c>
      <c r="AF491">
        <f t="shared" si="81"/>
        <v>1</v>
      </c>
      <c r="AG491">
        <f t="shared" si="82"/>
        <v>10</v>
      </c>
      <c r="AH491">
        <f t="shared" ca="1" si="83"/>
        <v>0</v>
      </c>
      <c r="AI491">
        <f>IF(ROW($AA491) - $AA$51 &lt; ($H$16+1)^5, IF(AG491 &gt;= BaseBonus!$C$16, AG491*BaseBonus!$E$31, 0), "")</f>
        <v>9.3905358129257959</v>
      </c>
      <c r="AJ491">
        <f t="shared" ca="1" si="84"/>
        <v>0</v>
      </c>
    </row>
    <row r="492" spans="28:36" x14ac:dyDescent="0.3">
      <c r="AB492">
        <f t="shared" si="77"/>
        <v>0</v>
      </c>
      <c r="AC492">
        <f t="shared" si="78"/>
        <v>2</v>
      </c>
      <c r="AD492">
        <f t="shared" si="79"/>
        <v>3</v>
      </c>
      <c r="AE492">
        <f t="shared" si="80"/>
        <v>2</v>
      </c>
      <c r="AF492">
        <f t="shared" si="81"/>
        <v>1</v>
      </c>
      <c r="AG492">
        <f t="shared" si="82"/>
        <v>8</v>
      </c>
      <c r="AH492">
        <f t="shared" ca="1" si="83"/>
        <v>0</v>
      </c>
      <c r="AI492">
        <f>IF(ROW($AA492) - $AA$51 &lt; ($H$16+1)^5, IF(AG492 &gt;= BaseBonus!$C$16, AG492*BaseBonus!$E$31, 0), "")</f>
        <v>7.5124286503406372</v>
      </c>
      <c r="AJ492">
        <f t="shared" ca="1" si="84"/>
        <v>0</v>
      </c>
    </row>
    <row r="493" spans="28:36" x14ac:dyDescent="0.3">
      <c r="AB493">
        <f t="shared" si="77"/>
        <v>1</v>
      </c>
      <c r="AC493">
        <f t="shared" si="78"/>
        <v>2</v>
      </c>
      <c r="AD493">
        <f t="shared" si="79"/>
        <v>3</v>
      </c>
      <c r="AE493">
        <f t="shared" si="80"/>
        <v>2</v>
      </c>
      <c r="AF493">
        <f t="shared" si="81"/>
        <v>1</v>
      </c>
      <c r="AG493">
        <f t="shared" si="82"/>
        <v>9</v>
      </c>
      <c r="AH493">
        <f t="shared" ca="1" si="83"/>
        <v>0</v>
      </c>
      <c r="AI493">
        <f>IF(ROW($AA493) - $AA$51 &lt; ($H$16+1)^5, IF(AG493 &gt;= BaseBonus!$C$16, AG493*BaseBonus!$E$31, 0), "")</f>
        <v>8.4514822316332161</v>
      </c>
      <c r="AJ493">
        <f t="shared" ca="1" si="84"/>
        <v>0</v>
      </c>
    </row>
    <row r="494" spans="28:36" x14ac:dyDescent="0.3">
      <c r="AB494">
        <f t="shared" si="77"/>
        <v>2</v>
      </c>
      <c r="AC494">
        <f t="shared" si="78"/>
        <v>2</v>
      </c>
      <c r="AD494">
        <f t="shared" si="79"/>
        <v>3</v>
      </c>
      <c r="AE494">
        <f t="shared" si="80"/>
        <v>2</v>
      </c>
      <c r="AF494">
        <f t="shared" si="81"/>
        <v>1</v>
      </c>
      <c r="AG494">
        <f t="shared" si="82"/>
        <v>10</v>
      </c>
      <c r="AH494">
        <f t="shared" ca="1" si="83"/>
        <v>0</v>
      </c>
      <c r="AI494">
        <f>IF(ROW($AA494) - $AA$51 &lt; ($H$16+1)^5, IF(AG494 &gt;= BaseBonus!$C$16, AG494*BaseBonus!$E$31, 0), "")</f>
        <v>9.3905358129257959</v>
      </c>
      <c r="AJ494">
        <f t="shared" ca="1" si="84"/>
        <v>0</v>
      </c>
    </row>
    <row r="495" spans="28:36" x14ac:dyDescent="0.3">
      <c r="AB495">
        <f t="shared" si="77"/>
        <v>3</v>
      </c>
      <c r="AC495">
        <f t="shared" si="78"/>
        <v>2</v>
      </c>
      <c r="AD495">
        <f t="shared" si="79"/>
        <v>3</v>
      </c>
      <c r="AE495">
        <f t="shared" si="80"/>
        <v>2</v>
      </c>
      <c r="AF495">
        <f t="shared" si="81"/>
        <v>1</v>
      </c>
      <c r="AG495">
        <f t="shared" si="82"/>
        <v>11</v>
      </c>
      <c r="AH495">
        <f t="shared" ca="1" si="83"/>
        <v>0</v>
      </c>
      <c r="AI495">
        <f>IF(ROW($AA495) - $AA$51 &lt; ($H$16+1)^5, IF(AG495 &gt;= BaseBonus!$C$16, AG495*BaseBonus!$E$31, 0), "")</f>
        <v>10.329589394218376</v>
      </c>
      <c r="AJ495">
        <f t="shared" ca="1" si="84"/>
        <v>0</v>
      </c>
    </row>
    <row r="496" spans="28:36" x14ac:dyDescent="0.3">
      <c r="AB496">
        <f t="shared" si="77"/>
        <v>0</v>
      </c>
      <c r="AC496">
        <f t="shared" si="78"/>
        <v>3</v>
      </c>
      <c r="AD496">
        <f t="shared" si="79"/>
        <v>3</v>
      </c>
      <c r="AE496">
        <f t="shared" si="80"/>
        <v>2</v>
      </c>
      <c r="AF496">
        <f t="shared" si="81"/>
        <v>1</v>
      </c>
      <c r="AG496">
        <f t="shared" si="82"/>
        <v>9</v>
      </c>
      <c r="AH496">
        <f t="shared" ca="1" si="83"/>
        <v>0</v>
      </c>
      <c r="AI496">
        <f>IF(ROW($AA496) - $AA$51 &lt; ($H$16+1)^5, IF(AG496 &gt;= BaseBonus!$C$16, AG496*BaseBonus!$E$31, 0), "")</f>
        <v>8.4514822316332161</v>
      </c>
      <c r="AJ496">
        <f t="shared" ca="1" si="84"/>
        <v>0</v>
      </c>
    </row>
    <row r="497" spans="28:36" x14ac:dyDescent="0.3">
      <c r="AB497">
        <f t="shared" si="77"/>
        <v>1</v>
      </c>
      <c r="AC497">
        <f t="shared" si="78"/>
        <v>3</v>
      </c>
      <c r="AD497">
        <f t="shared" si="79"/>
        <v>3</v>
      </c>
      <c r="AE497">
        <f t="shared" si="80"/>
        <v>2</v>
      </c>
      <c r="AF497">
        <f t="shared" si="81"/>
        <v>1</v>
      </c>
      <c r="AG497">
        <f t="shared" si="82"/>
        <v>10</v>
      </c>
      <c r="AH497">
        <f t="shared" ca="1" si="83"/>
        <v>0</v>
      </c>
      <c r="AI497">
        <f>IF(ROW($AA497) - $AA$51 &lt; ($H$16+1)^5, IF(AG497 &gt;= BaseBonus!$C$16, AG497*BaseBonus!$E$31, 0), "")</f>
        <v>9.3905358129257959</v>
      </c>
      <c r="AJ497">
        <f t="shared" ca="1" si="84"/>
        <v>0</v>
      </c>
    </row>
    <row r="498" spans="28:36" x14ac:dyDescent="0.3">
      <c r="AB498">
        <f t="shared" si="77"/>
        <v>2</v>
      </c>
      <c r="AC498">
        <f t="shared" si="78"/>
        <v>3</v>
      </c>
      <c r="AD498">
        <f t="shared" si="79"/>
        <v>3</v>
      </c>
      <c r="AE498">
        <f t="shared" si="80"/>
        <v>2</v>
      </c>
      <c r="AF498">
        <f t="shared" si="81"/>
        <v>1</v>
      </c>
      <c r="AG498">
        <f t="shared" si="82"/>
        <v>11</v>
      </c>
      <c r="AH498">
        <f t="shared" ca="1" si="83"/>
        <v>0</v>
      </c>
      <c r="AI498">
        <f>IF(ROW($AA498) - $AA$51 &lt; ($H$16+1)^5, IF(AG498 &gt;= BaseBonus!$C$16, AG498*BaseBonus!$E$31, 0), "")</f>
        <v>10.329589394218376</v>
      </c>
      <c r="AJ498">
        <f t="shared" ca="1" si="84"/>
        <v>0</v>
      </c>
    </row>
    <row r="499" spans="28:36" x14ac:dyDescent="0.3">
      <c r="AB499">
        <f t="shared" si="77"/>
        <v>3</v>
      </c>
      <c r="AC499">
        <f t="shared" si="78"/>
        <v>3</v>
      </c>
      <c r="AD499">
        <f t="shared" si="79"/>
        <v>3</v>
      </c>
      <c r="AE499">
        <f t="shared" si="80"/>
        <v>2</v>
      </c>
      <c r="AF499">
        <f t="shared" si="81"/>
        <v>1</v>
      </c>
      <c r="AG499">
        <f t="shared" si="82"/>
        <v>12</v>
      </c>
      <c r="AH499">
        <f t="shared" ca="1" si="83"/>
        <v>0</v>
      </c>
      <c r="AI499">
        <f>IF(ROW($AA499) - $AA$51 &lt; ($H$16+1)^5, IF(AG499 &gt;= BaseBonus!$C$16, AG499*BaseBonus!$E$31, 0), "")</f>
        <v>11.268642975510955</v>
      </c>
      <c r="AJ499">
        <f t="shared" ca="1" si="84"/>
        <v>0</v>
      </c>
    </row>
    <row r="500" spans="28:36" x14ac:dyDescent="0.3">
      <c r="AB500">
        <f t="shared" ref="AB500:AB563" si="85">IF(ROW()-$AA$51 &lt; (H$16+1)^5, MOD(_xlfn.FLOOR.MATH((ROW()-$AA$51)/AB$50), H$16+1), "")</f>
        <v>0</v>
      </c>
      <c r="AC500">
        <f t="shared" ref="AC500:AC563" si="86">IF(ROW()-$AA$51 &lt; (I$16+1)^5, MOD(_xlfn.FLOOR.MATH((ROW()-$AA$51)/AC$50), I$16+1), "")</f>
        <v>0</v>
      </c>
      <c r="AD500">
        <f t="shared" ref="AD500:AD563" si="87">IF(ROW()-$AA$51 &lt; (J$16+1)^5, MOD(_xlfn.FLOOR.MATH((ROW()-$AA$51)/AD$50), J$16+1), "")</f>
        <v>0</v>
      </c>
      <c r="AE500">
        <f t="shared" ref="AE500:AE563" si="88">IF(ROW()-$AA$51 &lt; (K$16+1)^5, MOD(_xlfn.FLOOR.MATH((ROW()-$AA$51)/AE$50), K$16+1), "")</f>
        <v>3</v>
      </c>
      <c r="AF500">
        <f t="shared" ref="AF500:AF563" si="89">IF(ROW()-$AA$51 &lt; (L$16+1)^5, MOD(_xlfn.FLOOR.MATH((ROW()-$AA$51)/AF$50), L$16+1), "")</f>
        <v>1</v>
      </c>
      <c r="AG500">
        <f t="shared" ref="AG500:AG563" si="90">IF(ROW($AA500) - $AA$51 &lt; ($H$16+1)^5, SUM(AB500:AF500), "")</f>
        <v>4</v>
      </c>
      <c r="AH500">
        <f t="shared" ref="AH500:AH563" ca="1" si="91">IF(ROW($AA500) - $AA$51 &lt; (4)^5,
    (_xlfn.XLOOKUP(AB500,$T$51:$T$55,U$51:U$55,0)/U$27) * (_xlfn.XLOOKUP(AC500,$T$51:$T$55,V$51:V$55,0)/V$27) * (_xlfn.XLOOKUP(AD500,$T$51:$T$55,W$51:W$55,0)/W$27) * (_xlfn.XLOOKUP(AE500,$T$51:$T$55,X$51:X$55,0)/X$27) * (_xlfn.XLOOKUP(AF500,$T$51:$T$55,Y$51:Y$55,0)/Y$27),
"")</f>
        <v>0</v>
      </c>
      <c r="AI500">
        <f>IF(ROW($AA500) - $AA$51 &lt; ($H$16+1)^5, IF(AG500 &gt;= BaseBonus!$C$16, AG500*BaseBonus!$E$31, 0), "")</f>
        <v>0</v>
      </c>
      <c r="AJ500">
        <f t="shared" ref="AJ500:AJ563" ca="1" si="92">IF(ROW($AA500) - $AA$51 &lt; ($H$16+1)^5, AH500*AI500, "")</f>
        <v>0</v>
      </c>
    </row>
    <row r="501" spans="28:36" x14ac:dyDescent="0.3">
      <c r="AB501">
        <f t="shared" si="85"/>
        <v>1</v>
      </c>
      <c r="AC501">
        <f t="shared" si="86"/>
        <v>0</v>
      </c>
      <c r="AD501">
        <f t="shared" si="87"/>
        <v>0</v>
      </c>
      <c r="AE501">
        <f t="shared" si="88"/>
        <v>3</v>
      </c>
      <c r="AF501">
        <f t="shared" si="89"/>
        <v>1</v>
      </c>
      <c r="AG501">
        <f t="shared" si="90"/>
        <v>5</v>
      </c>
      <c r="AH501">
        <f t="shared" ca="1" si="91"/>
        <v>0</v>
      </c>
      <c r="AI501">
        <f>IF(ROW($AA501) - $AA$51 &lt; ($H$16+1)^5, IF(AG501 &gt;= BaseBonus!$C$16, AG501*BaseBonus!$E$31, 0), "")</f>
        <v>4.6952679064628979</v>
      </c>
      <c r="AJ501">
        <f t="shared" ca="1" si="92"/>
        <v>0</v>
      </c>
    </row>
    <row r="502" spans="28:36" x14ac:dyDescent="0.3">
      <c r="AB502">
        <f t="shared" si="85"/>
        <v>2</v>
      </c>
      <c r="AC502">
        <f t="shared" si="86"/>
        <v>0</v>
      </c>
      <c r="AD502">
        <f t="shared" si="87"/>
        <v>0</v>
      </c>
      <c r="AE502">
        <f t="shared" si="88"/>
        <v>3</v>
      </c>
      <c r="AF502">
        <f t="shared" si="89"/>
        <v>1</v>
      </c>
      <c r="AG502">
        <f t="shared" si="90"/>
        <v>6</v>
      </c>
      <c r="AH502">
        <f t="shared" ca="1" si="91"/>
        <v>0</v>
      </c>
      <c r="AI502">
        <f>IF(ROW($AA502) - $AA$51 &lt; ($H$16+1)^5, IF(AG502 &gt;= BaseBonus!$C$16, AG502*BaseBonus!$E$31, 0), "")</f>
        <v>5.6343214877554777</v>
      </c>
      <c r="AJ502">
        <f t="shared" ca="1" si="92"/>
        <v>0</v>
      </c>
    </row>
    <row r="503" spans="28:36" x14ac:dyDescent="0.3">
      <c r="AB503">
        <f t="shared" si="85"/>
        <v>3</v>
      </c>
      <c r="AC503">
        <f t="shared" si="86"/>
        <v>0</v>
      </c>
      <c r="AD503">
        <f t="shared" si="87"/>
        <v>0</v>
      </c>
      <c r="AE503">
        <f t="shared" si="88"/>
        <v>3</v>
      </c>
      <c r="AF503">
        <f t="shared" si="89"/>
        <v>1</v>
      </c>
      <c r="AG503">
        <f t="shared" si="90"/>
        <v>7</v>
      </c>
      <c r="AH503">
        <f t="shared" ca="1" si="91"/>
        <v>0</v>
      </c>
      <c r="AI503">
        <f>IF(ROW($AA503) - $AA$51 &lt; ($H$16+1)^5, IF(AG503 &gt;= BaseBonus!$C$16, AG503*BaseBonus!$E$31, 0), "")</f>
        <v>6.5733750690480575</v>
      </c>
      <c r="AJ503">
        <f t="shared" ca="1" si="92"/>
        <v>0</v>
      </c>
    </row>
    <row r="504" spans="28:36" x14ac:dyDescent="0.3">
      <c r="AB504">
        <f t="shared" si="85"/>
        <v>0</v>
      </c>
      <c r="AC504">
        <f t="shared" si="86"/>
        <v>1</v>
      </c>
      <c r="AD504">
        <f t="shared" si="87"/>
        <v>0</v>
      </c>
      <c r="AE504">
        <f t="shared" si="88"/>
        <v>3</v>
      </c>
      <c r="AF504">
        <f t="shared" si="89"/>
        <v>1</v>
      </c>
      <c r="AG504">
        <f t="shared" si="90"/>
        <v>5</v>
      </c>
      <c r="AH504">
        <f t="shared" ca="1" si="91"/>
        <v>0</v>
      </c>
      <c r="AI504">
        <f>IF(ROW($AA504) - $AA$51 &lt; ($H$16+1)^5, IF(AG504 &gt;= BaseBonus!$C$16, AG504*BaseBonus!$E$31, 0), "")</f>
        <v>4.6952679064628979</v>
      </c>
      <c r="AJ504">
        <f t="shared" ca="1" si="92"/>
        <v>0</v>
      </c>
    </row>
    <row r="505" spans="28:36" x14ac:dyDescent="0.3">
      <c r="AB505">
        <f t="shared" si="85"/>
        <v>1</v>
      </c>
      <c r="AC505">
        <f t="shared" si="86"/>
        <v>1</v>
      </c>
      <c r="AD505">
        <f t="shared" si="87"/>
        <v>0</v>
      </c>
      <c r="AE505">
        <f t="shared" si="88"/>
        <v>3</v>
      </c>
      <c r="AF505">
        <f t="shared" si="89"/>
        <v>1</v>
      </c>
      <c r="AG505">
        <f t="shared" si="90"/>
        <v>6</v>
      </c>
      <c r="AH505">
        <f t="shared" ca="1" si="91"/>
        <v>0</v>
      </c>
      <c r="AI505">
        <f>IF(ROW($AA505) - $AA$51 &lt; ($H$16+1)^5, IF(AG505 &gt;= BaseBonus!$C$16, AG505*BaseBonus!$E$31, 0), "")</f>
        <v>5.6343214877554777</v>
      </c>
      <c r="AJ505">
        <f t="shared" ca="1" si="92"/>
        <v>0</v>
      </c>
    </row>
    <row r="506" spans="28:36" x14ac:dyDescent="0.3">
      <c r="AB506">
        <f t="shared" si="85"/>
        <v>2</v>
      </c>
      <c r="AC506">
        <f t="shared" si="86"/>
        <v>1</v>
      </c>
      <c r="AD506">
        <f t="shared" si="87"/>
        <v>0</v>
      </c>
      <c r="AE506">
        <f t="shared" si="88"/>
        <v>3</v>
      </c>
      <c r="AF506">
        <f t="shared" si="89"/>
        <v>1</v>
      </c>
      <c r="AG506">
        <f t="shared" si="90"/>
        <v>7</v>
      </c>
      <c r="AH506">
        <f t="shared" ca="1" si="91"/>
        <v>0</v>
      </c>
      <c r="AI506">
        <f>IF(ROW($AA506) - $AA$51 &lt; ($H$16+1)^5, IF(AG506 &gt;= BaseBonus!$C$16, AG506*BaseBonus!$E$31, 0), "")</f>
        <v>6.5733750690480575</v>
      </c>
      <c r="AJ506">
        <f t="shared" ca="1" si="92"/>
        <v>0</v>
      </c>
    </row>
    <row r="507" spans="28:36" x14ac:dyDescent="0.3">
      <c r="AB507">
        <f t="shared" si="85"/>
        <v>3</v>
      </c>
      <c r="AC507">
        <f t="shared" si="86"/>
        <v>1</v>
      </c>
      <c r="AD507">
        <f t="shared" si="87"/>
        <v>0</v>
      </c>
      <c r="AE507">
        <f t="shared" si="88"/>
        <v>3</v>
      </c>
      <c r="AF507">
        <f t="shared" si="89"/>
        <v>1</v>
      </c>
      <c r="AG507">
        <f t="shared" si="90"/>
        <v>8</v>
      </c>
      <c r="AH507">
        <f t="shared" ca="1" si="91"/>
        <v>0</v>
      </c>
      <c r="AI507">
        <f>IF(ROW($AA507) - $AA$51 &lt; ($H$16+1)^5, IF(AG507 &gt;= BaseBonus!$C$16, AG507*BaseBonus!$E$31, 0), "")</f>
        <v>7.5124286503406372</v>
      </c>
      <c r="AJ507">
        <f t="shared" ca="1" si="92"/>
        <v>0</v>
      </c>
    </row>
    <row r="508" spans="28:36" x14ac:dyDescent="0.3">
      <c r="AB508">
        <f t="shared" si="85"/>
        <v>0</v>
      </c>
      <c r="AC508">
        <f t="shared" si="86"/>
        <v>2</v>
      </c>
      <c r="AD508">
        <f t="shared" si="87"/>
        <v>0</v>
      </c>
      <c r="AE508">
        <f t="shared" si="88"/>
        <v>3</v>
      </c>
      <c r="AF508">
        <f t="shared" si="89"/>
        <v>1</v>
      </c>
      <c r="AG508">
        <f t="shared" si="90"/>
        <v>6</v>
      </c>
      <c r="AH508">
        <f t="shared" ca="1" si="91"/>
        <v>0</v>
      </c>
      <c r="AI508">
        <f>IF(ROW($AA508) - $AA$51 &lt; ($H$16+1)^5, IF(AG508 &gt;= BaseBonus!$C$16, AG508*BaseBonus!$E$31, 0), "")</f>
        <v>5.6343214877554777</v>
      </c>
      <c r="AJ508">
        <f t="shared" ca="1" si="92"/>
        <v>0</v>
      </c>
    </row>
    <row r="509" spans="28:36" x14ac:dyDescent="0.3">
      <c r="AB509">
        <f t="shared" si="85"/>
        <v>1</v>
      </c>
      <c r="AC509">
        <f t="shared" si="86"/>
        <v>2</v>
      </c>
      <c r="AD509">
        <f t="shared" si="87"/>
        <v>0</v>
      </c>
      <c r="AE509">
        <f t="shared" si="88"/>
        <v>3</v>
      </c>
      <c r="AF509">
        <f t="shared" si="89"/>
        <v>1</v>
      </c>
      <c r="AG509">
        <f t="shared" si="90"/>
        <v>7</v>
      </c>
      <c r="AH509">
        <f t="shared" ca="1" si="91"/>
        <v>0</v>
      </c>
      <c r="AI509">
        <f>IF(ROW($AA509) - $AA$51 &lt; ($H$16+1)^5, IF(AG509 &gt;= BaseBonus!$C$16, AG509*BaseBonus!$E$31, 0), "")</f>
        <v>6.5733750690480575</v>
      </c>
      <c r="AJ509">
        <f t="shared" ca="1" si="92"/>
        <v>0</v>
      </c>
    </row>
    <row r="510" spans="28:36" x14ac:dyDescent="0.3">
      <c r="AB510">
        <f t="shared" si="85"/>
        <v>2</v>
      </c>
      <c r="AC510">
        <f t="shared" si="86"/>
        <v>2</v>
      </c>
      <c r="AD510">
        <f t="shared" si="87"/>
        <v>0</v>
      </c>
      <c r="AE510">
        <f t="shared" si="88"/>
        <v>3</v>
      </c>
      <c r="AF510">
        <f t="shared" si="89"/>
        <v>1</v>
      </c>
      <c r="AG510">
        <f t="shared" si="90"/>
        <v>8</v>
      </c>
      <c r="AH510">
        <f t="shared" ca="1" si="91"/>
        <v>0</v>
      </c>
      <c r="AI510">
        <f>IF(ROW($AA510) - $AA$51 &lt; ($H$16+1)^5, IF(AG510 &gt;= BaseBonus!$C$16, AG510*BaseBonus!$E$31, 0), "")</f>
        <v>7.5124286503406372</v>
      </c>
      <c r="AJ510">
        <f t="shared" ca="1" si="92"/>
        <v>0</v>
      </c>
    </row>
    <row r="511" spans="28:36" x14ac:dyDescent="0.3">
      <c r="AB511">
        <f t="shared" si="85"/>
        <v>3</v>
      </c>
      <c r="AC511">
        <f t="shared" si="86"/>
        <v>2</v>
      </c>
      <c r="AD511">
        <f t="shared" si="87"/>
        <v>0</v>
      </c>
      <c r="AE511">
        <f t="shared" si="88"/>
        <v>3</v>
      </c>
      <c r="AF511">
        <f t="shared" si="89"/>
        <v>1</v>
      </c>
      <c r="AG511">
        <f t="shared" si="90"/>
        <v>9</v>
      </c>
      <c r="AH511">
        <f t="shared" ca="1" si="91"/>
        <v>0</v>
      </c>
      <c r="AI511">
        <f>IF(ROW($AA511) - $AA$51 &lt; ($H$16+1)^5, IF(AG511 &gt;= BaseBonus!$C$16, AG511*BaseBonus!$E$31, 0), "")</f>
        <v>8.4514822316332161</v>
      </c>
      <c r="AJ511">
        <f t="shared" ca="1" si="92"/>
        <v>0</v>
      </c>
    </row>
    <row r="512" spans="28:36" x14ac:dyDescent="0.3">
      <c r="AB512">
        <f t="shared" si="85"/>
        <v>0</v>
      </c>
      <c r="AC512">
        <f t="shared" si="86"/>
        <v>3</v>
      </c>
      <c r="AD512">
        <f t="shared" si="87"/>
        <v>0</v>
      </c>
      <c r="AE512">
        <f t="shared" si="88"/>
        <v>3</v>
      </c>
      <c r="AF512">
        <f t="shared" si="89"/>
        <v>1</v>
      </c>
      <c r="AG512">
        <f t="shared" si="90"/>
        <v>7</v>
      </c>
      <c r="AH512">
        <f t="shared" ca="1" si="91"/>
        <v>0</v>
      </c>
      <c r="AI512">
        <f>IF(ROW($AA512) - $AA$51 &lt; ($H$16+1)^5, IF(AG512 &gt;= BaseBonus!$C$16, AG512*BaseBonus!$E$31, 0), "")</f>
        <v>6.5733750690480575</v>
      </c>
      <c r="AJ512">
        <f t="shared" ca="1" si="92"/>
        <v>0</v>
      </c>
    </row>
    <row r="513" spans="28:36" x14ac:dyDescent="0.3">
      <c r="AB513">
        <f t="shared" si="85"/>
        <v>1</v>
      </c>
      <c r="AC513">
        <f t="shared" si="86"/>
        <v>3</v>
      </c>
      <c r="AD513">
        <f t="shared" si="87"/>
        <v>0</v>
      </c>
      <c r="AE513">
        <f t="shared" si="88"/>
        <v>3</v>
      </c>
      <c r="AF513">
        <f t="shared" si="89"/>
        <v>1</v>
      </c>
      <c r="AG513">
        <f t="shared" si="90"/>
        <v>8</v>
      </c>
      <c r="AH513">
        <f t="shared" ca="1" si="91"/>
        <v>0</v>
      </c>
      <c r="AI513">
        <f>IF(ROW($AA513) - $AA$51 &lt; ($H$16+1)^5, IF(AG513 &gt;= BaseBonus!$C$16, AG513*BaseBonus!$E$31, 0), "")</f>
        <v>7.5124286503406372</v>
      </c>
      <c r="AJ513">
        <f t="shared" ca="1" si="92"/>
        <v>0</v>
      </c>
    </row>
    <row r="514" spans="28:36" x14ac:dyDescent="0.3">
      <c r="AB514">
        <f t="shared" si="85"/>
        <v>2</v>
      </c>
      <c r="AC514">
        <f t="shared" si="86"/>
        <v>3</v>
      </c>
      <c r="AD514">
        <f t="shared" si="87"/>
        <v>0</v>
      </c>
      <c r="AE514">
        <f t="shared" si="88"/>
        <v>3</v>
      </c>
      <c r="AF514">
        <f t="shared" si="89"/>
        <v>1</v>
      </c>
      <c r="AG514">
        <f t="shared" si="90"/>
        <v>9</v>
      </c>
      <c r="AH514">
        <f t="shared" ca="1" si="91"/>
        <v>0</v>
      </c>
      <c r="AI514">
        <f>IF(ROW($AA514) - $AA$51 &lt; ($H$16+1)^5, IF(AG514 &gt;= BaseBonus!$C$16, AG514*BaseBonus!$E$31, 0), "")</f>
        <v>8.4514822316332161</v>
      </c>
      <c r="AJ514">
        <f t="shared" ca="1" si="92"/>
        <v>0</v>
      </c>
    </row>
    <row r="515" spans="28:36" x14ac:dyDescent="0.3">
      <c r="AB515">
        <f t="shared" si="85"/>
        <v>3</v>
      </c>
      <c r="AC515">
        <f t="shared" si="86"/>
        <v>3</v>
      </c>
      <c r="AD515">
        <f t="shared" si="87"/>
        <v>0</v>
      </c>
      <c r="AE515">
        <f t="shared" si="88"/>
        <v>3</v>
      </c>
      <c r="AF515">
        <f t="shared" si="89"/>
        <v>1</v>
      </c>
      <c r="AG515">
        <f t="shared" si="90"/>
        <v>10</v>
      </c>
      <c r="AH515">
        <f t="shared" ca="1" si="91"/>
        <v>0</v>
      </c>
      <c r="AI515">
        <f>IF(ROW($AA515) - $AA$51 &lt; ($H$16+1)^5, IF(AG515 &gt;= BaseBonus!$C$16, AG515*BaseBonus!$E$31, 0), "")</f>
        <v>9.3905358129257959</v>
      </c>
      <c r="AJ515">
        <f t="shared" ca="1" si="92"/>
        <v>0</v>
      </c>
    </row>
    <row r="516" spans="28:36" x14ac:dyDescent="0.3">
      <c r="AB516">
        <f t="shared" si="85"/>
        <v>0</v>
      </c>
      <c r="AC516">
        <f t="shared" si="86"/>
        <v>0</v>
      </c>
      <c r="AD516">
        <f t="shared" si="87"/>
        <v>1</v>
      </c>
      <c r="AE516">
        <f t="shared" si="88"/>
        <v>3</v>
      </c>
      <c r="AF516">
        <f t="shared" si="89"/>
        <v>1</v>
      </c>
      <c r="AG516">
        <f t="shared" si="90"/>
        <v>5</v>
      </c>
      <c r="AH516">
        <f t="shared" ca="1" si="91"/>
        <v>0</v>
      </c>
      <c r="AI516">
        <f>IF(ROW($AA516) - $AA$51 &lt; ($H$16+1)^5, IF(AG516 &gt;= BaseBonus!$C$16, AG516*BaseBonus!$E$31, 0), "")</f>
        <v>4.6952679064628979</v>
      </c>
      <c r="AJ516">
        <f t="shared" ca="1" si="92"/>
        <v>0</v>
      </c>
    </row>
    <row r="517" spans="28:36" x14ac:dyDescent="0.3">
      <c r="AB517">
        <f t="shared" si="85"/>
        <v>1</v>
      </c>
      <c r="AC517">
        <f t="shared" si="86"/>
        <v>0</v>
      </c>
      <c r="AD517">
        <f t="shared" si="87"/>
        <v>1</v>
      </c>
      <c r="AE517">
        <f t="shared" si="88"/>
        <v>3</v>
      </c>
      <c r="AF517">
        <f t="shared" si="89"/>
        <v>1</v>
      </c>
      <c r="AG517">
        <f t="shared" si="90"/>
        <v>6</v>
      </c>
      <c r="AH517">
        <f t="shared" ca="1" si="91"/>
        <v>0</v>
      </c>
      <c r="AI517">
        <f>IF(ROW($AA517) - $AA$51 &lt; ($H$16+1)^5, IF(AG517 &gt;= BaseBonus!$C$16, AG517*BaseBonus!$E$31, 0), "")</f>
        <v>5.6343214877554777</v>
      </c>
      <c r="AJ517">
        <f t="shared" ca="1" si="92"/>
        <v>0</v>
      </c>
    </row>
    <row r="518" spans="28:36" x14ac:dyDescent="0.3">
      <c r="AB518">
        <f t="shared" si="85"/>
        <v>2</v>
      </c>
      <c r="AC518">
        <f t="shared" si="86"/>
        <v>0</v>
      </c>
      <c r="AD518">
        <f t="shared" si="87"/>
        <v>1</v>
      </c>
      <c r="AE518">
        <f t="shared" si="88"/>
        <v>3</v>
      </c>
      <c r="AF518">
        <f t="shared" si="89"/>
        <v>1</v>
      </c>
      <c r="AG518">
        <f t="shared" si="90"/>
        <v>7</v>
      </c>
      <c r="AH518">
        <f t="shared" ca="1" si="91"/>
        <v>0</v>
      </c>
      <c r="AI518">
        <f>IF(ROW($AA518) - $AA$51 &lt; ($H$16+1)^5, IF(AG518 &gt;= BaseBonus!$C$16, AG518*BaseBonus!$E$31, 0), "")</f>
        <v>6.5733750690480575</v>
      </c>
      <c r="AJ518">
        <f t="shared" ca="1" si="92"/>
        <v>0</v>
      </c>
    </row>
    <row r="519" spans="28:36" x14ac:dyDescent="0.3">
      <c r="AB519">
        <f t="shared" si="85"/>
        <v>3</v>
      </c>
      <c r="AC519">
        <f t="shared" si="86"/>
        <v>0</v>
      </c>
      <c r="AD519">
        <f t="shared" si="87"/>
        <v>1</v>
      </c>
      <c r="AE519">
        <f t="shared" si="88"/>
        <v>3</v>
      </c>
      <c r="AF519">
        <f t="shared" si="89"/>
        <v>1</v>
      </c>
      <c r="AG519">
        <f t="shared" si="90"/>
        <v>8</v>
      </c>
      <c r="AH519">
        <f t="shared" ca="1" si="91"/>
        <v>0</v>
      </c>
      <c r="AI519">
        <f>IF(ROW($AA519) - $AA$51 &lt; ($H$16+1)^5, IF(AG519 &gt;= BaseBonus!$C$16, AG519*BaseBonus!$E$31, 0), "")</f>
        <v>7.5124286503406372</v>
      </c>
      <c r="AJ519">
        <f t="shared" ca="1" si="92"/>
        <v>0</v>
      </c>
    </row>
    <row r="520" spans="28:36" x14ac:dyDescent="0.3">
      <c r="AB520">
        <f t="shared" si="85"/>
        <v>0</v>
      </c>
      <c r="AC520">
        <f t="shared" si="86"/>
        <v>1</v>
      </c>
      <c r="AD520">
        <f t="shared" si="87"/>
        <v>1</v>
      </c>
      <c r="AE520">
        <f t="shared" si="88"/>
        <v>3</v>
      </c>
      <c r="AF520">
        <f t="shared" si="89"/>
        <v>1</v>
      </c>
      <c r="AG520">
        <f t="shared" si="90"/>
        <v>6</v>
      </c>
      <c r="AH520">
        <f t="shared" ca="1" si="91"/>
        <v>0</v>
      </c>
      <c r="AI520">
        <f>IF(ROW($AA520) - $AA$51 &lt; ($H$16+1)^5, IF(AG520 &gt;= BaseBonus!$C$16, AG520*BaseBonus!$E$31, 0), "")</f>
        <v>5.6343214877554777</v>
      </c>
      <c r="AJ520">
        <f t="shared" ca="1" si="92"/>
        <v>0</v>
      </c>
    </row>
    <row r="521" spans="28:36" x14ac:dyDescent="0.3">
      <c r="AB521">
        <f t="shared" si="85"/>
        <v>1</v>
      </c>
      <c r="AC521">
        <f t="shared" si="86"/>
        <v>1</v>
      </c>
      <c r="AD521">
        <f t="shared" si="87"/>
        <v>1</v>
      </c>
      <c r="AE521">
        <f t="shared" si="88"/>
        <v>3</v>
      </c>
      <c r="AF521">
        <f t="shared" si="89"/>
        <v>1</v>
      </c>
      <c r="AG521">
        <f t="shared" si="90"/>
        <v>7</v>
      </c>
      <c r="AH521">
        <f t="shared" ca="1" si="91"/>
        <v>0</v>
      </c>
      <c r="AI521">
        <f>IF(ROW($AA521) - $AA$51 &lt; ($H$16+1)^5, IF(AG521 &gt;= BaseBonus!$C$16, AG521*BaseBonus!$E$31, 0), "")</f>
        <v>6.5733750690480575</v>
      </c>
      <c r="AJ521">
        <f t="shared" ca="1" si="92"/>
        <v>0</v>
      </c>
    </row>
    <row r="522" spans="28:36" x14ac:dyDescent="0.3">
      <c r="AB522">
        <f t="shared" si="85"/>
        <v>2</v>
      </c>
      <c r="AC522">
        <f t="shared" si="86"/>
        <v>1</v>
      </c>
      <c r="AD522">
        <f t="shared" si="87"/>
        <v>1</v>
      </c>
      <c r="AE522">
        <f t="shared" si="88"/>
        <v>3</v>
      </c>
      <c r="AF522">
        <f t="shared" si="89"/>
        <v>1</v>
      </c>
      <c r="AG522">
        <f t="shared" si="90"/>
        <v>8</v>
      </c>
      <c r="AH522">
        <f t="shared" ca="1" si="91"/>
        <v>0</v>
      </c>
      <c r="AI522">
        <f>IF(ROW($AA522) - $AA$51 &lt; ($H$16+1)^5, IF(AG522 &gt;= BaseBonus!$C$16, AG522*BaseBonus!$E$31, 0), "")</f>
        <v>7.5124286503406372</v>
      </c>
      <c r="AJ522">
        <f t="shared" ca="1" si="92"/>
        <v>0</v>
      </c>
    </row>
    <row r="523" spans="28:36" x14ac:dyDescent="0.3">
      <c r="AB523">
        <f t="shared" si="85"/>
        <v>3</v>
      </c>
      <c r="AC523">
        <f t="shared" si="86"/>
        <v>1</v>
      </c>
      <c r="AD523">
        <f t="shared" si="87"/>
        <v>1</v>
      </c>
      <c r="AE523">
        <f t="shared" si="88"/>
        <v>3</v>
      </c>
      <c r="AF523">
        <f t="shared" si="89"/>
        <v>1</v>
      </c>
      <c r="AG523">
        <f t="shared" si="90"/>
        <v>9</v>
      </c>
      <c r="AH523">
        <f t="shared" ca="1" si="91"/>
        <v>0</v>
      </c>
      <c r="AI523">
        <f>IF(ROW($AA523) - $AA$51 &lt; ($H$16+1)^5, IF(AG523 &gt;= BaseBonus!$C$16, AG523*BaseBonus!$E$31, 0), "")</f>
        <v>8.4514822316332161</v>
      </c>
      <c r="AJ523">
        <f t="shared" ca="1" si="92"/>
        <v>0</v>
      </c>
    </row>
    <row r="524" spans="28:36" x14ac:dyDescent="0.3">
      <c r="AB524">
        <f t="shared" si="85"/>
        <v>0</v>
      </c>
      <c r="AC524">
        <f t="shared" si="86"/>
        <v>2</v>
      </c>
      <c r="AD524">
        <f t="shared" si="87"/>
        <v>1</v>
      </c>
      <c r="AE524">
        <f t="shared" si="88"/>
        <v>3</v>
      </c>
      <c r="AF524">
        <f t="shared" si="89"/>
        <v>1</v>
      </c>
      <c r="AG524">
        <f t="shared" si="90"/>
        <v>7</v>
      </c>
      <c r="AH524">
        <f t="shared" ca="1" si="91"/>
        <v>0</v>
      </c>
      <c r="AI524">
        <f>IF(ROW($AA524) - $AA$51 &lt; ($H$16+1)^5, IF(AG524 &gt;= BaseBonus!$C$16, AG524*BaseBonus!$E$31, 0), "")</f>
        <v>6.5733750690480575</v>
      </c>
      <c r="AJ524">
        <f t="shared" ca="1" si="92"/>
        <v>0</v>
      </c>
    </row>
    <row r="525" spans="28:36" x14ac:dyDescent="0.3">
      <c r="AB525">
        <f t="shared" si="85"/>
        <v>1</v>
      </c>
      <c r="AC525">
        <f t="shared" si="86"/>
        <v>2</v>
      </c>
      <c r="AD525">
        <f t="shared" si="87"/>
        <v>1</v>
      </c>
      <c r="AE525">
        <f t="shared" si="88"/>
        <v>3</v>
      </c>
      <c r="AF525">
        <f t="shared" si="89"/>
        <v>1</v>
      </c>
      <c r="AG525">
        <f t="shared" si="90"/>
        <v>8</v>
      </c>
      <c r="AH525">
        <f t="shared" ca="1" si="91"/>
        <v>0</v>
      </c>
      <c r="AI525">
        <f>IF(ROW($AA525) - $AA$51 &lt; ($H$16+1)^5, IF(AG525 &gt;= BaseBonus!$C$16, AG525*BaseBonus!$E$31, 0), "")</f>
        <v>7.5124286503406372</v>
      </c>
      <c r="AJ525">
        <f t="shared" ca="1" si="92"/>
        <v>0</v>
      </c>
    </row>
    <row r="526" spans="28:36" x14ac:dyDescent="0.3">
      <c r="AB526">
        <f t="shared" si="85"/>
        <v>2</v>
      </c>
      <c r="AC526">
        <f t="shared" si="86"/>
        <v>2</v>
      </c>
      <c r="AD526">
        <f t="shared" si="87"/>
        <v>1</v>
      </c>
      <c r="AE526">
        <f t="shared" si="88"/>
        <v>3</v>
      </c>
      <c r="AF526">
        <f t="shared" si="89"/>
        <v>1</v>
      </c>
      <c r="AG526">
        <f t="shared" si="90"/>
        <v>9</v>
      </c>
      <c r="AH526">
        <f t="shared" ca="1" si="91"/>
        <v>0</v>
      </c>
      <c r="AI526">
        <f>IF(ROW($AA526) - $AA$51 &lt; ($H$16+1)^5, IF(AG526 &gt;= BaseBonus!$C$16, AG526*BaseBonus!$E$31, 0), "")</f>
        <v>8.4514822316332161</v>
      </c>
      <c r="AJ526">
        <f t="shared" ca="1" si="92"/>
        <v>0</v>
      </c>
    </row>
    <row r="527" spans="28:36" x14ac:dyDescent="0.3">
      <c r="AB527">
        <f t="shared" si="85"/>
        <v>3</v>
      </c>
      <c r="AC527">
        <f t="shared" si="86"/>
        <v>2</v>
      </c>
      <c r="AD527">
        <f t="shared" si="87"/>
        <v>1</v>
      </c>
      <c r="AE527">
        <f t="shared" si="88"/>
        <v>3</v>
      </c>
      <c r="AF527">
        <f t="shared" si="89"/>
        <v>1</v>
      </c>
      <c r="AG527">
        <f t="shared" si="90"/>
        <v>10</v>
      </c>
      <c r="AH527">
        <f t="shared" ca="1" si="91"/>
        <v>0</v>
      </c>
      <c r="AI527">
        <f>IF(ROW($AA527) - $AA$51 &lt; ($H$16+1)^5, IF(AG527 &gt;= BaseBonus!$C$16, AG527*BaseBonus!$E$31, 0), "")</f>
        <v>9.3905358129257959</v>
      </c>
      <c r="AJ527">
        <f t="shared" ca="1" si="92"/>
        <v>0</v>
      </c>
    </row>
    <row r="528" spans="28:36" x14ac:dyDescent="0.3">
      <c r="AB528">
        <f t="shared" si="85"/>
        <v>0</v>
      </c>
      <c r="AC528">
        <f t="shared" si="86"/>
        <v>3</v>
      </c>
      <c r="AD528">
        <f t="shared" si="87"/>
        <v>1</v>
      </c>
      <c r="AE528">
        <f t="shared" si="88"/>
        <v>3</v>
      </c>
      <c r="AF528">
        <f t="shared" si="89"/>
        <v>1</v>
      </c>
      <c r="AG528">
        <f t="shared" si="90"/>
        <v>8</v>
      </c>
      <c r="AH528">
        <f t="shared" ca="1" si="91"/>
        <v>0</v>
      </c>
      <c r="AI528">
        <f>IF(ROW($AA528) - $AA$51 &lt; ($H$16+1)^5, IF(AG528 &gt;= BaseBonus!$C$16, AG528*BaseBonus!$E$31, 0), "")</f>
        <v>7.5124286503406372</v>
      </c>
      <c r="AJ528">
        <f t="shared" ca="1" si="92"/>
        <v>0</v>
      </c>
    </row>
    <row r="529" spans="28:36" x14ac:dyDescent="0.3">
      <c r="AB529">
        <f t="shared" si="85"/>
        <v>1</v>
      </c>
      <c r="AC529">
        <f t="shared" si="86"/>
        <v>3</v>
      </c>
      <c r="AD529">
        <f t="shared" si="87"/>
        <v>1</v>
      </c>
      <c r="AE529">
        <f t="shared" si="88"/>
        <v>3</v>
      </c>
      <c r="AF529">
        <f t="shared" si="89"/>
        <v>1</v>
      </c>
      <c r="AG529">
        <f t="shared" si="90"/>
        <v>9</v>
      </c>
      <c r="AH529">
        <f t="shared" ca="1" si="91"/>
        <v>0</v>
      </c>
      <c r="AI529">
        <f>IF(ROW($AA529) - $AA$51 &lt; ($H$16+1)^5, IF(AG529 &gt;= BaseBonus!$C$16, AG529*BaseBonus!$E$31, 0), "")</f>
        <v>8.4514822316332161</v>
      </c>
      <c r="AJ529">
        <f t="shared" ca="1" si="92"/>
        <v>0</v>
      </c>
    </row>
    <row r="530" spans="28:36" x14ac:dyDescent="0.3">
      <c r="AB530">
        <f t="shared" si="85"/>
        <v>2</v>
      </c>
      <c r="AC530">
        <f t="shared" si="86"/>
        <v>3</v>
      </c>
      <c r="AD530">
        <f t="shared" si="87"/>
        <v>1</v>
      </c>
      <c r="AE530">
        <f t="shared" si="88"/>
        <v>3</v>
      </c>
      <c r="AF530">
        <f t="shared" si="89"/>
        <v>1</v>
      </c>
      <c r="AG530">
        <f t="shared" si="90"/>
        <v>10</v>
      </c>
      <c r="AH530">
        <f t="shared" ca="1" si="91"/>
        <v>0</v>
      </c>
      <c r="AI530">
        <f>IF(ROW($AA530) - $AA$51 &lt; ($H$16+1)^5, IF(AG530 &gt;= BaseBonus!$C$16, AG530*BaseBonus!$E$31, 0), "")</f>
        <v>9.3905358129257959</v>
      </c>
      <c r="AJ530">
        <f t="shared" ca="1" si="92"/>
        <v>0</v>
      </c>
    </row>
    <row r="531" spans="28:36" x14ac:dyDescent="0.3">
      <c r="AB531">
        <f t="shared" si="85"/>
        <v>3</v>
      </c>
      <c r="AC531">
        <f t="shared" si="86"/>
        <v>3</v>
      </c>
      <c r="AD531">
        <f t="shared" si="87"/>
        <v>1</v>
      </c>
      <c r="AE531">
        <f t="shared" si="88"/>
        <v>3</v>
      </c>
      <c r="AF531">
        <f t="shared" si="89"/>
        <v>1</v>
      </c>
      <c r="AG531">
        <f t="shared" si="90"/>
        <v>11</v>
      </c>
      <c r="AH531">
        <f t="shared" ca="1" si="91"/>
        <v>0</v>
      </c>
      <c r="AI531">
        <f>IF(ROW($AA531) - $AA$51 &lt; ($H$16+1)^5, IF(AG531 &gt;= BaseBonus!$C$16, AG531*BaseBonus!$E$31, 0), "")</f>
        <v>10.329589394218376</v>
      </c>
      <c r="AJ531">
        <f t="shared" ca="1" si="92"/>
        <v>0</v>
      </c>
    </row>
    <row r="532" spans="28:36" x14ac:dyDescent="0.3">
      <c r="AB532">
        <f t="shared" si="85"/>
        <v>0</v>
      </c>
      <c r="AC532">
        <f t="shared" si="86"/>
        <v>0</v>
      </c>
      <c r="AD532">
        <f t="shared" si="87"/>
        <v>2</v>
      </c>
      <c r="AE532">
        <f t="shared" si="88"/>
        <v>3</v>
      </c>
      <c r="AF532">
        <f t="shared" si="89"/>
        <v>1</v>
      </c>
      <c r="AG532">
        <f t="shared" si="90"/>
        <v>6</v>
      </c>
      <c r="AH532">
        <f t="shared" ca="1" si="91"/>
        <v>0</v>
      </c>
      <c r="AI532">
        <f>IF(ROW($AA532) - $AA$51 &lt; ($H$16+1)^5, IF(AG532 &gt;= BaseBonus!$C$16, AG532*BaseBonus!$E$31, 0), "")</f>
        <v>5.6343214877554777</v>
      </c>
      <c r="AJ532">
        <f t="shared" ca="1" si="92"/>
        <v>0</v>
      </c>
    </row>
    <row r="533" spans="28:36" x14ac:dyDescent="0.3">
      <c r="AB533">
        <f t="shared" si="85"/>
        <v>1</v>
      </c>
      <c r="AC533">
        <f t="shared" si="86"/>
        <v>0</v>
      </c>
      <c r="AD533">
        <f t="shared" si="87"/>
        <v>2</v>
      </c>
      <c r="AE533">
        <f t="shared" si="88"/>
        <v>3</v>
      </c>
      <c r="AF533">
        <f t="shared" si="89"/>
        <v>1</v>
      </c>
      <c r="AG533">
        <f t="shared" si="90"/>
        <v>7</v>
      </c>
      <c r="AH533">
        <f t="shared" ca="1" si="91"/>
        <v>0</v>
      </c>
      <c r="AI533">
        <f>IF(ROW($AA533) - $AA$51 &lt; ($H$16+1)^5, IF(AG533 &gt;= BaseBonus!$C$16, AG533*BaseBonus!$E$31, 0), "")</f>
        <v>6.5733750690480575</v>
      </c>
      <c r="AJ533">
        <f t="shared" ca="1" si="92"/>
        <v>0</v>
      </c>
    </row>
    <row r="534" spans="28:36" x14ac:dyDescent="0.3">
      <c r="AB534">
        <f t="shared" si="85"/>
        <v>2</v>
      </c>
      <c r="AC534">
        <f t="shared" si="86"/>
        <v>0</v>
      </c>
      <c r="AD534">
        <f t="shared" si="87"/>
        <v>2</v>
      </c>
      <c r="AE534">
        <f t="shared" si="88"/>
        <v>3</v>
      </c>
      <c r="AF534">
        <f t="shared" si="89"/>
        <v>1</v>
      </c>
      <c r="AG534">
        <f t="shared" si="90"/>
        <v>8</v>
      </c>
      <c r="AH534">
        <f t="shared" ca="1" si="91"/>
        <v>0</v>
      </c>
      <c r="AI534">
        <f>IF(ROW($AA534) - $AA$51 &lt; ($H$16+1)^5, IF(AG534 &gt;= BaseBonus!$C$16, AG534*BaseBonus!$E$31, 0), "")</f>
        <v>7.5124286503406372</v>
      </c>
      <c r="AJ534">
        <f t="shared" ca="1" si="92"/>
        <v>0</v>
      </c>
    </row>
    <row r="535" spans="28:36" x14ac:dyDescent="0.3">
      <c r="AB535">
        <f t="shared" si="85"/>
        <v>3</v>
      </c>
      <c r="AC535">
        <f t="shared" si="86"/>
        <v>0</v>
      </c>
      <c r="AD535">
        <f t="shared" si="87"/>
        <v>2</v>
      </c>
      <c r="AE535">
        <f t="shared" si="88"/>
        <v>3</v>
      </c>
      <c r="AF535">
        <f t="shared" si="89"/>
        <v>1</v>
      </c>
      <c r="AG535">
        <f t="shared" si="90"/>
        <v>9</v>
      </c>
      <c r="AH535">
        <f t="shared" ca="1" si="91"/>
        <v>0</v>
      </c>
      <c r="AI535">
        <f>IF(ROW($AA535) - $AA$51 &lt; ($H$16+1)^5, IF(AG535 &gt;= BaseBonus!$C$16, AG535*BaseBonus!$E$31, 0), "")</f>
        <v>8.4514822316332161</v>
      </c>
      <c r="AJ535">
        <f t="shared" ca="1" si="92"/>
        <v>0</v>
      </c>
    </row>
    <row r="536" spans="28:36" x14ac:dyDescent="0.3">
      <c r="AB536">
        <f t="shared" si="85"/>
        <v>0</v>
      </c>
      <c r="AC536">
        <f t="shared" si="86"/>
        <v>1</v>
      </c>
      <c r="AD536">
        <f t="shared" si="87"/>
        <v>2</v>
      </c>
      <c r="AE536">
        <f t="shared" si="88"/>
        <v>3</v>
      </c>
      <c r="AF536">
        <f t="shared" si="89"/>
        <v>1</v>
      </c>
      <c r="AG536">
        <f t="shared" si="90"/>
        <v>7</v>
      </c>
      <c r="AH536">
        <f t="shared" ca="1" si="91"/>
        <v>0</v>
      </c>
      <c r="AI536">
        <f>IF(ROW($AA536) - $AA$51 &lt; ($H$16+1)^5, IF(AG536 &gt;= BaseBonus!$C$16, AG536*BaseBonus!$E$31, 0), "")</f>
        <v>6.5733750690480575</v>
      </c>
      <c r="AJ536">
        <f t="shared" ca="1" si="92"/>
        <v>0</v>
      </c>
    </row>
    <row r="537" spans="28:36" x14ac:dyDescent="0.3">
      <c r="AB537">
        <f t="shared" si="85"/>
        <v>1</v>
      </c>
      <c r="AC537">
        <f t="shared" si="86"/>
        <v>1</v>
      </c>
      <c r="AD537">
        <f t="shared" si="87"/>
        <v>2</v>
      </c>
      <c r="AE537">
        <f t="shared" si="88"/>
        <v>3</v>
      </c>
      <c r="AF537">
        <f t="shared" si="89"/>
        <v>1</v>
      </c>
      <c r="AG537">
        <f t="shared" si="90"/>
        <v>8</v>
      </c>
      <c r="AH537">
        <f t="shared" ca="1" si="91"/>
        <v>0</v>
      </c>
      <c r="AI537">
        <f>IF(ROW($AA537) - $AA$51 &lt; ($H$16+1)^5, IF(AG537 &gt;= BaseBonus!$C$16, AG537*BaseBonus!$E$31, 0), "")</f>
        <v>7.5124286503406372</v>
      </c>
      <c r="AJ537">
        <f t="shared" ca="1" si="92"/>
        <v>0</v>
      </c>
    </row>
    <row r="538" spans="28:36" x14ac:dyDescent="0.3">
      <c r="AB538">
        <f t="shared" si="85"/>
        <v>2</v>
      </c>
      <c r="AC538">
        <f t="shared" si="86"/>
        <v>1</v>
      </c>
      <c r="AD538">
        <f t="shared" si="87"/>
        <v>2</v>
      </c>
      <c r="AE538">
        <f t="shared" si="88"/>
        <v>3</v>
      </c>
      <c r="AF538">
        <f t="shared" si="89"/>
        <v>1</v>
      </c>
      <c r="AG538">
        <f t="shared" si="90"/>
        <v>9</v>
      </c>
      <c r="AH538">
        <f t="shared" ca="1" si="91"/>
        <v>0</v>
      </c>
      <c r="AI538">
        <f>IF(ROW($AA538) - $AA$51 &lt; ($H$16+1)^5, IF(AG538 &gt;= BaseBonus!$C$16, AG538*BaseBonus!$E$31, 0), "")</f>
        <v>8.4514822316332161</v>
      </c>
      <c r="AJ538">
        <f t="shared" ca="1" si="92"/>
        <v>0</v>
      </c>
    </row>
    <row r="539" spans="28:36" x14ac:dyDescent="0.3">
      <c r="AB539">
        <f t="shared" si="85"/>
        <v>3</v>
      </c>
      <c r="AC539">
        <f t="shared" si="86"/>
        <v>1</v>
      </c>
      <c r="AD539">
        <f t="shared" si="87"/>
        <v>2</v>
      </c>
      <c r="AE539">
        <f t="shared" si="88"/>
        <v>3</v>
      </c>
      <c r="AF539">
        <f t="shared" si="89"/>
        <v>1</v>
      </c>
      <c r="AG539">
        <f t="shared" si="90"/>
        <v>10</v>
      </c>
      <c r="AH539">
        <f t="shared" ca="1" si="91"/>
        <v>0</v>
      </c>
      <c r="AI539">
        <f>IF(ROW($AA539) - $AA$51 &lt; ($H$16+1)^5, IF(AG539 &gt;= BaseBonus!$C$16, AG539*BaseBonus!$E$31, 0), "")</f>
        <v>9.3905358129257959</v>
      </c>
      <c r="AJ539">
        <f t="shared" ca="1" si="92"/>
        <v>0</v>
      </c>
    </row>
    <row r="540" spans="28:36" x14ac:dyDescent="0.3">
      <c r="AB540">
        <f t="shared" si="85"/>
        <v>0</v>
      </c>
      <c r="AC540">
        <f t="shared" si="86"/>
        <v>2</v>
      </c>
      <c r="AD540">
        <f t="shared" si="87"/>
        <v>2</v>
      </c>
      <c r="AE540">
        <f t="shared" si="88"/>
        <v>3</v>
      </c>
      <c r="AF540">
        <f t="shared" si="89"/>
        <v>1</v>
      </c>
      <c r="AG540">
        <f t="shared" si="90"/>
        <v>8</v>
      </c>
      <c r="AH540">
        <f t="shared" ca="1" si="91"/>
        <v>0</v>
      </c>
      <c r="AI540">
        <f>IF(ROW($AA540) - $AA$51 &lt; ($H$16+1)^5, IF(AG540 &gt;= BaseBonus!$C$16, AG540*BaseBonus!$E$31, 0), "")</f>
        <v>7.5124286503406372</v>
      </c>
      <c r="AJ540">
        <f t="shared" ca="1" si="92"/>
        <v>0</v>
      </c>
    </row>
    <row r="541" spans="28:36" x14ac:dyDescent="0.3">
      <c r="AB541">
        <f t="shared" si="85"/>
        <v>1</v>
      </c>
      <c r="AC541">
        <f t="shared" si="86"/>
        <v>2</v>
      </c>
      <c r="AD541">
        <f t="shared" si="87"/>
        <v>2</v>
      </c>
      <c r="AE541">
        <f t="shared" si="88"/>
        <v>3</v>
      </c>
      <c r="AF541">
        <f t="shared" si="89"/>
        <v>1</v>
      </c>
      <c r="AG541">
        <f t="shared" si="90"/>
        <v>9</v>
      </c>
      <c r="AH541">
        <f t="shared" ca="1" si="91"/>
        <v>0</v>
      </c>
      <c r="AI541">
        <f>IF(ROW($AA541) - $AA$51 &lt; ($H$16+1)^5, IF(AG541 &gt;= BaseBonus!$C$16, AG541*BaseBonus!$E$31, 0), "")</f>
        <v>8.4514822316332161</v>
      </c>
      <c r="AJ541">
        <f t="shared" ca="1" si="92"/>
        <v>0</v>
      </c>
    </row>
    <row r="542" spans="28:36" x14ac:dyDescent="0.3">
      <c r="AB542">
        <f t="shared" si="85"/>
        <v>2</v>
      </c>
      <c r="AC542">
        <f t="shared" si="86"/>
        <v>2</v>
      </c>
      <c r="AD542">
        <f t="shared" si="87"/>
        <v>2</v>
      </c>
      <c r="AE542">
        <f t="shared" si="88"/>
        <v>3</v>
      </c>
      <c r="AF542">
        <f t="shared" si="89"/>
        <v>1</v>
      </c>
      <c r="AG542">
        <f t="shared" si="90"/>
        <v>10</v>
      </c>
      <c r="AH542">
        <f t="shared" ca="1" si="91"/>
        <v>0</v>
      </c>
      <c r="AI542">
        <f>IF(ROW($AA542) - $AA$51 &lt; ($H$16+1)^5, IF(AG542 &gt;= BaseBonus!$C$16, AG542*BaseBonus!$E$31, 0), "")</f>
        <v>9.3905358129257959</v>
      </c>
      <c r="AJ542">
        <f t="shared" ca="1" si="92"/>
        <v>0</v>
      </c>
    </row>
    <row r="543" spans="28:36" x14ac:dyDescent="0.3">
      <c r="AB543">
        <f t="shared" si="85"/>
        <v>3</v>
      </c>
      <c r="AC543">
        <f t="shared" si="86"/>
        <v>2</v>
      </c>
      <c r="AD543">
        <f t="shared" si="87"/>
        <v>2</v>
      </c>
      <c r="AE543">
        <f t="shared" si="88"/>
        <v>3</v>
      </c>
      <c r="AF543">
        <f t="shared" si="89"/>
        <v>1</v>
      </c>
      <c r="AG543">
        <f t="shared" si="90"/>
        <v>11</v>
      </c>
      <c r="AH543">
        <f t="shared" ca="1" si="91"/>
        <v>0</v>
      </c>
      <c r="AI543">
        <f>IF(ROW($AA543) - $AA$51 &lt; ($H$16+1)^5, IF(AG543 &gt;= BaseBonus!$C$16, AG543*BaseBonus!$E$31, 0), "")</f>
        <v>10.329589394218376</v>
      </c>
      <c r="AJ543">
        <f t="shared" ca="1" si="92"/>
        <v>0</v>
      </c>
    </row>
    <row r="544" spans="28:36" x14ac:dyDescent="0.3">
      <c r="AB544">
        <f t="shared" si="85"/>
        <v>0</v>
      </c>
      <c r="AC544">
        <f t="shared" si="86"/>
        <v>3</v>
      </c>
      <c r="AD544">
        <f t="shared" si="87"/>
        <v>2</v>
      </c>
      <c r="AE544">
        <f t="shared" si="88"/>
        <v>3</v>
      </c>
      <c r="AF544">
        <f t="shared" si="89"/>
        <v>1</v>
      </c>
      <c r="AG544">
        <f t="shared" si="90"/>
        <v>9</v>
      </c>
      <c r="AH544">
        <f t="shared" ca="1" si="91"/>
        <v>0</v>
      </c>
      <c r="AI544">
        <f>IF(ROW($AA544) - $AA$51 &lt; ($H$16+1)^5, IF(AG544 &gt;= BaseBonus!$C$16, AG544*BaseBonus!$E$31, 0), "")</f>
        <v>8.4514822316332161</v>
      </c>
      <c r="AJ544">
        <f t="shared" ca="1" si="92"/>
        <v>0</v>
      </c>
    </row>
    <row r="545" spans="28:36" x14ac:dyDescent="0.3">
      <c r="AB545">
        <f t="shared" si="85"/>
        <v>1</v>
      </c>
      <c r="AC545">
        <f t="shared" si="86"/>
        <v>3</v>
      </c>
      <c r="AD545">
        <f t="shared" si="87"/>
        <v>2</v>
      </c>
      <c r="AE545">
        <f t="shared" si="88"/>
        <v>3</v>
      </c>
      <c r="AF545">
        <f t="shared" si="89"/>
        <v>1</v>
      </c>
      <c r="AG545">
        <f t="shared" si="90"/>
        <v>10</v>
      </c>
      <c r="AH545">
        <f t="shared" ca="1" si="91"/>
        <v>0</v>
      </c>
      <c r="AI545">
        <f>IF(ROW($AA545) - $AA$51 &lt; ($H$16+1)^5, IF(AG545 &gt;= BaseBonus!$C$16, AG545*BaseBonus!$E$31, 0), "")</f>
        <v>9.3905358129257959</v>
      </c>
      <c r="AJ545">
        <f t="shared" ca="1" si="92"/>
        <v>0</v>
      </c>
    </row>
    <row r="546" spans="28:36" x14ac:dyDescent="0.3">
      <c r="AB546">
        <f t="shared" si="85"/>
        <v>2</v>
      </c>
      <c r="AC546">
        <f t="shared" si="86"/>
        <v>3</v>
      </c>
      <c r="AD546">
        <f t="shared" si="87"/>
        <v>2</v>
      </c>
      <c r="AE546">
        <f t="shared" si="88"/>
        <v>3</v>
      </c>
      <c r="AF546">
        <f t="shared" si="89"/>
        <v>1</v>
      </c>
      <c r="AG546">
        <f t="shared" si="90"/>
        <v>11</v>
      </c>
      <c r="AH546">
        <f t="shared" ca="1" si="91"/>
        <v>0</v>
      </c>
      <c r="AI546">
        <f>IF(ROW($AA546) - $AA$51 &lt; ($H$16+1)^5, IF(AG546 &gt;= BaseBonus!$C$16, AG546*BaseBonus!$E$31, 0), "")</f>
        <v>10.329589394218376</v>
      </c>
      <c r="AJ546">
        <f t="shared" ca="1" si="92"/>
        <v>0</v>
      </c>
    </row>
    <row r="547" spans="28:36" x14ac:dyDescent="0.3">
      <c r="AB547">
        <f t="shared" si="85"/>
        <v>3</v>
      </c>
      <c r="AC547">
        <f t="shared" si="86"/>
        <v>3</v>
      </c>
      <c r="AD547">
        <f t="shared" si="87"/>
        <v>2</v>
      </c>
      <c r="AE547">
        <f t="shared" si="88"/>
        <v>3</v>
      </c>
      <c r="AF547">
        <f t="shared" si="89"/>
        <v>1</v>
      </c>
      <c r="AG547">
        <f t="shared" si="90"/>
        <v>12</v>
      </c>
      <c r="AH547">
        <f t="shared" ca="1" si="91"/>
        <v>0</v>
      </c>
      <c r="AI547">
        <f>IF(ROW($AA547) - $AA$51 &lt; ($H$16+1)^5, IF(AG547 &gt;= BaseBonus!$C$16, AG547*BaseBonus!$E$31, 0), "")</f>
        <v>11.268642975510955</v>
      </c>
      <c r="AJ547">
        <f t="shared" ca="1" si="92"/>
        <v>0</v>
      </c>
    </row>
    <row r="548" spans="28:36" x14ac:dyDescent="0.3">
      <c r="AB548">
        <f t="shared" si="85"/>
        <v>0</v>
      </c>
      <c r="AC548">
        <f t="shared" si="86"/>
        <v>0</v>
      </c>
      <c r="AD548">
        <f t="shared" si="87"/>
        <v>3</v>
      </c>
      <c r="AE548">
        <f t="shared" si="88"/>
        <v>3</v>
      </c>
      <c r="AF548">
        <f t="shared" si="89"/>
        <v>1</v>
      </c>
      <c r="AG548">
        <f t="shared" si="90"/>
        <v>7</v>
      </c>
      <c r="AH548">
        <f t="shared" ca="1" si="91"/>
        <v>0</v>
      </c>
      <c r="AI548">
        <f>IF(ROW($AA548) - $AA$51 &lt; ($H$16+1)^5, IF(AG548 &gt;= BaseBonus!$C$16, AG548*BaseBonus!$E$31, 0), "")</f>
        <v>6.5733750690480575</v>
      </c>
      <c r="AJ548">
        <f t="shared" ca="1" si="92"/>
        <v>0</v>
      </c>
    </row>
    <row r="549" spans="28:36" x14ac:dyDescent="0.3">
      <c r="AB549">
        <f t="shared" si="85"/>
        <v>1</v>
      </c>
      <c r="AC549">
        <f t="shared" si="86"/>
        <v>0</v>
      </c>
      <c r="AD549">
        <f t="shared" si="87"/>
        <v>3</v>
      </c>
      <c r="AE549">
        <f t="shared" si="88"/>
        <v>3</v>
      </c>
      <c r="AF549">
        <f t="shared" si="89"/>
        <v>1</v>
      </c>
      <c r="AG549">
        <f t="shared" si="90"/>
        <v>8</v>
      </c>
      <c r="AH549">
        <f t="shared" ca="1" si="91"/>
        <v>0</v>
      </c>
      <c r="AI549">
        <f>IF(ROW($AA549) - $AA$51 &lt; ($H$16+1)^5, IF(AG549 &gt;= BaseBonus!$C$16, AG549*BaseBonus!$E$31, 0), "")</f>
        <v>7.5124286503406372</v>
      </c>
      <c r="AJ549">
        <f t="shared" ca="1" si="92"/>
        <v>0</v>
      </c>
    </row>
    <row r="550" spans="28:36" x14ac:dyDescent="0.3">
      <c r="AB550">
        <f t="shared" si="85"/>
        <v>2</v>
      </c>
      <c r="AC550">
        <f t="shared" si="86"/>
        <v>0</v>
      </c>
      <c r="AD550">
        <f t="shared" si="87"/>
        <v>3</v>
      </c>
      <c r="AE550">
        <f t="shared" si="88"/>
        <v>3</v>
      </c>
      <c r="AF550">
        <f t="shared" si="89"/>
        <v>1</v>
      </c>
      <c r="AG550">
        <f t="shared" si="90"/>
        <v>9</v>
      </c>
      <c r="AH550">
        <f t="shared" ca="1" si="91"/>
        <v>0</v>
      </c>
      <c r="AI550">
        <f>IF(ROW($AA550) - $AA$51 &lt; ($H$16+1)^5, IF(AG550 &gt;= BaseBonus!$C$16, AG550*BaseBonus!$E$31, 0), "")</f>
        <v>8.4514822316332161</v>
      </c>
      <c r="AJ550">
        <f t="shared" ca="1" si="92"/>
        <v>0</v>
      </c>
    </row>
    <row r="551" spans="28:36" x14ac:dyDescent="0.3">
      <c r="AB551">
        <f t="shared" si="85"/>
        <v>3</v>
      </c>
      <c r="AC551">
        <f t="shared" si="86"/>
        <v>0</v>
      </c>
      <c r="AD551">
        <f t="shared" si="87"/>
        <v>3</v>
      </c>
      <c r="AE551">
        <f t="shared" si="88"/>
        <v>3</v>
      </c>
      <c r="AF551">
        <f t="shared" si="89"/>
        <v>1</v>
      </c>
      <c r="AG551">
        <f t="shared" si="90"/>
        <v>10</v>
      </c>
      <c r="AH551">
        <f t="shared" ca="1" si="91"/>
        <v>0</v>
      </c>
      <c r="AI551">
        <f>IF(ROW($AA551) - $AA$51 &lt; ($H$16+1)^5, IF(AG551 &gt;= BaseBonus!$C$16, AG551*BaseBonus!$E$31, 0), "")</f>
        <v>9.3905358129257959</v>
      </c>
      <c r="AJ551">
        <f t="shared" ca="1" si="92"/>
        <v>0</v>
      </c>
    </row>
    <row r="552" spans="28:36" x14ac:dyDescent="0.3">
      <c r="AB552">
        <f t="shared" si="85"/>
        <v>0</v>
      </c>
      <c r="AC552">
        <f t="shared" si="86"/>
        <v>1</v>
      </c>
      <c r="AD552">
        <f t="shared" si="87"/>
        <v>3</v>
      </c>
      <c r="AE552">
        <f t="shared" si="88"/>
        <v>3</v>
      </c>
      <c r="AF552">
        <f t="shared" si="89"/>
        <v>1</v>
      </c>
      <c r="AG552">
        <f t="shared" si="90"/>
        <v>8</v>
      </c>
      <c r="AH552">
        <f t="shared" ca="1" si="91"/>
        <v>0</v>
      </c>
      <c r="AI552">
        <f>IF(ROW($AA552) - $AA$51 &lt; ($H$16+1)^5, IF(AG552 &gt;= BaseBonus!$C$16, AG552*BaseBonus!$E$31, 0), "")</f>
        <v>7.5124286503406372</v>
      </c>
      <c r="AJ552">
        <f t="shared" ca="1" si="92"/>
        <v>0</v>
      </c>
    </row>
    <row r="553" spans="28:36" x14ac:dyDescent="0.3">
      <c r="AB553">
        <f t="shared" si="85"/>
        <v>1</v>
      </c>
      <c r="AC553">
        <f t="shared" si="86"/>
        <v>1</v>
      </c>
      <c r="AD553">
        <f t="shared" si="87"/>
        <v>3</v>
      </c>
      <c r="AE553">
        <f t="shared" si="88"/>
        <v>3</v>
      </c>
      <c r="AF553">
        <f t="shared" si="89"/>
        <v>1</v>
      </c>
      <c r="AG553">
        <f t="shared" si="90"/>
        <v>9</v>
      </c>
      <c r="AH553">
        <f t="shared" ca="1" si="91"/>
        <v>0</v>
      </c>
      <c r="AI553">
        <f>IF(ROW($AA553) - $AA$51 &lt; ($H$16+1)^5, IF(AG553 &gt;= BaseBonus!$C$16, AG553*BaseBonus!$E$31, 0), "")</f>
        <v>8.4514822316332161</v>
      </c>
      <c r="AJ553">
        <f t="shared" ca="1" si="92"/>
        <v>0</v>
      </c>
    </row>
    <row r="554" spans="28:36" x14ac:dyDescent="0.3">
      <c r="AB554">
        <f t="shared" si="85"/>
        <v>2</v>
      </c>
      <c r="AC554">
        <f t="shared" si="86"/>
        <v>1</v>
      </c>
      <c r="AD554">
        <f t="shared" si="87"/>
        <v>3</v>
      </c>
      <c r="AE554">
        <f t="shared" si="88"/>
        <v>3</v>
      </c>
      <c r="AF554">
        <f t="shared" si="89"/>
        <v>1</v>
      </c>
      <c r="AG554">
        <f t="shared" si="90"/>
        <v>10</v>
      </c>
      <c r="AH554">
        <f t="shared" ca="1" si="91"/>
        <v>0</v>
      </c>
      <c r="AI554">
        <f>IF(ROW($AA554) - $AA$51 &lt; ($H$16+1)^5, IF(AG554 &gt;= BaseBonus!$C$16, AG554*BaseBonus!$E$31, 0), "")</f>
        <v>9.3905358129257959</v>
      </c>
      <c r="AJ554">
        <f t="shared" ca="1" si="92"/>
        <v>0</v>
      </c>
    </row>
    <row r="555" spans="28:36" x14ac:dyDescent="0.3">
      <c r="AB555">
        <f t="shared" si="85"/>
        <v>3</v>
      </c>
      <c r="AC555">
        <f t="shared" si="86"/>
        <v>1</v>
      </c>
      <c r="AD555">
        <f t="shared" si="87"/>
        <v>3</v>
      </c>
      <c r="AE555">
        <f t="shared" si="88"/>
        <v>3</v>
      </c>
      <c r="AF555">
        <f t="shared" si="89"/>
        <v>1</v>
      </c>
      <c r="AG555">
        <f t="shared" si="90"/>
        <v>11</v>
      </c>
      <c r="AH555">
        <f t="shared" ca="1" si="91"/>
        <v>0</v>
      </c>
      <c r="AI555">
        <f>IF(ROW($AA555) - $AA$51 &lt; ($H$16+1)^5, IF(AG555 &gt;= BaseBonus!$C$16, AG555*BaseBonus!$E$31, 0), "")</f>
        <v>10.329589394218376</v>
      </c>
      <c r="AJ555">
        <f t="shared" ca="1" si="92"/>
        <v>0</v>
      </c>
    </row>
    <row r="556" spans="28:36" x14ac:dyDescent="0.3">
      <c r="AB556">
        <f t="shared" si="85"/>
        <v>0</v>
      </c>
      <c r="AC556">
        <f t="shared" si="86"/>
        <v>2</v>
      </c>
      <c r="AD556">
        <f t="shared" si="87"/>
        <v>3</v>
      </c>
      <c r="AE556">
        <f t="shared" si="88"/>
        <v>3</v>
      </c>
      <c r="AF556">
        <f t="shared" si="89"/>
        <v>1</v>
      </c>
      <c r="AG556">
        <f t="shared" si="90"/>
        <v>9</v>
      </c>
      <c r="AH556">
        <f t="shared" ca="1" si="91"/>
        <v>0</v>
      </c>
      <c r="AI556">
        <f>IF(ROW($AA556) - $AA$51 &lt; ($H$16+1)^5, IF(AG556 &gt;= BaseBonus!$C$16, AG556*BaseBonus!$E$31, 0), "")</f>
        <v>8.4514822316332161</v>
      </c>
      <c r="AJ556">
        <f t="shared" ca="1" si="92"/>
        <v>0</v>
      </c>
    </row>
    <row r="557" spans="28:36" x14ac:dyDescent="0.3">
      <c r="AB557">
        <f t="shared" si="85"/>
        <v>1</v>
      </c>
      <c r="AC557">
        <f t="shared" si="86"/>
        <v>2</v>
      </c>
      <c r="AD557">
        <f t="shared" si="87"/>
        <v>3</v>
      </c>
      <c r="AE557">
        <f t="shared" si="88"/>
        <v>3</v>
      </c>
      <c r="AF557">
        <f t="shared" si="89"/>
        <v>1</v>
      </c>
      <c r="AG557">
        <f t="shared" si="90"/>
        <v>10</v>
      </c>
      <c r="AH557">
        <f t="shared" ca="1" si="91"/>
        <v>0</v>
      </c>
      <c r="AI557">
        <f>IF(ROW($AA557) - $AA$51 &lt; ($H$16+1)^5, IF(AG557 &gt;= BaseBonus!$C$16, AG557*BaseBonus!$E$31, 0), "")</f>
        <v>9.3905358129257959</v>
      </c>
      <c r="AJ557">
        <f t="shared" ca="1" si="92"/>
        <v>0</v>
      </c>
    </row>
    <row r="558" spans="28:36" x14ac:dyDescent="0.3">
      <c r="AB558">
        <f t="shared" si="85"/>
        <v>2</v>
      </c>
      <c r="AC558">
        <f t="shared" si="86"/>
        <v>2</v>
      </c>
      <c r="AD558">
        <f t="shared" si="87"/>
        <v>3</v>
      </c>
      <c r="AE558">
        <f t="shared" si="88"/>
        <v>3</v>
      </c>
      <c r="AF558">
        <f t="shared" si="89"/>
        <v>1</v>
      </c>
      <c r="AG558">
        <f t="shared" si="90"/>
        <v>11</v>
      </c>
      <c r="AH558">
        <f t="shared" ca="1" si="91"/>
        <v>0</v>
      </c>
      <c r="AI558">
        <f>IF(ROW($AA558) - $AA$51 &lt; ($H$16+1)^5, IF(AG558 &gt;= BaseBonus!$C$16, AG558*BaseBonus!$E$31, 0), "")</f>
        <v>10.329589394218376</v>
      </c>
      <c r="AJ558">
        <f t="shared" ca="1" si="92"/>
        <v>0</v>
      </c>
    </row>
    <row r="559" spans="28:36" x14ac:dyDescent="0.3">
      <c r="AB559">
        <f t="shared" si="85"/>
        <v>3</v>
      </c>
      <c r="AC559">
        <f t="shared" si="86"/>
        <v>2</v>
      </c>
      <c r="AD559">
        <f t="shared" si="87"/>
        <v>3</v>
      </c>
      <c r="AE559">
        <f t="shared" si="88"/>
        <v>3</v>
      </c>
      <c r="AF559">
        <f t="shared" si="89"/>
        <v>1</v>
      </c>
      <c r="AG559">
        <f t="shared" si="90"/>
        <v>12</v>
      </c>
      <c r="AH559">
        <f t="shared" ca="1" si="91"/>
        <v>0</v>
      </c>
      <c r="AI559">
        <f>IF(ROW($AA559) - $AA$51 &lt; ($H$16+1)^5, IF(AG559 &gt;= BaseBonus!$C$16, AG559*BaseBonus!$E$31, 0), "")</f>
        <v>11.268642975510955</v>
      </c>
      <c r="AJ559">
        <f t="shared" ca="1" si="92"/>
        <v>0</v>
      </c>
    </row>
    <row r="560" spans="28:36" x14ac:dyDescent="0.3">
      <c r="AB560">
        <f t="shared" si="85"/>
        <v>0</v>
      </c>
      <c r="AC560">
        <f t="shared" si="86"/>
        <v>3</v>
      </c>
      <c r="AD560">
        <f t="shared" si="87"/>
        <v>3</v>
      </c>
      <c r="AE560">
        <f t="shared" si="88"/>
        <v>3</v>
      </c>
      <c r="AF560">
        <f t="shared" si="89"/>
        <v>1</v>
      </c>
      <c r="AG560">
        <f t="shared" si="90"/>
        <v>10</v>
      </c>
      <c r="AH560">
        <f t="shared" ca="1" si="91"/>
        <v>0</v>
      </c>
      <c r="AI560">
        <f>IF(ROW($AA560) - $AA$51 &lt; ($H$16+1)^5, IF(AG560 &gt;= BaseBonus!$C$16, AG560*BaseBonus!$E$31, 0), "")</f>
        <v>9.3905358129257959</v>
      </c>
      <c r="AJ560">
        <f t="shared" ca="1" si="92"/>
        <v>0</v>
      </c>
    </row>
    <row r="561" spans="28:36" x14ac:dyDescent="0.3">
      <c r="AB561">
        <f t="shared" si="85"/>
        <v>1</v>
      </c>
      <c r="AC561">
        <f t="shared" si="86"/>
        <v>3</v>
      </c>
      <c r="AD561">
        <f t="shared" si="87"/>
        <v>3</v>
      </c>
      <c r="AE561">
        <f t="shared" si="88"/>
        <v>3</v>
      </c>
      <c r="AF561">
        <f t="shared" si="89"/>
        <v>1</v>
      </c>
      <c r="AG561">
        <f t="shared" si="90"/>
        <v>11</v>
      </c>
      <c r="AH561">
        <f t="shared" ca="1" si="91"/>
        <v>0</v>
      </c>
      <c r="AI561">
        <f>IF(ROW($AA561) - $AA$51 &lt; ($H$16+1)^5, IF(AG561 &gt;= BaseBonus!$C$16, AG561*BaseBonus!$E$31, 0), "")</f>
        <v>10.329589394218376</v>
      </c>
      <c r="AJ561">
        <f t="shared" ca="1" si="92"/>
        <v>0</v>
      </c>
    </row>
    <row r="562" spans="28:36" x14ac:dyDescent="0.3">
      <c r="AB562">
        <f t="shared" si="85"/>
        <v>2</v>
      </c>
      <c r="AC562">
        <f t="shared" si="86"/>
        <v>3</v>
      </c>
      <c r="AD562">
        <f t="shared" si="87"/>
        <v>3</v>
      </c>
      <c r="AE562">
        <f t="shared" si="88"/>
        <v>3</v>
      </c>
      <c r="AF562">
        <f t="shared" si="89"/>
        <v>1</v>
      </c>
      <c r="AG562">
        <f t="shared" si="90"/>
        <v>12</v>
      </c>
      <c r="AH562">
        <f t="shared" ca="1" si="91"/>
        <v>0</v>
      </c>
      <c r="AI562">
        <f>IF(ROW($AA562) - $AA$51 &lt; ($H$16+1)^5, IF(AG562 &gt;= BaseBonus!$C$16, AG562*BaseBonus!$E$31, 0), "")</f>
        <v>11.268642975510955</v>
      </c>
      <c r="AJ562">
        <f t="shared" ca="1" si="92"/>
        <v>0</v>
      </c>
    </row>
    <row r="563" spans="28:36" x14ac:dyDescent="0.3">
      <c r="AB563">
        <f t="shared" si="85"/>
        <v>3</v>
      </c>
      <c r="AC563">
        <f t="shared" si="86"/>
        <v>3</v>
      </c>
      <c r="AD563">
        <f t="shared" si="87"/>
        <v>3</v>
      </c>
      <c r="AE563">
        <f t="shared" si="88"/>
        <v>3</v>
      </c>
      <c r="AF563">
        <f t="shared" si="89"/>
        <v>1</v>
      </c>
      <c r="AG563">
        <f t="shared" si="90"/>
        <v>13</v>
      </c>
      <c r="AH563">
        <f t="shared" ca="1" si="91"/>
        <v>0</v>
      </c>
      <c r="AI563">
        <f>IF(ROW($AA563) - $AA$51 &lt; ($H$16+1)^5, IF(AG563 &gt;= BaseBonus!$C$16, AG563*BaseBonus!$E$31, 0), "")</f>
        <v>12.207696556803535</v>
      </c>
      <c r="AJ563">
        <f t="shared" ca="1" si="92"/>
        <v>0</v>
      </c>
    </row>
    <row r="564" spans="28:36" x14ac:dyDescent="0.3">
      <c r="AB564">
        <f t="shared" ref="AB564:AB627" si="93">IF(ROW()-$AA$51 &lt; (H$16+1)^5, MOD(_xlfn.FLOOR.MATH((ROW()-$AA$51)/AB$50), H$16+1), "")</f>
        <v>0</v>
      </c>
      <c r="AC564">
        <f t="shared" ref="AC564:AC627" si="94">IF(ROW()-$AA$51 &lt; (I$16+1)^5, MOD(_xlfn.FLOOR.MATH((ROW()-$AA$51)/AC$50), I$16+1), "")</f>
        <v>0</v>
      </c>
      <c r="AD564">
        <f t="shared" ref="AD564:AD627" si="95">IF(ROW()-$AA$51 &lt; (J$16+1)^5, MOD(_xlfn.FLOOR.MATH((ROW()-$AA$51)/AD$50), J$16+1), "")</f>
        <v>0</v>
      </c>
      <c r="AE564">
        <f t="shared" ref="AE564:AE627" si="96">IF(ROW()-$AA$51 &lt; (K$16+1)^5, MOD(_xlfn.FLOOR.MATH((ROW()-$AA$51)/AE$50), K$16+1), "")</f>
        <v>0</v>
      </c>
      <c r="AF564">
        <f t="shared" ref="AF564:AF627" si="97">IF(ROW()-$AA$51 &lt; (L$16+1)^5, MOD(_xlfn.FLOOR.MATH((ROW()-$AA$51)/AF$50), L$16+1), "")</f>
        <v>2</v>
      </c>
      <c r="AG564">
        <f t="shared" ref="AG564:AG627" si="98">IF(ROW($AA564) - $AA$51 &lt; ($H$16+1)^5, SUM(AB564:AF564), "")</f>
        <v>2</v>
      </c>
      <c r="AH564">
        <f t="shared" ref="AH564:AH627" ca="1" si="99">IF(ROW($AA564) - $AA$51 &lt; (4)^5,
    (_xlfn.XLOOKUP(AB564,$T$51:$T$55,U$51:U$55,0)/U$27) * (_xlfn.XLOOKUP(AC564,$T$51:$T$55,V$51:V$55,0)/V$27) * (_xlfn.XLOOKUP(AD564,$T$51:$T$55,W$51:W$55,0)/W$27) * (_xlfn.XLOOKUP(AE564,$T$51:$T$55,X$51:X$55,0)/X$27) * (_xlfn.XLOOKUP(AF564,$T$51:$T$55,Y$51:Y$55,0)/Y$27),
"")</f>
        <v>2.6384305569807941E-2</v>
      </c>
      <c r="AI564">
        <f>IF(ROW($AA564) - $AA$51 &lt; ($H$16+1)^5, IF(AG564 &gt;= BaseBonus!$C$16, AG564*BaseBonus!$E$31, 0), "")</f>
        <v>0</v>
      </c>
      <c r="AJ564">
        <f t="shared" ref="AJ564:AJ627" ca="1" si="100">IF(ROW($AA564) - $AA$51 &lt; ($H$16+1)^5, AH564*AI564, "")</f>
        <v>0</v>
      </c>
    </row>
    <row r="565" spans="28:36" x14ac:dyDescent="0.3">
      <c r="AB565">
        <f t="shared" si="93"/>
        <v>1</v>
      </c>
      <c r="AC565">
        <f t="shared" si="94"/>
        <v>0</v>
      </c>
      <c r="AD565">
        <f t="shared" si="95"/>
        <v>0</v>
      </c>
      <c r="AE565">
        <f t="shared" si="96"/>
        <v>0</v>
      </c>
      <c r="AF565">
        <f t="shared" si="97"/>
        <v>2</v>
      </c>
      <c r="AG565">
        <f t="shared" si="98"/>
        <v>3</v>
      </c>
      <c r="AH565">
        <f t="shared" ca="1" si="99"/>
        <v>4.9470572943389884E-3</v>
      </c>
      <c r="AI565">
        <f>IF(ROW($AA565) - $AA$51 &lt; ($H$16+1)^5, IF(AG565 &gt;= BaseBonus!$C$16, AG565*BaseBonus!$E$31, 0), "")</f>
        <v>0</v>
      </c>
      <c r="AJ565">
        <f t="shared" ca="1" si="100"/>
        <v>0</v>
      </c>
    </row>
    <row r="566" spans="28:36" x14ac:dyDescent="0.3">
      <c r="AB566">
        <f t="shared" si="93"/>
        <v>2</v>
      </c>
      <c r="AC566">
        <f t="shared" si="94"/>
        <v>0</v>
      </c>
      <c r="AD566">
        <f t="shared" si="95"/>
        <v>0</v>
      </c>
      <c r="AE566">
        <f t="shared" si="96"/>
        <v>0</v>
      </c>
      <c r="AF566">
        <f t="shared" si="97"/>
        <v>2</v>
      </c>
      <c r="AG566">
        <f t="shared" si="98"/>
        <v>4</v>
      </c>
      <c r="AH566">
        <f t="shared" ca="1" si="99"/>
        <v>2.4735286471694942E-3</v>
      </c>
      <c r="AI566">
        <f>IF(ROW($AA566) - $AA$51 &lt; ($H$16+1)^5, IF(AG566 &gt;= BaseBonus!$C$16, AG566*BaseBonus!$E$31, 0), "")</f>
        <v>0</v>
      </c>
      <c r="AJ566">
        <f t="shared" ca="1" si="100"/>
        <v>0</v>
      </c>
    </row>
    <row r="567" spans="28:36" x14ac:dyDescent="0.3">
      <c r="AB567">
        <f t="shared" si="93"/>
        <v>3</v>
      </c>
      <c r="AC567">
        <f t="shared" si="94"/>
        <v>0</v>
      </c>
      <c r="AD567">
        <f t="shared" si="95"/>
        <v>0</v>
      </c>
      <c r="AE567">
        <f t="shared" si="96"/>
        <v>0</v>
      </c>
      <c r="AF567">
        <f t="shared" si="97"/>
        <v>2</v>
      </c>
      <c r="AG567">
        <f t="shared" si="98"/>
        <v>5</v>
      </c>
      <c r="AH567">
        <f t="shared" ca="1" si="99"/>
        <v>0</v>
      </c>
      <c r="AI567">
        <f>IF(ROW($AA567) - $AA$51 &lt; ($H$16+1)^5, IF(AG567 &gt;= BaseBonus!$C$16, AG567*BaseBonus!$E$31, 0), "")</f>
        <v>4.6952679064628979</v>
      </c>
      <c r="AJ567">
        <f t="shared" ca="1" si="100"/>
        <v>0</v>
      </c>
    </row>
    <row r="568" spans="28:36" x14ac:dyDescent="0.3">
      <c r="AB568">
        <f t="shared" si="93"/>
        <v>0</v>
      </c>
      <c r="AC568">
        <f t="shared" si="94"/>
        <v>1</v>
      </c>
      <c r="AD568">
        <f t="shared" si="95"/>
        <v>0</v>
      </c>
      <c r="AE568">
        <f t="shared" si="96"/>
        <v>0</v>
      </c>
      <c r="AF568">
        <f t="shared" si="97"/>
        <v>2</v>
      </c>
      <c r="AG568">
        <f t="shared" si="98"/>
        <v>3</v>
      </c>
      <c r="AH568">
        <f t="shared" ca="1" si="99"/>
        <v>8.0494491568905598E-3</v>
      </c>
      <c r="AI568">
        <f>IF(ROW($AA568) - $AA$51 &lt; ($H$16+1)^5, IF(AG568 &gt;= BaseBonus!$C$16, AG568*BaseBonus!$E$31, 0), "")</f>
        <v>0</v>
      </c>
      <c r="AJ568">
        <f t="shared" ca="1" si="100"/>
        <v>0</v>
      </c>
    </row>
    <row r="569" spans="28:36" x14ac:dyDescent="0.3">
      <c r="AB569">
        <f t="shared" si="93"/>
        <v>1</v>
      </c>
      <c r="AC569">
        <f t="shared" si="94"/>
        <v>1</v>
      </c>
      <c r="AD569">
        <f t="shared" si="95"/>
        <v>0</v>
      </c>
      <c r="AE569">
        <f t="shared" si="96"/>
        <v>0</v>
      </c>
      <c r="AF569">
        <f t="shared" si="97"/>
        <v>2</v>
      </c>
      <c r="AG569">
        <f t="shared" si="98"/>
        <v>4</v>
      </c>
      <c r="AH569">
        <f t="shared" ca="1" si="99"/>
        <v>1.50927171691698E-3</v>
      </c>
      <c r="AI569">
        <f>IF(ROW($AA569) - $AA$51 &lt; ($H$16+1)^5, IF(AG569 &gt;= BaseBonus!$C$16, AG569*BaseBonus!$E$31, 0), "")</f>
        <v>0</v>
      </c>
      <c r="AJ569">
        <f t="shared" ca="1" si="100"/>
        <v>0</v>
      </c>
    </row>
    <row r="570" spans="28:36" x14ac:dyDescent="0.3">
      <c r="AB570">
        <f t="shared" si="93"/>
        <v>2</v>
      </c>
      <c r="AC570">
        <f t="shared" si="94"/>
        <v>1</v>
      </c>
      <c r="AD570">
        <f t="shared" si="95"/>
        <v>0</v>
      </c>
      <c r="AE570">
        <f t="shared" si="96"/>
        <v>0</v>
      </c>
      <c r="AF570">
        <f t="shared" si="97"/>
        <v>2</v>
      </c>
      <c r="AG570">
        <f t="shared" si="98"/>
        <v>5</v>
      </c>
      <c r="AH570">
        <f t="shared" ca="1" si="99"/>
        <v>7.5463585845848998E-4</v>
      </c>
      <c r="AI570">
        <f>IF(ROW($AA570) - $AA$51 &lt; ($H$16+1)^5, IF(AG570 &gt;= BaseBonus!$C$16, AG570*BaseBonus!$E$31, 0), "")</f>
        <v>4.6952679064628979</v>
      </c>
      <c r="AJ570">
        <f t="shared" ca="1" si="100"/>
        <v>3.5432175272862259E-3</v>
      </c>
    </row>
    <row r="571" spans="28:36" x14ac:dyDescent="0.3">
      <c r="AB571">
        <f t="shared" si="93"/>
        <v>3</v>
      </c>
      <c r="AC571">
        <f t="shared" si="94"/>
        <v>1</v>
      </c>
      <c r="AD571">
        <f t="shared" si="95"/>
        <v>0</v>
      </c>
      <c r="AE571">
        <f t="shared" si="96"/>
        <v>0</v>
      </c>
      <c r="AF571">
        <f t="shared" si="97"/>
        <v>2</v>
      </c>
      <c r="AG571">
        <f t="shared" si="98"/>
        <v>6</v>
      </c>
      <c r="AH571">
        <f t="shared" ca="1" si="99"/>
        <v>0</v>
      </c>
      <c r="AI571">
        <f>IF(ROW($AA571) - $AA$51 &lt; ($H$16+1)^5, IF(AG571 &gt;= BaseBonus!$C$16, AG571*BaseBonus!$E$31, 0), "")</f>
        <v>5.6343214877554777</v>
      </c>
      <c r="AJ571">
        <f t="shared" ca="1" si="100"/>
        <v>0</v>
      </c>
    </row>
    <row r="572" spans="28:36" x14ac:dyDescent="0.3">
      <c r="AB572">
        <f t="shared" si="93"/>
        <v>0</v>
      </c>
      <c r="AC572">
        <f t="shared" si="94"/>
        <v>2</v>
      </c>
      <c r="AD572">
        <f t="shared" si="95"/>
        <v>0</v>
      </c>
      <c r="AE572">
        <f t="shared" si="96"/>
        <v>0</v>
      </c>
      <c r="AF572">
        <f t="shared" si="97"/>
        <v>2</v>
      </c>
      <c r="AG572">
        <f t="shared" si="98"/>
        <v>4</v>
      </c>
      <c r="AH572">
        <f t="shared" ca="1" si="99"/>
        <v>1.34157485948176E-3</v>
      </c>
      <c r="AI572">
        <f>IF(ROW($AA572) - $AA$51 &lt; ($H$16+1)^5, IF(AG572 &gt;= BaseBonus!$C$16, AG572*BaseBonus!$E$31, 0), "")</f>
        <v>0</v>
      </c>
      <c r="AJ572">
        <f t="shared" ca="1" si="100"/>
        <v>0</v>
      </c>
    </row>
    <row r="573" spans="28:36" x14ac:dyDescent="0.3">
      <c r="AB573">
        <f t="shared" si="93"/>
        <v>1</v>
      </c>
      <c r="AC573">
        <f t="shared" si="94"/>
        <v>2</v>
      </c>
      <c r="AD573">
        <f t="shared" si="95"/>
        <v>0</v>
      </c>
      <c r="AE573">
        <f t="shared" si="96"/>
        <v>0</v>
      </c>
      <c r="AF573">
        <f t="shared" si="97"/>
        <v>2</v>
      </c>
      <c r="AG573">
        <f t="shared" si="98"/>
        <v>5</v>
      </c>
      <c r="AH573">
        <f t="shared" ca="1" si="99"/>
        <v>2.5154528615282994E-4</v>
      </c>
      <c r="AI573">
        <f>IF(ROW($AA573) - $AA$51 &lt; ($H$16+1)^5, IF(AG573 &gt;= BaseBonus!$C$16, AG573*BaseBonus!$E$31, 0), "")</f>
        <v>4.6952679064628979</v>
      </c>
      <c r="AJ573">
        <f t="shared" ca="1" si="100"/>
        <v>1.1810725090954084E-3</v>
      </c>
    </row>
    <row r="574" spans="28:36" x14ac:dyDescent="0.3">
      <c r="AB574">
        <f t="shared" si="93"/>
        <v>2</v>
      </c>
      <c r="AC574">
        <f t="shared" si="94"/>
        <v>2</v>
      </c>
      <c r="AD574">
        <f t="shared" si="95"/>
        <v>0</v>
      </c>
      <c r="AE574">
        <f t="shared" si="96"/>
        <v>0</v>
      </c>
      <c r="AF574">
        <f t="shared" si="97"/>
        <v>2</v>
      </c>
      <c r="AG574">
        <f t="shared" si="98"/>
        <v>6</v>
      </c>
      <c r="AH574">
        <f t="shared" ca="1" si="99"/>
        <v>1.2577264307641497E-4</v>
      </c>
      <c r="AI574">
        <f>IF(ROW($AA574) - $AA$51 &lt; ($H$16+1)^5, IF(AG574 &gt;= BaseBonus!$C$16, AG574*BaseBonus!$E$31, 0), "")</f>
        <v>5.6343214877554777</v>
      </c>
      <c r="AJ574">
        <f t="shared" ca="1" si="100"/>
        <v>7.0864350545724508E-4</v>
      </c>
    </row>
    <row r="575" spans="28:36" x14ac:dyDescent="0.3">
      <c r="AB575">
        <f t="shared" si="93"/>
        <v>3</v>
      </c>
      <c r="AC575">
        <f t="shared" si="94"/>
        <v>2</v>
      </c>
      <c r="AD575">
        <f t="shared" si="95"/>
        <v>0</v>
      </c>
      <c r="AE575">
        <f t="shared" si="96"/>
        <v>0</v>
      </c>
      <c r="AF575">
        <f t="shared" si="97"/>
        <v>2</v>
      </c>
      <c r="AG575">
        <f t="shared" si="98"/>
        <v>7</v>
      </c>
      <c r="AH575">
        <f t="shared" ca="1" si="99"/>
        <v>0</v>
      </c>
      <c r="AI575">
        <f>IF(ROW($AA575) - $AA$51 &lt; ($H$16+1)^5, IF(AG575 &gt;= BaseBonus!$C$16, AG575*BaseBonus!$E$31, 0), "")</f>
        <v>6.5733750690480575</v>
      </c>
      <c r="AJ575">
        <f t="shared" ca="1" si="100"/>
        <v>0</v>
      </c>
    </row>
    <row r="576" spans="28:36" x14ac:dyDescent="0.3">
      <c r="AB576">
        <f t="shared" si="93"/>
        <v>0</v>
      </c>
      <c r="AC576">
        <f t="shared" si="94"/>
        <v>3</v>
      </c>
      <c r="AD576">
        <f t="shared" si="95"/>
        <v>0</v>
      </c>
      <c r="AE576">
        <f t="shared" si="96"/>
        <v>0</v>
      </c>
      <c r="AF576">
        <f t="shared" si="97"/>
        <v>2</v>
      </c>
      <c r="AG576">
        <f t="shared" si="98"/>
        <v>5</v>
      </c>
      <c r="AH576">
        <f t="shared" ca="1" si="99"/>
        <v>0</v>
      </c>
      <c r="AI576">
        <f>IF(ROW($AA576) - $AA$51 &lt; ($H$16+1)^5, IF(AG576 &gt;= BaseBonus!$C$16, AG576*BaseBonus!$E$31, 0), "")</f>
        <v>4.6952679064628979</v>
      </c>
      <c r="AJ576">
        <f t="shared" ca="1" si="100"/>
        <v>0</v>
      </c>
    </row>
    <row r="577" spans="28:36" x14ac:dyDescent="0.3">
      <c r="AB577">
        <f t="shared" si="93"/>
        <v>1</v>
      </c>
      <c r="AC577">
        <f t="shared" si="94"/>
        <v>3</v>
      </c>
      <c r="AD577">
        <f t="shared" si="95"/>
        <v>0</v>
      </c>
      <c r="AE577">
        <f t="shared" si="96"/>
        <v>0</v>
      </c>
      <c r="AF577">
        <f t="shared" si="97"/>
        <v>2</v>
      </c>
      <c r="AG577">
        <f t="shared" si="98"/>
        <v>6</v>
      </c>
      <c r="AH577">
        <f t="shared" ca="1" si="99"/>
        <v>0</v>
      </c>
      <c r="AI577">
        <f>IF(ROW($AA577) - $AA$51 &lt; ($H$16+1)^5, IF(AG577 &gt;= BaseBonus!$C$16, AG577*BaseBonus!$E$31, 0), "")</f>
        <v>5.6343214877554777</v>
      </c>
      <c r="AJ577">
        <f t="shared" ca="1" si="100"/>
        <v>0</v>
      </c>
    </row>
    <row r="578" spans="28:36" x14ac:dyDescent="0.3">
      <c r="AB578">
        <f t="shared" si="93"/>
        <v>2</v>
      </c>
      <c r="AC578">
        <f t="shared" si="94"/>
        <v>3</v>
      </c>
      <c r="AD578">
        <f t="shared" si="95"/>
        <v>0</v>
      </c>
      <c r="AE578">
        <f t="shared" si="96"/>
        <v>0</v>
      </c>
      <c r="AF578">
        <f t="shared" si="97"/>
        <v>2</v>
      </c>
      <c r="AG578">
        <f t="shared" si="98"/>
        <v>7</v>
      </c>
      <c r="AH578">
        <f t="shared" ca="1" si="99"/>
        <v>0</v>
      </c>
      <c r="AI578">
        <f>IF(ROW($AA578) - $AA$51 &lt; ($H$16+1)^5, IF(AG578 &gt;= BaseBonus!$C$16, AG578*BaseBonus!$E$31, 0), "")</f>
        <v>6.5733750690480575</v>
      </c>
      <c r="AJ578">
        <f t="shared" ca="1" si="100"/>
        <v>0</v>
      </c>
    </row>
    <row r="579" spans="28:36" x14ac:dyDescent="0.3">
      <c r="AB579">
        <f t="shared" si="93"/>
        <v>3</v>
      </c>
      <c r="AC579">
        <f t="shared" si="94"/>
        <v>3</v>
      </c>
      <c r="AD579">
        <f t="shared" si="95"/>
        <v>0</v>
      </c>
      <c r="AE579">
        <f t="shared" si="96"/>
        <v>0</v>
      </c>
      <c r="AF579">
        <f t="shared" si="97"/>
        <v>2</v>
      </c>
      <c r="AG579">
        <f t="shared" si="98"/>
        <v>8</v>
      </c>
      <c r="AH579">
        <f t="shared" ca="1" si="99"/>
        <v>0</v>
      </c>
      <c r="AI579">
        <f>IF(ROW($AA579) - $AA$51 &lt; ($H$16+1)^5, IF(AG579 &gt;= BaseBonus!$C$16, AG579*BaseBonus!$E$31, 0), "")</f>
        <v>7.5124286503406372</v>
      </c>
      <c r="AJ579">
        <f t="shared" ca="1" si="100"/>
        <v>0</v>
      </c>
    </row>
    <row r="580" spans="28:36" x14ac:dyDescent="0.3">
      <c r="AB580">
        <f t="shared" si="93"/>
        <v>0</v>
      </c>
      <c r="AC580">
        <f t="shared" si="94"/>
        <v>0</v>
      </c>
      <c r="AD580">
        <f t="shared" si="95"/>
        <v>1</v>
      </c>
      <c r="AE580">
        <f t="shared" si="96"/>
        <v>0</v>
      </c>
      <c r="AF580">
        <f t="shared" si="97"/>
        <v>2</v>
      </c>
      <c r="AG580">
        <f t="shared" si="98"/>
        <v>3</v>
      </c>
      <c r="AH580">
        <f t="shared" ca="1" si="99"/>
        <v>6.0554143930706752E-3</v>
      </c>
      <c r="AI580">
        <f>IF(ROW($AA580) - $AA$51 &lt; ($H$16+1)^5, IF(AG580 &gt;= BaseBonus!$C$16, AG580*BaseBonus!$E$31, 0), "")</f>
        <v>0</v>
      </c>
      <c r="AJ580">
        <f t="shared" ca="1" si="100"/>
        <v>0</v>
      </c>
    </row>
    <row r="581" spans="28:36" x14ac:dyDescent="0.3">
      <c r="AB581">
        <f t="shared" si="93"/>
        <v>1</v>
      </c>
      <c r="AC581">
        <f t="shared" si="94"/>
        <v>0</v>
      </c>
      <c r="AD581">
        <f t="shared" si="95"/>
        <v>1</v>
      </c>
      <c r="AE581">
        <f t="shared" si="96"/>
        <v>0</v>
      </c>
      <c r="AF581">
        <f t="shared" si="97"/>
        <v>2</v>
      </c>
      <c r="AG581">
        <f t="shared" si="98"/>
        <v>4</v>
      </c>
      <c r="AH581">
        <f t="shared" ca="1" si="99"/>
        <v>1.1353901987007516E-3</v>
      </c>
      <c r="AI581">
        <f>IF(ROW($AA581) - $AA$51 &lt; ($H$16+1)^5, IF(AG581 &gt;= BaseBonus!$C$16, AG581*BaseBonus!$E$31, 0), "")</f>
        <v>0</v>
      </c>
      <c r="AJ581">
        <f t="shared" ca="1" si="100"/>
        <v>0</v>
      </c>
    </row>
    <row r="582" spans="28:36" x14ac:dyDescent="0.3">
      <c r="AB582">
        <f t="shared" si="93"/>
        <v>2</v>
      </c>
      <c r="AC582">
        <f t="shared" si="94"/>
        <v>0</v>
      </c>
      <c r="AD582">
        <f t="shared" si="95"/>
        <v>1</v>
      </c>
      <c r="AE582">
        <f t="shared" si="96"/>
        <v>0</v>
      </c>
      <c r="AF582">
        <f t="shared" si="97"/>
        <v>2</v>
      </c>
      <c r="AG582">
        <f t="shared" si="98"/>
        <v>5</v>
      </c>
      <c r="AH582">
        <f t="shared" ca="1" si="99"/>
        <v>5.676950993503758E-4</v>
      </c>
      <c r="AI582">
        <f>IF(ROW($AA582) - $AA$51 &lt; ($H$16+1)^5, IF(AG582 &gt;= BaseBonus!$C$16, AG582*BaseBonus!$E$31, 0), "")</f>
        <v>4.6952679064628979</v>
      </c>
      <c r="AJ582">
        <f t="shared" ca="1" si="100"/>
        <v>2.6654805806360857E-3</v>
      </c>
    </row>
    <row r="583" spans="28:36" x14ac:dyDescent="0.3">
      <c r="AB583">
        <f t="shared" si="93"/>
        <v>3</v>
      </c>
      <c r="AC583">
        <f t="shared" si="94"/>
        <v>0</v>
      </c>
      <c r="AD583">
        <f t="shared" si="95"/>
        <v>1</v>
      </c>
      <c r="AE583">
        <f t="shared" si="96"/>
        <v>0</v>
      </c>
      <c r="AF583">
        <f t="shared" si="97"/>
        <v>2</v>
      </c>
      <c r="AG583">
        <f t="shared" si="98"/>
        <v>6</v>
      </c>
      <c r="AH583">
        <f t="shared" ca="1" si="99"/>
        <v>0</v>
      </c>
      <c r="AI583">
        <f>IF(ROW($AA583) - $AA$51 &lt; ($H$16+1)^5, IF(AG583 &gt;= BaseBonus!$C$16, AG583*BaseBonus!$E$31, 0), "")</f>
        <v>5.6343214877554777</v>
      </c>
      <c r="AJ583">
        <f t="shared" ca="1" si="100"/>
        <v>0</v>
      </c>
    </row>
    <row r="584" spans="28:36" x14ac:dyDescent="0.3">
      <c r="AB584">
        <f t="shared" si="93"/>
        <v>0</v>
      </c>
      <c r="AC584">
        <f t="shared" si="94"/>
        <v>1</v>
      </c>
      <c r="AD584">
        <f t="shared" si="95"/>
        <v>1</v>
      </c>
      <c r="AE584">
        <f t="shared" si="96"/>
        <v>0</v>
      </c>
      <c r="AF584">
        <f t="shared" si="97"/>
        <v>2</v>
      </c>
      <c r="AG584">
        <f t="shared" si="98"/>
        <v>4</v>
      </c>
      <c r="AH584">
        <f t="shared" ca="1" si="99"/>
        <v>1.8474145605978333E-3</v>
      </c>
      <c r="AI584">
        <f>IF(ROW($AA584) - $AA$51 &lt; ($H$16+1)^5, IF(AG584 &gt;= BaseBonus!$C$16, AG584*BaseBonus!$E$31, 0), "")</f>
        <v>0</v>
      </c>
      <c r="AJ584">
        <f t="shared" ca="1" si="100"/>
        <v>0</v>
      </c>
    </row>
    <row r="585" spans="28:36" x14ac:dyDescent="0.3">
      <c r="AB585">
        <f t="shared" si="93"/>
        <v>1</v>
      </c>
      <c r="AC585">
        <f t="shared" si="94"/>
        <v>1</v>
      </c>
      <c r="AD585">
        <f t="shared" si="95"/>
        <v>1</v>
      </c>
      <c r="AE585">
        <f t="shared" si="96"/>
        <v>0</v>
      </c>
      <c r="AF585">
        <f t="shared" si="97"/>
        <v>2</v>
      </c>
      <c r="AG585">
        <f t="shared" si="98"/>
        <v>5</v>
      </c>
      <c r="AH585">
        <f t="shared" ca="1" si="99"/>
        <v>3.4639023011209374E-4</v>
      </c>
      <c r="AI585">
        <f>IF(ROW($AA585) - $AA$51 &lt; ($H$16+1)^5, IF(AG585 &gt;= BaseBonus!$C$16, AG585*BaseBonus!$E$31, 0), "")</f>
        <v>4.6952679064628979</v>
      </c>
      <c r="AJ585">
        <f t="shared" ca="1" si="100"/>
        <v>1.6263949305576118E-3</v>
      </c>
    </row>
    <row r="586" spans="28:36" x14ac:dyDescent="0.3">
      <c r="AB586">
        <f t="shared" si="93"/>
        <v>2</v>
      </c>
      <c r="AC586">
        <f t="shared" si="94"/>
        <v>1</v>
      </c>
      <c r="AD586">
        <f t="shared" si="95"/>
        <v>1</v>
      </c>
      <c r="AE586">
        <f t="shared" si="96"/>
        <v>0</v>
      </c>
      <c r="AF586">
        <f t="shared" si="97"/>
        <v>2</v>
      </c>
      <c r="AG586">
        <f t="shared" si="98"/>
        <v>6</v>
      </c>
      <c r="AH586">
        <f t="shared" ca="1" si="99"/>
        <v>1.7319511505604687E-4</v>
      </c>
      <c r="AI586">
        <f>IF(ROW($AA586) - $AA$51 &lt; ($H$16+1)^5, IF(AG586 &gt;= BaseBonus!$C$16, AG586*BaseBonus!$E$31, 0), "")</f>
        <v>5.6343214877554777</v>
      </c>
      <c r="AJ586">
        <f t="shared" ca="1" si="100"/>
        <v>9.7583695833456708E-4</v>
      </c>
    </row>
    <row r="587" spans="28:36" x14ac:dyDescent="0.3">
      <c r="AB587">
        <f t="shared" si="93"/>
        <v>3</v>
      </c>
      <c r="AC587">
        <f t="shared" si="94"/>
        <v>1</v>
      </c>
      <c r="AD587">
        <f t="shared" si="95"/>
        <v>1</v>
      </c>
      <c r="AE587">
        <f t="shared" si="96"/>
        <v>0</v>
      </c>
      <c r="AF587">
        <f t="shared" si="97"/>
        <v>2</v>
      </c>
      <c r="AG587">
        <f t="shared" si="98"/>
        <v>7</v>
      </c>
      <c r="AH587">
        <f t="shared" ca="1" si="99"/>
        <v>0</v>
      </c>
      <c r="AI587">
        <f>IF(ROW($AA587) - $AA$51 &lt; ($H$16+1)^5, IF(AG587 &gt;= BaseBonus!$C$16, AG587*BaseBonus!$E$31, 0), "")</f>
        <v>6.5733750690480575</v>
      </c>
      <c r="AJ587">
        <f t="shared" ca="1" si="100"/>
        <v>0</v>
      </c>
    </row>
    <row r="588" spans="28:36" x14ac:dyDescent="0.3">
      <c r="AB588">
        <f t="shared" si="93"/>
        <v>0</v>
      </c>
      <c r="AC588">
        <f t="shared" si="94"/>
        <v>2</v>
      </c>
      <c r="AD588">
        <f t="shared" si="95"/>
        <v>1</v>
      </c>
      <c r="AE588">
        <f t="shared" si="96"/>
        <v>0</v>
      </c>
      <c r="AF588">
        <f t="shared" si="97"/>
        <v>2</v>
      </c>
      <c r="AG588">
        <f t="shared" si="98"/>
        <v>5</v>
      </c>
      <c r="AH588">
        <f t="shared" ca="1" si="99"/>
        <v>3.0790242676630554E-4</v>
      </c>
      <c r="AI588">
        <f>IF(ROW($AA588) - $AA$51 &lt; ($H$16+1)^5, IF(AG588 &gt;= BaseBonus!$C$16, AG588*BaseBonus!$E$31, 0), "")</f>
        <v>4.6952679064628979</v>
      </c>
      <c r="AJ588">
        <f t="shared" ca="1" si="100"/>
        <v>1.4456843827178772E-3</v>
      </c>
    </row>
    <row r="589" spans="28:36" x14ac:dyDescent="0.3">
      <c r="AB589">
        <f t="shared" si="93"/>
        <v>1</v>
      </c>
      <c r="AC589">
        <f t="shared" si="94"/>
        <v>2</v>
      </c>
      <c r="AD589">
        <f t="shared" si="95"/>
        <v>1</v>
      </c>
      <c r="AE589">
        <f t="shared" si="96"/>
        <v>0</v>
      </c>
      <c r="AF589">
        <f t="shared" si="97"/>
        <v>2</v>
      </c>
      <c r="AG589">
        <f t="shared" si="98"/>
        <v>6</v>
      </c>
      <c r="AH589">
        <f t="shared" ca="1" si="99"/>
        <v>5.7731705018682283E-5</v>
      </c>
      <c r="AI589">
        <f>IF(ROW($AA589) - $AA$51 &lt; ($H$16+1)^5, IF(AG589 &gt;= BaseBonus!$C$16, AG589*BaseBonus!$E$31, 0), "")</f>
        <v>5.6343214877554777</v>
      </c>
      <c r="AJ589">
        <f t="shared" ca="1" si="100"/>
        <v>3.2527898611152233E-4</v>
      </c>
    </row>
    <row r="590" spans="28:36" x14ac:dyDescent="0.3">
      <c r="AB590">
        <f t="shared" si="93"/>
        <v>2</v>
      </c>
      <c r="AC590">
        <f t="shared" si="94"/>
        <v>2</v>
      </c>
      <c r="AD590">
        <f t="shared" si="95"/>
        <v>1</v>
      </c>
      <c r="AE590">
        <f t="shared" si="96"/>
        <v>0</v>
      </c>
      <c r="AF590">
        <f t="shared" si="97"/>
        <v>2</v>
      </c>
      <c r="AG590">
        <f t="shared" si="98"/>
        <v>7</v>
      </c>
      <c r="AH590">
        <f t="shared" ca="1" si="99"/>
        <v>2.8865852509341141E-5</v>
      </c>
      <c r="AI590">
        <f>IF(ROW($AA590) - $AA$51 &lt; ($H$16+1)^5, IF(AG590 &gt;= BaseBonus!$C$16, AG590*BaseBonus!$E$31, 0), "")</f>
        <v>6.5733750690480575</v>
      </c>
      <c r="AJ590">
        <f t="shared" ca="1" si="100"/>
        <v>1.8974607523172137E-4</v>
      </c>
    </row>
    <row r="591" spans="28:36" x14ac:dyDescent="0.3">
      <c r="AB591">
        <f t="shared" si="93"/>
        <v>3</v>
      </c>
      <c r="AC591">
        <f t="shared" si="94"/>
        <v>2</v>
      </c>
      <c r="AD591">
        <f t="shared" si="95"/>
        <v>1</v>
      </c>
      <c r="AE591">
        <f t="shared" si="96"/>
        <v>0</v>
      </c>
      <c r="AF591">
        <f t="shared" si="97"/>
        <v>2</v>
      </c>
      <c r="AG591">
        <f t="shared" si="98"/>
        <v>8</v>
      </c>
      <c r="AH591">
        <f t="shared" ca="1" si="99"/>
        <v>0</v>
      </c>
      <c r="AI591">
        <f>IF(ROW($AA591) - $AA$51 &lt; ($H$16+1)^5, IF(AG591 &gt;= BaseBonus!$C$16, AG591*BaseBonus!$E$31, 0), "")</f>
        <v>7.5124286503406372</v>
      </c>
      <c r="AJ591">
        <f t="shared" ca="1" si="100"/>
        <v>0</v>
      </c>
    </row>
    <row r="592" spans="28:36" x14ac:dyDescent="0.3">
      <c r="AB592">
        <f t="shared" si="93"/>
        <v>0</v>
      </c>
      <c r="AC592">
        <f t="shared" si="94"/>
        <v>3</v>
      </c>
      <c r="AD592">
        <f t="shared" si="95"/>
        <v>1</v>
      </c>
      <c r="AE592">
        <f t="shared" si="96"/>
        <v>0</v>
      </c>
      <c r="AF592">
        <f t="shared" si="97"/>
        <v>2</v>
      </c>
      <c r="AG592">
        <f t="shared" si="98"/>
        <v>6</v>
      </c>
      <c r="AH592">
        <f t="shared" ca="1" si="99"/>
        <v>0</v>
      </c>
      <c r="AI592">
        <f>IF(ROW($AA592) - $AA$51 &lt; ($H$16+1)^5, IF(AG592 &gt;= BaseBonus!$C$16, AG592*BaseBonus!$E$31, 0), "")</f>
        <v>5.6343214877554777</v>
      </c>
      <c r="AJ592">
        <f t="shared" ca="1" si="100"/>
        <v>0</v>
      </c>
    </row>
    <row r="593" spans="28:36" x14ac:dyDescent="0.3">
      <c r="AB593">
        <f t="shared" si="93"/>
        <v>1</v>
      </c>
      <c r="AC593">
        <f t="shared" si="94"/>
        <v>3</v>
      </c>
      <c r="AD593">
        <f t="shared" si="95"/>
        <v>1</v>
      </c>
      <c r="AE593">
        <f t="shared" si="96"/>
        <v>0</v>
      </c>
      <c r="AF593">
        <f t="shared" si="97"/>
        <v>2</v>
      </c>
      <c r="AG593">
        <f t="shared" si="98"/>
        <v>7</v>
      </c>
      <c r="AH593">
        <f t="shared" ca="1" si="99"/>
        <v>0</v>
      </c>
      <c r="AI593">
        <f>IF(ROW($AA593) - $AA$51 &lt; ($H$16+1)^5, IF(AG593 &gt;= BaseBonus!$C$16, AG593*BaseBonus!$E$31, 0), "")</f>
        <v>6.5733750690480575</v>
      </c>
      <c r="AJ593">
        <f t="shared" ca="1" si="100"/>
        <v>0</v>
      </c>
    </row>
    <row r="594" spans="28:36" x14ac:dyDescent="0.3">
      <c r="AB594">
        <f t="shared" si="93"/>
        <v>2</v>
      </c>
      <c r="AC594">
        <f t="shared" si="94"/>
        <v>3</v>
      </c>
      <c r="AD594">
        <f t="shared" si="95"/>
        <v>1</v>
      </c>
      <c r="AE594">
        <f t="shared" si="96"/>
        <v>0</v>
      </c>
      <c r="AF594">
        <f t="shared" si="97"/>
        <v>2</v>
      </c>
      <c r="AG594">
        <f t="shared" si="98"/>
        <v>8</v>
      </c>
      <c r="AH594">
        <f t="shared" ca="1" si="99"/>
        <v>0</v>
      </c>
      <c r="AI594">
        <f>IF(ROW($AA594) - $AA$51 &lt; ($H$16+1)^5, IF(AG594 &gt;= BaseBonus!$C$16, AG594*BaseBonus!$E$31, 0), "")</f>
        <v>7.5124286503406372</v>
      </c>
      <c r="AJ594">
        <f t="shared" ca="1" si="100"/>
        <v>0</v>
      </c>
    </row>
    <row r="595" spans="28:36" x14ac:dyDescent="0.3">
      <c r="AB595">
        <f t="shared" si="93"/>
        <v>3</v>
      </c>
      <c r="AC595">
        <f t="shared" si="94"/>
        <v>3</v>
      </c>
      <c r="AD595">
        <f t="shared" si="95"/>
        <v>1</v>
      </c>
      <c r="AE595">
        <f t="shared" si="96"/>
        <v>0</v>
      </c>
      <c r="AF595">
        <f t="shared" si="97"/>
        <v>2</v>
      </c>
      <c r="AG595">
        <f t="shared" si="98"/>
        <v>9</v>
      </c>
      <c r="AH595">
        <f t="shared" ca="1" si="99"/>
        <v>0</v>
      </c>
      <c r="AI595">
        <f>IF(ROW($AA595) - $AA$51 &lt; ($H$16+1)^5, IF(AG595 &gt;= BaseBonus!$C$16, AG595*BaseBonus!$E$31, 0), "")</f>
        <v>8.4514822316332161</v>
      </c>
      <c r="AJ595">
        <f t="shared" ca="1" si="100"/>
        <v>0</v>
      </c>
    </row>
    <row r="596" spans="28:36" x14ac:dyDescent="0.3">
      <c r="AB596">
        <f t="shared" si="93"/>
        <v>0</v>
      </c>
      <c r="AC596">
        <f t="shared" si="94"/>
        <v>0</v>
      </c>
      <c r="AD596">
        <f t="shared" si="95"/>
        <v>2</v>
      </c>
      <c r="AE596">
        <f t="shared" si="96"/>
        <v>0</v>
      </c>
      <c r="AF596">
        <f t="shared" si="97"/>
        <v>2</v>
      </c>
      <c r="AG596">
        <f t="shared" si="98"/>
        <v>4</v>
      </c>
      <c r="AH596">
        <f t="shared" ca="1" si="99"/>
        <v>4.7578255945555301E-3</v>
      </c>
      <c r="AI596">
        <f>IF(ROW($AA596) - $AA$51 &lt; ($H$16+1)^5, IF(AG596 &gt;= BaseBonus!$C$16, AG596*BaseBonus!$E$31, 0), "")</f>
        <v>0</v>
      </c>
      <c r="AJ596">
        <f t="shared" ca="1" si="100"/>
        <v>0</v>
      </c>
    </row>
    <row r="597" spans="28:36" x14ac:dyDescent="0.3">
      <c r="AB597">
        <f t="shared" si="93"/>
        <v>1</v>
      </c>
      <c r="AC597">
        <f t="shared" si="94"/>
        <v>0</v>
      </c>
      <c r="AD597">
        <f t="shared" si="95"/>
        <v>2</v>
      </c>
      <c r="AE597">
        <f t="shared" si="96"/>
        <v>0</v>
      </c>
      <c r="AF597">
        <f t="shared" si="97"/>
        <v>2</v>
      </c>
      <c r="AG597">
        <f t="shared" si="98"/>
        <v>5</v>
      </c>
      <c r="AH597">
        <f t="shared" ca="1" si="99"/>
        <v>8.9209229897916189E-4</v>
      </c>
      <c r="AI597">
        <f>IF(ROW($AA597) - $AA$51 &lt; ($H$16+1)^5, IF(AG597 &gt;= BaseBonus!$C$16, AG597*BaseBonus!$E$31, 0), "")</f>
        <v>4.6952679064628979</v>
      </c>
      <c r="AJ597">
        <f t="shared" ca="1" si="100"/>
        <v>4.1886123409995632E-3</v>
      </c>
    </row>
    <row r="598" spans="28:36" x14ac:dyDescent="0.3">
      <c r="AB598">
        <f t="shared" si="93"/>
        <v>2</v>
      </c>
      <c r="AC598">
        <f t="shared" si="94"/>
        <v>0</v>
      </c>
      <c r="AD598">
        <f t="shared" si="95"/>
        <v>2</v>
      </c>
      <c r="AE598">
        <f t="shared" si="96"/>
        <v>0</v>
      </c>
      <c r="AF598">
        <f t="shared" si="97"/>
        <v>2</v>
      </c>
      <c r="AG598">
        <f t="shared" si="98"/>
        <v>6</v>
      </c>
      <c r="AH598">
        <f t="shared" ca="1" si="99"/>
        <v>4.4604614948958094E-4</v>
      </c>
      <c r="AI598">
        <f>IF(ROW($AA598) - $AA$51 &lt; ($H$16+1)^5, IF(AG598 &gt;= BaseBonus!$C$16, AG598*BaseBonus!$E$31, 0), "")</f>
        <v>5.6343214877554777</v>
      </c>
      <c r="AJ598">
        <f t="shared" ca="1" si="100"/>
        <v>2.513167404599738E-3</v>
      </c>
    </row>
    <row r="599" spans="28:36" x14ac:dyDescent="0.3">
      <c r="AB599">
        <f t="shared" si="93"/>
        <v>3</v>
      </c>
      <c r="AC599">
        <f t="shared" si="94"/>
        <v>0</v>
      </c>
      <c r="AD599">
        <f t="shared" si="95"/>
        <v>2</v>
      </c>
      <c r="AE599">
        <f t="shared" si="96"/>
        <v>0</v>
      </c>
      <c r="AF599">
        <f t="shared" si="97"/>
        <v>2</v>
      </c>
      <c r="AG599">
        <f t="shared" si="98"/>
        <v>7</v>
      </c>
      <c r="AH599">
        <f t="shared" ca="1" si="99"/>
        <v>0</v>
      </c>
      <c r="AI599">
        <f>IF(ROW($AA599) - $AA$51 &lt; ($H$16+1)^5, IF(AG599 &gt;= BaseBonus!$C$16, AG599*BaseBonus!$E$31, 0), "")</f>
        <v>6.5733750690480575</v>
      </c>
      <c r="AJ599">
        <f t="shared" ca="1" si="100"/>
        <v>0</v>
      </c>
    </row>
    <row r="600" spans="28:36" x14ac:dyDescent="0.3">
      <c r="AB600">
        <f t="shared" si="93"/>
        <v>0</v>
      </c>
      <c r="AC600">
        <f t="shared" si="94"/>
        <v>1</v>
      </c>
      <c r="AD600">
        <f t="shared" si="95"/>
        <v>2</v>
      </c>
      <c r="AE600">
        <f t="shared" si="96"/>
        <v>0</v>
      </c>
      <c r="AF600">
        <f t="shared" si="97"/>
        <v>2</v>
      </c>
      <c r="AG600">
        <f t="shared" si="98"/>
        <v>5</v>
      </c>
      <c r="AH600">
        <f t="shared" ca="1" si="99"/>
        <v>1.4515400118982975E-3</v>
      </c>
      <c r="AI600">
        <f>IF(ROW($AA600) - $AA$51 &lt; ($H$16+1)^5, IF(AG600 &gt;= BaseBonus!$C$16, AG600*BaseBonus!$E$31, 0), "")</f>
        <v>4.6952679064628979</v>
      </c>
      <c r="AJ600">
        <f t="shared" ca="1" si="100"/>
        <v>6.8153692328128497E-3</v>
      </c>
    </row>
    <row r="601" spans="28:36" x14ac:dyDescent="0.3">
      <c r="AB601">
        <f t="shared" si="93"/>
        <v>1</v>
      </c>
      <c r="AC601">
        <f t="shared" si="94"/>
        <v>1</v>
      </c>
      <c r="AD601">
        <f t="shared" si="95"/>
        <v>2</v>
      </c>
      <c r="AE601">
        <f t="shared" si="96"/>
        <v>0</v>
      </c>
      <c r="AF601">
        <f t="shared" si="97"/>
        <v>2</v>
      </c>
      <c r="AG601">
        <f t="shared" si="98"/>
        <v>6</v>
      </c>
      <c r="AH601">
        <f t="shared" ca="1" si="99"/>
        <v>2.7216375223093077E-4</v>
      </c>
      <c r="AI601">
        <f>IF(ROW($AA601) - $AA$51 &lt; ($H$16+1)^5, IF(AG601 &gt;= BaseBonus!$C$16, AG601*BaseBonus!$E$31, 0), "")</f>
        <v>5.6343214877554777</v>
      </c>
      <c r="AJ601">
        <f t="shared" ca="1" si="100"/>
        <v>1.533458077382891E-3</v>
      </c>
    </row>
    <row r="602" spans="28:36" x14ac:dyDescent="0.3">
      <c r="AB602">
        <f t="shared" si="93"/>
        <v>2</v>
      </c>
      <c r="AC602">
        <f t="shared" si="94"/>
        <v>1</v>
      </c>
      <c r="AD602">
        <f t="shared" si="95"/>
        <v>2</v>
      </c>
      <c r="AE602">
        <f t="shared" si="96"/>
        <v>0</v>
      </c>
      <c r="AF602">
        <f t="shared" si="97"/>
        <v>2</v>
      </c>
      <c r="AG602">
        <f t="shared" si="98"/>
        <v>7</v>
      </c>
      <c r="AH602">
        <f t="shared" ca="1" si="99"/>
        <v>1.3608187611546539E-4</v>
      </c>
      <c r="AI602">
        <f>IF(ROW($AA602) - $AA$51 &lt; ($H$16+1)^5, IF(AG602 &gt;= BaseBonus!$C$16, AG602*BaseBonus!$E$31, 0), "")</f>
        <v>6.5733750690480575</v>
      </c>
      <c r="AJ602">
        <f t="shared" ca="1" si="100"/>
        <v>8.945172118066865E-4</v>
      </c>
    </row>
    <row r="603" spans="28:36" x14ac:dyDescent="0.3">
      <c r="AB603">
        <f t="shared" si="93"/>
        <v>3</v>
      </c>
      <c r="AC603">
        <f t="shared" si="94"/>
        <v>1</v>
      </c>
      <c r="AD603">
        <f t="shared" si="95"/>
        <v>2</v>
      </c>
      <c r="AE603">
        <f t="shared" si="96"/>
        <v>0</v>
      </c>
      <c r="AF603">
        <f t="shared" si="97"/>
        <v>2</v>
      </c>
      <c r="AG603">
        <f t="shared" si="98"/>
        <v>8</v>
      </c>
      <c r="AH603">
        <f t="shared" ca="1" si="99"/>
        <v>0</v>
      </c>
      <c r="AI603">
        <f>IF(ROW($AA603) - $AA$51 &lt; ($H$16+1)^5, IF(AG603 &gt;= BaseBonus!$C$16, AG603*BaseBonus!$E$31, 0), "")</f>
        <v>7.5124286503406372</v>
      </c>
      <c r="AJ603">
        <f t="shared" ca="1" si="100"/>
        <v>0</v>
      </c>
    </row>
    <row r="604" spans="28:36" x14ac:dyDescent="0.3">
      <c r="AB604">
        <f t="shared" si="93"/>
        <v>0</v>
      </c>
      <c r="AC604">
        <f t="shared" si="94"/>
        <v>2</v>
      </c>
      <c r="AD604">
        <f t="shared" si="95"/>
        <v>2</v>
      </c>
      <c r="AE604">
        <f t="shared" si="96"/>
        <v>0</v>
      </c>
      <c r="AF604">
        <f t="shared" si="97"/>
        <v>2</v>
      </c>
      <c r="AG604">
        <f t="shared" si="98"/>
        <v>6</v>
      </c>
      <c r="AH604">
        <f t="shared" ca="1" si="99"/>
        <v>2.4192333531638293E-4</v>
      </c>
      <c r="AI604">
        <f>IF(ROW($AA604) - $AA$51 &lt; ($H$16+1)^5, IF(AG604 &gt;= BaseBonus!$C$16, AG604*BaseBonus!$E$31, 0), "")</f>
        <v>5.6343214877554777</v>
      </c>
      <c r="AJ604">
        <f t="shared" ca="1" si="100"/>
        <v>1.3630738465625701E-3</v>
      </c>
    </row>
    <row r="605" spans="28:36" x14ac:dyDescent="0.3">
      <c r="AB605">
        <f t="shared" si="93"/>
        <v>1</v>
      </c>
      <c r="AC605">
        <f t="shared" si="94"/>
        <v>2</v>
      </c>
      <c r="AD605">
        <f t="shared" si="95"/>
        <v>2</v>
      </c>
      <c r="AE605">
        <f t="shared" si="96"/>
        <v>0</v>
      </c>
      <c r="AF605">
        <f t="shared" si="97"/>
        <v>2</v>
      </c>
      <c r="AG605">
        <f t="shared" si="98"/>
        <v>7</v>
      </c>
      <c r="AH605">
        <f t="shared" ca="1" si="99"/>
        <v>4.5360625371821791E-5</v>
      </c>
      <c r="AI605">
        <f>IF(ROW($AA605) - $AA$51 &lt; ($H$16+1)^5, IF(AG605 &gt;= BaseBonus!$C$16, AG605*BaseBonus!$E$31, 0), "")</f>
        <v>6.5733750690480575</v>
      </c>
      <c r="AJ605">
        <f t="shared" ca="1" si="100"/>
        <v>2.9817240393556211E-4</v>
      </c>
    </row>
    <row r="606" spans="28:36" x14ac:dyDescent="0.3">
      <c r="AB606">
        <f t="shared" si="93"/>
        <v>2</v>
      </c>
      <c r="AC606">
        <f t="shared" si="94"/>
        <v>2</v>
      </c>
      <c r="AD606">
        <f t="shared" si="95"/>
        <v>2</v>
      </c>
      <c r="AE606">
        <f t="shared" si="96"/>
        <v>0</v>
      </c>
      <c r="AF606">
        <f t="shared" si="97"/>
        <v>2</v>
      </c>
      <c r="AG606">
        <f t="shared" si="98"/>
        <v>8</v>
      </c>
      <c r="AH606">
        <f t="shared" ca="1" si="99"/>
        <v>2.2680312685910896E-5</v>
      </c>
      <c r="AI606">
        <f>IF(ROW($AA606) - $AA$51 &lt; ($H$16+1)^5, IF(AG606 &gt;= BaseBonus!$C$16, AG606*BaseBonus!$E$31, 0), "")</f>
        <v>7.5124286503406372</v>
      </c>
      <c r="AJ606">
        <f t="shared" ca="1" si="100"/>
        <v>1.7038423082032123E-4</v>
      </c>
    </row>
    <row r="607" spans="28:36" x14ac:dyDescent="0.3">
      <c r="AB607">
        <f t="shared" si="93"/>
        <v>3</v>
      </c>
      <c r="AC607">
        <f t="shared" si="94"/>
        <v>2</v>
      </c>
      <c r="AD607">
        <f t="shared" si="95"/>
        <v>2</v>
      </c>
      <c r="AE607">
        <f t="shared" si="96"/>
        <v>0</v>
      </c>
      <c r="AF607">
        <f t="shared" si="97"/>
        <v>2</v>
      </c>
      <c r="AG607">
        <f t="shared" si="98"/>
        <v>9</v>
      </c>
      <c r="AH607">
        <f t="shared" ca="1" si="99"/>
        <v>0</v>
      </c>
      <c r="AI607">
        <f>IF(ROW($AA607) - $AA$51 &lt; ($H$16+1)^5, IF(AG607 &gt;= BaseBonus!$C$16, AG607*BaseBonus!$E$31, 0), "")</f>
        <v>8.4514822316332161</v>
      </c>
      <c r="AJ607">
        <f t="shared" ca="1" si="100"/>
        <v>0</v>
      </c>
    </row>
    <row r="608" spans="28:36" x14ac:dyDescent="0.3">
      <c r="AB608">
        <f t="shared" si="93"/>
        <v>0</v>
      </c>
      <c r="AC608">
        <f t="shared" si="94"/>
        <v>3</v>
      </c>
      <c r="AD608">
        <f t="shared" si="95"/>
        <v>2</v>
      </c>
      <c r="AE608">
        <f t="shared" si="96"/>
        <v>0</v>
      </c>
      <c r="AF608">
        <f t="shared" si="97"/>
        <v>2</v>
      </c>
      <c r="AG608">
        <f t="shared" si="98"/>
        <v>7</v>
      </c>
      <c r="AH608">
        <f t="shared" ca="1" si="99"/>
        <v>0</v>
      </c>
      <c r="AI608">
        <f>IF(ROW($AA608) - $AA$51 &lt; ($H$16+1)^5, IF(AG608 &gt;= BaseBonus!$C$16, AG608*BaseBonus!$E$31, 0), "")</f>
        <v>6.5733750690480575</v>
      </c>
      <c r="AJ608">
        <f t="shared" ca="1" si="100"/>
        <v>0</v>
      </c>
    </row>
    <row r="609" spans="28:36" x14ac:dyDescent="0.3">
      <c r="AB609">
        <f t="shared" si="93"/>
        <v>1</v>
      </c>
      <c r="AC609">
        <f t="shared" si="94"/>
        <v>3</v>
      </c>
      <c r="AD609">
        <f t="shared" si="95"/>
        <v>2</v>
      </c>
      <c r="AE609">
        <f t="shared" si="96"/>
        <v>0</v>
      </c>
      <c r="AF609">
        <f t="shared" si="97"/>
        <v>2</v>
      </c>
      <c r="AG609">
        <f t="shared" si="98"/>
        <v>8</v>
      </c>
      <c r="AH609">
        <f t="shared" ca="1" si="99"/>
        <v>0</v>
      </c>
      <c r="AI609">
        <f>IF(ROW($AA609) - $AA$51 &lt; ($H$16+1)^5, IF(AG609 &gt;= BaseBonus!$C$16, AG609*BaseBonus!$E$31, 0), "")</f>
        <v>7.5124286503406372</v>
      </c>
      <c r="AJ609">
        <f t="shared" ca="1" si="100"/>
        <v>0</v>
      </c>
    </row>
    <row r="610" spans="28:36" x14ac:dyDescent="0.3">
      <c r="AB610">
        <f t="shared" si="93"/>
        <v>2</v>
      </c>
      <c r="AC610">
        <f t="shared" si="94"/>
        <v>3</v>
      </c>
      <c r="AD610">
        <f t="shared" si="95"/>
        <v>2</v>
      </c>
      <c r="AE610">
        <f t="shared" si="96"/>
        <v>0</v>
      </c>
      <c r="AF610">
        <f t="shared" si="97"/>
        <v>2</v>
      </c>
      <c r="AG610">
        <f t="shared" si="98"/>
        <v>9</v>
      </c>
      <c r="AH610">
        <f t="shared" ca="1" si="99"/>
        <v>0</v>
      </c>
      <c r="AI610">
        <f>IF(ROW($AA610) - $AA$51 &lt; ($H$16+1)^5, IF(AG610 &gt;= BaseBonus!$C$16, AG610*BaseBonus!$E$31, 0), "")</f>
        <v>8.4514822316332161</v>
      </c>
      <c r="AJ610">
        <f t="shared" ca="1" si="100"/>
        <v>0</v>
      </c>
    </row>
    <row r="611" spans="28:36" x14ac:dyDescent="0.3">
      <c r="AB611">
        <f t="shared" si="93"/>
        <v>3</v>
      </c>
      <c r="AC611">
        <f t="shared" si="94"/>
        <v>3</v>
      </c>
      <c r="AD611">
        <f t="shared" si="95"/>
        <v>2</v>
      </c>
      <c r="AE611">
        <f t="shared" si="96"/>
        <v>0</v>
      </c>
      <c r="AF611">
        <f t="shared" si="97"/>
        <v>2</v>
      </c>
      <c r="AG611">
        <f t="shared" si="98"/>
        <v>10</v>
      </c>
      <c r="AH611">
        <f t="shared" ca="1" si="99"/>
        <v>0</v>
      </c>
      <c r="AI611">
        <f>IF(ROW($AA611) - $AA$51 &lt; ($H$16+1)^5, IF(AG611 &gt;= BaseBonus!$C$16, AG611*BaseBonus!$E$31, 0), "")</f>
        <v>9.3905358129257959</v>
      </c>
      <c r="AJ611">
        <f t="shared" ca="1" si="100"/>
        <v>0</v>
      </c>
    </row>
    <row r="612" spans="28:36" x14ac:dyDescent="0.3">
      <c r="AB612">
        <f t="shared" si="93"/>
        <v>0</v>
      </c>
      <c r="AC612">
        <f t="shared" si="94"/>
        <v>0</v>
      </c>
      <c r="AD612">
        <f t="shared" si="95"/>
        <v>3</v>
      </c>
      <c r="AE612">
        <f t="shared" si="96"/>
        <v>0</v>
      </c>
      <c r="AF612">
        <f t="shared" si="97"/>
        <v>2</v>
      </c>
      <c r="AG612">
        <f t="shared" si="98"/>
        <v>5</v>
      </c>
      <c r="AH612">
        <f t="shared" ca="1" si="99"/>
        <v>0</v>
      </c>
      <c r="AI612">
        <f>IF(ROW($AA612) - $AA$51 &lt; ($H$16+1)^5, IF(AG612 &gt;= BaseBonus!$C$16, AG612*BaseBonus!$E$31, 0), "")</f>
        <v>4.6952679064628979</v>
      </c>
      <c r="AJ612">
        <f t="shared" ca="1" si="100"/>
        <v>0</v>
      </c>
    </row>
    <row r="613" spans="28:36" x14ac:dyDescent="0.3">
      <c r="AB613">
        <f t="shared" si="93"/>
        <v>1</v>
      </c>
      <c r="AC613">
        <f t="shared" si="94"/>
        <v>0</v>
      </c>
      <c r="AD613">
        <f t="shared" si="95"/>
        <v>3</v>
      </c>
      <c r="AE613">
        <f t="shared" si="96"/>
        <v>0</v>
      </c>
      <c r="AF613">
        <f t="shared" si="97"/>
        <v>2</v>
      </c>
      <c r="AG613">
        <f t="shared" si="98"/>
        <v>6</v>
      </c>
      <c r="AH613">
        <f t="shared" ca="1" si="99"/>
        <v>0</v>
      </c>
      <c r="AI613">
        <f>IF(ROW($AA613) - $AA$51 &lt; ($H$16+1)^5, IF(AG613 &gt;= BaseBonus!$C$16, AG613*BaseBonus!$E$31, 0), "")</f>
        <v>5.6343214877554777</v>
      </c>
      <c r="AJ613">
        <f t="shared" ca="1" si="100"/>
        <v>0</v>
      </c>
    </row>
    <row r="614" spans="28:36" x14ac:dyDescent="0.3">
      <c r="AB614">
        <f t="shared" si="93"/>
        <v>2</v>
      </c>
      <c r="AC614">
        <f t="shared" si="94"/>
        <v>0</v>
      </c>
      <c r="AD614">
        <f t="shared" si="95"/>
        <v>3</v>
      </c>
      <c r="AE614">
        <f t="shared" si="96"/>
        <v>0</v>
      </c>
      <c r="AF614">
        <f t="shared" si="97"/>
        <v>2</v>
      </c>
      <c r="AG614">
        <f t="shared" si="98"/>
        <v>7</v>
      </c>
      <c r="AH614">
        <f t="shared" ca="1" si="99"/>
        <v>0</v>
      </c>
      <c r="AI614">
        <f>IF(ROW($AA614) - $AA$51 &lt; ($H$16+1)^5, IF(AG614 &gt;= BaseBonus!$C$16, AG614*BaseBonus!$E$31, 0), "")</f>
        <v>6.5733750690480575</v>
      </c>
      <c r="AJ614">
        <f t="shared" ca="1" si="100"/>
        <v>0</v>
      </c>
    </row>
    <row r="615" spans="28:36" x14ac:dyDescent="0.3">
      <c r="AB615">
        <f t="shared" si="93"/>
        <v>3</v>
      </c>
      <c r="AC615">
        <f t="shared" si="94"/>
        <v>0</v>
      </c>
      <c r="AD615">
        <f t="shared" si="95"/>
        <v>3</v>
      </c>
      <c r="AE615">
        <f t="shared" si="96"/>
        <v>0</v>
      </c>
      <c r="AF615">
        <f t="shared" si="97"/>
        <v>2</v>
      </c>
      <c r="AG615">
        <f t="shared" si="98"/>
        <v>8</v>
      </c>
      <c r="AH615">
        <f t="shared" ca="1" si="99"/>
        <v>0</v>
      </c>
      <c r="AI615">
        <f>IF(ROW($AA615) - $AA$51 &lt; ($H$16+1)^5, IF(AG615 &gt;= BaseBonus!$C$16, AG615*BaseBonus!$E$31, 0), "")</f>
        <v>7.5124286503406372</v>
      </c>
      <c r="AJ615">
        <f t="shared" ca="1" si="100"/>
        <v>0</v>
      </c>
    </row>
    <row r="616" spans="28:36" x14ac:dyDescent="0.3">
      <c r="AB616">
        <f t="shared" si="93"/>
        <v>0</v>
      </c>
      <c r="AC616">
        <f t="shared" si="94"/>
        <v>1</v>
      </c>
      <c r="AD616">
        <f t="shared" si="95"/>
        <v>3</v>
      </c>
      <c r="AE616">
        <f t="shared" si="96"/>
        <v>0</v>
      </c>
      <c r="AF616">
        <f t="shared" si="97"/>
        <v>2</v>
      </c>
      <c r="AG616">
        <f t="shared" si="98"/>
        <v>6</v>
      </c>
      <c r="AH616">
        <f t="shared" ca="1" si="99"/>
        <v>0</v>
      </c>
      <c r="AI616">
        <f>IF(ROW($AA616) - $AA$51 &lt; ($H$16+1)^5, IF(AG616 &gt;= BaseBonus!$C$16, AG616*BaseBonus!$E$31, 0), "")</f>
        <v>5.6343214877554777</v>
      </c>
      <c r="AJ616">
        <f t="shared" ca="1" si="100"/>
        <v>0</v>
      </c>
    </row>
    <row r="617" spans="28:36" x14ac:dyDescent="0.3">
      <c r="AB617">
        <f t="shared" si="93"/>
        <v>1</v>
      </c>
      <c r="AC617">
        <f t="shared" si="94"/>
        <v>1</v>
      </c>
      <c r="AD617">
        <f t="shared" si="95"/>
        <v>3</v>
      </c>
      <c r="AE617">
        <f t="shared" si="96"/>
        <v>0</v>
      </c>
      <c r="AF617">
        <f t="shared" si="97"/>
        <v>2</v>
      </c>
      <c r="AG617">
        <f t="shared" si="98"/>
        <v>7</v>
      </c>
      <c r="AH617">
        <f t="shared" ca="1" si="99"/>
        <v>0</v>
      </c>
      <c r="AI617">
        <f>IF(ROW($AA617) - $AA$51 &lt; ($H$16+1)^5, IF(AG617 &gt;= BaseBonus!$C$16, AG617*BaseBonus!$E$31, 0), "")</f>
        <v>6.5733750690480575</v>
      </c>
      <c r="AJ617">
        <f t="shared" ca="1" si="100"/>
        <v>0</v>
      </c>
    </row>
    <row r="618" spans="28:36" x14ac:dyDescent="0.3">
      <c r="AB618">
        <f t="shared" si="93"/>
        <v>2</v>
      </c>
      <c r="AC618">
        <f t="shared" si="94"/>
        <v>1</v>
      </c>
      <c r="AD618">
        <f t="shared" si="95"/>
        <v>3</v>
      </c>
      <c r="AE618">
        <f t="shared" si="96"/>
        <v>0</v>
      </c>
      <c r="AF618">
        <f t="shared" si="97"/>
        <v>2</v>
      </c>
      <c r="AG618">
        <f t="shared" si="98"/>
        <v>8</v>
      </c>
      <c r="AH618">
        <f t="shared" ca="1" si="99"/>
        <v>0</v>
      </c>
      <c r="AI618">
        <f>IF(ROW($AA618) - $AA$51 &lt; ($H$16+1)^5, IF(AG618 &gt;= BaseBonus!$C$16, AG618*BaseBonus!$E$31, 0), "")</f>
        <v>7.5124286503406372</v>
      </c>
      <c r="AJ618">
        <f t="shared" ca="1" si="100"/>
        <v>0</v>
      </c>
    </row>
    <row r="619" spans="28:36" x14ac:dyDescent="0.3">
      <c r="AB619">
        <f t="shared" si="93"/>
        <v>3</v>
      </c>
      <c r="AC619">
        <f t="shared" si="94"/>
        <v>1</v>
      </c>
      <c r="AD619">
        <f t="shared" si="95"/>
        <v>3</v>
      </c>
      <c r="AE619">
        <f t="shared" si="96"/>
        <v>0</v>
      </c>
      <c r="AF619">
        <f t="shared" si="97"/>
        <v>2</v>
      </c>
      <c r="AG619">
        <f t="shared" si="98"/>
        <v>9</v>
      </c>
      <c r="AH619">
        <f t="shared" ca="1" si="99"/>
        <v>0</v>
      </c>
      <c r="AI619">
        <f>IF(ROW($AA619) - $AA$51 &lt; ($H$16+1)^5, IF(AG619 &gt;= BaseBonus!$C$16, AG619*BaseBonus!$E$31, 0), "")</f>
        <v>8.4514822316332161</v>
      </c>
      <c r="AJ619">
        <f t="shared" ca="1" si="100"/>
        <v>0</v>
      </c>
    </row>
    <row r="620" spans="28:36" x14ac:dyDescent="0.3">
      <c r="AB620">
        <f t="shared" si="93"/>
        <v>0</v>
      </c>
      <c r="AC620">
        <f t="shared" si="94"/>
        <v>2</v>
      </c>
      <c r="AD620">
        <f t="shared" si="95"/>
        <v>3</v>
      </c>
      <c r="AE620">
        <f t="shared" si="96"/>
        <v>0</v>
      </c>
      <c r="AF620">
        <f t="shared" si="97"/>
        <v>2</v>
      </c>
      <c r="AG620">
        <f t="shared" si="98"/>
        <v>7</v>
      </c>
      <c r="AH620">
        <f t="shared" ca="1" si="99"/>
        <v>0</v>
      </c>
      <c r="AI620">
        <f>IF(ROW($AA620) - $AA$51 &lt; ($H$16+1)^5, IF(AG620 &gt;= BaseBonus!$C$16, AG620*BaseBonus!$E$31, 0), "")</f>
        <v>6.5733750690480575</v>
      </c>
      <c r="AJ620">
        <f t="shared" ca="1" si="100"/>
        <v>0</v>
      </c>
    </row>
    <row r="621" spans="28:36" x14ac:dyDescent="0.3">
      <c r="AB621">
        <f t="shared" si="93"/>
        <v>1</v>
      </c>
      <c r="AC621">
        <f t="shared" si="94"/>
        <v>2</v>
      </c>
      <c r="AD621">
        <f t="shared" si="95"/>
        <v>3</v>
      </c>
      <c r="AE621">
        <f t="shared" si="96"/>
        <v>0</v>
      </c>
      <c r="AF621">
        <f t="shared" si="97"/>
        <v>2</v>
      </c>
      <c r="AG621">
        <f t="shared" si="98"/>
        <v>8</v>
      </c>
      <c r="AH621">
        <f t="shared" ca="1" si="99"/>
        <v>0</v>
      </c>
      <c r="AI621">
        <f>IF(ROW($AA621) - $AA$51 &lt; ($H$16+1)^5, IF(AG621 &gt;= BaseBonus!$C$16, AG621*BaseBonus!$E$31, 0), "")</f>
        <v>7.5124286503406372</v>
      </c>
      <c r="AJ621">
        <f t="shared" ca="1" si="100"/>
        <v>0</v>
      </c>
    </row>
    <row r="622" spans="28:36" x14ac:dyDescent="0.3">
      <c r="AB622">
        <f t="shared" si="93"/>
        <v>2</v>
      </c>
      <c r="AC622">
        <f t="shared" si="94"/>
        <v>2</v>
      </c>
      <c r="AD622">
        <f t="shared" si="95"/>
        <v>3</v>
      </c>
      <c r="AE622">
        <f t="shared" si="96"/>
        <v>0</v>
      </c>
      <c r="AF622">
        <f t="shared" si="97"/>
        <v>2</v>
      </c>
      <c r="AG622">
        <f t="shared" si="98"/>
        <v>9</v>
      </c>
      <c r="AH622">
        <f t="shared" ca="1" si="99"/>
        <v>0</v>
      </c>
      <c r="AI622">
        <f>IF(ROW($AA622) - $AA$51 &lt; ($H$16+1)^5, IF(AG622 &gt;= BaseBonus!$C$16, AG622*BaseBonus!$E$31, 0), "")</f>
        <v>8.4514822316332161</v>
      </c>
      <c r="AJ622">
        <f t="shared" ca="1" si="100"/>
        <v>0</v>
      </c>
    </row>
    <row r="623" spans="28:36" x14ac:dyDescent="0.3">
      <c r="AB623">
        <f t="shared" si="93"/>
        <v>3</v>
      </c>
      <c r="AC623">
        <f t="shared" si="94"/>
        <v>2</v>
      </c>
      <c r="AD623">
        <f t="shared" si="95"/>
        <v>3</v>
      </c>
      <c r="AE623">
        <f t="shared" si="96"/>
        <v>0</v>
      </c>
      <c r="AF623">
        <f t="shared" si="97"/>
        <v>2</v>
      </c>
      <c r="AG623">
        <f t="shared" si="98"/>
        <v>10</v>
      </c>
      <c r="AH623">
        <f t="shared" ca="1" si="99"/>
        <v>0</v>
      </c>
      <c r="AI623">
        <f>IF(ROW($AA623) - $AA$51 &lt; ($H$16+1)^5, IF(AG623 &gt;= BaseBonus!$C$16, AG623*BaseBonus!$E$31, 0), "")</f>
        <v>9.3905358129257959</v>
      </c>
      <c r="AJ623">
        <f t="shared" ca="1" si="100"/>
        <v>0</v>
      </c>
    </row>
    <row r="624" spans="28:36" x14ac:dyDescent="0.3">
      <c r="AB624">
        <f t="shared" si="93"/>
        <v>0</v>
      </c>
      <c r="AC624">
        <f t="shared" si="94"/>
        <v>3</v>
      </c>
      <c r="AD624">
        <f t="shared" si="95"/>
        <v>3</v>
      </c>
      <c r="AE624">
        <f t="shared" si="96"/>
        <v>0</v>
      </c>
      <c r="AF624">
        <f t="shared" si="97"/>
        <v>2</v>
      </c>
      <c r="AG624">
        <f t="shared" si="98"/>
        <v>8</v>
      </c>
      <c r="AH624">
        <f t="shared" ca="1" si="99"/>
        <v>0</v>
      </c>
      <c r="AI624">
        <f>IF(ROW($AA624) - $AA$51 &lt; ($H$16+1)^5, IF(AG624 &gt;= BaseBonus!$C$16, AG624*BaseBonus!$E$31, 0), "")</f>
        <v>7.5124286503406372</v>
      </c>
      <c r="AJ624">
        <f t="shared" ca="1" si="100"/>
        <v>0</v>
      </c>
    </row>
    <row r="625" spans="28:36" x14ac:dyDescent="0.3">
      <c r="AB625">
        <f t="shared" si="93"/>
        <v>1</v>
      </c>
      <c r="AC625">
        <f t="shared" si="94"/>
        <v>3</v>
      </c>
      <c r="AD625">
        <f t="shared" si="95"/>
        <v>3</v>
      </c>
      <c r="AE625">
        <f t="shared" si="96"/>
        <v>0</v>
      </c>
      <c r="AF625">
        <f t="shared" si="97"/>
        <v>2</v>
      </c>
      <c r="AG625">
        <f t="shared" si="98"/>
        <v>9</v>
      </c>
      <c r="AH625">
        <f t="shared" ca="1" si="99"/>
        <v>0</v>
      </c>
      <c r="AI625">
        <f>IF(ROW($AA625) - $AA$51 &lt; ($H$16+1)^5, IF(AG625 &gt;= BaseBonus!$C$16, AG625*BaseBonus!$E$31, 0), "")</f>
        <v>8.4514822316332161</v>
      </c>
      <c r="AJ625">
        <f t="shared" ca="1" si="100"/>
        <v>0</v>
      </c>
    </row>
    <row r="626" spans="28:36" x14ac:dyDescent="0.3">
      <c r="AB626">
        <f t="shared" si="93"/>
        <v>2</v>
      </c>
      <c r="AC626">
        <f t="shared" si="94"/>
        <v>3</v>
      </c>
      <c r="AD626">
        <f t="shared" si="95"/>
        <v>3</v>
      </c>
      <c r="AE626">
        <f t="shared" si="96"/>
        <v>0</v>
      </c>
      <c r="AF626">
        <f t="shared" si="97"/>
        <v>2</v>
      </c>
      <c r="AG626">
        <f t="shared" si="98"/>
        <v>10</v>
      </c>
      <c r="AH626">
        <f t="shared" ca="1" si="99"/>
        <v>0</v>
      </c>
      <c r="AI626">
        <f>IF(ROW($AA626) - $AA$51 &lt; ($H$16+1)^5, IF(AG626 &gt;= BaseBonus!$C$16, AG626*BaseBonus!$E$31, 0), "")</f>
        <v>9.3905358129257959</v>
      </c>
      <c r="AJ626">
        <f t="shared" ca="1" si="100"/>
        <v>0</v>
      </c>
    </row>
    <row r="627" spans="28:36" x14ac:dyDescent="0.3">
      <c r="AB627">
        <f t="shared" si="93"/>
        <v>3</v>
      </c>
      <c r="AC627">
        <f t="shared" si="94"/>
        <v>3</v>
      </c>
      <c r="AD627">
        <f t="shared" si="95"/>
        <v>3</v>
      </c>
      <c r="AE627">
        <f t="shared" si="96"/>
        <v>0</v>
      </c>
      <c r="AF627">
        <f t="shared" si="97"/>
        <v>2</v>
      </c>
      <c r="AG627">
        <f t="shared" si="98"/>
        <v>11</v>
      </c>
      <c r="AH627">
        <f t="shared" ca="1" si="99"/>
        <v>0</v>
      </c>
      <c r="AI627">
        <f>IF(ROW($AA627) - $AA$51 &lt; ($H$16+1)^5, IF(AG627 &gt;= BaseBonus!$C$16, AG627*BaseBonus!$E$31, 0), "")</f>
        <v>10.329589394218376</v>
      </c>
      <c r="AJ627">
        <f t="shared" ca="1" si="100"/>
        <v>0</v>
      </c>
    </row>
    <row r="628" spans="28:36" x14ac:dyDescent="0.3">
      <c r="AB628">
        <f t="shared" ref="AB628:AB691" si="101">IF(ROW()-$AA$51 &lt; (H$16+1)^5, MOD(_xlfn.FLOOR.MATH((ROW()-$AA$51)/AB$50), H$16+1), "")</f>
        <v>0</v>
      </c>
      <c r="AC628">
        <f t="shared" ref="AC628:AC691" si="102">IF(ROW()-$AA$51 &lt; (I$16+1)^5, MOD(_xlfn.FLOOR.MATH((ROW()-$AA$51)/AC$50), I$16+1), "")</f>
        <v>0</v>
      </c>
      <c r="AD628">
        <f t="shared" ref="AD628:AD691" si="103">IF(ROW()-$AA$51 &lt; (J$16+1)^5, MOD(_xlfn.FLOOR.MATH((ROW()-$AA$51)/AD$50), J$16+1), "")</f>
        <v>0</v>
      </c>
      <c r="AE628">
        <f t="shared" ref="AE628:AE691" si="104">IF(ROW()-$AA$51 &lt; (K$16+1)^5, MOD(_xlfn.FLOOR.MATH((ROW()-$AA$51)/AE$50), K$16+1), "")</f>
        <v>1</v>
      </c>
      <c r="AF628">
        <f t="shared" ref="AF628:AF691" si="105">IF(ROW()-$AA$51 &lt; (L$16+1)^5, MOD(_xlfn.FLOOR.MATH((ROW()-$AA$51)/AF$50), L$16+1), "")</f>
        <v>2</v>
      </c>
      <c r="AG628">
        <f t="shared" ref="AG628:AG691" si="106">IF(ROW($AA628) - $AA$51 &lt; ($H$16+1)^5, SUM(AB628:AF628), "")</f>
        <v>3</v>
      </c>
      <c r="AH628">
        <f t="shared" ref="AH628:AH691" ca="1" si="107">IF(ROW($AA628) - $AA$51 &lt; (4)^5,
    (_xlfn.XLOOKUP(AB628,$T$51:$T$55,U$51:U$55,0)/U$27) * (_xlfn.XLOOKUP(AC628,$T$51:$T$55,V$51:V$55,0)/V$27) * (_xlfn.XLOOKUP(AD628,$T$51:$T$55,W$51:W$55,0)/W$27) * (_xlfn.XLOOKUP(AE628,$T$51:$T$55,X$51:X$55,0)/X$27) * (_xlfn.XLOOKUP(AF628,$T$51:$T$55,Y$51:Y$55,0)/Y$27),
"")</f>
        <v>3.7691865099725628E-3</v>
      </c>
      <c r="AI628">
        <f>IF(ROW($AA628) - $AA$51 &lt; ($H$16+1)^5, IF(AG628 &gt;= BaseBonus!$C$16, AG628*BaseBonus!$E$31, 0), "")</f>
        <v>0</v>
      </c>
      <c r="AJ628">
        <f t="shared" ref="AJ628:AJ691" ca="1" si="108">IF(ROW($AA628) - $AA$51 &lt; ($H$16+1)^5, AH628*AI628, "")</f>
        <v>0</v>
      </c>
    </row>
    <row r="629" spans="28:36" x14ac:dyDescent="0.3">
      <c r="AB629">
        <f t="shared" si="101"/>
        <v>1</v>
      </c>
      <c r="AC629">
        <f t="shared" si="102"/>
        <v>0</v>
      </c>
      <c r="AD629">
        <f t="shared" si="103"/>
        <v>0</v>
      </c>
      <c r="AE629">
        <f t="shared" si="104"/>
        <v>1</v>
      </c>
      <c r="AF629">
        <f t="shared" si="105"/>
        <v>2</v>
      </c>
      <c r="AG629">
        <f t="shared" si="106"/>
        <v>4</v>
      </c>
      <c r="AH629">
        <f t="shared" ca="1" si="107"/>
        <v>7.0672247061985538E-4</v>
      </c>
      <c r="AI629">
        <f>IF(ROW($AA629) - $AA$51 &lt; ($H$16+1)^5, IF(AG629 &gt;= BaseBonus!$C$16, AG629*BaseBonus!$E$31, 0), "")</f>
        <v>0</v>
      </c>
      <c r="AJ629">
        <f t="shared" ca="1" si="108"/>
        <v>0</v>
      </c>
    </row>
    <row r="630" spans="28:36" x14ac:dyDescent="0.3">
      <c r="AB630">
        <f t="shared" si="101"/>
        <v>2</v>
      </c>
      <c r="AC630">
        <f t="shared" si="102"/>
        <v>0</v>
      </c>
      <c r="AD630">
        <f t="shared" si="103"/>
        <v>0</v>
      </c>
      <c r="AE630">
        <f t="shared" si="104"/>
        <v>1</v>
      </c>
      <c r="AF630">
        <f t="shared" si="105"/>
        <v>2</v>
      </c>
      <c r="AG630">
        <f t="shared" si="106"/>
        <v>5</v>
      </c>
      <c r="AH630">
        <f t="shared" ca="1" si="107"/>
        <v>3.5336123530992769E-4</v>
      </c>
      <c r="AI630">
        <f>IF(ROW($AA630) - $AA$51 &lt; ($H$16+1)^5, IF(AG630 &gt;= BaseBonus!$C$16, AG630*BaseBonus!$E$31, 0), "")</f>
        <v>4.6952679064628979</v>
      </c>
      <c r="AJ630">
        <f t="shared" ca="1" si="108"/>
        <v>1.6591256675387877E-3</v>
      </c>
    </row>
    <row r="631" spans="28:36" x14ac:dyDescent="0.3">
      <c r="AB631">
        <f t="shared" si="101"/>
        <v>3</v>
      </c>
      <c r="AC631">
        <f t="shared" si="102"/>
        <v>0</v>
      </c>
      <c r="AD631">
        <f t="shared" si="103"/>
        <v>0</v>
      </c>
      <c r="AE631">
        <f t="shared" si="104"/>
        <v>1</v>
      </c>
      <c r="AF631">
        <f t="shared" si="105"/>
        <v>2</v>
      </c>
      <c r="AG631">
        <f t="shared" si="106"/>
        <v>6</v>
      </c>
      <c r="AH631">
        <f t="shared" ca="1" si="107"/>
        <v>0</v>
      </c>
      <c r="AI631">
        <f>IF(ROW($AA631) - $AA$51 &lt; ($H$16+1)^5, IF(AG631 &gt;= BaseBonus!$C$16, AG631*BaseBonus!$E$31, 0), "")</f>
        <v>5.6343214877554777</v>
      </c>
      <c r="AJ631">
        <f t="shared" ca="1" si="108"/>
        <v>0</v>
      </c>
    </row>
    <row r="632" spans="28:36" x14ac:dyDescent="0.3">
      <c r="AB632">
        <f t="shared" si="101"/>
        <v>0</v>
      </c>
      <c r="AC632">
        <f t="shared" si="102"/>
        <v>1</v>
      </c>
      <c r="AD632">
        <f t="shared" si="103"/>
        <v>0</v>
      </c>
      <c r="AE632">
        <f t="shared" si="104"/>
        <v>1</v>
      </c>
      <c r="AF632">
        <f t="shared" si="105"/>
        <v>2</v>
      </c>
      <c r="AG632">
        <f t="shared" si="106"/>
        <v>4</v>
      </c>
      <c r="AH632">
        <f t="shared" ca="1" si="107"/>
        <v>1.1499213081272225E-3</v>
      </c>
      <c r="AI632">
        <f>IF(ROW($AA632) - $AA$51 &lt; ($H$16+1)^5, IF(AG632 &gt;= BaseBonus!$C$16, AG632*BaseBonus!$E$31, 0), "")</f>
        <v>0</v>
      </c>
      <c r="AJ632">
        <f t="shared" ca="1" si="108"/>
        <v>0</v>
      </c>
    </row>
    <row r="633" spans="28:36" x14ac:dyDescent="0.3">
      <c r="AB633">
        <f t="shared" si="101"/>
        <v>1</v>
      </c>
      <c r="AC633">
        <f t="shared" si="102"/>
        <v>1</v>
      </c>
      <c r="AD633">
        <f t="shared" si="103"/>
        <v>0</v>
      </c>
      <c r="AE633">
        <f t="shared" si="104"/>
        <v>1</v>
      </c>
      <c r="AF633">
        <f t="shared" si="105"/>
        <v>2</v>
      </c>
      <c r="AG633">
        <f t="shared" si="106"/>
        <v>5</v>
      </c>
      <c r="AH633">
        <f t="shared" ca="1" si="107"/>
        <v>2.1561024527385424E-4</v>
      </c>
      <c r="AI633">
        <f>IF(ROW($AA633) - $AA$51 &lt; ($H$16+1)^5, IF(AG633 &gt;= BaseBonus!$C$16, AG633*BaseBonus!$E$31, 0), "")</f>
        <v>4.6952679064628979</v>
      </c>
      <c r="AJ633">
        <f t="shared" ca="1" si="108"/>
        <v>1.0123478649389215E-3</v>
      </c>
    </row>
    <row r="634" spans="28:36" x14ac:dyDescent="0.3">
      <c r="AB634">
        <f t="shared" si="101"/>
        <v>2</v>
      </c>
      <c r="AC634">
        <f t="shared" si="102"/>
        <v>1</v>
      </c>
      <c r="AD634">
        <f t="shared" si="103"/>
        <v>0</v>
      </c>
      <c r="AE634">
        <f t="shared" si="104"/>
        <v>1</v>
      </c>
      <c r="AF634">
        <f t="shared" si="105"/>
        <v>2</v>
      </c>
      <c r="AG634">
        <f t="shared" si="106"/>
        <v>6</v>
      </c>
      <c r="AH634">
        <f t="shared" ca="1" si="107"/>
        <v>1.0780512263692712E-4</v>
      </c>
      <c r="AI634">
        <f>IF(ROW($AA634) - $AA$51 &lt; ($H$16+1)^5, IF(AG634 &gt;= BaseBonus!$C$16, AG634*BaseBonus!$E$31, 0), "")</f>
        <v>5.6343214877554777</v>
      </c>
      <c r="AJ634">
        <f t="shared" ca="1" si="108"/>
        <v>6.0740871896335297E-4</v>
      </c>
    </row>
    <row r="635" spans="28:36" x14ac:dyDescent="0.3">
      <c r="AB635">
        <f t="shared" si="101"/>
        <v>3</v>
      </c>
      <c r="AC635">
        <f t="shared" si="102"/>
        <v>1</v>
      </c>
      <c r="AD635">
        <f t="shared" si="103"/>
        <v>0</v>
      </c>
      <c r="AE635">
        <f t="shared" si="104"/>
        <v>1</v>
      </c>
      <c r="AF635">
        <f t="shared" si="105"/>
        <v>2</v>
      </c>
      <c r="AG635">
        <f t="shared" si="106"/>
        <v>7</v>
      </c>
      <c r="AH635">
        <f t="shared" ca="1" si="107"/>
        <v>0</v>
      </c>
      <c r="AI635">
        <f>IF(ROW($AA635) - $AA$51 &lt; ($H$16+1)^5, IF(AG635 &gt;= BaseBonus!$C$16, AG635*BaseBonus!$E$31, 0), "")</f>
        <v>6.5733750690480575</v>
      </c>
      <c r="AJ635">
        <f t="shared" ca="1" si="108"/>
        <v>0</v>
      </c>
    </row>
    <row r="636" spans="28:36" x14ac:dyDescent="0.3">
      <c r="AB636">
        <f t="shared" si="101"/>
        <v>0</v>
      </c>
      <c r="AC636">
        <f t="shared" si="102"/>
        <v>2</v>
      </c>
      <c r="AD636">
        <f t="shared" si="103"/>
        <v>0</v>
      </c>
      <c r="AE636">
        <f t="shared" si="104"/>
        <v>1</v>
      </c>
      <c r="AF636">
        <f t="shared" si="105"/>
        <v>2</v>
      </c>
      <c r="AG636">
        <f t="shared" si="106"/>
        <v>5</v>
      </c>
      <c r="AH636">
        <f t="shared" ca="1" si="107"/>
        <v>1.916535513545371E-4</v>
      </c>
      <c r="AI636">
        <f>IF(ROW($AA636) - $AA$51 &lt; ($H$16+1)^5, IF(AG636 &gt;= BaseBonus!$C$16, AG636*BaseBonus!$E$31, 0), "")</f>
        <v>4.6952679064628979</v>
      </c>
      <c r="AJ636">
        <f t="shared" ca="1" si="108"/>
        <v>8.998647688345969E-4</v>
      </c>
    </row>
    <row r="637" spans="28:36" x14ac:dyDescent="0.3">
      <c r="AB637">
        <f t="shared" si="101"/>
        <v>1</v>
      </c>
      <c r="AC637">
        <f t="shared" si="102"/>
        <v>2</v>
      </c>
      <c r="AD637">
        <f t="shared" si="103"/>
        <v>0</v>
      </c>
      <c r="AE637">
        <f t="shared" si="104"/>
        <v>1</v>
      </c>
      <c r="AF637">
        <f t="shared" si="105"/>
        <v>2</v>
      </c>
      <c r="AG637">
        <f t="shared" si="106"/>
        <v>6</v>
      </c>
      <c r="AH637">
        <f t="shared" ca="1" si="107"/>
        <v>3.5935040878975702E-5</v>
      </c>
      <c r="AI637">
        <f>IF(ROW($AA637) - $AA$51 &lt; ($H$16+1)^5, IF(AG637 &gt;= BaseBonus!$C$16, AG637*BaseBonus!$E$31, 0), "")</f>
        <v>5.6343214877554777</v>
      </c>
      <c r="AJ637">
        <f t="shared" ca="1" si="108"/>
        <v>2.024695729877843E-4</v>
      </c>
    </row>
    <row r="638" spans="28:36" x14ac:dyDescent="0.3">
      <c r="AB638">
        <f t="shared" si="101"/>
        <v>2</v>
      </c>
      <c r="AC638">
        <f t="shared" si="102"/>
        <v>2</v>
      </c>
      <c r="AD638">
        <f t="shared" si="103"/>
        <v>0</v>
      </c>
      <c r="AE638">
        <f t="shared" si="104"/>
        <v>1</v>
      </c>
      <c r="AF638">
        <f t="shared" si="105"/>
        <v>2</v>
      </c>
      <c r="AG638">
        <f t="shared" si="106"/>
        <v>7</v>
      </c>
      <c r="AH638">
        <f t="shared" ca="1" si="107"/>
        <v>1.7967520439487851E-5</v>
      </c>
      <c r="AI638">
        <f>IF(ROW($AA638) - $AA$51 &lt; ($H$16+1)^5, IF(AG638 &gt;= BaseBonus!$C$16, AG638*BaseBonus!$E$31, 0), "")</f>
        <v>6.5733750690480575</v>
      </c>
      <c r="AJ638">
        <f t="shared" ca="1" si="108"/>
        <v>1.1810725090954084E-4</v>
      </c>
    </row>
    <row r="639" spans="28:36" x14ac:dyDescent="0.3">
      <c r="AB639">
        <f t="shared" si="101"/>
        <v>3</v>
      </c>
      <c r="AC639">
        <f t="shared" si="102"/>
        <v>2</v>
      </c>
      <c r="AD639">
        <f t="shared" si="103"/>
        <v>0</v>
      </c>
      <c r="AE639">
        <f t="shared" si="104"/>
        <v>1</v>
      </c>
      <c r="AF639">
        <f t="shared" si="105"/>
        <v>2</v>
      </c>
      <c r="AG639">
        <f t="shared" si="106"/>
        <v>8</v>
      </c>
      <c r="AH639">
        <f t="shared" ca="1" si="107"/>
        <v>0</v>
      </c>
      <c r="AI639">
        <f>IF(ROW($AA639) - $AA$51 &lt; ($H$16+1)^5, IF(AG639 &gt;= BaseBonus!$C$16, AG639*BaseBonus!$E$31, 0), "")</f>
        <v>7.5124286503406372</v>
      </c>
      <c r="AJ639">
        <f t="shared" ca="1" si="108"/>
        <v>0</v>
      </c>
    </row>
    <row r="640" spans="28:36" x14ac:dyDescent="0.3">
      <c r="AB640">
        <f t="shared" si="101"/>
        <v>0</v>
      </c>
      <c r="AC640">
        <f t="shared" si="102"/>
        <v>3</v>
      </c>
      <c r="AD640">
        <f t="shared" si="103"/>
        <v>0</v>
      </c>
      <c r="AE640">
        <f t="shared" si="104"/>
        <v>1</v>
      </c>
      <c r="AF640">
        <f t="shared" si="105"/>
        <v>2</v>
      </c>
      <c r="AG640">
        <f t="shared" si="106"/>
        <v>6</v>
      </c>
      <c r="AH640">
        <f t="shared" ca="1" si="107"/>
        <v>0</v>
      </c>
      <c r="AI640">
        <f>IF(ROW($AA640) - $AA$51 &lt; ($H$16+1)^5, IF(AG640 &gt;= BaseBonus!$C$16, AG640*BaseBonus!$E$31, 0), "")</f>
        <v>5.6343214877554777</v>
      </c>
      <c r="AJ640">
        <f t="shared" ca="1" si="108"/>
        <v>0</v>
      </c>
    </row>
    <row r="641" spans="28:36" x14ac:dyDescent="0.3">
      <c r="AB641">
        <f t="shared" si="101"/>
        <v>1</v>
      </c>
      <c r="AC641">
        <f t="shared" si="102"/>
        <v>3</v>
      </c>
      <c r="AD641">
        <f t="shared" si="103"/>
        <v>0</v>
      </c>
      <c r="AE641">
        <f t="shared" si="104"/>
        <v>1</v>
      </c>
      <c r="AF641">
        <f t="shared" si="105"/>
        <v>2</v>
      </c>
      <c r="AG641">
        <f t="shared" si="106"/>
        <v>7</v>
      </c>
      <c r="AH641">
        <f t="shared" ca="1" si="107"/>
        <v>0</v>
      </c>
      <c r="AI641">
        <f>IF(ROW($AA641) - $AA$51 &lt; ($H$16+1)^5, IF(AG641 &gt;= BaseBonus!$C$16, AG641*BaseBonus!$E$31, 0), "")</f>
        <v>6.5733750690480575</v>
      </c>
      <c r="AJ641">
        <f t="shared" ca="1" si="108"/>
        <v>0</v>
      </c>
    </row>
    <row r="642" spans="28:36" x14ac:dyDescent="0.3">
      <c r="AB642">
        <f t="shared" si="101"/>
        <v>2</v>
      </c>
      <c r="AC642">
        <f t="shared" si="102"/>
        <v>3</v>
      </c>
      <c r="AD642">
        <f t="shared" si="103"/>
        <v>0</v>
      </c>
      <c r="AE642">
        <f t="shared" si="104"/>
        <v>1</v>
      </c>
      <c r="AF642">
        <f t="shared" si="105"/>
        <v>2</v>
      </c>
      <c r="AG642">
        <f t="shared" si="106"/>
        <v>8</v>
      </c>
      <c r="AH642">
        <f t="shared" ca="1" si="107"/>
        <v>0</v>
      </c>
      <c r="AI642">
        <f>IF(ROW($AA642) - $AA$51 &lt; ($H$16+1)^5, IF(AG642 &gt;= BaseBonus!$C$16, AG642*BaseBonus!$E$31, 0), "")</f>
        <v>7.5124286503406372</v>
      </c>
      <c r="AJ642">
        <f t="shared" ca="1" si="108"/>
        <v>0</v>
      </c>
    </row>
    <row r="643" spans="28:36" x14ac:dyDescent="0.3">
      <c r="AB643">
        <f t="shared" si="101"/>
        <v>3</v>
      </c>
      <c r="AC643">
        <f t="shared" si="102"/>
        <v>3</v>
      </c>
      <c r="AD643">
        <f t="shared" si="103"/>
        <v>0</v>
      </c>
      <c r="AE643">
        <f t="shared" si="104"/>
        <v>1</v>
      </c>
      <c r="AF643">
        <f t="shared" si="105"/>
        <v>2</v>
      </c>
      <c r="AG643">
        <f t="shared" si="106"/>
        <v>9</v>
      </c>
      <c r="AH643">
        <f t="shared" ca="1" si="107"/>
        <v>0</v>
      </c>
      <c r="AI643">
        <f>IF(ROW($AA643) - $AA$51 &lt; ($H$16+1)^5, IF(AG643 &gt;= BaseBonus!$C$16, AG643*BaseBonus!$E$31, 0), "")</f>
        <v>8.4514822316332161</v>
      </c>
      <c r="AJ643">
        <f t="shared" ca="1" si="108"/>
        <v>0</v>
      </c>
    </row>
    <row r="644" spans="28:36" x14ac:dyDescent="0.3">
      <c r="AB644">
        <f t="shared" si="101"/>
        <v>0</v>
      </c>
      <c r="AC644">
        <f t="shared" si="102"/>
        <v>0</v>
      </c>
      <c r="AD644">
        <f t="shared" si="103"/>
        <v>1</v>
      </c>
      <c r="AE644">
        <f t="shared" si="104"/>
        <v>1</v>
      </c>
      <c r="AF644">
        <f t="shared" si="105"/>
        <v>2</v>
      </c>
      <c r="AG644">
        <f t="shared" si="106"/>
        <v>4</v>
      </c>
      <c r="AH644">
        <f t="shared" ca="1" si="107"/>
        <v>8.6505919901009632E-4</v>
      </c>
      <c r="AI644">
        <f>IF(ROW($AA644) - $AA$51 &lt; ($H$16+1)^5, IF(AG644 &gt;= BaseBonus!$C$16, AG644*BaseBonus!$E$31, 0), "")</f>
        <v>0</v>
      </c>
      <c r="AJ644">
        <f t="shared" ca="1" si="108"/>
        <v>0</v>
      </c>
    </row>
    <row r="645" spans="28:36" x14ac:dyDescent="0.3">
      <c r="AB645">
        <f t="shared" si="101"/>
        <v>1</v>
      </c>
      <c r="AC645">
        <f t="shared" si="102"/>
        <v>0</v>
      </c>
      <c r="AD645">
        <f t="shared" si="103"/>
        <v>1</v>
      </c>
      <c r="AE645">
        <f t="shared" si="104"/>
        <v>1</v>
      </c>
      <c r="AF645">
        <f t="shared" si="105"/>
        <v>2</v>
      </c>
      <c r="AG645">
        <f t="shared" si="106"/>
        <v>5</v>
      </c>
      <c r="AH645">
        <f t="shared" ca="1" si="107"/>
        <v>1.6219859981439309E-4</v>
      </c>
      <c r="AI645">
        <f>IF(ROW($AA645) - $AA$51 &lt; ($H$16+1)^5, IF(AG645 &gt;= BaseBonus!$C$16, AG645*BaseBonus!$E$31, 0), "")</f>
        <v>4.6952679064628979</v>
      </c>
      <c r="AJ645">
        <f t="shared" ca="1" si="108"/>
        <v>7.6156588018173887E-4</v>
      </c>
    </row>
    <row r="646" spans="28:36" x14ac:dyDescent="0.3">
      <c r="AB646">
        <f t="shared" si="101"/>
        <v>2</v>
      </c>
      <c r="AC646">
        <f t="shared" si="102"/>
        <v>0</v>
      </c>
      <c r="AD646">
        <f t="shared" si="103"/>
        <v>1</v>
      </c>
      <c r="AE646">
        <f t="shared" si="104"/>
        <v>1</v>
      </c>
      <c r="AF646">
        <f t="shared" si="105"/>
        <v>2</v>
      </c>
      <c r="AG646">
        <f t="shared" si="106"/>
        <v>6</v>
      </c>
      <c r="AH646">
        <f t="shared" ca="1" si="107"/>
        <v>8.1099299907196547E-5</v>
      </c>
      <c r="AI646">
        <f>IF(ROW($AA646) - $AA$51 &lt; ($H$16+1)^5, IF(AG646 &gt;= BaseBonus!$C$16, AG646*BaseBonus!$E$31, 0), "")</f>
        <v>5.6343214877554777</v>
      </c>
      <c r="AJ646">
        <f t="shared" ca="1" si="108"/>
        <v>4.5693952810904332E-4</v>
      </c>
    </row>
    <row r="647" spans="28:36" x14ac:dyDescent="0.3">
      <c r="AB647">
        <f t="shared" si="101"/>
        <v>3</v>
      </c>
      <c r="AC647">
        <f t="shared" si="102"/>
        <v>0</v>
      </c>
      <c r="AD647">
        <f t="shared" si="103"/>
        <v>1</v>
      </c>
      <c r="AE647">
        <f t="shared" si="104"/>
        <v>1</v>
      </c>
      <c r="AF647">
        <f t="shared" si="105"/>
        <v>2</v>
      </c>
      <c r="AG647">
        <f t="shared" si="106"/>
        <v>7</v>
      </c>
      <c r="AH647">
        <f t="shared" ca="1" si="107"/>
        <v>0</v>
      </c>
      <c r="AI647">
        <f>IF(ROW($AA647) - $AA$51 &lt; ($H$16+1)^5, IF(AG647 &gt;= BaseBonus!$C$16, AG647*BaseBonus!$E$31, 0), "")</f>
        <v>6.5733750690480575</v>
      </c>
      <c r="AJ647">
        <f t="shared" ca="1" si="108"/>
        <v>0</v>
      </c>
    </row>
    <row r="648" spans="28:36" x14ac:dyDescent="0.3">
      <c r="AB648">
        <f t="shared" si="101"/>
        <v>0</v>
      </c>
      <c r="AC648">
        <f t="shared" si="102"/>
        <v>1</v>
      </c>
      <c r="AD648">
        <f t="shared" si="103"/>
        <v>1</v>
      </c>
      <c r="AE648">
        <f t="shared" si="104"/>
        <v>1</v>
      </c>
      <c r="AF648">
        <f t="shared" si="105"/>
        <v>2</v>
      </c>
      <c r="AG648">
        <f t="shared" si="106"/>
        <v>5</v>
      </c>
      <c r="AH648">
        <f t="shared" ca="1" si="107"/>
        <v>2.6391636579969045E-4</v>
      </c>
      <c r="AI648">
        <f>IF(ROW($AA648) - $AA$51 &lt; ($H$16+1)^5, IF(AG648 &gt;= BaseBonus!$C$16, AG648*BaseBonus!$E$31, 0), "")</f>
        <v>4.6952679064628979</v>
      </c>
      <c r="AJ648">
        <f t="shared" ca="1" si="108"/>
        <v>1.239158042329609E-3</v>
      </c>
    </row>
    <row r="649" spans="28:36" x14ac:dyDescent="0.3">
      <c r="AB649">
        <f t="shared" si="101"/>
        <v>1</v>
      </c>
      <c r="AC649">
        <f t="shared" si="102"/>
        <v>1</v>
      </c>
      <c r="AD649">
        <f t="shared" si="103"/>
        <v>1</v>
      </c>
      <c r="AE649">
        <f t="shared" si="104"/>
        <v>1</v>
      </c>
      <c r="AF649">
        <f t="shared" si="105"/>
        <v>2</v>
      </c>
      <c r="AG649">
        <f t="shared" si="106"/>
        <v>6</v>
      </c>
      <c r="AH649">
        <f t="shared" ca="1" si="107"/>
        <v>4.9484318587441959E-5</v>
      </c>
      <c r="AI649">
        <f>IF(ROW($AA649) - $AA$51 &lt; ($H$16+1)^5, IF(AG649 &gt;= BaseBonus!$C$16, AG649*BaseBonus!$E$31, 0), "")</f>
        <v>5.6343214877554777</v>
      </c>
      <c r="AJ649">
        <f t="shared" ca="1" si="108"/>
        <v>2.7881055952416202E-4</v>
      </c>
    </row>
    <row r="650" spans="28:36" x14ac:dyDescent="0.3">
      <c r="AB650">
        <f t="shared" si="101"/>
        <v>2</v>
      </c>
      <c r="AC650">
        <f t="shared" si="102"/>
        <v>1</v>
      </c>
      <c r="AD650">
        <f t="shared" si="103"/>
        <v>1</v>
      </c>
      <c r="AE650">
        <f t="shared" si="104"/>
        <v>1</v>
      </c>
      <c r="AF650">
        <f t="shared" si="105"/>
        <v>2</v>
      </c>
      <c r="AG650">
        <f t="shared" si="106"/>
        <v>7</v>
      </c>
      <c r="AH650">
        <f t="shared" ca="1" si="107"/>
        <v>2.474215929372098E-5</v>
      </c>
      <c r="AI650">
        <f>IF(ROW($AA650) - $AA$51 &lt; ($H$16+1)^5, IF(AG650 &gt;= BaseBonus!$C$16, AG650*BaseBonus!$E$31, 0), "")</f>
        <v>6.5733750690480575</v>
      </c>
      <c r="AJ650">
        <f t="shared" ca="1" si="108"/>
        <v>1.6263949305576119E-4</v>
      </c>
    </row>
    <row r="651" spans="28:36" x14ac:dyDescent="0.3">
      <c r="AB651">
        <f t="shared" si="101"/>
        <v>3</v>
      </c>
      <c r="AC651">
        <f t="shared" si="102"/>
        <v>1</v>
      </c>
      <c r="AD651">
        <f t="shared" si="103"/>
        <v>1</v>
      </c>
      <c r="AE651">
        <f t="shared" si="104"/>
        <v>1</v>
      </c>
      <c r="AF651">
        <f t="shared" si="105"/>
        <v>2</v>
      </c>
      <c r="AG651">
        <f t="shared" si="106"/>
        <v>8</v>
      </c>
      <c r="AH651">
        <f t="shared" ca="1" si="107"/>
        <v>0</v>
      </c>
      <c r="AI651">
        <f>IF(ROW($AA651) - $AA$51 &lt; ($H$16+1)^5, IF(AG651 &gt;= BaseBonus!$C$16, AG651*BaseBonus!$E$31, 0), "")</f>
        <v>7.5124286503406372</v>
      </c>
      <c r="AJ651">
        <f t="shared" ca="1" si="108"/>
        <v>0</v>
      </c>
    </row>
    <row r="652" spans="28:36" x14ac:dyDescent="0.3">
      <c r="AB652">
        <f t="shared" si="101"/>
        <v>0</v>
      </c>
      <c r="AC652">
        <f t="shared" si="102"/>
        <v>2</v>
      </c>
      <c r="AD652">
        <f t="shared" si="103"/>
        <v>1</v>
      </c>
      <c r="AE652">
        <f t="shared" si="104"/>
        <v>1</v>
      </c>
      <c r="AF652">
        <f t="shared" si="105"/>
        <v>2</v>
      </c>
      <c r="AG652">
        <f t="shared" si="106"/>
        <v>6</v>
      </c>
      <c r="AH652">
        <f t="shared" ca="1" si="107"/>
        <v>4.3986060966615066E-5</v>
      </c>
      <c r="AI652">
        <f>IF(ROW($AA652) - $AA$51 &lt; ($H$16+1)^5, IF(AG652 &gt;= BaseBonus!$C$16, AG652*BaseBonus!$E$31, 0), "")</f>
        <v>5.6343214877554777</v>
      </c>
      <c r="AJ652">
        <f t="shared" ca="1" si="108"/>
        <v>2.4783160846592175E-4</v>
      </c>
    </row>
    <row r="653" spans="28:36" x14ac:dyDescent="0.3">
      <c r="AB653">
        <f t="shared" si="101"/>
        <v>1</v>
      </c>
      <c r="AC653">
        <f t="shared" si="102"/>
        <v>2</v>
      </c>
      <c r="AD653">
        <f t="shared" si="103"/>
        <v>1</v>
      </c>
      <c r="AE653">
        <f t="shared" si="104"/>
        <v>1</v>
      </c>
      <c r="AF653">
        <f t="shared" si="105"/>
        <v>2</v>
      </c>
      <c r="AG653">
        <f t="shared" si="106"/>
        <v>7</v>
      </c>
      <c r="AH653">
        <f t="shared" ca="1" si="107"/>
        <v>8.2473864312403249E-6</v>
      </c>
      <c r="AI653">
        <f>IF(ROW($AA653) - $AA$51 &lt; ($H$16+1)^5, IF(AG653 &gt;= BaseBonus!$C$16, AG653*BaseBonus!$E$31, 0), "")</f>
        <v>6.5733750690480575</v>
      </c>
      <c r="AJ653">
        <f t="shared" ca="1" si="108"/>
        <v>5.4213164351920383E-5</v>
      </c>
    </row>
    <row r="654" spans="28:36" x14ac:dyDescent="0.3">
      <c r="AB654">
        <f t="shared" si="101"/>
        <v>2</v>
      </c>
      <c r="AC654">
        <f t="shared" si="102"/>
        <v>2</v>
      </c>
      <c r="AD654">
        <f t="shared" si="103"/>
        <v>1</v>
      </c>
      <c r="AE654">
        <f t="shared" si="104"/>
        <v>1</v>
      </c>
      <c r="AF654">
        <f t="shared" si="105"/>
        <v>2</v>
      </c>
      <c r="AG654">
        <f t="shared" si="106"/>
        <v>8</v>
      </c>
      <c r="AH654">
        <f t="shared" ca="1" si="107"/>
        <v>4.1236932156201624E-6</v>
      </c>
      <c r="AI654">
        <f>IF(ROW($AA654) - $AA$51 &lt; ($H$16+1)^5, IF(AG654 &gt;= BaseBonus!$C$16, AG654*BaseBonus!$E$31, 0), "")</f>
        <v>7.5124286503406372</v>
      </c>
      <c r="AJ654">
        <f t="shared" ca="1" si="108"/>
        <v>3.0978951058240219E-5</v>
      </c>
    </row>
    <row r="655" spans="28:36" x14ac:dyDescent="0.3">
      <c r="AB655">
        <f t="shared" si="101"/>
        <v>3</v>
      </c>
      <c r="AC655">
        <f t="shared" si="102"/>
        <v>2</v>
      </c>
      <c r="AD655">
        <f t="shared" si="103"/>
        <v>1</v>
      </c>
      <c r="AE655">
        <f t="shared" si="104"/>
        <v>1</v>
      </c>
      <c r="AF655">
        <f t="shared" si="105"/>
        <v>2</v>
      </c>
      <c r="AG655">
        <f t="shared" si="106"/>
        <v>9</v>
      </c>
      <c r="AH655">
        <f t="shared" ca="1" si="107"/>
        <v>0</v>
      </c>
      <c r="AI655">
        <f>IF(ROW($AA655) - $AA$51 &lt; ($H$16+1)^5, IF(AG655 &gt;= BaseBonus!$C$16, AG655*BaseBonus!$E$31, 0), "")</f>
        <v>8.4514822316332161</v>
      </c>
      <c r="AJ655">
        <f t="shared" ca="1" si="108"/>
        <v>0</v>
      </c>
    </row>
    <row r="656" spans="28:36" x14ac:dyDescent="0.3">
      <c r="AB656">
        <f t="shared" si="101"/>
        <v>0</v>
      </c>
      <c r="AC656">
        <f t="shared" si="102"/>
        <v>3</v>
      </c>
      <c r="AD656">
        <f t="shared" si="103"/>
        <v>1</v>
      </c>
      <c r="AE656">
        <f t="shared" si="104"/>
        <v>1</v>
      </c>
      <c r="AF656">
        <f t="shared" si="105"/>
        <v>2</v>
      </c>
      <c r="AG656">
        <f t="shared" si="106"/>
        <v>7</v>
      </c>
      <c r="AH656">
        <f t="shared" ca="1" si="107"/>
        <v>0</v>
      </c>
      <c r="AI656">
        <f>IF(ROW($AA656) - $AA$51 &lt; ($H$16+1)^5, IF(AG656 &gt;= BaseBonus!$C$16, AG656*BaseBonus!$E$31, 0), "")</f>
        <v>6.5733750690480575</v>
      </c>
      <c r="AJ656">
        <f t="shared" ca="1" si="108"/>
        <v>0</v>
      </c>
    </row>
    <row r="657" spans="28:36" x14ac:dyDescent="0.3">
      <c r="AB657">
        <f t="shared" si="101"/>
        <v>1</v>
      </c>
      <c r="AC657">
        <f t="shared" si="102"/>
        <v>3</v>
      </c>
      <c r="AD657">
        <f t="shared" si="103"/>
        <v>1</v>
      </c>
      <c r="AE657">
        <f t="shared" si="104"/>
        <v>1</v>
      </c>
      <c r="AF657">
        <f t="shared" si="105"/>
        <v>2</v>
      </c>
      <c r="AG657">
        <f t="shared" si="106"/>
        <v>8</v>
      </c>
      <c r="AH657">
        <f t="shared" ca="1" si="107"/>
        <v>0</v>
      </c>
      <c r="AI657">
        <f>IF(ROW($AA657) - $AA$51 &lt; ($H$16+1)^5, IF(AG657 &gt;= BaseBonus!$C$16, AG657*BaseBonus!$E$31, 0), "")</f>
        <v>7.5124286503406372</v>
      </c>
      <c r="AJ657">
        <f t="shared" ca="1" si="108"/>
        <v>0</v>
      </c>
    </row>
    <row r="658" spans="28:36" x14ac:dyDescent="0.3">
      <c r="AB658">
        <f t="shared" si="101"/>
        <v>2</v>
      </c>
      <c r="AC658">
        <f t="shared" si="102"/>
        <v>3</v>
      </c>
      <c r="AD658">
        <f t="shared" si="103"/>
        <v>1</v>
      </c>
      <c r="AE658">
        <f t="shared" si="104"/>
        <v>1</v>
      </c>
      <c r="AF658">
        <f t="shared" si="105"/>
        <v>2</v>
      </c>
      <c r="AG658">
        <f t="shared" si="106"/>
        <v>9</v>
      </c>
      <c r="AH658">
        <f t="shared" ca="1" si="107"/>
        <v>0</v>
      </c>
      <c r="AI658">
        <f>IF(ROW($AA658) - $AA$51 &lt; ($H$16+1)^5, IF(AG658 &gt;= BaseBonus!$C$16, AG658*BaseBonus!$E$31, 0), "")</f>
        <v>8.4514822316332161</v>
      </c>
      <c r="AJ658">
        <f t="shared" ca="1" si="108"/>
        <v>0</v>
      </c>
    </row>
    <row r="659" spans="28:36" x14ac:dyDescent="0.3">
      <c r="AB659">
        <f t="shared" si="101"/>
        <v>3</v>
      </c>
      <c r="AC659">
        <f t="shared" si="102"/>
        <v>3</v>
      </c>
      <c r="AD659">
        <f t="shared" si="103"/>
        <v>1</v>
      </c>
      <c r="AE659">
        <f t="shared" si="104"/>
        <v>1</v>
      </c>
      <c r="AF659">
        <f t="shared" si="105"/>
        <v>2</v>
      </c>
      <c r="AG659">
        <f t="shared" si="106"/>
        <v>10</v>
      </c>
      <c r="AH659">
        <f t="shared" ca="1" si="107"/>
        <v>0</v>
      </c>
      <c r="AI659">
        <f>IF(ROW($AA659) - $AA$51 &lt; ($H$16+1)^5, IF(AG659 &gt;= BaseBonus!$C$16, AG659*BaseBonus!$E$31, 0), "")</f>
        <v>9.3905358129257959</v>
      </c>
      <c r="AJ659">
        <f t="shared" ca="1" si="108"/>
        <v>0</v>
      </c>
    </row>
    <row r="660" spans="28:36" x14ac:dyDescent="0.3">
      <c r="AB660">
        <f t="shared" si="101"/>
        <v>0</v>
      </c>
      <c r="AC660">
        <f t="shared" si="102"/>
        <v>0</v>
      </c>
      <c r="AD660">
        <f t="shared" si="103"/>
        <v>2</v>
      </c>
      <c r="AE660">
        <f t="shared" si="104"/>
        <v>1</v>
      </c>
      <c r="AF660">
        <f t="shared" si="105"/>
        <v>2</v>
      </c>
      <c r="AG660">
        <f t="shared" si="106"/>
        <v>5</v>
      </c>
      <c r="AH660">
        <f t="shared" ca="1" si="107"/>
        <v>6.7968937065079004E-4</v>
      </c>
      <c r="AI660">
        <f>IF(ROW($AA660) - $AA$51 &lt; ($H$16+1)^5, IF(AG660 &gt;= BaseBonus!$C$16, AG660*BaseBonus!$E$31, 0), "")</f>
        <v>4.6952679064628979</v>
      </c>
      <c r="AJ660">
        <f t="shared" ca="1" si="108"/>
        <v>3.1913236883806197E-3</v>
      </c>
    </row>
    <row r="661" spans="28:36" x14ac:dyDescent="0.3">
      <c r="AB661">
        <f t="shared" si="101"/>
        <v>1</v>
      </c>
      <c r="AC661">
        <f t="shared" si="102"/>
        <v>0</v>
      </c>
      <c r="AD661">
        <f t="shared" si="103"/>
        <v>2</v>
      </c>
      <c r="AE661">
        <f t="shared" si="104"/>
        <v>1</v>
      </c>
      <c r="AF661">
        <f t="shared" si="105"/>
        <v>2</v>
      </c>
      <c r="AG661">
        <f t="shared" si="106"/>
        <v>6</v>
      </c>
      <c r="AH661">
        <f t="shared" ca="1" si="107"/>
        <v>1.2744175699702312E-4</v>
      </c>
      <c r="AI661">
        <f>IF(ROW($AA661) - $AA$51 &lt; ($H$16+1)^5, IF(AG661 &gt;= BaseBonus!$C$16, AG661*BaseBonus!$E$31, 0), "")</f>
        <v>5.6343214877554777</v>
      </c>
      <c r="AJ661">
        <f t="shared" ca="1" si="108"/>
        <v>7.1804782988563935E-4</v>
      </c>
    </row>
    <row r="662" spans="28:36" x14ac:dyDescent="0.3">
      <c r="AB662">
        <f t="shared" si="101"/>
        <v>2</v>
      </c>
      <c r="AC662">
        <f t="shared" si="102"/>
        <v>0</v>
      </c>
      <c r="AD662">
        <f t="shared" si="103"/>
        <v>2</v>
      </c>
      <c r="AE662">
        <f t="shared" si="104"/>
        <v>1</v>
      </c>
      <c r="AF662">
        <f t="shared" si="105"/>
        <v>2</v>
      </c>
      <c r="AG662">
        <f t="shared" si="106"/>
        <v>7</v>
      </c>
      <c r="AH662">
        <f t="shared" ca="1" si="107"/>
        <v>6.3720878498511559E-5</v>
      </c>
      <c r="AI662">
        <f>IF(ROW($AA662) - $AA$51 &lt; ($H$16+1)^5, IF(AG662 &gt;= BaseBonus!$C$16, AG662*BaseBonus!$E$31, 0), "")</f>
        <v>6.5733750690480575</v>
      </c>
      <c r="AJ662">
        <f t="shared" ca="1" si="108"/>
        <v>4.188612340999563E-4</v>
      </c>
    </row>
    <row r="663" spans="28:36" x14ac:dyDescent="0.3">
      <c r="AB663">
        <f t="shared" si="101"/>
        <v>3</v>
      </c>
      <c r="AC663">
        <f t="shared" si="102"/>
        <v>0</v>
      </c>
      <c r="AD663">
        <f t="shared" si="103"/>
        <v>2</v>
      </c>
      <c r="AE663">
        <f t="shared" si="104"/>
        <v>1</v>
      </c>
      <c r="AF663">
        <f t="shared" si="105"/>
        <v>2</v>
      </c>
      <c r="AG663">
        <f t="shared" si="106"/>
        <v>8</v>
      </c>
      <c r="AH663">
        <f t="shared" ca="1" si="107"/>
        <v>0</v>
      </c>
      <c r="AI663">
        <f>IF(ROW($AA663) - $AA$51 &lt; ($H$16+1)^5, IF(AG663 &gt;= BaseBonus!$C$16, AG663*BaseBonus!$E$31, 0), "")</f>
        <v>7.5124286503406372</v>
      </c>
      <c r="AJ663">
        <f t="shared" ca="1" si="108"/>
        <v>0</v>
      </c>
    </row>
    <row r="664" spans="28:36" x14ac:dyDescent="0.3">
      <c r="AB664">
        <f t="shared" si="101"/>
        <v>0</v>
      </c>
      <c r="AC664">
        <f t="shared" si="102"/>
        <v>1</v>
      </c>
      <c r="AD664">
        <f t="shared" si="103"/>
        <v>2</v>
      </c>
      <c r="AE664">
        <f t="shared" si="104"/>
        <v>1</v>
      </c>
      <c r="AF664">
        <f t="shared" si="105"/>
        <v>2</v>
      </c>
      <c r="AG664">
        <f t="shared" si="106"/>
        <v>6</v>
      </c>
      <c r="AH664">
        <f t="shared" ca="1" si="107"/>
        <v>2.0736285884261391E-4</v>
      </c>
      <c r="AI664">
        <f>IF(ROW($AA664) - $AA$51 &lt; ($H$16+1)^5, IF(AG664 &gt;= BaseBonus!$C$16, AG664*BaseBonus!$E$31, 0), "")</f>
        <v>5.6343214877554777</v>
      </c>
      <c r="AJ664">
        <f t="shared" ca="1" si="108"/>
        <v>1.1683490113393456E-3</v>
      </c>
    </row>
    <row r="665" spans="28:36" x14ac:dyDescent="0.3">
      <c r="AB665">
        <f t="shared" si="101"/>
        <v>1</v>
      </c>
      <c r="AC665">
        <f t="shared" si="102"/>
        <v>1</v>
      </c>
      <c r="AD665">
        <f t="shared" si="103"/>
        <v>2</v>
      </c>
      <c r="AE665">
        <f t="shared" si="104"/>
        <v>1</v>
      </c>
      <c r="AF665">
        <f t="shared" si="105"/>
        <v>2</v>
      </c>
      <c r="AG665">
        <f t="shared" si="106"/>
        <v>7</v>
      </c>
      <c r="AH665">
        <f t="shared" ca="1" si="107"/>
        <v>3.8880536032990104E-5</v>
      </c>
      <c r="AI665">
        <f>IF(ROW($AA665) - $AA$51 &lt; ($H$16+1)^5, IF(AG665 &gt;= BaseBonus!$C$16, AG665*BaseBonus!$E$31, 0), "")</f>
        <v>6.5733750690480575</v>
      </c>
      <c r="AJ665">
        <f t="shared" ca="1" si="108"/>
        <v>2.5557634623048182E-4</v>
      </c>
    </row>
    <row r="666" spans="28:36" x14ac:dyDescent="0.3">
      <c r="AB666">
        <f t="shared" si="101"/>
        <v>2</v>
      </c>
      <c r="AC666">
        <f t="shared" si="102"/>
        <v>1</v>
      </c>
      <c r="AD666">
        <f t="shared" si="103"/>
        <v>2</v>
      </c>
      <c r="AE666">
        <f t="shared" si="104"/>
        <v>1</v>
      </c>
      <c r="AF666">
        <f t="shared" si="105"/>
        <v>2</v>
      </c>
      <c r="AG666">
        <f t="shared" si="106"/>
        <v>8</v>
      </c>
      <c r="AH666">
        <f t="shared" ca="1" si="107"/>
        <v>1.9440268016495052E-5</v>
      </c>
      <c r="AI666">
        <f>IF(ROW($AA666) - $AA$51 &lt; ($H$16+1)^5, IF(AG666 &gt;= BaseBonus!$C$16, AG666*BaseBonus!$E$31, 0), "")</f>
        <v>7.5124286503406372</v>
      </c>
      <c r="AJ666">
        <f t="shared" ca="1" si="108"/>
        <v>1.4604362641741818E-4</v>
      </c>
    </row>
    <row r="667" spans="28:36" x14ac:dyDescent="0.3">
      <c r="AB667">
        <f t="shared" si="101"/>
        <v>3</v>
      </c>
      <c r="AC667">
        <f t="shared" si="102"/>
        <v>1</v>
      </c>
      <c r="AD667">
        <f t="shared" si="103"/>
        <v>2</v>
      </c>
      <c r="AE667">
        <f t="shared" si="104"/>
        <v>1</v>
      </c>
      <c r="AF667">
        <f t="shared" si="105"/>
        <v>2</v>
      </c>
      <c r="AG667">
        <f t="shared" si="106"/>
        <v>9</v>
      </c>
      <c r="AH667">
        <f t="shared" ca="1" si="107"/>
        <v>0</v>
      </c>
      <c r="AI667">
        <f>IF(ROW($AA667) - $AA$51 &lt; ($H$16+1)^5, IF(AG667 &gt;= BaseBonus!$C$16, AG667*BaseBonus!$E$31, 0), "")</f>
        <v>8.4514822316332161</v>
      </c>
      <c r="AJ667">
        <f t="shared" ca="1" si="108"/>
        <v>0</v>
      </c>
    </row>
    <row r="668" spans="28:36" x14ac:dyDescent="0.3">
      <c r="AB668">
        <f t="shared" si="101"/>
        <v>0</v>
      </c>
      <c r="AC668">
        <f t="shared" si="102"/>
        <v>2</v>
      </c>
      <c r="AD668">
        <f t="shared" si="103"/>
        <v>2</v>
      </c>
      <c r="AE668">
        <f t="shared" si="104"/>
        <v>1</v>
      </c>
      <c r="AF668">
        <f t="shared" si="105"/>
        <v>2</v>
      </c>
      <c r="AG668">
        <f t="shared" si="106"/>
        <v>7</v>
      </c>
      <c r="AH668">
        <f t="shared" ca="1" si="107"/>
        <v>3.4560476473768983E-5</v>
      </c>
      <c r="AI668">
        <f>IF(ROW($AA668) - $AA$51 &lt; ($H$16+1)^5, IF(AG668 &gt;= BaseBonus!$C$16, AG668*BaseBonus!$E$31, 0), "")</f>
        <v>6.5733750690480575</v>
      </c>
      <c r="AJ668">
        <f t="shared" ca="1" si="108"/>
        <v>2.2717897442709495E-4</v>
      </c>
    </row>
    <row r="669" spans="28:36" x14ac:dyDescent="0.3">
      <c r="AB669">
        <f t="shared" si="101"/>
        <v>1</v>
      </c>
      <c r="AC669">
        <f t="shared" si="102"/>
        <v>2</v>
      </c>
      <c r="AD669">
        <f t="shared" si="103"/>
        <v>2</v>
      </c>
      <c r="AE669">
        <f t="shared" si="104"/>
        <v>1</v>
      </c>
      <c r="AF669">
        <f t="shared" si="105"/>
        <v>2</v>
      </c>
      <c r="AG669">
        <f t="shared" si="106"/>
        <v>8</v>
      </c>
      <c r="AH669">
        <f t="shared" ca="1" si="107"/>
        <v>6.4800893388316839E-6</v>
      </c>
      <c r="AI669">
        <f>IF(ROW($AA669) - $AA$51 &lt; ($H$16+1)^5, IF(AG669 &gt;= BaseBonus!$C$16, AG669*BaseBonus!$E$31, 0), "")</f>
        <v>7.5124286503406372</v>
      </c>
      <c r="AJ669">
        <f t="shared" ca="1" si="108"/>
        <v>4.8681208805806057E-5</v>
      </c>
    </row>
    <row r="670" spans="28:36" x14ac:dyDescent="0.3">
      <c r="AB670">
        <f t="shared" si="101"/>
        <v>2</v>
      </c>
      <c r="AC670">
        <f t="shared" si="102"/>
        <v>2</v>
      </c>
      <c r="AD670">
        <f t="shared" si="103"/>
        <v>2</v>
      </c>
      <c r="AE670">
        <f t="shared" si="104"/>
        <v>1</v>
      </c>
      <c r="AF670">
        <f t="shared" si="105"/>
        <v>2</v>
      </c>
      <c r="AG670">
        <f t="shared" si="106"/>
        <v>9</v>
      </c>
      <c r="AH670">
        <f t="shared" ca="1" si="107"/>
        <v>3.240044669415842E-6</v>
      </c>
      <c r="AI670">
        <f>IF(ROW($AA670) - $AA$51 &lt; ($H$16+1)^5, IF(AG670 &gt;= BaseBonus!$C$16, AG670*BaseBonus!$E$31, 0), "")</f>
        <v>8.4514822316332161</v>
      </c>
      <c r="AJ670">
        <f t="shared" ca="1" si="108"/>
        <v>2.7383179953265907E-5</v>
      </c>
    </row>
    <row r="671" spans="28:36" x14ac:dyDescent="0.3">
      <c r="AB671">
        <f t="shared" si="101"/>
        <v>3</v>
      </c>
      <c r="AC671">
        <f t="shared" si="102"/>
        <v>2</v>
      </c>
      <c r="AD671">
        <f t="shared" si="103"/>
        <v>2</v>
      </c>
      <c r="AE671">
        <f t="shared" si="104"/>
        <v>1</v>
      </c>
      <c r="AF671">
        <f t="shared" si="105"/>
        <v>2</v>
      </c>
      <c r="AG671">
        <f t="shared" si="106"/>
        <v>10</v>
      </c>
      <c r="AH671">
        <f t="shared" ca="1" si="107"/>
        <v>0</v>
      </c>
      <c r="AI671">
        <f>IF(ROW($AA671) - $AA$51 &lt; ($H$16+1)^5, IF(AG671 &gt;= BaseBonus!$C$16, AG671*BaseBonus!$E$31, 0), "")</f>
        <v>9.3905358129257959</v>
      </c>
      <c r="AJ671">
        <f t="shared" ca="1" si="108"/>
        <v>0</v>
      </c>
    </row>
    <row r="672" spans="28:36" x14ac:dyDescent="0.3">
      <c r="AB672">
        <f t="shared" si="101"/>
        <v>0</v>
      </c>
      <c r="AC672">
        <f t="shared" si="102"/>
        <v>3</v>
      </c>
      <c r="AD672">
        <f t="shared" si="103"/>
        <v>2</v>
      </c>
      <c r="AE672">
        <f t="shared" si="104"/>
        <v>1</v>
      </c>
      <c r="AF672">
        <f t="shared" si="105"/>
        <v>2</v>
      </c>
      <c r="AG672">
        <f t="shared" si="106"/>
        <v>8</v>
      </c>
      <c r="AH672">
        <f t="shared" ca="1" si="107"/>
        <v>0</v>
      </c>
      <c r="AI672">
        <f>IF(ROW($AA672) - $AA$51 &lt; ($H$16+1)^5, IF(AG672 &gt;= BaseBonus!$C$16, AG672*BaseBonus!$E$31, 0), "")</f>
        <v>7.5124286503406372</v>
      </c>
      <c r="AJ672">
        <f t="shared" ca="1" si="108"/>
        <v>0</v>
      </c>
    </row>
    <row r="673" spans="28:36" x14ac:dyDescent="0.3">
      <c r="AB673">
        <f t="shared" si="101"/>
        <v>1</v>
      </c>
      <c r="AC673">
        <f t="shared" si="102"/>
        <v>3</v>
      </c>
      <c r="AD673">
        <f t="shared" si="103"/>
        <v>2</v>
      </c>
      <c r="AE673">
        <f t="shared" si="104"/>
        <v>1</v>
      </c>
      <c r="AF673">
        <f t="shared" si="105"/>
        <v>2</v>
      </c>
      <c r="AG673">
        <f t="shared" si="106"/>
        <v>9</v>
      </c>
      <c r="AH673">
        <f t="shared" ca="1" si="107"/>
        <v>0</v>
      </c>
      <c r="AI673">
        <f>IF(ROW($AA673) - $AA$51 &lt; ($H$16+1)^5, IF(AG673 &gt;= BaseBonus!$C$16, AG673*BaseBonus!$E$31, 0), "")</f>
        <v>8.4514822316332161</v>
      </c>
      <c r="AJ673">
        <f t="shared" ca="1" si="108"/>
        <v>0</v>
      </c>
    </row>
    <row r="674" spans="28:36" x14ac:dyDescent="0.3">
      <c r="AB674">
        <f t="shared" si="101"/>
        <v>2</v>
      </c>
      <c r="AC674">
        <f t="shared" si="102"/>
        <v>3</v>
      </c>
      <c r="AD674">
        <f t="shared" si="103"/>
        <v>2</v>
      </c>
      <c r="AE674">
        <f t="shared" si="104"/>
        <v>1</v>
      </c>
      <c r="AF674">
        <f t="shared" si="105"/>
        <v>2</v>
      </c>
      <c r="AG674">
        <f t="shared" si="106"/>
        <v>10</v>
      </c>
      <c r="AH674">
        <f t="shared" ca="1" si="107"/>
        <v>0</v>
      </c>
      <c r="AI674">
        <f>IF(ROW($AA674) - $AA$51 &lt; ($H$16+1)^5, IF(AG674 &gt;= BaseBonus!$C$16, AG674*BaseBonus!$E$31, 0), "")</f>
        <v>9.3905358129257959</v>
      </c>
      <c r="AJ674">
        <f t="shared" ca="1" si="108"/>
        <v>0</v>
      </c>
    </row>
    <row r="675" spans="28:36" x14ac:dyDescent="0.3">
      <c r="AB675">
        <f t="shared" si="101"/>
        <v>3</v>
      </c>
      <c r="AC675">
        <f t="shared" si="102"/>
        <v>3</v>
      </c>
      <c r="AD675">
        <f t="shared" si="103"/>
        <v>2</v>
      </c>
      <c r="AE675">
        <f t="shared" si="104"/>
        <v>1</v>
      </c>
      <c r="AF675">
        <f t="shared" si="105"/>
        <v>2</v>
      </c>
      <c r="AG675">
        <f t="shared" si="106"/>
        <v>11</v>
      </c>
      <c r="AH675">
        <f t="shared" ca="1" si="107"/>
        <v>0</v>
      </c>
      <c r="AI675">
        <f>IF(ROW($AA675) - $AA$51 &lt; ($H$16+1)^5, IF(AG675 &gt;= BaseBonus!$C$16, AG675*BaseBonus!$E$31, 0), "")</f>
        <v>10.329589394218376</v>
      </c>
      <c r="AJ675">
        <f t="shared" ca="1" si="108"/>
        <v>0</v>
      </c>
    </row>
    <row r="676" spans="28:36" x14ac:dyDescent="0.3">
      <c r="AB676">
        <f t="shared" si="101"/>
        <v>0</v>
      </c>
      <c r="AC676">
        <f t="shared" si="102"/>
        <v>0</v>
      </c>
      <c r="AD676">
        <f t="shared" si="103"/>
        <v>3</v>
      </c>
      <c r="AE676">
        <f t="shared" si="104"/>
        <v>1</v>
      </c>
      <c r="AF676">
        <f t="shared" si="105"/>
        <v>2</v>
      </c>
      <c r="AG676">
        <f t="shared" si="106"/>
        <v>6</v>
      </c>
      <c r="AH676">
        <f t="shared" ca="1" si="107"/>
        <v>0</v>
      </c>
      <c r="AI676">
        <f>IF(ROW($AA676) - $AA$51 &lt; ($H$16+1)^5, IF(AG676 &gt;= BaseBonus!$C$16, AG676*BaseBonus!$E$31, 0), "")</f>
        <v>5.6343214877554777</v>
      </c>
      <c r="AJ676">
        <f t="shared" ca="1" si="108"/>
        <v>0</v>
      </c>
    </row>
    <row r="677" spans="28:36" x14ac:dyDescent="0.3">
      <c r="AB677">
        <f t="shared" si="101"/>
        <v>1</v>
      </c>
      <c r="AC677">
        <f t="shared" si="102"/>
        <v>0</v>
      </c>
      <c r="AD677">
        <f t="shared" si="103"/>
        <v>3</v>
      </c>
      <c r="AE677">
        <f t="shared" si="104"/>
        <v>1</v>
      </c>
      <c r="AF677">
        <f t="shared" si="105"/>
        <v>2</v>
      </c>
      <c r="AG677">
        <f t="shared" si="106"/>
        <v>7</v>
      </c>
      <c r="AH677">
        <f t="shared" ca="1" si="107"/>
        <v>0</v>
      </c>
      <c r="AI677">
        <f>IF(ROW($AA677) - $AA$51 &lt; ($H$16+1)^5, IF(AG677 &gt;= BaseBonus!$C$16, AG677*BaseBonus!$E$31, 0), "")</f>
        <v>6.5733750690480575</v>
      </c>
      <c r="AJ677">
        <f t="shared" ca="1" si="108"/>
        <v>0</v>
      </c>
    </row>
    <row r="678" spans="28:36" x14ac:dyDescent="0.3">
      <c r="AB678">
        <f t="shared" si="101"/>
        <v>2</v>
      </c>
      <c r="AC678">
        <f t="shared" si="102"/>
        <v>0</v>
      </c>
      <c r="AD678">
        <f t="shared" si="103"/>
        <v>3</v>
      </c>
      <c r="AE678">
        <f t="shared" si="104"/>
        <v>1</v>
      </c>
      <c r="AF678">
        <f t="shared" si="105"/>
        <v>2</v>
      </c>
      <c r="AG678">
        <f t="shared" si="106"/>
        <v>8</v>
      </c>
      <c r="AH678">
        <f t="shared" ca="1" si="107"/>
        <v>0</v>
      </c>
      <c r="AI678">
        <f>IF(ROW($AA678) - $AA$51 &lt; ($H$16+1)^5, IF(AG678 &gt;= BaseBonus!$C$16, AG678*BaseBonus!$E$31, 0), "")</f>
        <v>7.5124286503406372</v>
      </c>
      <c r="AJ678">
        <f t="shared" ca="1" si="108"/>
        <v>0</v>
      </c>
    </row>
    <row r="679" spans="28:36" x14ac:dyDescent="0.3">
      <c r="AB679">
        <f t="shared" si="101"/>
        <v>3</v>
      </c>
      <c r="AC679">
        <f t="shared" si="102"/>
        <v>0</v>
      </c>
      <c r="AD679">
        <f t="shared" si="103"/>
        <v>3</v>
      </c>
      <c r="AE679">
        <f t="shared" si="104"/>
        <v>1</v>
      </c>
      <c r="AF679">
        <f t="shared" si="105"/>
        <v>2</v>
      </c>
      <c r="AG679">
        <f t="shared" si="106"/>
        <v>9</v>
      </c>
      <c r="AH679">
        <f t="shared" ca="1" si="107"/>
        <v>0</v>
      </c>
      <c r="AI679">
        <f>IF(ROW($AA679) - $AA$51 &lt; ($H$16+1)^5, IF(AG679 &gt;= BaseBonus!$C$16, AG679*BaseBonus!$E$31, 0), "")</f>
        <v>8.4514822316332161</v>
      </c>
      <c r="AJ679">
        <f t="shared" ca="1" si="108"/>
        <v>0</v>
      </c>
    </row>
    <row r="680" spans="28:36" x14ac:dyDescent="0.3">
      <c r="AB680">
        <f t="shared" si="101"/>
        <v>0</v>
      </c>
      <c r="AC680">
        <f t="shared" si="102"/>
        <v>1</v>
      </c>
      <c r="AD680">
        <f t="shared" si="103"/>
        <v>3</v>
      </c>
      <c r="AE680">
        <f t="shared" si="104"/>
        <v>1</v>
      </c>
      <c r="AF680">
        <f t="shared" si="105"/>
        <v>2</v>
      </c>
      <c r="AG680">
        <f t="shared" si="106"/>
        <v>7</v>
      </c>
      <c r="AH680">
        <f t="shared" ca="1" si="107"/>
        <v>0</v>
      </c>
      <c r="AI680">
        <f>IF(ROW($AA680) - $AA$51 &lt; ($H$16+1)^5, IF(AG680 &gt;= BaseBonus!$C$16, AG680*BaseBonus!$E$31, 0), "")</f>
        <v>6.5733750690480575</v>
      </c>
      <c r="AJ680">
        <f t="shared" ca="1" si="108"/>
        <v>0</v>
      </c>
    </row>
    <row r="681" spans="28:36" x14ac:dyDescent="0.3">
      <c r="AB681">
        <f t="shared" si="101"/>
        <v>1</v>
      </c>
      <c r="AC681">
        <f t="shared" si="102"/>
        <v>1</v>
      </c>
      <c r="AD681">
        <f t="shared" si="103"/>
        <v>3</v>
      </c>
      <c r="AE681">
        <f t="shared" si="104"/>
        <v>1</v>
      </c>
      <c r="AF681">
        <f t="shared" si="105"/>
        <v>2</v>
      </c>
      <c r="AG681">
        <f t="shared" si="106"/>
        <v>8</v>
      </c>
      <c r="AH681">
        <f t="shared" ca="1" si="107"/>
        <v>0</v>
      </c>
      <c r="AI681">
        <f>IF(ROW($AA681) - $AA$51 &lt; ($H$16+1)^5, IF(AG681 &gt;= BaseBonus!$C$16, AG681*BaseBonus!$E$31, 0), "")</f>
        <v>7.5124286503406372</v>
      </c>
      <c r="AJ681">
        <f t="shared" ca="1" si="108"/>
        <v>0</v>
      </c>
    </row>
    <row r="682" spans="28:36" x14ac:dyDescent="0.3">
      <c r="AB682">
        <f t="shared" si="101"/>
        <v>2</v>
      </c>
      <c r="AC682">
        <f t="shared" si="102"/>
        <v>1</v>
      </c>
      <c r="AD682">
        <f t="shared" si="103"/>
        <v>3</v>
      </c>
      <c r="AE682">
        <f t="shared" si="104"/>
        <v>1</v>
      </c>
      <c r="AF682">
        <f t="shared" si="105"/>
        <v>2</v>
      </c>
      <c r="AG682">
        <f t="shared" si="106"/>
        <v>9</v>
      </c>
      <c r="AH682">
        <f t="shared" ca="1" si="107"/>
        <v>0</v>
      </c>
      <c r="AI682">
        <f>IF(ROW($AA682) - $AA$51 &lt; ($H$16+1)^5, IF(AG682 &gt;= BaseBonus!$C$16, AG682*BaseBonus!$E$31, 0), "")</f>
        <v>8.4514822316332161</v>
      </c>
      <c r="AJ682">
        <f t="shared" ca="1" si="108"/>
        <v>0</v>
      </c>
    </row>
    <row r="683" spans="28:36" x14ac:dyDescent="0.3">
      <c r="AB683">
        <f t="shared" si="101"/>
        <v>3</v>
      </c>
      <c r="AC683">
        <f t="shared" si="102"/>
        <v>1</v>
      </c>
      <c r="AD683">
        <f t="shared" si="103"/>
        <v>3</v>
      </c>
      <c r="AE683">
        <f t="shared" si="104"/>
        <v>1</v>
      </c>
      <c r="AF683">
        <f t="shared" si="105"/>
        <v>2</v>
      </c>
      <c r="AG683">
        <f t="shared" si="106"/>
        <v>10</v>
      </c>
      <c r="AH683">
        <f t="shared" ca="1" si="107"/>
        <v>0</v>
      </c>
      <c r="AI683">
        <f>IF(ROW($AA683) - $AA$51 &lt; ($H$16+1)^5, IF(AG683 &gt;= BaseBonus!$C$16, AG683*BaseBonus!$E$31, 0), "")</f>
        <v>9.3905358129257959</v>
      </c>
      <c r="AJ683">
        <f t="shared" ca="1" si="108"/>
        <v>0</v>
      </c>
    </row>
    <row r="684" spans="28:36" x14ac:dyDescent="0.3">
      <c r="AB684">
        <f t="shared" si="101"/>
        <v>0</v>
      </c>
      <c r="AC684">
        <f t="shared" si="102"/>
        <v>2</v>
      </c>
      <c r="AD684">
        <f t="shared" si="103"/>
        <v>3</v>
      </c>
      <c r="AE684">
        <f t="shared" si="104"/>
        <v>1</v>
      </c>
      <c r="AF684">
        <f t="shared" si="105"/>
        <v>2</v>
      </c>
      <c r="AG684">
        <f t="shared" si="106"/>
        <v>8</v>
      </c>
      <c r="AH684">
        <f t="shared" ca="1" si="107"/>
        <v>0</v>
      </c>
      <c r="AI684">
        <f>IF(ROW($AA684) - $AA$51 &lt; ($H$16+1)^5, IF(AG684 &gt;= BaseBonus!$C$16, AG684*BaseBonus!$E$31, 0), "")</f>
        <v>7.5124286503406372</v>
      </c>
      <c r="AJ684">
        <f t="shared" ca="1" si="108"/>
        <v>0</v>
      </c>
    </row>
    <row r="685" spans="28:36" x14ac:dyDescent="0.3">
      <c r="AB685">
        <f t="shared" si="101"/>
        <v>1</v>
      </c>
      <c r="AC685">
        <f t="shared" si="102"/>
        <v>2</v>
      </c>
      <c r="AD685">
        <f t="shared" si="103"/>
        <v>3</v>
      </c>
      <c r="AE685">
        <f t="shared" si="104"/>
        <v>1</v>
      </c>
      <c r="AF685">
        <f t="shared" si="105"/>
        <v>2</v>
      </c>
      <c r="AG685">
        <f t="shared" si="106"/>
        <v>9</v>
      </c>
      <c r="AH685">
        <f t="shared" ca="1" si="107"/>
        <v>0</v>
      </c>
      <c r="AI685">
        <f>IF(ROW($AA685) - $AA$51 &lt; ($H$16+1)^5, IF(AG685 &gt;= BaseBonus!$C$16, AG685*BaseBonus!$E$31, 0), "")</f>
        <v>8.4514822316332161</v>
      </c>
      <c r="AJ685">
        <f t="shared" ca="1" si="108"/>
        <v>0</v>
      </c>
    </row>
    <row r="686" spans="28:36" x14ac:dyDescent="0.3">
      <c r="AB686">
        <f t="shared" si="101"/>
        <v>2</v>
      </c>
      <c r="AC686">
        <f t="shared" si="102"/>
        <v>2</v>
      </c>
      <c r="AD686">
        <f t="shared" si="103"/>
        <v>3</v>
      </c>
      <c r="AE686">
        <f t="shared" si="104"/>
        <v>1</v>
      </c>
      <c r="AF686">
        <f t="shared" si="105"/>
        <v>2</v>
      </c>
      <c r="AG686">
        <f t="shared" si="106"/>
        <v>10</v>
      </c>
      <c r="AH686">
        <f t="shared" ca="1" si="107"/>
        <v>0</v>
      </c>
      <c r="AI686">
        <f>IF(ROW($AA686) - $AA$51 &lt; ($H$16+1)^5, IF(AG686 &gt;= BaseBonus!$C$16, AG686*BaseBonus!$E$31, 0), "")</f>
        <v>9.3905358129257959</v>
      </c>
      <c r="AJ686">
        <f t="shared" ca="1" si="108"/>
        <v>0</v>
      </c>
    </row>
    <row r="687" spans="28:36" x14ac:dyDescent="0.3">
      <c r="AB687">
        <f t="shared" si="101"/>
        <v>3</v>
      </c>
      <c r="AC687">
        <f t="shared" si="102"/>
        <v>2</v>
      </c>
      <c r="AD687">
        <f t="shared" si="103"/>
        <v>3</v>
      </c>
      <c r="AE687">
        <f t="shared" si="104"/>
        <v>1</v>
      </c>
      <c r="AF687">
        <f t="shared" si="105"/>
        <v>2</v>
      </c>
      <c r="AG687">
        <f t="shared" si="106"/>
        <v>11</v>
      </c>
      <c r="AH687">
        <f t="shared" ca="1" si="107"/>
        <v>0</v>
      </c>
      <c r="AI687">
        <f>IF(ROW($AA687) - $AA$51 &lt; ($H$16+1)^5, IF(AG687 &gt;= BaseBonus!$C$16, AG687*BaseBonus!$E$31, 0), "")</f>
        <v>10.329589394218376</v>
      </c>
      <c r="AJ687">
        <f t="shared" ca="1" si="108"/>
        <v>0</v>
      </c>
    </row>
    <row r="688" spans="28:36" x14ac:dyDescent="0.3">
      <c r="AB688">
        <f t="shared" si="101"/>
        <v>0</v>
      </c>
      <c r="AC688">
        <f t="shared" si="102"/>
        <v>3</v>
      </c>
      <c r="AD688">
        <f t="shared" si="103"/>
        <v>3</v>
      </c>
      <c r="AE688">
        <f t="shared" si="104"/>
        <v>1</v>
      </c>
      <c r="AF688">
        <f t="shared" si="105"/>
        <v>2</v>
      </c>
      <c r="AG688">
        <f t="shared" si="106"/>
        <v>9</v>
      </c>
      <c r="AH688">
        <f t="shared" ca="1" si="107"/>
        <v>0</v>
      </c>
      <c r="AI688">
        <f>IF(ROW($AA688) - $AA$51 &lt; ($H$16+1)^5, IF(AG688 &gt;= BaseBonus!$C$16, AG688*BaseBonus!$E$31, 0), "")</f>
        <v>8.4514822316332161</v>
      </c>
      <c r="AJ688">
        <f t="shared" ca="1" si="108"/>
        <v>0</v>
      </c>
    </row>
    <row r="689" spans="28:36" x14ac:dyDescent="0.3">
      <c r="AB689">
        <f t="shared" si="101"/>
        <v>1</v>
      </c>
      <c r="AC689">
        <f t="shared" si="102"/>
        <v>3</v>
      </c>
      <c r="AD689">
        <f t="shared" si="103"/>
        <v>3</v>
      </c>
      <c r="AE689">
        <f t="shared" si="104"/>
        <v>1</v>
      </c>
      <c r="AF689">
        <f t="shared" si="105"/>
        <v>2</v>
      </c>
      <c r="AG689">
        <f t="shared" si="106"/>
        <v>10</v>
      </c>
      <c r="AH689">
        <f t="shared" ca="1" si="107"/>
        <v>0</v>
      </c>
      <c r="AI689">
        <f>IF(ROW($AA689) - $AA$51 &lt; ($H$16+1)^5, IF(AG689 &gt;= BaseBonus!$C$16, AG689*BaseBonus!$E$31, 0), "")</f>
        <v>9.3905358129257959</v>
      </c>
      <c r="AJ689">
        <f t="shared" ca="1" si="108"/>
        <v>0</v>
      </c>
    </row>
    <row r="690" spans="28:36" x14ac:dyDescent="0.3">
      <c r="AB690">
        <f t="shared" si="101"/>
        <v>2</v>
      </c>
      <c r="AC690">
        <f t="shared" si="102"/>
        <v>3</v>
      </c>
      <c r="AD690">
        <f t="shared" si="103"/>
        <v>3</v>
      </c>
      <c r="AE690">
        <f t="shared" si="104"/>
        <v>1</v>
      </c>
      <c r="AF690">
        <f t="shared" si="105"/>
        <v>2</v>
      </c>
      <c r="AG690">
        <f t="shared" si="106"/>
        <v>11</v>
      </c>
      <c r="AH690">
        <f t="shared" ca="1" si="107"/>
        <v>0</v>
      </c>
      <c r="AI690">
        <f>IF(ROW($AA690) - $AA$51 &lt; ($H$16+1)^5, IF(AG690 &gt;= BaseBonus!$C$16, AG690*BaseBonus!$E$31, 0), "")</f>
        <v>10.329589394218376</v>
      </c>
      <c r="AJ690">
        <f t="shared" ca="1" si="108"/>
        <v>0</v>
      </c>
    </row>
    <row r="691" spans="28:36" x14ac:dyDescent="0.3">
      <c r="AB691">
        <f t="shared" si="101"/>
        <v>3</v>
      </c>
      <c r="AC691">
        <f t="shared" si="102"/>
        <v>3</v>
      </c>
      <c r="AD691">
        <f t="shared" si="103"/>
        <v>3</v>
      </c>
      <c r="AE691">
        <f t="shared" si="104"/>
        <v>1</v>
      </c>
      <c r="AF691">
        <f t="shared" si="105"/>
        <v>2</v>
      </c>
      <c r="AG691">
        <f t="shared" si="106"/>
        <v>12</v>
      </c>
      <c r="AH691">
        <f t="shared" ca="1" si="107"/>
        <v>0</v>
      </c>
      <c r="AI691">
        <f>IF(ROW($AA691) - $AA$51 &lt; ($H$16+1)^5, IF(AG691 &gt;= BaseBonus!$C$16, AG691*BaseBonus!$E$31, 0), "")</f>
        <v>11.268642975510955</v>
      </c>
      <c r="AJ691">
        <f t="shared" ca="1" si="108"/>
        <v>0</v>
      </c>
    </row>
    <row r="692" spans="28:36" x14ac:dyDescent="0.3">
      <c r="AB692">
        <f t="shared" ref="AB692:AB755" si="109">IF(ROW()-$AA$51 &lt; (H$16+1)^5, MOD(_xlfn.FLOOR.MATH((ROW()-$AA$51)/AB$50), H$16+1), "")</f>
        <v>0</v>
      </c>
      <c r="AC692">
        <f t="shared" ref="AC692:AC755" si="110">IF(ROW()-$AA$51 &lt; (I$16+1)^5, MOD(_xlfn.FLOOR.MATH((ROW()-$AA$51)/AC$50), I$16+1), "")</f>
        <v>0</v>
      </c>
      <c r="AD692">
        <f t="shared" ref="AD692:AD755" si="111">IF(ROW()-$AA$51 &lt; (J$16+1)^5, MOD(_xlfn.FLOOR.MATH((ROW()-$AA$51)/AD$50), J$16+1), "")</f>
        <v>0</v>
      </c>
      <c r="AE692">
        <f t="shared" ref="AE692:AE755" si="112">IF(ROW()-$AA$51 &lt; (K$16+1)^5, MOD(_xlfn.FLOOR.MATH((ROW()-$AA$51)/AE$50), K$16+1), "")</f>
        <v>2</v>
      </c>
      <c r="AF692">
        <f t="shared" ref="AF692:AF755" si="113">IF(ROW()-$AA$51 &lt; (L$16+1)^5, MOD(_xlfn.FLOOR.MATH((ROW()-$AA$51)/AF$50), L$16+1), "")</f>
        <v>2</v>
      </c>
      <c r="AG692">
        <f t="shared" ref="AG692:AG755" si="114">IF(ROW($AA692) - $AA$51 &lt; ($H$16+1)^5, SUM(AB692:AF692), "")</f>
        <v>4</v>
      </c>
      <c r="AH692">
        <f t="shared" ref="AH692:AH755" ca="1" si="115">IF(ROW($AA692) - $AA$51 &lt; (4)^5,
    (_xlfn.XLOOKUP(AB692,$T$51:$T$55,U$51:U$55,0)/U$27) * (_xlfn.XLOOKUP(AC692,$T$51:$T$55,V$51:V$55,0)/V$27) * (_xlfn.XLOOKUP(AD692,$T$51:$T$55,W$51:W$55,0)/W$27) * (_xlfn.XLOOKUP(AE692,$T$51:$T$55,X$51:X$55,0)/X$27) * (_xlfn.XLOOKUP(AF692,$T$51:$T$55,Y$51:Y$55,0)/Y$27),
"")</f>
        <v>2.5127910066483749E-3</v>
      </c>
      <c r="AI692">
        <f>IF(ROW($AA692) - $AA$51 &lt; ($H$16+1)^5, IF(AG692 &gt;= BaseBonus!$C$16, AG692*BaseBonus!$E$31, 0), "")</f>
        <v>0</v>
      </c>
      <c r="AJ692">
        <f t="shared" ref="AJ692:AJ755" ca="1" si="116">IF(ROW($AA692) - $AA$51 &lt; ($H$16+1)^5, AH692*AI692, "")</f>
        <v>0</v>
      </c>
    </row>
    <row r="693" spans="28:36" x14ac:dyDescent="0.3">
      <c r="AB693">
        <f t="shared" si="109"/>
        <v>1</v>
      </c>
      <c r="AC693">
        <f t="shared" si="110"/>
        <v>0</v>
      </c>
      <c r="AD693">
        <f t="shared" si="111"/>
        <v>0</v>
      </c>
      <c r="AE693">
        <f t="shared" si="112"/>
        <v>2</v>
      </c>
      <c r="AF693">
        <f t="shared" si="113"/>
        <v>2</v>
      </c>
      <c r="AG693">
        <f t="shared" si="114"/>
        <v>5</v>
      </c>
      <c r="AH693">
        <f t="shared" ca="1" si="115"/>
        <v>4.7114831374657029E-4</v>
      </c>
      <c r="AI693">
        <f>IF(ROW($AA693) - $AA$51 &lt; ($H$16+1)^5, IF(AG693 &gt;= BaseBonus!$C$16, AG693*BaseBonus!$E$31, 0), "")</f>
        <v>4.6952679064628979</v>
      </c>
      <c r="AJ693">
        <f t="shared" ca="1" si="116"/>
        <v>2.2121675567183838E-3</v>
      </c>
    </row>
    <row r="694" spans="28:36" x14ac:dyDescent="0.3">
      <c r="AB694">
        <f t="shared" si="109"/>
        <v>2</v>
      </c>
      <c r="AC694">
        <f t="shared" si="110"/>
        <v>0</v>
      </c>
      <c r="AD694">
        <f t="shared" si="111"/>
        <v>0</v>
      </c>
      <c r="AE694">
        <f t="shared" si="112"/>
        <v>2</v>
      </c>
      <c r="AF694">
        <f t="shared" si="113"/>
        <v>2</v>
      </c>
      <c r="AG694">
        <f t="shared" si="114"/>
        <v>6</v>
      </c>
      <c r="AH694">
        <f t="shared" ca="1" si="115"/>
        <v>2.3557415687328515E-4</v>
      </c>
      <c r="AI694">
        <f>IF(ROW($AA694) - $AA$51 &lt; ($H$16+1)^5, IF(AG694 &gt;= BaseBonus!$C$16, AG694*BaseBonus!$E$31, 0), "")</f>
        <v>5.6343214877554777</v>
      </c>
      <c r="AJ694">
        <f t="shared" ca="1" si="116"/>
        <v>1.3273005340310303E-3</v>
      </c>
    </row>
    <row r="695" spans="28:36" x14ac:dyDescent="0.3">
      <c r="AB695">
        <f t="shared" si="109"/>
        <v>3</v>
      </c>
      <c r="AC695">
        <f t="shared" si="110"/>
        <v>0</v>
      </c>
      <c r="AD695">
        <f t="shared" si="111"/>
        <v>0</v>
      </c>
      <c r="AE695">
        <f t="shared" si="112"/>
        <v>2</v>
      </c>
      <c r="AF695">
        <f t="shared" si="113"/>
        <v>2</v>
      </c>
      <c r="AG695">
        <f t="shared" si="114"/>
        <v>7</v>
      </c>
      <c r="AH695">
        <f t="shared" ca="1" si="115"/>
        <v>0</v>
      </c>
      <c r="AI695">
        <f>IF(ROW($AA695) - $AA$51 &lt; ($H$16+1)^5, IF(AG695 &gt;= BaseBonus!$C$16, AG695*BaseBonus!$E$31, 0), "")</f>
        <v>6.5733750690480575</v>
      </c>
      <c r="AJ695">
        <f t="shared" ca="1" si="116"/>
        <v>0</v>
      </c>
    </row>
    <row r="696" spans="28:36" x14ac:dyDescent="0.3">
      <c r="AB696">
        <f t="shared" si="109"/>
        <v>0</v>
      </c>
      <c r="AC696">
        <f t="shared" si="110"/>
        <v>1</v>
      </c>
      <c r="AD696">
        <f t="shared" si="111"/>
        <v>0</v>
      </c>
      <c r="AE696">
        <f t="shared" si="112"/>
        <v>2</v>
      </c>
      <c r="AF696">
        <f t="shared" si="113"/>
        <v>2</v>
      </c>
      <c r="AG696">
        <f t="shared" si="114"/>
        <v>5</v>
      </c>
      <c r="AH696">
        <f t="shared" ca="1" si="115"/>
        <v>7.6661420541814841E-4</v>
      </c>
      <c r="AI696">
        <f>IF(ROW($AA696) - $AA$51 &lt; ($H$16+1)^5, IF(AG696 &gt;= BaseBonus!$C$16, AG696*BaseBonus!$E$31, 0), "")</f>
        <v>4.6952679064628979</v>
      </c>
      <c r="AJ696">
        <f t="shared" ca="1" si="116"/>
        <v>3.5994590753383876E-3</v>
      </c>
    </row>
    <row r="697" spans="28:36" x14ac:dyDescent="0.3">
      <c r="AB697">
        <f t="shared" si="109"/>
        <v>1</v>
      </c>
      <c r="AC697">
        <f t="shared" si="110"/>
        <v>1</v>
      </c>
      <c r="AD697">
        <f t="shared" si="111"/>
        <v>0</v>
      </c>
      <c r="AE697">
        <f t="shared" si="112"/>
        <v>2</v>
      </c>
      <c r="AF697">
        <f t="shared" si="113"/>
        <v>2</v>
      </c>
      <c r="AG697">
        <f t="shared" si="114"/>
        <v>6</v>
      </c>
      <c r="AH697">
        <f t="shared" ca="1" si="115"/>
        <v>1.4374016351590283E-4</v>
      </c>
      <c r="AI697">
        <f>IF(ROW($AA697) - $AA$51 &lt; ($H$16+1)^5, IF(AG697 &gt;= BaseBonus!$C$16, AG697*BaseBonus!$E$31, 0), "")</f>
        <v>5.6343214877554777</v>
      </c>
      <c r="AJ697">
        <f t="shared" ca="1" si="116"/>
        <v>8.098782919511373E-4</v>
      </c>
    </row>
    <row r="698" spans="28:36" x14ac:dyDescent="0.3">
      <c r="AB698">
        <f t="shared" si="109"/>
        <v>2</v>
      </c>
      <c r="AC698">
        <f t="shared" si="110"/>
        <v>1</v>
      </c>
      <c r="AD698">
        <f t="shared" si="111"/>
        <v>0</v>
      </c>
      <c r="AE698">
        <f t="shared" si="112"/>
        <v>2</v>
      </c>
      <c r="AF698">
        <f t="shared" si="113"/>
        <v>2</v>
      </c>
      <c r="AG698">
        <f t="shared" si="114"/>
        <v>7</v>
      </c>
      <c r="AH698">
        <f t="shared" ca="1" si="115"/>
        <v>7.1870081757951417E-5</v>
      </c>
      <c r="AI698">
        <f>IF(ROW($AA698) - $AA$51 &lt; ($H$16+1)^5, IF(AG698 &gt;= BaseBonus!$C$16, AG698*BaseBonus!$E$31, 0), "")</f>
        <v>6.5733750690480575</v>
      </c>
      <c r="AJ698">
        <f t="shared" ca="1" si="116"/>
        <v>4.7242900363816341E-4</v>
      </c>
    </row>
    <row r="699" spans="28:36" x14ac:dyDescent="0.3">
      <c r="AB699">
        <f t="shared" si="109"/>
        <v>3</v>
      </c>
      <c r="AC699">
        <f t="shared" si="110"/>
        <v>1</v>
      </c>
      <c r="AD699">
        <f t="shared" si="111"/>
        <v>0</v>
      </c>
      <c r="AE699">
        <f t="shared" si="112"/>
        <v>2</v>
      </c>
      <c r="AF699">
        <f t="shared" si="113"/>
        <v>2</v>
      </c>
      <c r="AG699">
        <f t="shared" si="114"/>
        <v>8</v>
      </c>
      <c r="AH699">
        <f t="shared" ca="1" si="115"/>
        <v>0</v>
      </c>
      <c r="AI699">
        <f>IF(ROW($AA699) - $AA$51 &lt; ($H$16+1)^5, IF(AG699 &gt;= BaseBonus!$C$16, AG699*BaseBonus!$E$31, 0), "")</f>
        <v>7.5124286503406372</v>
      </c>
      <c r="AJ699">
        <f t="shared" ca="1" si="116"/>
        <v>0</v>
      </c>
    </row>
    <row r="700" spans="28:36" x14ac:dyDescent="0.3">
      <c r="AB700">
        <f t="shared" si="109"/>
        <v>0</v>
      </c>
      <c r="AC700">
        <f t="shared" si="110"/>
        <v>2</v>
      </c>
      <c r="AD700">
        <f t="shared" si="111"/>
        <v>0</v>
      </c>
      <c r="AE700">
        <f t="shared" si="112"/>
        <v>2</v>
      </c>
      <c r="AF700">
        <f t="shared" si="113"/>
        <v>2</v>
      </c>
      <c r="AG700">
        <f t="shared" si="114"/>
        <v>6</v>
      </c>
      <c r="AH700">
        <f t="shared" ca="1" si="115"/>
        <v>1.2776903423635807E-4</v>
      </c>
      <c r="AI700">
        <f>IF(ROW($AA700) - $AA$51 &lt; ($H$16+1)^5, IF(AG700 &gt;= BaseBonus!$C$16, AG700*BaseBonus!$E$31, 0), "")</f>
        <v>5.6343214877554777</v>
      </c>
      <c r="AJ700">
        <f t="shared" ca="1" si="116"/>
        <v>7.1989181506767759E-4</v>
      </c>
    </row>
    <row r="701" spans="28:36" x14ac:dyDescent="0.3">
      <c r="AB701">
        <f t="shared" si="109"/>
        <v>1</v>
      </c>
      <c r="AC701">
        <f t="shared" si="110"/>
        <v>2</v>
      </c>
      <c r="AD701">
        <f t="shared" si="111"/>
        <v>0</v>
      </c>
      <c r="AE701">
        <f t="shared" si="112"/>
        <v>2</v>
      </c>
      <c r="AF701">
        <f t="shared" si="113"/>
        <v>2</v>
      </c>
      <c r="AG701">
        <f t="shared" si="114"/>
        <v>7</v>
      </c>
      <c r="AH701">
        <f t="shared" ca="1" si="115"/>
        <v>2.3956693919317134E-5</v>
      </c>
      <c r="AI701">
        <f>IF(ROW($AA701) - $AA$51 &lt; ($H$16+1)^5, IF(AG701 &gt;= BaseBonus!$C$16, AG701*BaseBonus!$E$31, 0), "")</f>
        <v>6.5733750690480575</v>
      </c>
      <c r="AJ701">
        <f t="shared" ca="1" si="116"/>
        <v>1.5747633454605444E-4</v>
      </c>
    </row>
    <row r="702" spans="28:36" x14ac:dyDescent="0.3">
      <c r="AB702">
        <f t="shared" si="109"/>
        <v>2</v>
      </c>
      <c r="AC702">
        <f t="shared" si="110"/>
        <v>2</v>
      </c>
      <c r="AD702">
        <f t="shared" si="111"/>
        <v>0</v>
      </c>
      <c r="AE702">
        <f t="shared" si="112"/>
        <v>2</v>
      </c>
      <c r="AF702">
        <f t="shared" si="113"/>
        <v>2</v>
      </c>
      <c r="AG702">
        <f t="shared" si="114"/>
        <v>8</v>
      </c>
      <c r="AH702">
        <f t="shared" ca="1" si="115"/>
        <v>1.1978346959658567E-5</v>
      </c>
      <c r="AI702">
        <f>IF(ROW($AA702) - $AA$51 &lt; ($H$16+1)^5, IF(AG702 &gt;= BaseBonus!$C$16, AG702*BaseBonus!$E$31, 0), "")</f>
        <v>7.5124286503406372</v>
      </c>
      <c r="AJ702">
        <f t="shared" ca="1" si="116"/>
        <v>8.9986476883459685E-5</v>
      </c>
    </row>
    <row r="703" spans="28:36" x14ac:dyDescent="0.3">
      <c r="AB703">
        <f t="shared" si="109"/>
        <v>3</v>
      </c>
      <c r="AC703">
        <f t="shared" si="110"/>
        <v>2</v>
      </c>
      <c r="AD703">
        <f t="shared" si="111"/>
        <v>0</v>
      </c>
      <c r="AE703">
        <f t="shared" si="112"/>
        <v>2</v>
      </c>
      <c r="AF703">
        <f t="shared" si="113"/>
        <v>2</v>
      </c>
      <c r="AG703">
        <f t="shared" si="114"/>
        <v>9</v>
      </c>
      <c r="AH703">
        <f t="shared" ca="1" si="115"/>
        <v>0</v>
      </c>
      <c r="AI703">
        <f>IF(ROW($AA703) - $AA$51 &lt; ($H$16+1)^5, IF(AG703 &gt;= BaseBonus!$C$16, AG703*BaseBonus!$E$31, 0), "")</f>
        <v>8.4514822316332161</v>
      </c>
      <c r="AJ703">
        <f t="shared" ca="1" si="116"/>
        <v>0</v>
      </c>
    </row>
    <row r="704" spans="28:36" x14ac:dyDescent="0.3">
      <c r="AB704">
        <f t="shared" si="109"/>
        <v>0</v>
      </c>
      <c r="AC704">
        <f t="shared" si="110"/>
        <v>3</v>
      </c>
      <c r="AD704">
        <f t="shared" si="111"/>
        <v>0</v>
      </c>
      <c r="AE704">
        <f t="shared" si="112"/>
        <v>2</v>
      </c>
      <c r="AF704">
        <f t="shared" si="113"/>
        <v>2</v>
      </c>
      <c r="AG704">
        <f t="shared" si="114"/>
        <v>7</v>
      </c>
      <c r="AH704">
        <f t="shared" ca="1" si="115"/>
        <v>0</v>
      </c>
      <c r="AI704">
        <f>IF(ROW($AA704) - $AA$51 &lt; ($H$16+1)^5, IF(AG704 &gt;= BaseBonus!$C$16, AG704*BaseBonus!$E$31, 0), "")</f>
        <v>6.5733750690480575</v>
      </c>
      <c r="AJ704">
        <f t="shared" ca="1" si="116"/>
        <v>0</v>
      </c>
    </row>
    <row r="705" spans="28:36" x14ac:dyDescent="0.3">
      <c r="AB705">
        <f t="shared" si="109"/>
        <v>1</v>
      </c>
      <c r="AC705">
        <f t="shared" si="110"/>
        <v>3</v>
      </c>
      <c r="AD705">
        <f t="shared" si="111"/>
        <v>0</v>
      </c>
      <c r="AE705">
        <f t="shared" si="112"/>
        <v>2</v>
      </c>
      <c r="AF705">
        <f t="shared" si="113"/>
        <v>2</v>
      </c>
      <c r="AG705">
        <f t="shared" si="114"/>
        <v>8</v>
      </c>
      <c r="AH705">
        <f t="shared" ca="1" si="115"/>
        <v>0</v>
      </c>
      <c r="AI705">
        <f>IF(ROW($AA705) - $AA$51 &lt; ($H$16+1)^5, IF(AG705 &gt;= BaseBonus!$C$16, AG705*BaseBonus!$E$31, 0), "")</f>
        <v>7.5124286503406372</v>
      </c>
      <c r="AJ705">
        <f t="shared" ca="1" si="116"/>
        <v>0</v>
      </c>
    </row>
    <row r="706" spans="28:36" x14ac:dyDescent="0.3">
      <c r="AB706">
        <f t="shared" si="109"/>
        <v>2</v>
      </c>
      <c r="AC706">
        <f t="shared" si="110"/>
        <v>3</v>
      </c>
      <c r="AD706">
        <f t="shared" si="111"/>
        <v>0</v>
      </c>
      <c r="AE706">
        <f t="shared" si="112"/>
        <v>2</v>
      </c>
      <c r="AF706">
        <f t="shared" si="113"/>
        <v>2</v>
      </c>
      <c r="AG706">
        <f t="shared" si="114"/>
        <v>9</v>
      </c>
      <c r="AH706">
        <f t="shared" ca="1" si="115"/>
        <v>0</v>
      </c>
      <c r="AI706">
        <f>IF(ROW($AA706) - $AA$51 &lt; ($H$16+1)^5, IF(AG706 &gt;= BaseBonus!$C$16, AG706*BaseBonus!$E$31, 0), "")</f>
        <v>8.4514822316332161</v>
      </c>
      <c r="AJ706">
        <f t="shared" ca="1" si="116"/>
        <v>0</v>
      </c>
    </row>
    <row r="707" spans="28:36" x14ac:dyDescent="0.3">
      <c r="AB707">
        <f t="shared" si="109"/>
        <v>3</v>
      </c>
      <c r="AC707">
        <f t="shared" si="110"/>
        <v>3</v>
      </c>
      <c r="AD707">
        <f t="shared" si="111"/>
        <v>0</v>
      </c>
      <c r="AE707">
        <f t="shared" si="112"/>
        <v>2</v>
      </c>
      <c r="AF707">
        <f t="shared" si="113"/>
        <v>2</v>
      </c>
      <c r="AG707">
        <f t="shared" si="114"/>
        <v>10</v>
      </c>
      <c r="AH707">
        <f t="shared" ca="1" si="115"/>
        <v>0</v>
      </c>
      <c r="AI707">
        <f>IF(ROW($AA707) - $AA$51 &lt; ($H$16+1)^5, IF(AG707 &gt;= BaseBonus!$C$16, AG707*BaseBonus!$E$31, 0), "")</f>
        <v>9.3905358129257959</v>
      </c>
      <c r="AJ707">
        <f t="shared" ca="1" si="116"/>
        <v>0</v>
      </c>
    </row>
    <row r="708" spans="28:36" x14ac:dyDescent="0.3">
      <c r="AB708">
        <f t="shared" si="109"/>
        <v>0</v>
      </c>
      <c r="AC708">
        <f t="shared" si="110"/>
        <v>0</v>
      </c>
      <c r="AD708">
        <f t="shared" si="111"/>
        <v>1</v>
      </c>
      <c r="AE708">
        <f t="shared" si="112"/>
        <v>2</v>
      </c>
      <c r="AF708">
        <f t="shared" si="113"/>
        <v>2</v>
      </c>
      <c r="AG708">
        <f t="shared" si="114"/>
        <v>5</v>
      </c>
      <c r="AH708">
        <f t="shared" ca="1" si="115"/>
        <v>5.7670613267339762E-4</v>
      </c>
      <c r="AI708">
        <f>IF(ROW($AA708) - $AA$51 &lt; ($H$16+1)^5, IF(AG708 &gt;= BaseBonus!$C$16, AG708*BaseBonus!$E$31, 0), "")</f>
        <v>4.6952679064628979</v>
      </c>
      <c r="AJ708">
        <f t="shared" ca="1" si="116"/>
        <v>2.7077897962017377E-3</v>
      </c>
    </row>
    <row r="709" spans="28:36" x14ac:dyDescent="0.3">
      <c r="AB709">
        <f t="shared" si="109"/>
        <v>1</v>
      </c>
      <c r="AC709">
        <f t="shared" si="110"/>
        <v>0</v>
      </c>
      <c r="AD709">
        <f t="shared" si="111"/>
        <v>1</v>
      </c>
      <c r="AE709">
        <f t="shared" si="112"/>
        <v>2</v>
      </c>
      <c r="AF709">
        <f t="shared" si="113"/>
        <v>2</v>
      </c>
      <c r="AG709">
        <f t="shared" si="114"/>
        <v>6</v>
      </c>
      <c r="AH709">
        <f t="shared" ca="1" si="115"/>
        <v>1.0813239987626207E-4</v>
      </c>
      <c r="AI709">
        <f>IF(ROW($AA709) - $AA$51 &lt; ($H$16+1)^5, IF(AG709 &gt;= BaseBonus!$C$16, AG709*BaseBonus!$E$31, 0), "")</f>
        <v>5.6343214877554777</v>
      </c>
      <c r="AJ709">
        <f t="shared" ca="1" si="116"/>
        <v>6.092527041453911E-4</v>
      </c>
    </row>
    <row r="710" spans="28:36" x14ac:dyDescent="0.3">
      <c r="AB710">
        <f t="shared" si="109"/>
        <v>2</v>
      </c>
      <c r="AC710">
        <f t="shared" si="110"/>
        <v>0</v>
      </c>
      <c r="AD710">
        <f t="shared" si="111"/>
        <v>1</v>
      </c>
      <c r="AE710">
        <f t="shared" si="112"/>
        <v>2</v>
      </c>
      <c r="AF710">
        <f t="shared" si="113"/>
        <v>2</v>
      </c>
      <c r="AG710">
        <f t="shared" si="114"/>
        <v>7</v>
      </c>
      <c r="AH710">
        <f t="shared" ca="1" si="115"/>
        <v>5.4066199938131034E-5</v>
      </c>
      <c r="AI710">
        <f>IF(ROW($AA710) - $AA$51 &lt; ($H$16+1)^5, IF(AG710 &gt;= BaseBonus!$C$16, AG710*BaseBonus!$E$31, 0), "")</f>
        <v>6.5733750690480575</v>
      </c>
      <c r="AJ710">
        <f t="shared" ca="1" si="116"/>
        <v>3.5539741075147816E-4</v>
      </c>
    </row>
    <row r="711" spans="28:36" x14ac:dyDescent="0.3">
      <c r="AB711">
        <f t="shared" si="109"/>
        <v>3</v>
      </c>
      <c r="AC711">
        <f t="shared" si="110"/>
        <v>0</v>
      </c>
      <c r="AD711">
        <f t="shared" si="111"/>
        <v>1</v>
      </c>
      <c r="AE711">
        <f t="shared" si="112"/>
        <v>2</v>
      </c>
      <c r="AF711">
        <f t="shared" si="113"/>
        <v>2</v>
      </c>
      <c r="AG711">
        <f t="shared" si="114"/>
        <v>8</v>
      </c>
      <c r="AH711">
        <f t="shared" ca="1" si="115"/>
        <v>0</v>
      </c>
      <c r="AI711">
        <f>IF(ROW($AA711) - $AA$51 &lt; ($H$16+1)^5, IF(AG711 &gt;= BaseBonus!$C$16, AG711*BaseBonus!$E$31, 0), "")</f>
        <v>7.5124286503406372</v>
      </c>
      <c r="AJ711">
        <f t="shared" ca="1" si="116"/>
        <v>0</v>
      </c>
    </row>
    <row r="712" spans="28:36" x14ac:dyDescent="0.3">
      <c r="AB712">
        <f t="shared" si="109"/>
        <v>0</v>
      </c>
      <c r="AC712">
        <f t="shared" si="110"/>
        <v>1</v>
      </c>
      <c r="AD712">
        <f t="shared" si="111"/>
        <v>1</v>
      </c>
      <c r="AE712">
        <f t="shared" si="112"/>
        <v>2</v>
      </c>
      <c r="AF712">
        <f t="shared" si="113"/>
        <v>2</v>
      </c>
      <c r="AG712">
        <f t="shared" si="114"/>
        <v>6</v>
      </c>
      <c r="AH712">
        <f t="shared" ca="1" si="115"/>
        <v>1.7594424386646032E-4</v>
      </c>
      <c r="AI712">
        <f>IF(ROW($AA712) - $AA$51 &lt; ($H$16+1)^5, IF(AG712 &gt;= BaseBonus!$C$16, AG712*BaseBonus!$E$31, 0), "")</f>
        <v>5.6343214877554777</v>
      </c>
      <c r="AJ712">
        <f t="shared" ca="1" si="116"/>
        <v>9.9132643386368722E-4</v>
      </c>
    </row>
    <row r="713" spans="28:36" x14ac:dyDescent="0.3">
      <c r="AB713">
        <f t="shared" si="109"/>
        <v>1</v>
      </c>
      <c r="AC713">
        <f t="shared" si="110"/>
        <v>1</v>
      </c>
      <c r="AD713">
        <f t="shared" si="111"/>
        <v>1</v>
      </c>
      <c r="AE713">
        <f t="shared" si="112"/>
        <v>2</v>
      </c>
      <c r="AF713">
        <f t="shared" si="113"/>
        <v>2</v>
      </c>
      <c r="AG713">
        <f t="shared" si="114"/>
        <v>7</v>
      </c>
      <c r="AH713">
        <f t="shared" ca="1" si="115"/>
        <v>3.2989545724961306E-5</v>
      </c>
      <c r="AI713">
        <f>IF(ROW($AA713) - $AA$51 &lt; ($H$16+1)^5, IF(AG713 &gt;= BaseBonus!$C$16, AG713*BaseBonus!$E$31, 0), "")</f>
        <v>6.5733750690480575</v>
      </c>
      <c r="AJ713">
        <f t="shared" ca="1" si="116"/>
        <v>2.1685265740768159E-4</v>
      </c>
    </row>
    <row r="714" spans="28:36" x14ac:dyDescent="0.3">
      <c r="AB714">
        <f t="shared" si="109"/>
        <v>2</v>
      </c>
      <c r="AC714">
        <f t="shared" si="110"/>
        <v>1</v>
      </c>
      <c r="AD714">
        <f t="shared" si="111"/>
        <v>1</v>
      </c>
      <c r="AE714">
        <f t="shared" si="112"/>
        <v>2</v>
      </c>
      <c r="AF714">
        <f t="shared" si="113"/>
        <v>2</v>
      </c>
      <c r="AG714">
        <f t="shared" si="114"/>
        <v>8</v>
      </c>
      <c r="AH714">
        <f t="shared" ca="1" si="115"/>
        <v>1.6494772862480653E-5</v>
      </c>
      <c r="AI714">
        <f>IF(ROW($AA714) - $AA$51 &lt; ($H$16+1)^5, IF(AG714 &gt;= BaseBonus!$C$16, AG714*BaseBonus!$E$31, 0), "")</f>
        <v>7.5124286503406372</v>
      </c>
      <c r="AJ714">
        <f t="shared" ca="1" si="116"/>
        <v>1.239158042329609E-4</v>
      </c>
    </row>
    <row r="715" spans="28:36" x14ac:dyDescent="0.3">
      <c r="AB715">
        <f t="shared" si="109"/>
        <v>3</v>
      </c>
      <c r="AC715">
        <f t="shared" si="110"/>
        <v>1</v>
      </c>
      <c r="AD715">
        <f t="shared" si="111"/>
        <v>1</v>
      </c>
      <c r="AE715">
        <f t="shared" si="112"/>
        <v>2</v>
      </c>
      <c r="AF715">
        <f t="shared" si="113"/>
        <v>2</v>
      </c>
      <c r="AG715">
        <f t="shared" si="114"/>
        <v>9</v>
      </c>
      <c r="AH715">
        <f t="shared" ca="1" si="115"/>
        <v>0</v>
      </c>
      <c r="AI715">
        <f>IF(ROW($AA715) - $AA$51 &lt; ($H$16+1)^5, IF(AG715 &gt;= BaseBonus!$C$16, AG715*BaseBonus!$E$31, 0), "")</f>
        <v>8.4514822316332161</v>
      </c>
      <c r="AJ715">
        <f t="shared" ca="1" si="116"/>
        <v>0</v>
      </c>
    </row>
    <row r="716" spans="28:36" x14ac:dyDescent="0.3">
      <c r="AB716">
        <f t="shared" si="109"/>
        <v>0</v>
      </c>
      <c r="AC716">
        <f t="shared" si="110"/>
        <v>2</v>
      </c>
      <c r="AD716">
        <f t="shared" si="111"/>
        <v>1</v>
      </c>
      <c r="AE716">
        <f t="shared" si="112"/>
        <v>2</v>
      </c>
      <c r="AF716">
        <f t="shared" si="113"/>
        <v>2</v>
      </c>
      <c r="AG716">
        <f t="shared" si="114"/>
        <v>7</v>
      </c>
      <c r="AH716">
        <f t="shared" ca="1" si="115"/>
        <v>2.9324040644410047E-5</v>
      </c>
      <c r="AI716">
        <f>IF(ROW($AA716) - $AA$51 &lt; ($H$16+1)^5, IF(AG716 &gt;= BaseBonus!$C$16, AG716*BaseBonus!$E$31, 0), "")</f>
        <v>6.5733750690480575</v>
      </c>
      <c r="AJ716">
        <f t="shared" ca="1" si="116"/>
        <v>1.9275791769571694E-4</v>
      </c>
    </row>
    <row r="717" spans="28:36" x14ac:dyDescent="0.3">
      <c r="AB717">
        <f t="shared" si="109"/>
        <v>1</v>
      </c>
      <c r="AC717">
        <f t="shared" si="110"/>
        <v>2</v>
      </c>
      <c r="AD717">
        <f t="shared" si="111"/>
        <v>1</v>
      </c>
      <c r="AE717">
        <f t="shared" si="112"/>
        <v>2</v>
      </c>
      <c r="AF717">
        <f t="shared" si="113"/>
        <v>2</v>
      </c>
      <c r="AG717">
        <f t="shared" si="114"/>
        <v>8</v>
      </c>
      <c r="AH717">
        <f t="shared" ca="1" si="115"/>
        <v>5.4982576208268832E-6</v>
      </c>
      <c r="AI717">
        <f>IF(ROW($AA717) - $AA$51 &lt; ($H$16+1)^5, IF(AG717 &gt;= BaseBonus!$C$16, AG717*BaseBonus!$E$31, 0), "")</f>
        <v>7.5124286503406372</v>
      </c>
      <c r="AJ717">
        <f t="shared" ca="1" si="116"/>
        <v>4.1305268077653627E-5</v>
      </c>
    </row>
    <row r="718" spans="28:36" x14ac:dyDescent="0.3">
      <c r="AB718">
        <f t="shared" si="109"/>
        <v>2</v>
      </c>
      <c r="AC718">
        <f t="shared" si="110"/>
        <v>2</v>
      </c>
      <c r="AD718">
        <f t="shared" si="111"/>
        <v>1</v>
      </c>
      <c r="AE718">
        <f t="shared" si="112"/>
        <v>2</v>
      </c>
      <c r="AF718">
        <f t="shared" si="113"/>
        <v>2</v>
      </c>
      <c r="AG718">
        <f t="shared" si="114"/>
        <v>9</v>
      </c>
      <c r="AH718">
        <f t="shared" ca="1" si="115"/>
        <v>2.7491288104134416E-6</v>
      </c>
      <c r="AI718">
        <f>IF(ROW($AA718) - $AA$51 &lt; ($H$16+1)^5, IF(AG718 &gt;= BaseBonus!$C$16, AG718*BaseBonus!$E$31, 0), "")</f>
        <v>8.4514822316332161</v>
      </c>
      <c r="AJ718">
        <f t="shared" ca="1" si="116"/>
        <v>2.3234213293680161E-5</v>
      </c>
    </row>
    <row r="719" spans="28:36" x14ac:dyDescent="0.3">
      <c r="AB719">
        <f t="shared" si="109"/>
        <v>3</v>
      </c>
      <c r="AC719">
        <f t="shared" si="110"/>
        <v>2</v>
      </c>
      <c r="AD719">
        <f t="shared" si="111"/>
        <v>1</v>
      </c>
      <c r="AE719">
        <f t="shared" si="112"/>
        <v>2</v>
      </c>
      <c r="AF719">
        <f t="shared" si="113"/>
        <v>2</v>
      </c>
      <c r="AG719">
        <f t="shared" si="114"/>
        <v>10</v>
      </c>
      <c r="AH719">
        <f t="shared" ca="1" si="115"/>
        <v>0</v>
      </c>
      <c r="AI719">
        <f>IF(ROW($AA719) - $AA$51 &lt; ($H$16+1)^5, IF(AG719 &gt;= BaseBonus!$C$16, AG719*BaseBonus!$E$31, 0), "")</f>
        <v>9.3905358129257959</v>
      </c>
      <c r="AJ719">
        <f t="shared" ca="1" si="116"/>
        <v>0</v>
      </c>
    </row>
    <row r="720" spans="28:36" x14ac:dyDescent="0.3">
      <c r="AB720">
        <f t="shared" si="109"/>
        <v>0</v>
      </c>
      <c r="AC720">
        <f t="shared" si="110"/>
        <v>3</v>
      </c>
      <c r="AD720">
        <f t="shared" si="111"/>
        <v>1</v>
      </c>
      <c r="AE720">
        <f t="shared" si="112"/>
        <v>2</v>
      </c>
      <c r="AF720">
        <f t="shared" si="113"/>
        <v>2</v>
      </c>
      <c r="AG720">
        <f t="shared" si="114"/>
        <v>8</v>
      </c>
      <c r="AH720">
        <f t="shared" ca="1" si="115"/>
        <v>0</v>
      </c>
      <c r="AI720">
        <f>IF(ROW($AA720) - $AA$51 &lt; ($H$16+1)^5, IF(AG720 &gt;= BaseBonus!$C$16, AG720*BaseBonus!$E$31, 0), "")</f>
        <v>7.5124286503406372</v>
      </c>
      <c r="AJ720">
        <f t="shared" ca="1" si="116"/>
        <v>0</v>
      </c>
    </row>
    <row r="721" spans="28:36" x14ac:dyDescent="0.3">
      <c r="AB721">
        <f t="shared" si="109"/>
        <v>1</v>
      </c>
      <c r="AC721">
        <f t="shared" si="110"/>
        <v>3</v>
      </c>
      <c r="AD721">
        <f t="shared" si="111"/>
        <v>1</v>
      </c>
      <c r="AE721">
        <f t="shared" si="112"/>
        <v>2</v>
      </c>
      <c r="AF721">
        <f t="shared" si="113"/>
        <v>2</v>
      </c>
      <c r="AG721">
        <f t="shared" si="114"/>
        <v>9</v>
      </c>
      <c r="AH721">
        <f t="shared" ca="1" si="115"/>
        <v>0</v>
      </c>
      <c r="AI721">
        <f>IF(ROW($AA721) - $AA$51 &lt; ($H$16+1)^5, IF(AG721 &gt;= BaseBonus!$C$16, AG721*BaseBonus!$E$31, 0), "")</f>
        <v>8.4514822316332161</v>
      </c>
      <c r="AJ721">
        <f t="shared" ca="1" si="116"/>
        <v>0</v>
      </c>
    </row>
    <row r="722" spans="28:36" x14ac:dyDescent="0.3">
      <c r="AB722">
        <f t="shared" si="109"/>
        <v>2</v>
      </c>
      <c r="AC722">
        <f t="shared" si="110"/>
        <v>3</v>
      </c>
      <c r="AD722">
        <f t="shared" si="111"/>
        <v>1</v>
      </c>
      <c r="AE722">
        <f t="shared" si="112"/>
        <v>2</v>
      </c>
      <c r="AF722">
        <f t="shared" si="113"/>
        <v>2</v>
      </c>
      <c r="AG722">
        <f t="shared" si="114"/>
        <v>10</v>
      </c>
      <c r="AH722">
        <f t="shared" ca="1" si="115"/>
        <v>0</v>
      </c>
      <c r="AI722">
        <f>IF(ROW($AA722) - $AA$51 &lt; ($H$16+1)^5, IF(AG722 &gt;= BaseBonus!$C$16, AG722*BaseBonus!$E$31, 0), "")</f>
        <v>9.3905358129257959</v>
      </c>
      <c r="AJ722">
        <f t="shared" ca="1" si="116"/>
        <v>0</v>
      </c>
    </row>
    <row r="723" spans="28:36" x14ac:dyDescent="0.3">
      <c r="AB723">
        <f t="shared" si="109"/>
        <v>3</v>
      </c>
      <c r="AC723">
        <f t="shared" si="110"/>
        <v>3</v>
      </c>
      <c r="AD723">
        <f t="shared" si="111"/>
        <v>1</v>
      </c>
      <c r="AE723">
        <f t="shared" si="112"/>
        <v>2</v>
      </c>
      <c r="AF723">
        <f t="shared" si="113"/>
        <v>2</v>
      </c>
      <c r="AG723">
        <f t="shared" si="114"/>
        <v>11</v>
      </c>
      <c r="AH723">
        <f t="shared" ca="1" si="115"/>
        <v>0</v>
      </c>
      <c r="AI723">
        <f>IF(ROW($AA723) - $AA$51 &lt; ($H$16+1)^5, IF(AG723 &gt;= BaseBonus!$C$16, AG723*BaseBonus!$E$31, 0), "")</f>
        <v>10.329589394218376</v>
      </c>
      <c r="AJ723">
        <f t="shared" ca="1" si="116"/>
        <v>0</v>
      </c>
    </row>
    <row r="724" spans="28:36" x14ac:dyDescent="0.3">
      <c r="AB724">
        <f t="shared" si="109"/>
        <v>0</v>
      </c>
      <c r="AC724">
        <f t="shared" si="110"/>
        <v>0</v>
      </c>
      <c r="AD724">
        <f t="shared" si="111"/>
        <v>2</v>
      </c>
      <c r="AE724">
        <f t="shared" si="112"/>
        <v>2</v>
      </c>
      <c r="AF724">
        <f t="shared" si="113"/>
        <v>2</v>
      </c>
      <c r="AG724">
        <f t="shared" si="114"/>
        <v>6</v>
      </c>
      <c r="AH724">
        <f t="shared" ca="1" si="115"/>
        <v>4.5312624710052666E-4</v>
      </c>
      <c r="AI724">
        <f>IF(ROW($AA724) - $AA$51 &lt; ($H$16+1)^5, IF(AG724 &gt;= BaseBonus!$C$16, AG724*BaseBonus!$E$31, 0), "")</f>
        <v>5.6343214877554777</v>
      </c>
      <c r="AJ724">
        <f t="shared" ca="1" si="116"/>
        <v>2.5530589507044956E-3</v>
      </c>
    </row>
    <row r="725" spans="28:36" x14ac:dyDescent="0.3">
      <c r="AB725">
        <f t="shared" si="109"/>
        <v>1</v>
      </c>
      <c r="AC725">
        <f t="shared" si="110"/>
        <v>0</v>
      </c>
      <c r="AD725">
        <f t="shared" si="111"/>
        <v>2</v>
      </c>
      <c r="AE725">
        <f t="shared" si="112"/>
        <v>2</v>
      </c>
      <c r="AF725">
        <f t="shared" si="113"/>
        <v>2</v>
      </c>
      <c r="AG725">
        <f t="shared" si="114"/>
        <v>7</v>
      </c>
      <c r="AH725">
        <f t="shared" ca="1" si="115"/>
        <v>8.4961171331348755E-5</v>
      </c>
      <c r="AI725">
        <f>IF(ROW($AA725) - $AA$51 &lt; ($H$16+1)^5, IF(AG725 &gt;= BaseBonus!$C$16, AG725*BaseBonus!$E$31, 0), "")</f>
        <v>6.5733750690480575</v>
      </c>
      <c r="AJ725">
        <f t="shared" ca="1" si="116"/>
        <v>5.5848164546660843E-4</v>
      </c>
    </row>
    <row r="726" spans="28:36" x14ac:dyDescent="0.3">
      <c r="AB726">
        <f t="shared" si="109"/>
        <v>2</v>
      </c>
      <c r="AC726">
        <f t="shared" si="110"/>
        <v>0</v>
      </c>
      <c r="AD726">
        <f t="shared" si="111"/>
        <v>2</v>
      </c>
      <c r="AE726">
        <f t="shared" si="112"/>
        <v>2</v>
      </c>
      <c r="AF726">
        <f t="shared" si="113"/>
        <v>2</v>
      </c>
      <c r="AG726">
        <f t="shared" si="114"/>
        <v>8</v>
      </c>
      <c r="AH726">
        <f t="shared" ca="1" si="115"/>
        <v>4.2480585665674377E-5</v>
      </c>
      <c r="AI726">
        <f>IF(ROW($AA726) - $AA$51 &lt; ($H$16+1)^5, IF(AG726 &gt;= BaseBonus!$C$16, AG726*BaseBonus!$E$31, 0), "")</f>
        <v>7.5124286503406372</v>
      </c>
      <c r="AJ726">
        <f t="shared" ca="1" si="116"/>
        <v>3.19132368838062E-4</v>
      </c>
    </row>
    <row r="727" spans="28:36" x14ac:dyDescent="0.3">
      <c r="AB727">
        <f t="shared" si="109"/>
        <v>3</v>
      </c>
      <c r="AC727">
        <f t="shared" si="110"/>
        <v>0</v>
      </c>
      <c r="AD727">
        <f t="shared" si="111"/>
        <v>2</v>
      </c>
      <c r="AE727">
        <f t="shared" si="112"/>
        <v>2</v>
      </c>
      <c r="AF727">
        <f t="shared" si="113"/>
        <v>2</v>
      </c>
      <c r="AG727">
        <f t="shared" si="114"/>
        <v>9</v>
      </c>
      <c r="AH727">
        <f t="shared" ca="1" si="115"/>
        <v>0</v>
      </c>
      <c r="AI727">
        <f>IF(ROW($AA727) - $AA$51 &lt; ($H$16+1)^5, IF(AG727 &gt;= BaseBonus!$C$16, AG727*BaseBonus!$E$31, 0), "")</f>
        <v>8.4514822316332161</v>
      </c>
      <c r="AJ727">
        <f t="shared" ca="1" si="116"/>
        <v>0</v>
      </c>
    </row>
    <row r="728" spans="28:36" x14ac:dyDescent="0.3">
      <c r="AB728">
        <f t="shared" si="109"/>
        <v>0</v>
      </c>
      <c r="AC728">
        <f t="shared" si="110"/>
        <v>1</v>
      </c>
      <c r="AD728">
        <f t="shared" si="111"/>
        <v>2</v>
      </c>
      <c r="AE728">
        <f t="shared" si="112"/>
        <v>2</v>
      </c>
      <c r="AF728">
        <f t="shared" si="113"/>
        <v>2</v>
      </c>
      <c r="AG728">
        <f t="shared" si="114"/>
        <v>7</v>
      </c>
      <c r="AH728">
        <f t="shared" ca="1" si="115"/>
        <v>1.3824190589507593E-4</v>
      </c>
      <c r="AI728">
        <f>IF(ROW($AA728) - $AA$51 &lt; ($H$16+1)^5, IF(AG728 &gt;= BaseBonus!$C$16, AG728*BaseBonus!$E$31, 0), "")</f>
        <v>6.5733750690480575</v>
      </c>
      <c r="AJ728">
        <f t="shared" ca="1" si="116"/>
        <v>9.0871589770837979E-4</v>
      </c>
    </row>
    <row r="729" spans="28:36" x14ac:dyDescent="0.3">
      <c r="AB729">
        <f t="shared" si="109"/>
        <v>1</v>
      </c>
      <c r="AC729">
        <f t="shared" si="110"/>
        <v>1</v>
      </c>
      <c r="AD729">
        <f t="shared" si="111"/>
        <v>2</v>
      </c>
      <c r="AE729">
        <f t="shared" si="112"/>
        <v>2</v>
      </c>
      <c r="AF729">
        <f t="shared" si="113"/>
        <v>2</v>
      </c>
      <c r="AG729">
        <f t="shared" si="114"/>
        <v>8</v>
      </c>
      <c r="AH729">
        <f t="shared" ca="1" si="115"/>
        <v>2.5920357355326739E-5</v>
      </c>
      <c r="AI729">
        <f>IF(ROW($AA729) - $AA$51 &lt; ($H$16+1)^5, IF(AG729 &gt;= BaseBonus!$C$16, AG729*BaseBonus!$E$31, 0), "")</f>
        <v>7.5124286503406372</v>
      </c>
      <c r="AJ729">
        <f t="shared" ca="1" si="116"/>
        <v>1.9472483522322426E-4</v>
      </c>
    </row>
    <row r="730" spans="28:36" x14ac:dyDescent="0.3">
      <c r="AB730">
        <f t="shared" si="109"/>
        <v>2</v>
      </c>
      <c r="AC730">
        <f t="shared" si="110"/>
        <v>1</v>
      </c>
      <c r="AD730">
        <f t="shared" si="111"/>
        <v>2</v>
      </c>
      <c r="AE730">
        <f t="shared" si="112"/>
        <v>2</v>
      </c>
      <c r="AF730">
        <f t="shared" si="113"/>
        <v>2</v>
      </c>
      <c r="AG730">
        <f t="shared" si="114"/>
        <v>9</v>
      </c>
      <c r="AH730">
        <f t="shared" ca="1" si="115"/>
        <v>1.296017867766337E-5</v>
      </c>
      <c r="AI730">
        <f>IF(ROW($AA730) - $AA$51 &lt; ($H$16+1)^5, IF(AG730 &gt;= BaseBonus!$C$16, AG730*BaseBonus!$E$31, 0), "")</f>
        <v>8.4514822316332161</v>
      </c>
      <c r="AJ730">
        <f t="shared" ca="1" si="116"/>
        <v>1.0953271981306364E-4</v>
      </c>
    </row>
    <row r="731" spans="28:36" x14ac:dyDescent="0.3">
      <c r="AB731">
        <f t="shared" si="109"/>
        <v>3</v>
      </c>
      <c r="AC731">
        <f t="shared" si="110"/>
        <v>1</v>
      </c>
      <c r="AD731">
        <f t="shared" si="111"/>
        <v>2</v>
      </c>
      <c r="AE731">
        <f t="shared" si="112"/>
        <v>2</v>
      </c>
      <c r="AF731">
        <f t="shared" si="113"/>
        <v>2</v>
      </c>
      <c r="AG731">
        <f t="shared" si="114"/>
        <v>10</v>
      </c>
      <c r="AH731">
        <f t="shared" ca="1" si="115"/>
        <v>0</v>
      </c>
      <c r="AI731">
        <f>IF(ROW($AA731) - $AA$51 &lt; ($H$16+1)^5, IF(AG731 &gt;= BaseBonus!$C$16, AG731*BaseBonus!$E$31, 0), "")</f>
        <v>9.3905358129257959</v>
      </c>
      <c r="AJ731">
        <f t="shared" ca="1" si="116"/>
        <v>0</v>
      </c>
    </row>
    <row r="732" spans="28:36" x14ac:dyDescent="0.3">
      <c r="AB732">
        <f t="shared" si="109"/>
        <v>0</v>
      </c>
      <c r="AC732">
        <f t="shared" si="110"/>
        <v>2</v>
      </c>
      <c r="AD732">
        <f t="shared" si="111"/>
        <v>2</v>
      </c>
      <c r="AE732">
        <f t="shared" si="112"/>
        <v>2</v>
      </c>
      <c r="AF732">
        <f t="shared" si="113"/>
        <v>2</v>
      </c>
      <c r="AG732">
        <f t="shared" si="114"/>
        <v>8</v>
      </c>
      <c r="AH732">
        <f t="shared" ca="1" si="115"/>
        <v>2.3040317649179322E-5</v>
      </c>
      <c r="AI732">
        <f>IF(ROW($AA732) - $AA$51 &lt; ($H$16+1)^5, IF(AG732 &gt;= BaseBonus!$C$16, AG732*BaseBonus!$E$31, 0), "")</f>
        <v>7.5124286503406372</v>
      </c>
      <c r="AJ732">
        <f t="shared" ca="1" si="116"/>
        <v>1.7308874242064377E-4</v>
      </c>
    </row>
    <row r="733" spans="28:36" x14ac:dyDescent="0.3">
      <c r="AB733">
        <f t="shared" si="109"/>
        <v>1</v>
      </c>
      <c r="AC733">
        <f t="shared" si="110"/>
        <v>2</v>
      </c>
      <c r="AD733">
        <f t="shared" si="111"/>
        <v>2</v>
      </c>
      <c r="AE733">
        <f t="shared" si="112"/>
        <v>2</v>
      </c>
      <c r="AF733">
        <f t="shared" si="113"/>
        <v>2</v>
      </c>
      <c r="AG733">
        <f t="shared" si="114"/>
        <v>9</v>
      </c>
      <c r="AH733">
        <f t="shared" ca="1" si="115"/>
        <v>4.3200595592211221E-6</v>
      </c>
      <c r="AI733">
        <f>IF(ROW($AA733) - $AA$51 &lt; ($H$16+1)^5, IF(AG733 &gt;= BaseBonus!$C$16, AG733*BaseBonus!$E$31, 0), "")</f>
        <v>8.4514822316332161</v>
      </c>
      <c r="AJ733">
        <f t="shared" ca="1" si="116"/>
        <v>3.6510906604354538E-5</v>
      </c>
    </row>
    <row r="734" spans="28:36" x14ac:dyDescent="0.3">
      <c r="AB734">
        <f t="shared" si="109"/>
        <v>2</v>
      </c>
      <c r="AC734">
        <f t="shared" si="110"/>
        <v>2</v>
      </c>
      <c r="AD734">
        <f t="shared" si="111"/>
        <v>2</v>
      </c>
      <c r="AE734">
        <f t="shared" si="112"/>
        <v>2</v>
      </c>
      <c r="AF734">
        <f t="shared" si="113"/>
        <v>2</v>
      </c>
      <c r="AG734">
        <f t="shared" si="114"/>
        <v>10</v>
      </c>
      <c r="AH734">
        <f t="shared" ca="1" si="115"/>
        <v>2.160029779610561E-6</v>
      </c>
      <c r="AI734">
        <f>IF(ROW($AA734) - $AA$51 &lt; ($H$16+1)^5, IF(AG734 &gt;= BaseBonus!$C$16, AG734*BaseBonus!$E$31, 0), "")</f>
        <v>9.3905358129257959</v>
      </c>
      <c r="AJ734">
        <f t="shared" ca="1" si="116"/>
        <v>2.0283837002419189E-5</v>
      </c>
    </row>
    <row r="735" spans="28:36" x14ac:dyDescent="0.3">
      <c r="AB735">
        <f t="shared" si="109"/>
        <v>3</v>
      </c>
      <c r="AC735">
        <f t="shared" si="110"/>
        <v>2</v>
      </c>
      <c r="AD735">
        <f t="shared" si="111"/>
        <v>2</v>
      </c>
      <c r="AE735">
        <f t="shared" si="112"/>
        <v>2</v>
      </c>
      <c r="AF735">
        <f t="shared" si="113"/>
        <v>2</v>
      </c>
      <c r="AG735">
        <f t="shared" si="114"/>
        <v>11</v>
      </c>
      <c r="AH735">
        <f t="shared" ca="1" si="115"/>
        <v>0</v>
      </c>
      <c r="AI735">
        <f>IF(ROW($AA735) - $AA$51 &lt; ($H$16+1)^5, IF(AG735 &gt;= BaseBonus!$C$16, AG735*BaseBonus!$E$31, 0), "")</f>
        <v>10.329589394218376</v>
      </c>
      <c r="AJ735">
        <f t="shared" ca="1" si="116"/>
        <v>0</v>
      </c>
    </row>
    <row r="736" spans="28:36" x14ac:dyDescent="0.3">
      <c r="AB736">
        <f t="shared" si="109"/>
        <v>0</v>
      </c>
      <c r="AC736">
        <f t="shared" si="110"/>
        <v>3</v>
      </c>
      <c r="AD736">
        <f t="shared" si="111"/>
        <v>2</v>
      </c>
      <c r="AE736">
        <f t="shared" si="112"/>
        <v>2</v>
      </c>
      <c r="AF736">
        <f t="shared" si="113"/>
        <v>2</v>
      </c>
      <c r="AG736">
        <f t="shared" si="114"/>
        <v>9</v>
      </c>
      <c r="AH736">
        <f t="shared" ca="1" si="115"/>
        <v>0</v>
      </c>
      <c r="AI736">
        <f>IF(ROW($AA736) - $AA$51 &lt; ($H$16+1)^5, IF(AG736 &gt;= BaseBonus!$C$16, AG736*BaseBonus!$E$31, 0), "")</f>
        <v>8.4514822316332161</v>
      </c>
      <c r="AJ736">
        <f t="shared" ca="1" si="116"/>
        <v>0</v>
      </c>
    </row>
    <row r="737" spans="28:36" x14ac:dyDescent="0.3">
      <c r="AB737">
        <f t="shared" si="109"/>
        <v>1</v>
      </c>
      <c r="AC737">
        <f t="shared" si="110"/>
        <v>3</v>
      </c>
      <c r="AD737">
        <f t="shared" si="111"/>
        <v>2</v>
      </c>
      <c r="AE737">
        <f t="shared" si="112"/>
        <v>2</v>
      </c>
      <c r="AF737">
        <f t="shared" si="113"/>
        <v>2</v>
      </c>
      <c r="AG737">
        <f t="shared" si="114"/>
        <v>10</v>
      </c>
      <c r="AH737">
        <f t="shared" ca="1" si="115"/>
        <v>0</v>
      </c>
      <c r="AI737">
        <f>IF(ROW($AA737) - $AA$51 &lt; ($H$16+1)^5, IF(AG737 &gt;= BaseBonus!$C$16, AG737*BaseBonus!$E$31, 0), "")</f>
        <v>9.3905358129257959</v>
      </c>
      <c r="AJ737">
        <f t="shared" ca="1" si="116"/>
        <v>0</v>
      </c>
    </row>
    <row r="738" spans="28:36" x14ac:dyDescent="0.3">
      <c r="AB738">
        <f t="shared" si="109"/>
        <v>2</v>
      </c>
      <c r="AC738">
        <f t="shared" si="110"/>
        <v>3</v>
      </c>
      <c r="AD738">
        <f t="shared" si="111"/>
        <v>2</v>
      </c>
      <c r="AE738">
        <f t="shared" si="112"/>
        <v>2</v>
      </c>
      <c r="AF738">
        <f t="shared" si="113"/>
        <v>2</v>
      </c>
      <c r="AG738">
        <f t="shared" si="114"/>
        <v>11</v>
      </c>
      <c r="AH738">
        <f t="shared" ca="1" si="115"/>
        <v>0</v>
      </c>
      <c r="AI738">
        <f>IF(ROW($AA738) - $AA$51 &lt; ($H$16+1)^5, IF(AG738 &gt;= BaseBonus!$C$16, AG738*BaseBonus!$E$31, 0), "")</f>
        <v>10.329589394218376</v>
      </c>
      <c r="AJ738">
        <f t="shared" ca="1" si="116"/>
        <v>0</v>
      </c>
    </row>
    <row r="739" spans="28:36" x14ac:dyDescent="0.3">
      <c r="AB739">
        <f t="shared" si="109"/>
        <v>3</v>
      </c>
      <c r="AC739">
        <f t="shared" si="110"/>
        <v>3</v>
      </c>
      <c r="AD739">
        <f t="shared" si="111"/>
        <v>2</v>
      </c>
      <c r="AE739">
        <f t="shared" si="112"/>
        <v>2</v>
      </c>
      <c r="AF739">
        <f t="shared" si="113"/>
        <v>2</v>
      </c>
      <c r="AG739">
        <f t="shared" si="114"/>
        <v>12</v>
      </c>
      <c r="AH739">
        <f t="shared" ca="1" si="115"/>
        <v>0</v>
      </c>
      <c r="AI739">
        <f>IF(ROW($AA739) - $AA$51 &lt; ($H$16+1)^5, IF(AG739 &gt;= BaseBonus!$C$16, AG739*BaseBonus!$E$31, 0), "")</f>
        <v>11.268642975510955</v>
      </c>
      <c r="AJ739">
        <f t="shared" ca="1" si="116"/>
        <v>0</v>
      </c>
    </row>
    <row r="740" spans="28:36" x14ac:dyDescent="0.3">
      <c r="AB740">
        <f t="shared" si="109"/>
        <v>0</v>
      </c>
      <c r="AC740">
        <f t="shared" si="110"/>
        <v>0</v>
      </c>
      <c r="AD740">
        <f t="shared" si="111"/>
        <v>3</v>
      </c>
      <c r="AE740">
        <f t="shared" si="112"/>
        <v>2</v>
      </c>
      <c r="AF740">
        <f t="shared" si="113"/>
        <v>2</v>
      </c>
      <c r="AG740">
        <f t="shared" si="114"/>
        <v>7</v>
      </c>
      <c r="AH740">
        <f t="shared" ca="1" si="115"/>
        <v>0</v>
      </c>
      <c r="AI740">
        <f>IF(ROW($AA740) - $AA$51 &lt; ($H$16+1)^5, IF(AG740 &gt;= BaseBonus!$C$16, AG740*BaseBonus!$E$31, 0), "")</f>
        <v>6.5733750690480575</v>
      </c>
      <c r="AJ740">
        <f t="shared" ca="1" si="116"/>
        <v>0</v>
      </c>
    </row>
    <row r="741" spans="28:36" x14ac:dyDescent="0.3">
      <c r="AB741">
        <f t="shared" si="109"/>
        <v>1</v>
      </c>
      <c r="AC741">
        <f t="shared" si="110"/>
        <v>0</v>
      </c>
      <c r="AD741">
        <f t="shared" si="111"/>
        <v>3</v>
      </c>
      <c r="AE741">
        <f t="shared" si="112"/>
        <v>2</v>
      </c>
      <c r="AF741">
        <f t="shared" si="113"/>
        <v>2</v>
      </c>
      <c r="AG741">
        <f t="shared" si="114"/>
        <v>8</v>
      </c>
      <c r="AH741">
        <f t="shared" ca="1" si="115"/>
        <v>0</v>
      </c>
      <c r="AI741">
        <f>IF(ROW($AA741) - $AA$51 &lt; ($H$16+1)^5, IF(AG741 &gt;= BaseBonus!$C$16, AG741*BaseBonus!$E$31, 0), "")</f>
        <v>7.5124286503406372</v>
      </c>
      <c r="AJ741">
        <f t="shared" ca="1" si="116"/>
        <v>0</v>
      </c>
    </row>
    <row r="742" spans="28:36" x14ac:dyDescent="0.3">
      <c r="AB742">
        <f t="shared" si="109"/>
        <v>2</v>
      </c>
      <c r="AC742">
        <f t="shared" si="110"/>
        <v>0</v>
      </c>
      <c r="AD742">
        <f t="shared" si="111"/>
        <v>3</v>
      </c>
      <c r="AE742">
        <f t="shared" si="112"/>
        <v>2</v>
      </c>
      <c r="AF742">
        <f t="shared" si="113"/>
        <v>2</v>
      </c>
      <c r="AG742">
        <f t="shared" si="114"/>
        <v>9</v>
      </c>
      <c r="AH742">
        <f t="shared" ca="1" si="115"/>
        <v>0</v>
      </c>
      <c r="AI742">
        <f>IF(ROW($AA742) - $AA$51 &lt; ($H$16+1)^5, IF(AG742 &gt;= BaseBonus!$C$16, AG742*BaseBonus!$E$31, 0), "")</f>
        <v>8.4514822316332161</v>
      </c>
      <c r="AJ742">
        <f t="shared" ca="1" si="116"/>
        <v>0</v>
      </c>
    </row>
    <row r="743" spans="28:36" x14ac:dyDescent="0.3">
      <c r="AB743">
        <f t="shared" si="109"/>
        <v>3</v>
      </c>
      <c r="AC743">
        <f t="shared" si="110"/>
        <v>0</v>
      </c>
      <c r="AD743">
        <f t="shared" si="111"/>
        <v>3</v>
      </c>
      <c r="AE743">
        <f t="shared" si="112"/>
        <v>2</v>
      </c>
      <c r="AF743">
        <f t="shared" si="113"/>
        <v>2</v>
      </c>
      <c r="AG743">
        <f t="shared" si="114"/>
        <v>10</v>
      </c>
      <c r="AH743">
        <f t="shared" ca="1" si="115"/>
        <v>0</v>
      </c>
      <c r="AI743">
        <f>IF(ROW($AA743) - $AA$51 &lt; ($H$16+1)^5, IF(AG743 &gt;= BaseBonus!$C$16, AG743*BaseBonus!$E$31, 0), "")</f>
        <v>9.3905358129257959</v>
      </c>
      <c r="AJ743">
        <f t="shared" ca="1" si="116"/>
        <v>0</v>
      </c>
    </row>
    <row r="744" spans="28:36" x14ac:dyDescent="0.3">
      <c r="AB744">
        <f t="shared" si="109"/>
        <v>0</v>
      </c>
      <c r="AC744">
        <f t="shared" si="110"/>
        <v>1</v>
      </c>
      <c r="AD744">
        <f t="shared" si="111"/>
        <v>3</v>
      </c>
      <c r="AE744">
        <f t="shared" si="112"/>
        <v>2</v>
      </c>
      <c r="AF744">
        <f t="shared" si="113"/>
        <v>2</v>
      </c>
      <c r="AG744">
        <f t="shared" si="114"/>
        <v>8</v>
      </c>
      <c r="AH744">
        <f t="shared" ca="1" si="115"/>
        <v>0</v>
      </c>
      <c r="AI744">
        <f>IF(ROW($AA744) - $AA$51 &lt; ($H$16+1)^5, IF(AG744 &gt;= BaseBonus!$C$16, AG744*BaseBonus!$E$31, 0), "")</f>
        <v>7.5124286503406372</v>
      </c>
      <c r="AJ744">
        <f t="shared" ca="1" si="116"/>
        <v>0</v>
      </c>
    </row>
    <row r="745" spans="28:36" x14ac:dyDescent="0.3">
      <c r="AB745">
        <f t="shared" si="109"/>
        <v>1</v>
      </c>
      <c r="AC745">
        <f t="shared" si="110"/>
        <v>1</v>
      </c>
      <c r="AD745">
        <f t="shared" si="111"/>
        <v>3</v>
      </c>
      <c r="AE745">
        <f t="shared" si="112"/>
        <v>2</v>
      </c>
      <c r="AF745">
        <f t="shared" si="113"/>
        <v>2</v>
      </c>
      <c r="AG745">
        <f t="shared" si="114"/>
        <v>9</v>
      </c>
      <c r="AH745">
        <f t="shared" ca="1" si="115"/>
        <v>0</v>
      </c>
      <c r="AI745">
        <f>IF(ROW($AA745) - $AA$51 &lt; ($H$16+1)^5, IF(AG745 &gt;= BaseBonus!$C$16, AG745*BaseBonus!$E$31, 0), "")</f>
        <v>8.4514822316332161</v>
      </c>
      <c r="AJ745">
        <f t="shared" ca="1" si="116"/>
        <v>0</v>
      </c>
    </row>
    <row r="746" spans="28:36" x14ac:dyDescent="0.3">
      <c r="AB746">
        <f t="shared" si="109"/>
        <v>2</v>
      </c>
      <c r="AC746">
        <f t="shared" si="110"/>
        <v>1</v>
      </c>
      <c r="AD746">
        <f t="shared" si="111"/>
        <v>3</v>
      </c>
      <c r="AE746">
        <f t="shared" si="112"/>
        <v>2</v>
      </c>
      <c r="AF746">
        <f t="shared" si="113"/>
        <v>2</v>
      </c>
      <c r="AG746">
        <f t="shared" si="114"/>
        <v>10</v>
      </c>
      <c r="AH746">
        <f t="shared" ca="1" si="115"/>
        <v>0</v>
      </c>
      <c r="AI746">
        <f>IF(ROW($AA746) - $AA$51 &lt; ($H$16+1)^5, IF(AG746 &gt;= BaseBonus!$C$16, AG746*BaseBonus!$E$31, 0), "")</f>
        <v>9.3905358129257959</v>
      </c>
      <c r="AJ746">
        <f t="shared" ca="1" si="116"/>
        <v>0</v>
      </c>
    </row>
    <row r="747" spans="28:36" x14ac:dyDescent="0.3">
      <c r="AB747">
        <f t="shared" si="109"/>
        <v>3</v>
      </c>
      <c r="AC747">
        <f t="shared" si="110"/>
        <v>1</v>
      </c>
      <c r="AD747">
        <f t="shared" si="111"/>
        <v>3</v>
      </c>
      <c r="AE747">
        <f t="shared" si="112"/>
        <v>2</v>
      </c>
      <c r="AF747">
        <f t="shared" si="113"/>
        <v>2</v>
      </c>
      <c r="AG747">
        <f t="shared" si="114"/>
        <v>11</v>
      </c>
      <c r="AH747">
        <f t="shared" ca="1" si="115"/>
        <v>0</v>
      </c>
      <c r="AI747">
        <f>IF(ROW($AA747) - $AA$51 &lt; ($H$16+1)^5, IF(AG747 &gt;= BaseBonus!$C$16, AG747*BaseBonus!$E$31, 0), "")</f>
        <v>10.329589394218376</v>
      </c>
      <c r="AJ747">
        <f t="shared" ca="1" si="116"/>
        <v>0</v>
      </c>
    </row>
    <row r="748" spans="28:36" x14ac:dyDescent="0.3">
      <c r="AB748">
        <f t="shared" si="109"/>
        <v>0</v>
      </c>
      <c r="AC748">
        <f t="shared" si="110"/>
        <v>2</v>
      </c>
      <c r="AD748">
        <f t="shared" si="111"/>
        <v>3</v>
      </c>
      <c r="AE748">
        <f t="shared" si="112"/>
        <v>2</v>
      </c>
      <c r="AF748">
        <f t="shared" si="113"/>
        <v>2</v>
      </c>
      <c r="AG748">
        <f t="shared" si="114"/>
        <v>9</v>
      </c>
      <c r="AH748">
        <f t="shared" ca="1" si="115"/>
        <v>0</v>
      </c>
      <c r="AI748">
        <f>IF(ROW($AA748) - $AA$51 &lt; ($H$16+1)^5, IF(AG748 &gt;= BaseBonus!$C$16, AG748*BaseBonus!$E$31, 0), "")</f>
        <v>8.4514822316332161</v>
      </c>
      <c r="AJ748">
        <f t="shared" ca="1" si="116"/>
        <v>0</v>
      </c>
    </row>
    <row r="749" spans="28:36" x14ac:dyDescent="0.3">
      <c r="AB749">
        <f t="shared" si="109"/>
        <v>1</v>
      </c>
      <c r="AC749">
        <f t="shared" si="110"/>
        <v>2</v>
      </c>
      <c r="AD749">
        <f t="shared" si="111"/>
        <v>3</v>
      </c>
      <c r="AE749">
        <f t="shared" si="112"/>
        <v>2</v>
      </c>
      <c r="AF749">
        <f t="shared" si="113"/>
        <v>2</v>
      </c>
      <c r="AG749">
        <f t="shared" si="114"/>
        <v>10</v>
      </c>
      <c r="AH749">
        <f t="shared" ca="1" si="115"/>
        <v>0</v>
      </c>
      <c r="AI749">
        <f>IF(ROW($AA749) - $AA$51 &lt; ($H$16+1)^5, IF(AG749 &gt;= BaseBonus!$C$16, AG749*BaseBonus!$E$31, 0), "")</f>
        <v>9.3905358129257959</v>
      </c>
      <c r="AJ749">
        <f t="shared" ca="1" si="116"/>
        <v>0</v>
      </c>
    </row>
    <row r="750" spans="28:36" x14ac:dyDescent="0.3">
      <c r="AB750">
        <f t="shared" si="109"/>
        <v>2</v>
      </c>
      <c r="AC750">
        <f t="shared" si="110"/>
        <v>2</v>
      </c>
      <c r="AD750">
        <f t="shared" si="111"/>
        <v>3</v>
      </c>
      <c r="AE750">
        <f t="shared" si="112"/>
        <v>2</v>
      </c>
      <c r="AF750">
        <f t="shared" si="113"/>
        <v>2</v>
      </c>
      <c r="AG750">
        <f t="shared" si="114"/>
        <v>11</v>
      </c>
      <c r="AH750">
        <f t="shared" ca="1" si="115"/>
        <v>0</v>
      </c>
      <c r="AI750">
        <f>IF(ROW($AA750) - $AA$51 &lt; ($H$16+1)^5, IF(AG750 &gt;= BaseBonus!$C$16, AG750*BaseBonus!$E$31, 0), "")</f>
        <v>10.329589394218376</v>
      </c>
      <c r="AJ750">
        <f t="shared" ca="1" si="116"/>
        <v>0</v>
      </c>
    </row>
    <row r="751" spans="28:36" x14ac:dyDescent="0.3">
      <c r="AB751">
        <f t="shared" si="109"/>
        <v>3</v>
      </c>
      <c r="AC751">
        <f t="shared" si="110"/>
        <v>2</v>
      </c>
      <c r="AD751">
        <f t="shared" si="111"/>
        <v>3</v>
      </c>
      <c r="AE751">
        <f t="shared" si="112"/>
        <v>2</v>
      </c>
      <c r="AF751">
        <f t="shared" si="113"/>
        <v>2</v>
      </c>
      <c r="AG751">
        <f t="shared" si="114"/>
        <v>12</v>
      </c>
      <c r="AH751">
        <f t="shared" ca="1" si="115"/>
        <v>0</v>
      </c>
      <c r="AI751">
        <f>IF(ROW($AA751) - $AA$51 &lt; ($H$16+1)^5, IF(AG751 &gt;= BaseBonus!$C$16, AG751*BaseBonus!$E$31, 0), "")</f>
        <v>11.268642975510955</v>
      </c>
      <c r="AJ751">
        <f t="shared" ca="1" si="116"/>
        <v>0</v>
      </c>
    </row>
    <row r="752" spans="28:36" x14ac:dyDescent="0.3">
      <c r="AB752">
        <f t="shared" si="109"/>
        <v>0</v>
      </c>
      <c r="AC752">
        <f t="shared" si="110"/>
        <v>3</v>
      </c>
      <c r="AD752">
        <f t="shared" si="111"/>
        <v>3</v>
      </c>
      <c r="AE752">
        <f t="shared" si="112"/>
        <v>2</v>
      </c>
      <c r="AF752">
        <f t="shared" si="113"/>
        <v>2</v>
      </c>
      <c r="AG752">
        <f t="shared" si="114"/>
        <v>10</v>
      </c>
      <c r="AH752">
        <f t="shared" ca="1" si="115"/>
        <v>0</v>
      </c>
      <c r="AI752">
        <f>IF(ROW($AA752) - $AA$51 &lt; ($H$16+1)^5, IF(AG752 &gt;= BaseBonus!$C$16, AG752*BaseBonus!$E$31, 0), "")</f>
        <v>9.3905358129257959</v>
      </c>
      <c r="AJ752">
        <f t="shared" ca="1" si="116"/>
        <v>0</v>
      </c>
    </row>
    <row r="753" spans="28:36" x14ac:dyDescent="0.3">
      <c r="AB753">
        <f t="shared" si="109"/>
        <v>1</v>
      </c>
      <c r="AC753">
        <f t="shared" si="110"/>
        <v>3</v>
      </c>
      <c r="AD753">
        <f t="shared" si="111"/>
        <v>3</v>
      </c>
      <c r="AE753">
        <f t="shared" si="112"/>
        <v>2</v>
      </c>
      <c r="AF753">
        <f t="shared" si="113"/>
        <v>2</v>
      </c>
      <c r="AG753">
        <f t="shared" si="114"/>
        <v>11</v>
      </c>
      <c r="AH753">
        <f t="shared" ca="1" si="115"/>
        <v>0</v>
      </c>
      <c r="AI753">
        <f>IF(ROW($AA753) - $AA$51 &lt; ($H$16+1)^5, IF(AG753 &gt;= BaseBonus!$C$16, AG753*BaseBonus!$E$31, 0), "")</f>
        <v>10.329589394218376</v>
      </c>
      <c r="AJ753">
        <f t="shared" ca="1" si="116"/>
        <v>0</v>
      </c>
    </row>
    <row r="754" spans="28:36" x14ac:dyDescent="0.3">
      <c r="AB754">
        <f t="shared" si="109"/>
        <v>2</v>
      </c>
      <c r="AC754">
        <f t="shared" si="110"/>
        <v>3</v>
      </c>
      <c r="AD754">
        <f t="shared" si="111"/>
        <v>3</v>
      </c>
      <c r="AE754">
        <f t="shared" si="112"/>
        <v>2</v>
      </c>
      <c r="AF754">
        <f t="shared" si="113"/>
        <v>2</v>
      </c>
      <c r="AG754">
        <f t="shared" si="114"/>
        <v>12</v>
      </c>
      <c r="AH754">
        <f t="shared" ca="1" si="115"/>
        <v>0</v>
      </c>
      <c r="AI754">
        <f>IF(ROW($AA754) - $AA$51 &lt; ($H$16+1)^5, IF(AG754 &gt;= BaseBonus!$C$16, AG754*BaseBonus!$E$31, 0), "")</f>
        <v>11.268642975510955</v>
      </c>
      <c r="AJ754">
        <f t="shared" ca="1" si="116"/>
        <v>0</v>
      </c>
    </row>
    <row r="755" spans="28:36" x14ac:dyDescent="0.3">
      <c r="AB755">
        <f t="shared" si="109"/>
        <v>3</v>
      </c>
      <c r="AC755">
        <f t="shared" si="110"/>
        <v>3</v>
      </c>
      <c r="AD755">
        <f t="shared" si="111"/>
        <v>3</v>
      </c>
      <c r="AE755">
        <f t="shared" si="112"/>
        <v>2</v>
      </c>
      <c r="AF755">
        <f t="shared" si="113"/>
        <v>2</v>
      </c>
      <c r="AG755">
        <f t="shared" si="114"/>
        <v>13</v>
      </c>
      <c r="AH755">
        <f t="shared" ca="1" si="115"/>
        <v>0</v>
      </c>
      <c r="AI755">
        <f>IF(ROW($AA755) - $AA$51 &lt; ($H$16+1)^5, IF(AG755 &gt;= BaseBonus!$C$16, AG755*BaseBonus!$E$31, 0), "")</f>
        <v>12.207696556803535</v>
      </c>
      <c r="AJ755">
        <f t="shared" ca="1" si="116"/>
        <v>0</v>
      </c>
    </row>
    <row r="756" spans="28:36" x14ac:dyDescent="0.3">
      <c r="AB756">
        <f t="shared" ref="AB756:AB819" si="117">IF(ROW()-$AA$51 &lt; (H$16+1)^5, MOD(_xlfn.FLOOR.MATH((ROW()-$AA$51)/AB$50), H$16+1), "")</f>
        <v>0</v>
      </c>
      <c r="AC756">
        <f t="shared" ref="AC756:AC819" si="118">IF(ROW()-$AA$51 &lt; (I$16+1)^5, MOD(_xlfn.FLOOR.MATH((ROW()-$AA$51)/AC$50), I$16+1), "")</f>
        <v>0</v>
      </c>
      <c r="AD756">
        <f t="shared" ref="AD756:AD819" si="119">IF(ROW()-$AA$51 &lt; (J$16+1)^5, MOD(_xlfn.FLOOR.MATH((ROW()-$AA$51)/AD$50), J$16+1), "")</f>
        <v>0</v>
      </c>
      <c r="AE756">
        <f t="shared" ref="AE756:AE819" si="120">IF(ROW()-$AA$51 &lt; (K$16+1)^5, MOD(_xlfn.FLOOR.MATH((ROW()-$AA$51)/AE$50), K$16+1), "")</f>
        <v>3</v>
      </c>
      <c r="AF756">
        <f t="shared" ref="AF756:AF819" si="121">IF(ROW()-$AA$51 &lt; (L$16+1)^5, MOD(_xlfn.FLOOR.MATH((ROW()-$AA$51)/AF$50), L$16+1), "")</f>
        <v>2</v>
      </c>
      <c r="AG756">
        <f t="shared" ref="AG756:AG819" si="122">IF(ROW($AA756) - $AA$51 &lt; ($H$16+1)^5, SUM(AB756:AF756), "")</f>
        <v>5</v>
      </c>
      <c r="AH756">
        <f t="shared" ref="AH756:AH819" ca="1" si="123">IF(ROW($AA756) - $AA$51 &lt; (4)^5,
    (_xlfn.XLOOKUP(AB756,$T$51:$T$55,U$51:U$55,0)/U$27) * (_xlfn.XLOOKUP(AC756,$T$51:$T$55,V$51:V$55,0)/V$27) * (_xlfn.XLOOKUP(AD756,$T$51:$T$55,W$51:W$55,0)/W$27) * (_xlfn.XLOOKUP(AE756,$T$51:$T$55,X$51:X$55,0)/X$27) * (_xlfn.XLOOKUP(AF756,$T$51:$T$55,Y$51:Y$55,0)/Y$27),
"")</f>
        <v>0</v>
      </c>
      <c r="AI756">
        <f>IF(ROW($AA756) - $AA$51 &lt; ($H$16+1)^5, IF(AG756 &gt;= BaseBonus!$C$16, AG756*BaseBonus!$E$31, 0), "")</f>
        <v>4.6952679064628979</v>
      </c>
      <c r="AJ756">
        <f t="shared" ref="AJ756:AJ819" ca="1" si="124">IF(ROW($AA756) - $AA$51 &lt; ($H$16+1)^5, AH756*AI756, "")</f>
        <v>0</v>
      </c>
    </row>
    <row r="757" spans="28:36" x14ac:dyDescent="0.3">
      <c r="AB757">
        <f t="shared" si="117"/>
        <v>1</v>
      </c>
      <c r="AC757">
        <f t="shared" si="118"/>
        <v>0</v>
      </c>
      <c r="AD757">
        <f t="shared" si="119"/>
        <v>0</v>
      </c>
      <c r="AE757">
        <f t="shared" si="120"/>
        <v>3</v>
      </c>
      <c r="AF757">
        <f t="shared" si="121"/>
        <v>2</v>
      </c>
      <c r="AG757">
        <f t="shared" si="122"/>
        <v>6</v>
      </c>
      <c r="AH757">
        <f t="shared" ca="1" si="123"/>
        <v>0</v>
      </c>
      <c r="AI757">
        <f>IF(ROW($AA757) - $AA$51 &lt; ($H$16+1)^5, IF(AG757 &gt;= BaseBonus!$C$16, AG757*BaseBonus!$E$31, 0), "")</f>
        <v>5.6343214877554777</v>
      </c>
      <c r="AJ757">
        <f t="shared" ca="1" si="124"/>
        <v>0</v>
      </c>
    </row>
    <row r="758" spans="28:36" x14ac:dyDescent="0.3">
      <c r="AB758">
        <f t="shared" si="117"/>
        <v>2</v>
      </c>
      <c r="AC758">
        <f t="shared" si="118"/>
        <v>0</v>
      </c>
      <c r="AD758">
        <f t="shared" si="119"/>
        <v>0</v>
      </c>
      <c r="AE758">
        <f t="shared" si="120"/>
        <v>3</v>
      </c>
      <c r="AF758">
        <f t="shared" si="121"/>
        <v>2</v>
      </c>
      <c r="AG758">
        <f t="shared" si="122"/>
        <v>7</v>
      </c>
      <c r="AH758">
        <f t="shared" ca="1" si="123"/>
        <v>0</v>
      </c>
      <c r="AI758">
        <f>IF(ROW($AA758) - $AA$51 &lt; ($H$16+1)^5, IF(AG758 &gt;= BaseBonus!$C$16, AG758*BaseBonus!$E$31, 0), "")</f>
        <v>6.5733750690480575</v>
      </c>
      <c r="AJ758">
        <f t="shared" ca="1" si="124"/>
        <v>0</v>
      </c>
    </row>
    <row r="759" spans="28:36" x14ac:dyDescent="0.3">
      <c r="AB759">
        <f t="shared" si="117"/>
        <v>3</v>
      </c>
      <c r="AC759">
        <f t="shared" si="118"/>
        <v>0</v>
      </c>
      <c r="AD759">
        <f t="shared" si="119"/>
        <v>0</v>
      </c>
      <c r="AE759">
        <f t="shared" si="120"/>
        <v>3</v>
      </c>
      <c r="AF759">
        <f t="shared" si="121"/>
        <v>2</v>
      </c>
      <c r="AG759">
        <f t="shared" si="122"/>
        <v>8</v>
      </c>
      <c r="AH759">
        <f t="shared" ca="1" si="123"/>
        <v>0</v>
      </c>
      <c r="AI759">
        <f>IF(ROW($AA759) - $AA$51 &lt; ($H$16+1)^5, IF(AG759 &gt;= BaseBonus!$C$16, AG759*BaseBonus!$E$31, 0), "")</f>
        <v>7.5124286503406372</v>
      </c>
      <c r="AJ759">
        <f t="shared" ca="1" si="124"/>
        <v>0</v>
      </c>
    </row>
    <row r="760" spans="28:36" x14ac:dyDescent="0.3">
      <c r="AB760">
        <f t="shared" si="117"/>
        <v>0</v>
      </c>
      <c r="AC760">
        <f t="shared" si="118"/>
        <v>1</v>
      </c>
      <c r="AD760">
        <f t="shared" si="119"/>
        <v>0</v>
      </c>
      <c r="AE760">
        <f t="shared" si="120"/>
        <v>3</v>
      </c>
      <c r="AF760">
        <f t="shared" si="121"/>
        <v>2</v>
      </c>
      <c r="AG760">
        <f t="shared" si="122"/>
        <v>6</v>
      </c>
      <c r="AH760">
        <f t="shared" ca="1" si="123"/>
        <v>0</v>
      </c>
      <c r="AI760">
        <f>IF(ROW($AA760) - $AA$51 &lt; ($H$16+1)^5, IF(AG760 &gt;= BaseBonus!$C$16, AG760*BaseBonus!$E$31, 0), "")</f>
        <v>5.6343214877554777</v>
      </c>
      <c r="AJ760">
        <f t="shared" ca="1" si="124"/>
        <v>0</v>
      </c>
    </row>
    <row r="761" spans="28:36" x14ac:dyDescent="0.3">
      <c r="AB761">
        <f t="shared" si="117"/>
        <v>1</v>
      </c>
      <c r="AC761">
        <f t="shared" si="118"/>
        <v>1</v>
      </c>
      <c r="AD761">
        <f t="shared" si="119"/>
        <v>0</v>
      </c>
      <c r="AE761">
        <f t="shared" si="120"/>
        <v>3</v>
      </c>
      <c r="AF761">
        <f t="shared" si="121"/>
        <v>2</v>
      </c>
      <c r="AG761">
        <f t="shared" si="122"/>
        <v>7</v>
      </c>
      <c r="AH761">
        <f t="shared" ca="1" si="123"/>
        <v>0</v>
      </c>
      <c r="AI761">
        <f>IF(ROW($AA761) - $AA$51 &lt; ($H$16+1)^5, IF(AG761 &gt;= BaseBonus!$C$16, AG761*BaseBonus!$E$31, 0), "")</f>
        <v>6.5733750690480575</v>
      </c>
      <c r="AJ761">
        <f t="shared" ca="1" si="124"/>
        <v>0</v>
      </c>
    </row>
    <row r="762" spans="28:36" x14ac:dyDescent="0.3">
      <c r="AB762">
        <f t="shared" si="117"/>
        <v>2</v>
      </c>
      <c r="AC762">
        <f t="shared" si="118"/>
        <v>1</v>
      </c>
      <c r="AD762">
        <f t="shared" si="119"/>
        <v>0</v>
      </c>
      <c r="AE762">
        <f t="shared" si="120"/>
        <v>3</v>
      </c>
      <c r="AF762">
        <f t="shared" si="121"/>
        <v>2</v>
      </c>
      <c r="AG762">
        <f t="shared" si="122"/>
        <v>8</v>
      </c>
      <c r="AH762">
        <f t="shared" ca="1" si="123"/>
        <v>0</v>
      </c>
      <c r="AI762">
        <f>IF(ROW($AA762) - $AA$51 &lt; ($H$16+1)^5, IF(AG762 &gt;= BaseBonus!$C$16, AG762*BaseBonus!$E$31, 0), "")</f>
        <v>7.5124286503406372</v>
      </c>
      <c r="AJ762">
        <f t="shared" ca="1" si="124"/>
        <v>0</v>
      </c>
    </row>
    <row r="763" spans="28:36" x14ac:dyDescent="0.3">
      <c r="AB763">
        <f t="shared" si="117"/>
        <v>3</v>
      </c>
      <c r="AC763">
        <f t="shared" si="118"/>
        <v>1</v>
      </c>
      <c r="AD763">
        <f t="shared" si="119"/>
        <v>0</v>
      </c>
      <c r="AE763">
        <f t="shared" si="120"/>
        <v>3</v>
      </c>
      <c r="AF763">
        <f t="shared" si="121"/>
        <v>2</v>
      </c>
      <c r="AG763">
        <f t="shared" si="122"/>
        <v>9</v>
      </c>
      <c r="AH763">
        <f t="shared" ca="1" si="123"/>
        <v>0</v>
      </c>
      <c r="AI763">
        <f>IF(ROW($AA763) - $AA$51 &lt; ($H$16+1)^5, IF(AG763 &gt;= BaseBonus!$C$16, AG763*BaseBonus!$E$31, 0), "")</f>
        <v>8.4514822316332161</v>
      </c>
      <c r="AJ763">
        <f t="shared" ca="1" si="124"/>
        <v>0</v>
      </c>
    </row>
    <row r="764" spans="28:36" x14ac:dyDescent="0.3">
      <c r="AB764">
        <f t="shared" si="117"/>
        <v>0</v>
      </c>
      <c r="AC764">
        <f t="shared" si="118"/>
        <v>2</v>
      </c>
      <c r="AD764">
        <f t="shared" si="119"/>
        <v>0</v>
      </c>
      <c r="AE764">
        <f t="shared" si="120"/>
        <v>3</v>
      </c>
      <c r="AF764">
        <f t="shared" si="121"/>
        <v>2</v>
      </c>
      <c r="AG764">
        <f t="shared" si="122"/>
        <v>7</v>
      </c>
      <c r="AH764">
        <f t="shared" ca="1" si="123"/>
        <v>0</v>
      </c>
      <c r="AI764">
        <f>IF(ROW($AA764) - $AA$51 &lt; ($H$16+1)^5, IF(AG764 &gt;= BaseBonus!$C$16, AG764*BaseBonus!$E$31, 0), "")</f>
        <v>6.5733750690480575</v>
      </c>
      <c r="AJ764">
        <f t="shared" ca="1" si="124"/>
        <v>0</v>
      </c>
    </row>
    <row r="765" spans="28:36" x14ac:dyDescent="0.3">
      <c r="AB765">
        <f t="shared" si="117"/>
        <v>1</v>
      </c>
      <c r="AC765">
        <f t="shared" si="118"/>
        <v>2</v>
      </c>
      <c r="AD765">
        <f t="shared" si="119"/>
        <v>0</v>
      </c>
      <c r="AE765">
        <f t="shared" si="120"/>
        <v>3</v>
      </c>
      <c r="AF765">
        <f t="shared" si="121"/>
        <v>2</v>
      </c>
      <c r="AG765">
        <f t="shared" si="122"/>
        <v>8</v>
      </c>
      <c r="AH765">
        <f t="shared" ca="1" si="123"/>
        <v>0</v>
      </c>
      <c r="AI765">
        <f>IF(ROW($AA765) - $AA$51 &lt; ($H$16+1)^5, IF(AG765 &gt;= BaseBonus!$C$16, AG765*BaseBonus!$E$31, 0), "")</f>
        <v>7.5124286503406372</v>
      </c>
      <c r="AJ765">
        <f t="shared" ca="1" si="124"/>
        <v>0</v>
      </c>
    </row>
    <row r="766" spans="28:36" x14ac:dyDescent="0.3">
      <c r="AB766">
        <f t="shared" si="117"/>
        <v>2</v>
      </c>
      <c r="AC766">
        <f t="shared" si="118"/>
        <v>2</v>
      </c>
      <c r="AD766">
        <f t="shared" si="119"/>
        <v>0</v>
      </c>
      <c r="AE766">
        <f t="shared" si="120"/>
        <v>3</v>
      </c>
      <c r="AF766">
        <f t="shared" si="121"/>
        <v>2</v>
      </c>
      <c r="AG766">
        <f t="shared" si="122"/>
        <v>9</v>
      </c>
      <c r="AH766">
        <f t="shared" ca="1" si="123"/>
        <v>0</v>
      </c>
      <c r="AI766">
        <f>IF(ROW($AA766) - $AA$51 &lt; ($H$16+1)^5, IF(AG766 &gt;= BaseBonus!$C$16, AG766*BaseBonus!$E$31, 0), "")</f>
        <v>8.4514822316332161</v>
      </c>
      <c r="AJ766">
        <f t="shared" ca="1" si="124"/>
        <v>0</v>
      </c>
    </row>
    <row r="767" spans="28:36" x14ac:dyDescent="0.3">
      <c r="AB767">
        <f t="shared" si="117"/>
        <v>3</v>
      </c>
      <c r="AC767">
        <f t="shared" si="118"/>
        <v>2</v>
      </c>
      <c r="AD767">
        <f t="shared" si="119"/>
        <v>0</v>
      </c>
      <c r="AE767">
        <f t="shared" si="120"/>
        <v>3</v>
      </c>
      <c r="AF767">
        <f t="shared" si="121"/>
        <v>2</v>
      </c>
      <c r="AG767">
        <f t="shared" si="122"/>
        <v>10</v>
      </c>
      <c r="AH767">
        <f t="shared" ca="1" si="123"/>
        <v>0</v>
      </c>
      <c r="AI767">
        <f>IF(ROW($AA767) - $AA$51 &lt; ($H$16+1)^5, IF(AG767 &gt;= BaseBonus!$C$16, AG767*BaseBonus!$E$31, 0), "")</f>
        <v>9.3905358129257959</v>
      </c>
      <c r="AJ767">
        <f t="shared" ca="1" si="124"/>
        <v>0</v>
      </c>
    </row>
    <row r="768" spans="28:36" x14ac:dyDescent="0.3">
      <c r="AB768">
        <f t="shared" si="117"/>
        <v>0</v>
      </c>
      <c r="AC768">
        <f t="shared" si="118"/>
        <v>3</v>
      </c>
      <c r="AD768">
        <f t="shared" si="119"/>
        <v>0</v>
      </c>
      <c r="AE768">
        <f t="shared" si="120"/>
        <v>3</v>
      </c>
      <c r="AF768">
        <f t="shared" si="121"/>
        <v>2</v>
      </c>
      <c r="AG768">
        <f t="shared" si="122"/>
        <v>8</v>
      </c>
      <c r="AH768">
        <f t="shared" ca="1" si="123"/>
        <v>0</v>
      </c>
      <c r="AI768">
        <f>IF(ROW($AA768) - $AA$51 &lt; ($H$16+1)^5, IF(AG768 &gt;= BaseBonus!$C$16, AG768*BaseBonus!$E$31, 0), "")</f>
        <v>7.5124286503406372</v>
      </c>
      <c r="AJ768">
        <f t="shared" ca="1" si="124"/>
        <v>0</v>
      </c>
    </row>
    <row r="769" spans="28:36" x14ac:dyDescent="0.3">
      <c r="AB769">
        <f t="shared" si="117"/>
        <v>1</v>
      </c>
      <c r="AC769">
        <f t="shared" si="118"/>
        <v>3</v>
      </c>
      <c r="AD769">
        <f t="shared" si="119"/>
        <v>0</v>
      </c>
      <c r="AE769">
        <f t="shared" si="120"/>
        <v>3</v>
      </c>
      <c r="AF769">
        <f t="shared" si="121"/>
        <v>2</v>
      </c>
      <c r="AG769">
        <f t="shared" si="122"/>
        <v>9</v>
      </c>
      <c r="AH769">
        <f t="shared" ca="1" si="123"/>
        <v>0</v>
      </c>
      <c r="AI769">
        <f>IF(ROW($AA769) - $AA$51 &lt; ($H$16+1)^5, IF(AG769 &gt;= BaseBonus!$C$16, AG769*BaseBonus!$E$31, 0), "")</f>
        <v>8.4514822316332161</v>
      </c>
      <c r="AJ769">
        <f t="shared" ca="1" si="124"/>
        <v>0</v>
      </c>
    </row>
    <row r="770" spans="28:36" x14ac:dyDescent="0.3">
      <c r="AB770">
        <f t="shared" si="117"/>
        <v>2</v>
      </c>
      <c r="AC770">
        <f t="shared" si="118"/>
        <v>3</v>
      </c>
      <c r="AD770">
        <f t="shared" si="119"/>
        <v>0</v>
      </c>
      <c r="AE770">
        <f t="shared" si="120"/>
        <v>3</v>
      </c>
      <c r="AF770">
        <f t="shared" si="121"/>
        <v>2</v>
      </c>
      <c r="AG770">
        <f t="shared" si="122"/>
        <v>10</v>
      </c>
      <c r="AH770">
        <f t="shared" ca="1" si="123"/>
        <v>0</v>
      </c>
      <c r="AI770">
        <f>IF(ROW($AA770) - $AA$51 &lt; ($H$16+1)^5, IF(AG770 &gt;= BaseBonus!$C$16, AG770*BaseBonus!$E$31, 0), "")</f>
        <v>9.3905358129257959</v>
      </c>
      <c r="AJ770">
        <f t="shared" ca="1" si="124"/>
        <v>0</v>
      </c>
    </row>
    <row r="771" spans="28:36" x14ac:dyDescent="0.3">
      <c r="AB771">
        <f t="shared" si="117"/>
        <v>3</v>
      </c>
      <c r="AC771">
        <f t="shared" si="118"/>
        <v>3</v>
      </c>
      <c r="AD771">
        <f t="shared" si="119"/>
        <v>0</v>
      </c>
      <c r="AE771">
        <f t="shared" si="120"/>
        <v>3</v>
      </c>
      <c r="AF771">
        <f t="shared" si="121"/>
        <v>2</v>
      </c>
      <c r="AG771">
        <f t="shared" si="122"/>
        <v>11</v>
      </c>
      <c r="AH771">
        <f t="shared" ca="1" si="123"/>
        <v>0</v>
      </c>
      <c r="AI771">
        <f>IF(ROW($AA771) - $AA$51 &lt; ($H$16+1)^5, IF(AG771 &gt;= BaseBonus!$C$16, AG771*BaseBonus!$E$31, 0), "")</f>
        <v>10.329589394218376</v>
      </c>
      <c r="AJ771">
        <f t="shared" ca="1" si="124"/>
        <v>0</v>
      </c>
    </row>
    <row r="772" spans="28:36" x14ac:dyDescent="0.3">
      <c r="AB772">
        <f t="shared" si="117"/>
        <v>0</v>
      </c>
      <c r="AC772">
        <f t="shared" si="118"/>
        <v>0</v>
      </c>
      <c r="AD772">
        <f t="shared" si="119"/>
        <v>1</v>
      </c>
      <c r="AE772">
        <f t="shared" si="120"/>
        <v>3</v>
      </c>
      <c r="AF772">
        <f t="shared" si="121"/>
        <v>2</v>
      </c>
      <c r="AG772">
        <f t="shared" si="122"/>
        <v>6</v>
      </c>
      <c r="AH772">
        <f t="shared" ca="1" si="123"/>
        <v>0</v>
      </c>
      <c r="AI772">
        <f>IF(ROW($AA772) - $AA$51 &lt; ($H$16+1)^5, IF(AG772 &gt;= BaseBonus!$C$16, AG772*BaseBonus!$E$31, 0), "")</f>
        <v>5.6343214877554777</v>
      </c>
      <c r="AJ772">
        <f t="shared" ca="1" si="124"/>
        <v>0</v>
      </c>
    </row>
    <row r="773" spans="28:36" x14ac:dyDescent="0.3">
      <c r="AB773">
        <f t="shared" si="117"/>
        <v>1</v>
      </c>
      <c r="AC773">
        <f t="shared" si="118"/>
        <v>0</v>
      </c>
      <c r="AD773">
        <f t="shared" si="119"/>
        <v>1</v>
      </c>
      <c r="AE773">
        <f t="shared" si="120"/>
        <v>3</v>
      </c>
      <c r="AF773">
        <f t="shared" si="121"/>
        <v>2</v>
      </c>
      <c r="AG773">
        <f t="shared" si="122"/>
        <v>7</v>
      </c>
      <c r="AH773">
        <f t="shared" ca="1" si="123"/>
        <v>0</v>
      </c>
      <c r="AI773">
        <f>IF(ROW($AA773) - $AA$51 &lt; ($H$16+1)^5, IF(AG773 &gt;= BaseBonus!$C$16, AG773*BaseBonus!$E$31, 0), "")</f>
        <v>6.5733750690480575</v>
      </c>
      <c r="AJ773">
        <f t="shared" ca="1" si="124"/>
        <v>0</v>
      </c>
    </row>
    <row r="774" spans="28:36" x14ac:dyDescent="0.3">
      <c r="AB774">
        <f t="shared" si="117"/>
        <v>2</v>
      </c>
      <c r="AC774">
        <f t="shared" si="118"/>
        <v>0</v>
      </c>
      <c r="AD774">
        <f t="shared" si="119"/>
        <v>1</v>
      </c>
      <c r="AE774">
        <f t="shared" si="120"/>
        <v>3</v>
      </c>
      <c r="AF774">
        <f t="shared" si="121"/>
        <v>2</v>
      </c>
      <c r="AG774">
        <f t="shared" si="122"/>
        <v>8</v>
      </c>
      <c r="AH774">
        <f t="shared" ca="1" si="123"/>
        <v>0</v>
      </c>
      <c r="AI774">
        <f>IF(ROW($AA774) - $AA$51 &lt; ($H$16+1)^5, IF(AG774 &gt;= BaseBonus!$C$16, AG774*BaseBonus!$E$31, 0), "")</f>
        <v>7.5124286503406372</v>
      </c>
      <c r="AJ774">
        <f t="shared" ca="1" si="124"/>
        <v>0</v>
      </c>
    </row>
    <row r="775" spans="28:36" x14ac:dyDescent="0.3">
      <c r="AB775">
        <f t="shared" si="117"/>
        <v>3</v>
      </c>
      <c r="AC775">
        <f t="shared" si="118"/>
        <v>0</v>
      </c>
      <c r="AD775">
        <f t="shared" si="119"/>
        <v>1</v>
      </c>
      <c r="AE775">
        <f t="shared" si="120"/>
        <v>3</v>
      </c>
      <c r="AF775">
        <f t="shared" si="121"/>
        <v>2</v>
      </c>
      <c r="AG775">
        <f t="shared" si="122"/>
        <v>9</v>
      </c>
      <c r="AH775">
        <f t="shared" ca="1" si="123"/>
        <v>0</v>
      </c>
      <c r="AI775">
        <f>IF(ROW($AA775) - $AA$51 &lt; ($H$16+1)^5, IF(AG775 &gt;= BaseBonus!$C$16, AG775*BaseBonus!$E$31, 0), "")</f>
        <v>8.4514822316332161</v>
      </c>
      <c r="AJ775">
        <f t="shared" ca="1" si="124"/>
        <v>0</v>
      </c>
    </row>
    <row r="776" spans="28:36" x14ac:dyDescent="0.3">
      <c r="AB776">
        <f t="shared" si="117"/>
        <v>0</v>
      </c>
      <c r="AC776">
        <f t="shared" si="118"/>
        <v>1</v>
      </c>
      <c r="AD776">
        <f t="shared" si="119"/>
        <v>1</v>
      </c>
      <c r="AE776">
        <f t="shared" si="120"/>
        <v>3</v>
      </c>
      <c r="AF776">
        <f t="shared" si="121"/>
        <v>2</v>
      </c>
      <c r="AG776">
        <f t="shared" si="122"/>
        <v>7</v>
      </c>
      <c r="AH776">
        <f t="shared" ca="1" si="123"/>
        <v>0</v>
      </c>
      <c r="AI776">
        <f>IF(ROW($AA776) - $AA$51 &lt; ($H$16+1)^5, IF(AG776 &gt;= BaseBonus!$C$16, AG776*BaseBonus!$E$31, 0), "")</f>
        <v>6.5733750690480575</v>
      </c>
      <c r="AJ776">
        <f t="shared" ca="1" si="124"/>
        <v>0</v>
      </c>
    </row>
    <row r="777" spans="28:36" x14ac:dyDescent="0.3">
      <c r="AB777">
        <f t="shared" si="117"/>
        <v>1</v>
      </c>
      <c r="AC777">
        <f t="shared" si="118"/>
        <v>1</v>
      </c>
      <c r="AD777">
        <f t="shared" si="119"/>
        <v>1</v>
      </c>
      <c r="AE777">
        <f t="shared" si="120"/>
        <v>3</v>
      </c>
      <c r="AF777">
        <f t="shared" si="121"/>
        <v>2</v>
      </c>
      <c r="AG777">
        <f t="shared" si="122"/>
        <v>8</v>
      </c>
      <c r="AH777">
        <f t="shared" ca="1" si="123"/>
        <v>0</v>
      </c>
      <c r="AI777">
        <f>IF(ROW($AA777) - $AA$51 &lt; ($H$16+1)^5, IF(AG777 &gt;= BaseBonus!$C$16, AG777*BaseBonus!$E$31, 0), "")</f>
        <v>7.5124286503406372</v>
      </c>
      <c r="AJ777">
        <f t="shared" ca="1" si="124"/>
        <v>0</v>
      </c>
    </row>
    <row r="778" spans="28:36" x14ac:dyDescent="0.3">
      <c r="AB778">
        <f t="shared" si="117"/>
        <v>2</v>
      </c>
      <c r="AC778">
        <f t="shared" si="118"/>
        <v>1</v>
      </c>
      <c r="AD778">
        <f t="shared" si="119"/>
        <v>1</v>
      </c>
      <c r="AE778">
        <f t="shared" si="120"/>
        <v>3</v>
      </c>
      <c r="AF778">
        <f t="shared" si="121"/>
        <v>2</v>
      </c>
      <c r="AG778">
        <f t="shared" si="122"/>
        <v>9</v>
      </c>
      <c r="AH778">
        <f t="shared" ca="1" si="123"/>
        <v>0</v>
      </c>
      <c r="AI778">
        <f>IF(ROW($AA778) - $AA$51 &lt; ($H$16+1)^5, IF(AG778 &gt;= BaseBonus!$C$16, AG778*BaseBonus!$E$31, 0), "")</f>
        <v>8.4514822316332161</v>
      </c>
      <c r="AJ778">
        <f t="shared" ca="1" si="124"/>
        <v>0</v>
      </c>
    </row>
    <row r="779" spans="28:36" x14ac:dyDescent="0.3">
      <c r="AB779">
        <f t="shared" si="117"/>
        <v>3</v>
      </c>
      <c r="AC779">
        <f t="shared" si="118"/>
        <v>1</v>
      </c>
      <c r="AD779">
        <f t="shared" si="119"/>
        <v>1</v>
      </c>
      <c r="AE779">
        <f t="shared" si="120"/>
        <v>3</v>
      </c>
      <c r="AF779">
        <f t="shared" si="121"/>
        <v>2</v>
      </c>
      <c r="AG779">
        <f t="shared" si="122"/>
        <v>10</v>
      </c>
      <c r="AH779">
        <f t="shared" ca="1" si="123"/>
        <v>0</v>
      </c>
      <c r="AI779">
        <f>IF(ROW($AA779) - $AA$51 &lt; ($H$16+1)^5, IF(AG779 &gt;= BaseBonus!$C$16, AG779*BaseBonus!$E$31, 0), "")</f>
        <v>9.3905358129257959</v>
      </c>
      <c r="AJ779">
        <f t="shared" ca="1" si="124"/>
        <v>0</v>
      </c>
    </row>
    <row r="780" spans="28:36" x14ac:dyDescent="0.3">
      <c r="AB780">
        <f t="shared" si="117"/>
        <v>0</v>
      </c>
      <c r="AC780">
        <f t="shared" si="118"/>
        <v>2</v>
      </c>
      <c r="AD780">
        <f t="shared" si="119"/>
        <v>1</v>
      </c>
      <c r="AE780">
        <f t="shared" si="120"/>
        <v>3</v>
      </c>
      <c r="AF780">
        <f t="shared" si="121"/>
        <v>2</v>
      </c>
      <c r="AG780">
        <f t="shared" si="122"/>
        <v>8</v>
      </c>
      <c r="AH780">
        <f t="shared" ca="1" si="123"/>
        <v>0</v>
      </c>
      <c r="AI780">
        <f>IF(ROW($AA780) - $AA$51 &lt; ($H$16+1)^5, IF(AG780 &gt;= BaseBonus!$C$16, AG780*BaseBonus!$E$31, 0), "")</f>
        <v>7.5124286503406372</v>
      </c>
      <c r="AJ780">
        <f t="shared" ca="1" si="124"/>
        <v>0</v>
      </c>
    </row>
    <row r="781" spans="28:36" x14ac:dyDescent="0.3">
      <c r="AB781">
        <f t="shared" si="117"/>
        <v>1</v>
      </c>
      <c r="AC781">
        <f t="shared" si="118"/>
        <v>2</v>
      </c>
      <c r="AD781">
        <f t="shared" si="119"/>
        <v>1</v>
      </c>
      <c r="AE781">
        <f t="shared" si="120"/>
        <v>3</v>
      </c>
      <c r="AF781">
        <f t="shared" si="121"/>
        <v>2</v>
      </c>
      <c r="AG781">
        <f t="shared" si="122"/>
        <v>9</v>
      </c>
      <c r="AH781">
        <f t="shared" ca="1" si="123"/>
        <v>0</v>
      </c>
      <c r="AI781">
        <f>IF(ROW($AA781) - $AA$51 &lt; ($H$16+1)^5, IF(AG781 &gt;= BaseBonus!$C$16, AG781*BaseBonus!$E$31, 0), "")</f>
        <v>8.4514822316332161</v>
      </c>
      <c r="AJ781">
        <f t="shared" ca="1" si="124"/>
        <v>0</v>
      </c>
    </row>
    <row r="782" spans="28:36" x14ac:dyDescent="0.3">
      <c r="AB782">
        <f t="shared" si="117"/>
        <v>2</v>
      </c>
      <c r="AC782">
        <f t="shared" si="118"/>
        <v>2</v>
      </c>
      <c r="AD782">
        <f t="shared" si="119"/>
        <v>1</v>
      </c>
      <c r="AE782">
        <f t="shared" si="120"/>
        <v>3</v>
      </c>
      <c r="AF782">
        <f t="shared" si="121"/>
        <v>2</v>
      </c>
      <c r="AG782">
        <f t="shared" si="122"/>
        <v>10</v>
      </c>
      <c r="AH782">
        <f t="shared" ca="1" si="123"/>
        <v>0</v>
      </c>
      <c r="AI782">
        <f>IF(ROW($AA782) - $AA$51 &lt; ($H$16+1)^5, IF(AG782 &gt;= BaseBonus!$C$16, AG782*BaseBonus!$E$31, 0), "")</f>
        <v>9.3905358129257959</v>
      </c>
      <c r="AJ782">
        <f t="shared" ca="1" si="124"/>
        <v>0</v>
      </c>
    </row>
    <row r="783" spans="28:36" x14ac:dyDescent="0.3">
      <c r="AB783">
        <f t="shared" si="117"/>
        <v>3</v>
      </c>
      <c r="AC783">
        <f t="shared" si="118"/>
        <v>2</v>
      </c>
      <c r="AD783">
        <f t="shared" si="119"/>
        <v>1</v>
      </c>
      <c r="AE783">
        <f t="shared" si="120"/>
        <v>3</v>
      </c>
      <c r="AF783">
        <f t="shared" si="121"/>
        <v>2</v>
      </c>
      <c r="AG783">
        <f t="shared" si="122"/>
        <v>11</v>
      </c>
      <c r="AH783">
        <f t="shared" ca="1" si="123"/>
        <v>0</v>
      </c>
      <c r="AI783">
        <f>IF(ROW($AA783) - $AA$51 &lt; ($H$16+1)^5, IF(AG783 &gt;= BaseBonus!$C$16, AG783*BaseBonus!$E$31, 0), "")</f>
        <v>10.329589394218376</v>
      </c>
      <c r="AJ783">
        <f t="shared" ca="1" si="124"/>
        <v>0</v>
      </c>
    </row>
    <row r="784" spans="28:36" x14ac:dyDescent="0.3">
      <c r="AB784">
        <f t="shared" si="117"/>
        <v>0</v>
      </c>
      <c r="AC784">
        <f t="shared" si="118"/>
        <v>3</v>
      </c>
      <c r="AD784">
        <f t="shared" si="119"/>
        <v>1</v>
      </c>
      <c r="AE784">
        <f t="shared" si="120"/>
        <v>3</v>
      </c>
      <c r="AF784">
        <f t="shared" si="121"/>
        <v>2</v>
      </c>
      <c r="AG784">
        <f t="shared" si="122"/>
        <v>9</v>
      </c>
      <c r="AH784">
        <f t="shared" ca="1" si="123"/>
        <v>0</v>
      </c>
      <c r="AI784">
        <f>IF(ROW($AA784) - $AA$51 &lt; ($H$16+1)^5, IF(AG784 &gt;= BaseBonus!$C$16, AG784*BaseBonus!$E$31, 0), "")</f>
        <v>8.4514822316332161</v>
      </c>
      <c r="AJ784">
        <f t="shared" ca="1" si="124"/>
        <v>0</v>
      </c>
    </row>
    <row r="785" spans="28:36" x14ac:dyDescent="0.3">
      <c r="AB785">
        <f t="shared" si="117"/>
        <v>1</v>
      </c>
      <c r="AC785">
        <f t="shared" si="118"/>
        <v>3</v>
      </c>
      <c r="AD785">
        <f t="shared" si="119"/>
        <v>1</v>
      </c>
      <c r="AE785">
        <f t="shared" si="120"/>
        <v>3</v>
      </c>
      <c r="AF785">
        <f t="shared" si="121"/>
        <v>2</v>
      </c>
      <c r="AG785">
        <f t="shared" si="122"/>
        <v>10</v>
      </c>
      <c r="AH785">
        <f t="shared" ca="1" si="123"/>
        <v>0</v>
      </c>
      <c r="AI785">
        <f>IF(ROW($AA785) - $AA$51 &lt; ($H$16+1)^5, IF(AG785 &gt;= BaseBonus!$C$16, AG785*BaseBonus!$E$31, 0), "")</f>
        <v>9.3905358129257959</v>
      </c>
      <c r="AJ785">
        <f t="shared" ca="1" si="124"/>
        <v>0</v>
      </c>
    </row>
    <row r="786" spans="28:36" x14ac:dyDescent="0.3">
      <c r="AB786">
        <f t="shared" si="117"/>
        <v>2</v>
      </c>
      <c r="AC786">
        <f t="shared" si="118"/>
        <v>3</v>
      </c>
      <c r="AD786">
        <f t="shared" si="119"/>
        <v>1</v>
      </c>
      <c r="AE786">
        <f t="shared" si="120"/>
        <v>3</v>
      </c>
      <c r="AF786">
        <f t="shared" si="121"/>
        <v>2</v>
      </c>
      <c r="AG786">
        <f t="shared" si="122"/>
        <v>11</v>
      </c>
      <c r="AH786">
        <f t="shared" ca="1" si="123"/>
        <v>0</v>
      </c>
      <c r="AI786">
        <f>IF(ROW($AA786) - $AA$51 &lt; ($H$16+1)^5, IF(AG786 &gt;= BaseBonus!$C$16, AG786*BaseBonus!$E$31, 0), "")</f>
        <v>10.329589394218376</v>
      </c>
      <c r="AJ786">
        <f t="shared" ca="1" si="124"/>
        <v>0</v>
      </c>
    </row>
    <row r="787" spans="28:36" x14ac:dyDescent="0.3">
      <c r="AB787">
        <f t="shared" si="117"/>
        <v>3</v>
      </c>
      <c r="AC787">
        <f t="shared" si="118"/>
        <v>3</v>
      </c>
      <c r="AD787">
        <f t="shared" si="119"/>
        <v>1</v>
      </c>
      <c r="AE787">
        <f t="shared" si="120"/>
        <v>3</v>
      </c>
      <c r="AF787">
        <f t="shared" si="121"/>
        <v>2</v>
      </c>
      <c r="AG787">
        <f t="shared" si="122"/>
        <v>12</v>
      </c>
      <c r="AH787">
        <f t="shared" ca="1" si="123"/>
        <v>0</v>
      </c>
      <c r="AI787">
        <f>IF(ROW($AA787) - $AA$51 &lt; ($H$16+1)^5, IF(AG787 &gt;= BaseBonus!$C$16, AG787*BaseBonus!$E$31, 0), "")</f>
        <v>11.268642975510955</v>
      </c>
      <c r="AJ787">
        <f t="shared" ca="1" si="124"/>
        <v>0</v>
      </c>
    </row>
    <row r="788" spans="28:36" x14ac:dyDescent="0.3">
      <c r="AB788">
        <f t="shared" si="117"/>
        <v>0</v>
      </c>
      <c r="AC788">
        <f t="shared" si="118"/>
        <v>0</v>
      </c>
      <c r="AD788">
        <f t="shared" si="119"/>
        <v>2</v>
      </c>
      <c r="AE788">
        <f t="shared" si="120"/>
        <v>3</v>
      </c>
      <c r="AF788">
        <f t="shared" si="121"/>
        <v>2</v>
      </c>
      <c r="AG788">
        <f t="shared" si="122"/>
        <v>7</v>
      </c>
      <c r="AH788">
        <f t="shared" ca="1" si="123"/>
        <v>0</v>
      </c>
      <c r="AI788">
        <f>IF(ROW($AA788) - $AA$51 &lt; ($H$16+1)^5, IF(AG788 &gt;= BaseBonus!$C$16, AG788*BaseBonus!$E$31, 0), "")</f>
        <v>6.5733750690480575</v>
      </c>
      <c r="AJ788">
        <f t="shared" ca="1" si="124"/>
        <v>0</v>
      </c>
    </row>
    <row r="789" spans="28:36" x14ac:dyDescent="0.3">
      <c r="AB789">
        <f t="shared" si="117"/>
        <v>1</v>
      </c>
      <c r="AC789">
        <f t="shared" si="118"/>
        <v>0</v>
      </c>
      <c r="AD789">
        <f t="shared" si="119"/>
        <v>2</v>
      </c>
      <c r="AE789">
        <f t="shared" si="120"/>
        <v>3</v>
      </c>
      <c r="AF789">
        <f t="shared" si="121"/>
        <v>2</v>
      </c>
      <c r="AG789">
        <f t="shared" si="122"/>
        <v>8</v>
      </c>
      <c r="AH789">
        <f t="shared" ca="1" si="123"/>
        <v>0</v>
      </c>
      <c r="AI789">
        <f>IF(ROW($AA789) - $AA$51 &lt; ($H$16+1)^5, IF(AG789 &gt;= BaseBonus!$C$16, AG789*BaseBonus!$E$31, 0), "")</f>
        <v>7.5124286503406372</v>
      </c>
      <c r="AJ789">
        <f t="shared" ca="1" si="124"/>
        <v>0</v>
      </c>
    </row>
    <row r="790" spans="28:36" x14ac:dyDescent="0.3">
      <c r="AB790">
        <f t="shared" si="117"/>
        <v>2</v>
      </c>
      <c r="AC790">
        <f t="shared" si="118"/>
        <v>0</v>
      </c>
      <c r="AD790">
        <f t="shared" si="119"/>
        <v>2</v>
      </c>
      <c r="AE790">
        <f t="shared" si="120"/>
        <v>3</v>
      </c>
      <c r="AF790">
        <f t="shared" si="121"/>
        <v>2</v>
      </c>
      <c r="AG790">
        <f t="shared" si="122"/>
        <v>9</v>
      </c>
      <c r="AH790">
        <f t="shared" ca="1" si="123"/>
        <v>0</v>
      </c>
      <c r="AI790">
        <f>IF(ROW($AA790) - $AA$51 &lt; ($H$16+1)^5, IF(AG790 &gt;= BaseBonus!$C$16, AG790*BaseBonus!$E$31, 0), "")</f>
        <v>8.4514822316332161</v>
      </c>
      <c r="AJ790">
        <f t="shared" ca="1" si="124"/>
        <v>0</v>
      </c>
    </row>
    <row r="791" spans="28:36" x14ac:dyDescent="0.3">
      <c r="AB791">
        <f t="shared" si="117"/>
        <v>3</v>
      </c>
      <c r="AC791">
        <f t="shared" si="118"/>
        <v>0</v>
      </c>
      <c r="AD791">
        <f t="shared" si="119"/>
        <v>2</v>
      </c>
      <c r="AE791">
        <f t="shared" si="120"/>
        <v>3</v>
      </c>
      <c r="AF791">
        <f t="shared" si="121"/>
        <v>2</v>
      </c>
      <c r="AG791">
        <f t="shared" si="122"/>
        <v>10</v>
      </c>
      <c r="AH791">
        <f t="shared" ca="1" si="123"/>
        <v>0</v>
      </c>
      <c r="AI791">
        <f>IF(ROW($AA791) - $AA$51 &lt; ($H$16+1)^5, IF(AG791 &gt;= BaseBonus!$C$16, AG791*BaseBonus!$E$31, 0), "")</f>
        <v>9.3905358129257959</v>
      </c>
      <c r="AJ791">
        <f t="shared" ca="1" si="124"/>
        <v>0</v>
      </c>
    </row>
    <row r="792" spans="28:36" x14ac:dyDescent="0.3">
      <c r="AB792">
        <f t="shared" si="117"/>
        <v>0</v>
      </c>
      <c r="AC792">
        <f t="shared" si="118"/>
        <v>1</v>
      </c>
      <c r="AD792">
        <f t="shared" si="119"/>
        <v>2</v>
      </c>
      <c r="AE792">
        <f t="shared" si="120"/>
        <v>3</v>
      </c>
      <c r="AF792">
        <f t="shared" si="121"/>
        <v>2</v>
      </c>
      <c r="AG792">
        <f t="shared" si="122"/>
        <v>8</v>
      </c>
      <c r="AH792">
        <f t="shared" ca="1" si="123"/>
        <v>0</v>
      </c>
      <c r="AI792">
        <f>IF(ROW($AA792) - $AA$51 &lt; ($H$16+1)^5, IF(AG792 &gt;= BaseBonus!$C$16, AG792*BaseBonus!$E$31, 0), "")</f>
        <v>7.5124286503406372</v>
      </c>
      <c r="AJ792">
        <f t="shared" ca="1" si="124"/>
        <v>0</v>
      </c>
    </row>
    <row r="793" spans="28:36" x14ac:dyDescent="0.3">
      <c r="AB793">
        <f t="shared" si="117"/>
        <v>1</v>
      </c>
      <c r="AC793">
        <f t="shared" si="118"/>
        <v>1</v>
      </c>
      <c r="AD793">
        <f t="shared" si="119"/>
        <v>2</v>
      </c>
      <c r="AE793">
        <f t="shared" si="120"/>
        <v>3</v>
      </c>
      <c r="AF793">
        <f t="shared" si="121"/>
        <v>2</v>
      </c>
      <c r="AG793">
        <f t="shared" si="122"/>
        <v>9</v>
      </c>
      <c r="AH793">
        <f t="shared" ca="1" si="123"/>
        <v>0</v>
      </c>
      <c r="AI793">
        <f>IF(ROW($AA793) - $AA$51 &lt; ($H$16+1)^5, IF(AG793 &gt;= BaseBonus!$C$16, AG793*BaseBonus!$E$31, 0), "")</f>
        <v>8.4514822316332161</v>
      </c>
      <c r="AJ793">
        <f t="shared" ca="1" si="124"/>
        <v>0</v>
      </c>
    </row>
    <row r="794" spans="28:36" x14ac:dyDescent="0.3">
      <c r="AB794">
        <f t="shared" si="117"/>
        <v>2</v>
      </c>
      <c r="AC794">
        <f t="shared" si="118"/>
        <v>1</v>
      </c>
      <c r="AD794">
        <f t="shared" si="119"/>
        <v>2</v>
      </c>
      <c r="AE794">
        <f t="shared" si="120"/>
        <v>3</v>
      </c>
      <c r="AF794">
        <f t="shared" si="121"/>
        <v>2</v>
      </c>
      <c r="AG794">
        <f t="shared" si="122"/>
        <v>10</v>
      </c>
      <c r="AH794">
        <f t="shared" ca="1" si="123"/>
        <v>0</v>
      </c>
      <c r="AI794">
        <f>IF(ROW($AA794) - $AA$51 &lt; ($H$16+1)^5, IF(AG794 &gt;= BaseBonus!$C$16, AG794*BaseBonus!$E$31, 0), "")</f>
        <v>9.3905358129257959</v>
      </c>
      <c r="AJ794">
        <f t="shared" ca="1" si="124"/>
        <v>0</v>
      </c>
    </row>
    <row r="795" spans="28:36" x14ac:dyDescent="0.3">
      <c r="AB795">
        <f t="shared" si="117"/>
        <v>3</v>
      </c>
      <c r="AC795">
        <f t="shared" si="118"/>
        <v>1</v>
      </c>
      <c r="AD795">
        <f t="shared" si="119"/>
        <v>2</v>
      </c>
      <c r="AE795">
        <f t="shared" si="120"/>
        <v>3</v>
      </c>
      <c r="AF795">
        <f t="shared" si="121"/>
        <v>2</v>
      </c>
      <c r="AG795">
        <f t="shared" si="122"/>
        <v>11</v>
      </c>
      <c r="AH795">
        <f t="shared" ca="1" si="123"/>
        <v>0</v>
      </c>
      <c r="AI795">
        <f>IF(ROW($AA795) - $AA$51 &lt; ($H$16+1)^5, IF(AG795 &gt;= BaseBonus!$C$16, AG795*BaseBonus!$E$31, 0), "")</f>
        <v>10.329589394218376</v>
      </c>
      <c r="AJ795">
        <f t="shared" ca="1" si="124"/>
        <v>0</v>
      </c>
    </row>
    <row r="796" spans="28:36" x14ac:dyDescent="0.3">
      <c r="AB796">
        <f t="shared" si="117"/>
        <v>0</v>
      </c>
      <c r="AC796">
        <f t="shared" si="118"/>
        <v>2</v>
      </c>
      <c r="AD796">
        <f t="shared" si="119"/>
        <v>2</v>
      </c>
      <c r="AE796">
        <f t="shared" si="120"/>
        <v>3</v>
      </c>
      <c r="AF796">
        <f t="shared" si="121"/>
        <v>2</v>
      </c>
      <c r="AG796">
        <f t="shared" si="122"/>
        <v>9</v>
      </c>
      <c r="AH796">
        <f t="shared" ca="1" si="123"/>
        <v>0</v>
      </c>
      <c r="AI796">
        <f>IF(ROW($AA796) - $AA$51 &lt; ($H$16+1)^5, IF(AG796 &gt;= BaseBonus!$C$16, AG796*BaseBonus!$E$31, 0), "")</f>
        <v>8.4514822316332161</v>
      </c>
      <c r="AJ796">
        <f t="shared" ca="1" si="124"/>
        <v>0</v>
      </c>
    </row>
    <row r="797" spans="28:36" x14ac:dyDescent="0.3">
      <c r="AB797">
        <f t="shared" si="117"/>
        <v>1</v>
      </c>
      <c r="AC797">
        <f t="shared" si="118"/>
        <v>2</v>
      </c>
      <c r="AD797">
        <f t="shared" si="119"/>
        <v>2</v>
      </c>
      <c r="AE797">
        <f t="shared" si="120"/>
        <v>3</v>
      </c>
      <c r="AF797">
        <f t="shared" si="121"/>
        <v>2</v>
      </c>
      <c r="AG797">
        <f t="shared" si="122"/>
        <v>10</v>
      </c>
      <c r="AH797">
        <f t="shared" ca="1" si="123"/>
        <v>0</v>
      </c>
      <c r="AI797">
        <f>IF(ROW($AA797) - $AA$51 &lt; ($H$16+1)^5, IF(AG797 &gt;= BaseBonus!$C$16, AG797*BaseBonus!$E$31, 0), "")</f>
        <v>9.3905358129257959</v>
      </c>
      <c r="AJ797">
        <f t="shared" ca="1" si="124"/>
        <v>0</v>
      </c>
    </row>
    <row r="798" spans="28:36" x14ac:dyDescent="0.3">
      <c r="AB798">
        <f t="shared" si="117"/>
        <v>2</v>
      </c>
      <c r="AC798">
        <f t="shared" si="118"/>
        <v>2</v>
      </c>
      <c r="AD798">
        <f t="shared" si="119"/>
        <v>2</v>
      </c>
      <c r="AE798">
        <f t="shared" si="120"/>
        <v>3</v>
      </c>
      <c r="AF798">
        <f t="shared" si="121"/>
        <v>2</v>
      </c>
      <c r="AG798">
        <f t="shared" si="122"/>
        <v>11</v>
      </c>
      <c r="AH798">
        <f t="shared" ca="1" si="123"/>
        <v>0</v>
      </c>
      <c r="AI798">
        <f>IF(ROW($AA798) - $AA$51 &lt; ($H$16+1)^5, IF(AG798 &gt;= BaseBonus!$C$16, AG798*BaseBonus!$E$31, 0), "")</f>
        <v>10.329589394218376</v>
      </c>
      <c r="AJ798">
        <f t="shared" ca="1" si="124"/>
        <v>0</v>
      </c>
    </row>
    <row r="799" spans="28:36" x14ac:dyDescent="0.3">
      <c r="AB799">
        <f t="shared" si="117"/>
        <v>3</v>
      </c>
      <c r="AC799">
        <f t="shared" si="118"/>
        <v>2</v>
      </c>
      <c r="AD799">
        <f t="shared" si="119"/>
        <v>2</v>
      </c>
      <c r="AE799">
        <f t="shared" si="120"/>
        <v>3</v>
      </c>
      <c r="AF799">
        <f t="shared" si="121"/>
        <v>2</v>
      </c>
      <c r="AG799">
        <f t="shared" si="122"/>
        <v>12</v>
      </c>
      <c r="AH799">
        <f t="shared" ca="1" si="123"/>
        <v>0</v>
      </c>
      <c r="AI799">
        <f>IF(ROW($AA799) - $AA$51 &lt; ($H$16+1)^5, IF(AG799 &gt;= BaseBonus!$C$16, AG799*BaseBonus!$E$31, 0), "")</f>
        <v>11.268642975510955</v>
      </c>
      <c r="AJ799">
        <f t="shared" ca="1" si="124"/>
        <v>0</v>
      </c>
    </row>
    <row r="800" spans="28:36" x14ac:dyDescent="0.3">
      <c r="AB800">
        <f t="shared" si="117"/>
        <v>0</v>
      </c>
      <c r="AC800">
        <f t="shared" si="118"/>
        <v>3</v>
      </c>
      <c r="AD800">
        <f t="shared" si="119"/>
        <v>2</v>
      </c>
      <c r="AE800">
        <f t="shared" si="120"/>
        <v>3</v>
      </c>
      <c r="AF800">
        <f t="shared" si="121"/>
        <v>2</v>
      </c>
      <c r="AG800">
        <f t="shared" si="122"/>
        <v>10</v>
      </c>
      <c r="AH800">
        <f t="shared" ca="1" si="123"/>
        <v>0</v>
      </c>
      <c r="AI800">
        <f>IF(ROW($AA800) - $AA$51 &lt; ($H$16+1)^5, IF(AG800 &gt;= BaseBonus!$C$16, AG800*BaseBonus!$E$31, 0), "")</f>
        <v>9.3905358129257959</v>
      </c>
      <c r="AJ800">
        <f t="shared" ca="1" si="124"/>
        <v>0</v>
      </c>
    </row>
    <row r="801" spans="28:36" x14ac:dyDescent="0.3">
      <c r="AB801">
        <f t="shared" si="117"/>
        <v>1</v>
      </c>
      <c r="AC801">
        <f t="shared" si="118"/>
        <v>3</v>
      </c>
      <c r="AD801">
        <f t="shared" si="119"/>
        <v>2</v>
      </c>
      <c r="AE801">
        <f t="shared" si="120"/>
        <v>3</v>
      </c>
      <c r="AF801">
        <f t="shared" si="121"/>
        <v>2</v>
      </c>
      <c r="AG801">
        <f t="shared" si="122"/>
        <v>11</v>
      </c>
      <c r="AH801">
        <f t="shared" ca="1" si="123"/>
        <v>0</v>
      </c>
      <c r="AI801">
        <f>IF(ROW($AA801) - $AA$51 &lt; ($H$16+1)^5, IF(AG801 &gt;= BaseBonus!$C$16, AG801*BaseBonus!$E$31, 0), "")</f>
        <v>10.329589394218376</v>
      </c>
      <c r="AJ801">
        <f t="shared" ca="1" si="124"/>
        <v>0</v>
      </c>
    </row>
    <row r="802" spans="28:36" x14ac:dyDescent="0.3">
      <c r="AB802">
        <f t="shared" si="117"/>
        <v>2</v>
      </c>
      <c r="AC802">
        <f t="shared" si="118"/>
        <v>3</v>
      </c>
      <c r="AD802">
        <f t="shared" si="119"/>
        <v>2</v>
      </c>
      <c r="AE802">
        <f t="shared" si="120"/>
        <v>3</v>
      </c>
      <c r="AF802">
        <f t="shared" si="121"/>
        <v>2</v>
      </c>
      <c r="AG802">
        <f t="shared" si="122"/>
        <v>12</v>
      </c>
      <c r="AH802">
        <f t="shared" ca="1" si="123"/>
        <v>0</v>
      </c>
      <c r="AI802">
        <f>IF(ROW($AA802) - $AA$51 &lt; ($H$16+1)^5, IF(AG802 &gt;= BaseBonus!$C$16, AG802*BaseBonus!$E$31, 0), "")</f>
        <v>11.268642975510955</v>
      </c>
      <c r="AJ802">
        <f t="shared" ca="1" si="124"/>
        <v>0</v>
      </c>
    </row>
    <row r="803" spans="28:36" x14ac:dyDescent="0.3">
      <c r="AB803">
        <f t="shared" si="117"/>
        <v>3</v>
      </c>
      <c r="AC803">
        <f t="shared" si="118"/>
        <v>3</v>
      </c>
      <c r="AD803">
        <f t="shared" si="119"/>
        <v>2</v>
      </c>
      <c r="AE803">
        <f t="shared" si="120"/>
        <v>3</v>
      </c>
      <c r="AF803">
        <f t="shared" si="121"/>
        <v>2</v>
      </c>
      <c r="AG803">
        <f t="shared" si="122"/>
        <v>13</v>
      </c>
      <c r="AH803">
        <f t="shared" ca="1" si="123"/>
        <v>0</v>
      </c>
      <c r="AI803">
        <f>IF(ROW($AA803) - $AA$51 &lt; ($H$16+1)^5, IF(AG803 &gt;= BaseBonus!$C$16, AG803*BaseBonus!$E$31, 0), "")</f>
        <v>12.207696556803535</v>
      </c>
      <c r="AJ803">
        <f t="shared" ca="1" si="124"/>
        <v>0</v>
      </c>
    </row>
    <row r="804" spans="28:36" x14ac:dyDescent="0.3">
      <c r="AB804">
        <f t="shared" si="117"/>
        <v>0</v>
      </c>
      <c r="AC804">
        <f t="shared" si="118"/>
        <v>0</v>
      </c>
      <c r="AD804">
        <f t="shared" si="119"/>
        <v>3</v>
      </c>
      <c r="AE804">
        <f t="shared" si="120"/>
        <v>3</v>
      </c>
      <c r="AF804">
        <f t="shared" si="121"/>
        <v>2</v>
      </c>
      <c r="AG804">
        <f t="shared" si="122"/>
        <v>8</v>
      </c>
      <c r="AH804">
        <f t="shared" ca="1" si="123"/>
        <v>0</v>
      </c>
      <c r="AI804">
        <f>IF(ROW($AA804) - $AA$51 &lt; ($H$16+1)^5, IF(AG804 &gt;= BaseBonus!$C$16, AG804*BaseBonus!$E$31, 0), "")</f>
        <v>7.5124286503406372</v>
      </c>
      <c r="AJ804">
        <f t="shared" ca="1" si="124"/>
        <v>0</v>
      </c>
    </row>
    <row r="805" spans="28:36" x14ac:dyDescent="0.3">
      <c r="AB805">
        <f t="shared" si="117"/>
        <v>1</v>
      </c>
      <c r="AC805">
        <f t="shared" si="118"/>
        <v>0</v>
      </c>
      <c r="AD805">
        <f t="shared" si="119"/>
        <v>3</v>
      </c>
      <c r="AE805">
        <f t="shared" si="120"/>
        <v>3</v>
      </c>
      <c r="AF805">
        <f t="shared" si="121"/>
        <v>2</v>
      </c>
      <c r="AG805">
        <f t="shared" si="122"/>
        <v>9</v>
      </c>
      <c r="AH805">
        <f t="shared" ca="1" si="123"/>
        <v>0</v>
      </c>
      <c r="AI805">
        <f>IF(ROW($AA805) - $AA$51 &lt; ($H$16+1)^5, IF(AG805 &gt;= BaseBonus!$C$16, AG805*BaseBonus!$E$31, 0), "")</f>
        <v>8.4514822316332161</v>
      </c>
      <c r="AJ805">
        <f t="shared" ca="1" si="124"/>
        <v>0</v>
      </c>
    </row>
    <row r="806" spans="28:36" x14ac:dyDescent="0.3">
      <c r="AB806">
        <f t="shared" si="117"/>
        <v>2</v>
      </c>
      <c r="AC806">
        <f t="shared" si="118"/>
        <v>0</v>
      </c>
      <c r="AD806">
        <f t="shared" si="119"/>
        <v>3</v>
      </c>
      <c r="AE806">
        <f t="shared" si="120"/>
        <v>3</v>
      </c>
      <c r="AF806">
        <f t="shared" si="121"/>
        <v>2</v>
      </c>
      <c r="AG806">
        <f t="shared" si="122"/>
        <v>10</v>
      </c>
      <c r="AH806">
        <f t="shared" ca="1" si="123"/>
        <v>0</v>
      </c>
      <c r="AI806">
        <f>IF(ROW($AA806) - $AA$51 &lt; ($H$16+1)^5, IF(AG806 &gt;= BaseBonus!$C$16, AG806*BaseBonus!$E$31, 0), "")</f>
        <v>9.3905358129257959</v>
      </c>
      <c r="AJ806">
        <f t="shared" ca="1" si="124"/>
        <v>0</v>
      </c>
    </row>
    <row r="807" spans="28:36" x14ac:dyDescent="0.3">
      <c r="AB807">
        <f t="shared" si="117"/>
        <v>3</v>
      </c>
      <c r="AC807">
        <f t="shared" si="118"/>
        <v>0</v>
      </c>
      <c r="AD807">
        <f t="shared" si="119"/>
        <v>3</v>
      </c>
      <c r="AE807">
        <f t="shared" si="120"/>
        <v>3</v>
      </c>
      <c r="AF807">
        <f t="shared" si="121"/>
        <v>2</v>
      </c>
      <c r="AG807">
        <f t="shared" si="122"/>
        <v>11</v>
      </c>
      <c r="AH807">
        <f t="shared" ca="1" si="123"/>
        <v>0</v>
      </c>
      <c r="AI807">
        <f>IF(ROW($AA807) - $AA$51 &lt; ($H$16+1)^5, IF(AG807 &gt;= BaseBonus!$C$16, AG807*BaseBonus!$E$31, 0), "")</f>
        <v>10.329589394218376</v>
      </c>
      <c r="AJ807">
        <f t="shared" ca="1" si="124"/>
        <v>0</v>
      </c>
    </row>
    <row r="808" spans="28:36" x14ac:dyDescent="0.3">
      <c r="AB808">
        <f t="shared" si="117"/>
        <v>0</v>
      </c>
      <c r="AC808">
        <f t="shared" si="118"/>
        <v>1</v>
      </c>
      <c r="AD808">
        <f t="shared" si="119"/>
        <v>3</v>
      </c>
      <c r="AE808">
        <f t="shared" si="120"/>
        <v>3</v>
      </c>
      <c r="AF808">
        <f t="shared" si="121"/>
        <v>2</v>
      </c>
      <c r="AG808">
        <f t="shared" si="122"/>
        <v>9</v>
      </c>
      <c r="AH808">
        <f t="shared" ca="1" si="123"/>
        <v>0</v>
      </c>
      <c r="AI808">
        <f>IF(ROW($AA808) - $AA$51 &lt; ($H$16+1)^5, IF(AG808 &gt;= BaseBonus!$C$16, AG808*BaseBonus!$E$31, 0), "")</f>
        <v>8.4514822316332161</v>
      </c>
      <c r="AJ808">
        <f t="shared" ca="1" si="124"/>
        <v>0</v>
      </c>
    </row>
    <row r="809" spans="28:36" x14ac:dyDescent="0.3">
      <c r="AB809">
        <f t="shared" si="117"/>
        <v>1</v>
      </c>
      <c r="AC809">
        <f t="shared" si="118"/>
        <v>1</v>
      </c>
      <c r="AD809">
        <f t="shared" si="119"/>
        <v>3</v>
      </c>
      <c r="AE809">
        <f t="shared" si="120"/>
        <v>3</v>
      </c>
      <c r="AF809">
        <f t="shared" si="121"/>
        <v>2</v>
      </c>
      <c r="AG809">
        <f t="shared" si="122"/>
        <v>10</v>
      </c>
      <c r="AH809">
        <f t="shared" ca="1" si="123"/>
        <v>0</v>
      </c>
      <c r="AI809">
        <f>IF(ROW($AA809) - $AA$51 &lt; ($H$16+1)^5, IF(AG809 &gt;= BaseBonus!$C$16, AG809*BaseBonus!$E$31, 0), "")</f>
        <v>9.3905358129257959</v>
      </c>
      <c r="AJ809">
        <f t="shared" ca="1" si="124"/>
        <v>0</v>
      </c>
    </row>
    <row r="810" spans="28:36" x14ac:dyDescent="0.3">
      <c r="AB810">
        <f t="shared" si="117"/>
        <v>2</v>
      </c>
      <c r="AC810">
        <f t="shared" si="118"/>
        <v>1</v>
      </c>
      <c r="AD810">
        <f t="shared" si="119"/>
        <v>3</v>
      </c>
      <c r="AE810">
        <f t="shared" si="120"/>
        <v>3</v>
      </c>
      <c r="AF810">
        <f t="shared" si="121"/>
        <v>2</v>
      </c>
      <c r="AG810">
        <f t="shared" si="122"/>
        <v>11</v>
      </c>
      <c r="AH810">
        <f t="shared" ca="1" si="123"/>
        <v>0</v>
      </c>
      <c r="AI810">
        <f>IF(ROW($AA810) - $AA$51 &lt; ($H$16+1)^5, IF(AG810 &gt;= BaseBonus!$C$16, AG810*BaseBonus!$E$31, 0), "")</f>
        <v>10.329589394218376</v>
      </c>
      <c r="AJ810">
        <f t="shared" ca="1" si="124"/>
        <v>0</v>
      </c>
    </row>
    <row r="811" spans="28:36" x14ac:dyDescent="0.3">
      <c r="AB811">
        <f t="shared" si="117"/>
        <v>3</v>
      </c>
      <c r="AC811">
        <f t="shared" si="118"/>
        <v>1</v>
      </c>
      <c r="AD811">
        <f t="shared" si="119"/>
        <v>3</v>
      </c>
      <c r="AE811">
        <f t="shared" si="120"/>
        <v>3</v>
      </c>
      <c r="AF811">
        <f t="shared" si="121"/>
        <v>2</v>
      </c>
      <c r="AG811">
        <f t="shared" si="122"/>
        <v>12</v>
      </c>
      <c r="AH811">
        <f t="shared" ca="1" si="123"/>
        <v>0</v>
      </c>
      <c r="AI811">
        <f>IF(ROW($AA811) - $AA$51 &lt; ($H$16+1)^5, IF(AG811 &gt;= BaseBonus!$C$16, AG811*BaseBonus!$E$31, 0), "")</f>
        <v>11.268642975510955</v>
      </c>
      <c r="AJ811">
        <f t="shared" ca="1" si="124"/>
        <v>0</v>
      </c>
    </row>
    <row r="812" spans="28:36" x14ac:dyDescent="0.3">
      <c r="AB812">
        <f t="shared" si="117"/>
        <v>0</v>
      </c>
      <c r="AC812">
        <f t="shared" si="118"/>
        <v>2</v>
      </c>
      <c r="AD812">
        <f t="shared" si="119"/>
        <v>3</v>
      </c>
      <c r="AE812">
        <f t="shared" si="120"/>
        <v>3</v>
      </c>
      <c r="AF812">
        <f t="shared" si="121"/>
        <v>2</v>
      </c>
      <c r="AG812">
        <f t="shared" si="122"/>
        <v>10</v>
      </c>
      <c r="AH812">
        <f t="shared" ca="1" si="123"/>
        <v>0</v>
      </c>
      <c r="AI812">
        <f>IF(ROW($AA812) - $AA$51 &lt; ($H$16+1)^5, IF(AG812 &gt;= BaseBonus!$C$16, AG812*BaseBonus!$E$31, 0), "")</f>
        <v>9.3905358129257959</v>
      </c>
      <c r="AJ812">
        <f t="shared" ca="1" si="124"/>
        <v>0</v>
      </c>
    </row>
    <row r="813" spans="28:36" x14ac:dyDescent="0.3">
      <c r="AB813">
        <f t="shared" si="117"/>
        <v>1</v>
      </c>
      <c r="AC813">
        <f t="shared" si="118"/>
        <v>2</v>
      </c>
      <c r="AD813">
        <f t="shared" si="119"/>
        <v>3</v>
      </c>
      <c r="AE813">
        <f t="shared" si="120"/>
        <v>3</v>
      </c>
      <c r="AF813">
        <f t="shared" si="121"/>
        <v>2</v>
      </c>
      <c r="AG813">
        <f t="shared" si="122"/>
        <v>11</v>
      </c>
      <c r="AH813">
        <f t="shared" ca="1" si="123"/>
        <v>0</v>
      </c>
      <c r="AI813">
        <f>IF(ROW($AA813) - $AA$51 &lt; ($H$16+1)^5, IF(AG813 &gt;= BaseBonus!$C$16, AG813*BaseBonus!$E$31, 0), "")</f>
        <v>10.329589394218376</v>
      </c>
      <c r="AJ813">
        <f t="shared" ca="1" si="124"/>
        <v>0</v>
      </c>
    </row>
    <row r="814" spans="28:36" x14ac:dyDescent="0.3">
      <c r="AB814">
        <f t="shared" si="117"/>
        <v>2</v>
      </c>
      <c r="AC814">
        <f t="shared" si="118"/>
        <v>2</v>
      </c>
      <c r="AD814">
        <f t="shared" si="119"/>
        <v>3</v>
      </c>
      <c r="AE814">
        <f t="shared" si="120"/>
        <v>3</v>
      </c>
      <c r="AF814">
        <f t="shared" si="121"/>
        <v>2</v>
      </c>
      <c r="AG814">
        <f t="shared" si="122"/>
        <v>12</v>
      </c>
      <c r="AH814">
        <f t="shared" ca="1" si="123"/>
        <v>0</v>
      </c>
      <c r="AI814">
        <f>IF(ROW($AA814) - $AA$51 &lt; ($H$16+1)^5, IF(AG814 &gt;= BaseBonus!$C$16, AG814*BaseBonus!$E$31, 0), "")</f>
        <v>11.268642975510955</v>
      </c>
      <c r="AJ814">
        <f t="shared" ca="1" si="124"/>
        <v>0</v>
      </c>
    </row>
    <row r="815" spans="28:36" x14ac:dyDescent="0.3">
      <c r="AB815">
        <f t="shared" si="117"/>
        <v>3</v>
      </c>
      <c r="AC815">
        <f t="shared" si="118"/>
        <v>2</v>
      </c>
      <c r="AD815">
        <f t="shared" si="119"/>
        <v>3</v>
      </c>
      <c r="AE815">
        <f t="shared" si="120"/>
        <v>3</v>
      </c>
      <c r="AF815">
        <f t="shared" si="121"/>
        <v>2</v>
      </c>
      <c r="AG815">
        <f t="shared" si="122"/>
        <v>13</v>
      </c>
      <c r="AH815">
        <f t="shared" ca="1" si="123"/>
        <v>0</v>
      </c>
      <c r="AI815">
        <f>IF(ROW($AA815) - $AA$51 &lt; ($H$16+1)^5, IF(AG815 &gt;= BaseBonus!$C$16, AG815*BaseBonus!$E$31, 0), "")</f>
        <v>12.207696556803535</v>
      </c>
      <c r="AJ815">
        <f t="shared" ca="1" si="124"/>
        <v>0</v>
      </c>
    </row>
    <row r="816" spans="28:36" x14ac:dyDescent="0.3">
      <c r="AB816">
        <f t="shared" si="117"/>
        <v>0</v>
      </c>
      <c r="AC816">
        <f t="shared" si="118"/>
        <v>3</v>
      </c>
      <c r="AD816">
        <f t="shared" si="119"/>
        <v>3</v>
      </c>
      <c r="AE816">
        <f t="shared" si="120"/>
        <v>3</v>
      </c>
      <c r="AF816">
        <f t="shared" si="121"/>
        <v>2</v>
      </c>
      <c r="AG816">
        <f t="shared" si="122"/>
        <v>11</v>
      </c>
      <c r="AH816">
        <f t="shared" ca="1" si="123"/>
        <v>0</v>
      </c>
      <c r="AI816">
        <f>IF(ROW($AA816) - $AA$51 &lt; ($H$16+1)^5, IF(AG816 &gt;= BaseBonus!$C$16, AG816*BaseBonus!$E$31, 0), "")</f>
        <v>10.329589394218376</v>
      </c>
      <c r="AJ816">
        <f t="shared" ca="1" si="124"/>
        <v>0</v>
      </c>
    </row>
    <row r="817" spans="28:36" x14ac:dyDescent="0.3">
      <c r="AB817">
        <f t="shared" si="117"/>
        <v>1</v>
      </c>
      <c r="AC817">
        <f t="shared" si="118"/>
        <v>3</v>
      </c>
      <c r="AD817">
        <f t="shared" si="119"/>
        <v>3</v>
      </c>
      <c r="AE817">
        <f t="shared" si="120"/>
        <v>3</v>
      </c>
      <c r="AF817">
        <f t="shared" si="121"/>
        <v>2</v>
      </c>
      <c r="AG817">
        <f t="shared" si="122"/>
        <v>12</v>
      </c>
      <c r="AH817">
        <f t="shared" ca="1" si="123"/>
        <v>0</v>
      </c>
      <c r="AI817">
        <f>IF(ROW($AA817) - $AA$51 &lt; ($H$16+1)^5, IF(AG817 &gt;= BaseBonus!$C$16, AG817*BaseBonus!$E$31, 0), "")</f>
        <v>11.268642975510955</v>
      </c>
      <c r="AJ817">
        <f t="shared" ca="1" si="124"/>
        <v>0</v>
      </c>
    </row>
    <row r="818" spans="28:36" x14ac:dyDescent="0.3">
      <c r="AB818">
        <f t="shared" si="117"/>
        <v>2</v>
      </c>
      <c r="AC818">
        <f t="shared" si="118"/>
        <v>3</v>
      </c>
      <c r="AD818">
        <f t="shared" si="119"/>
        <v>3</v>
      </c>
      <c r="AE818">
        <f t="shared" si="120"/>
        <v>3</v>
      </c>
      <c r="AF818">
        <f t="shared" si="121"/>
        <v>2</v>
      </c>
      <c r="AG818">
        <f t="shared" si="122"/>
        <v>13</v>
      </c>
      <c r="AH818">
        <f t="shared" ca="1" si="123"/>
        <v>0</v>
      </c>
      <c r="AI818">
        <f>IF(ROW($AA818) - $AA$51 &lt; ($H$16+1)^5, IF(AG818 &gt;= BaseBonus!$C$16, AG818*BaseBonus!$E$31, 0), "")</f>
        <v>12.207696556803535</v>
      </c>
      <c r="AJ818">
        <f t="shared" ca="1" si="124"/>
        <v>0</v>
      </c>
    </row>
    <row r="819" spans="28:36" x14ac:dyDescent="0.3">
      <c r="AB819">
        <f t="shared" si="117"/>
        <v>3</v>
      </c>
      <c r="AC819">
        <f t="shared" si="118"/>
        <v>3</v>
      </c>
      <c r="AD819">
        <f t="shared" si="119"/>
        <v>3</v>
      </c>
      <c r="AE819">
        <f t="shared" si="120"/>
        <v>3</v>
      </c>
      <c r="AF819">
        <f t="shared" si="121"/>
        <v>2</v>
      </c>
      <c r="AG819">
        <f t="shared" si="122"/>
        <v>14</v>
      </c>
      <c r="AH819">
        <f t="shared" ca="1" si="123"/>
        <v>0</v>
      </c>
      <c r="AI819">
        <f>IF(ROW($AA819) - $AA$51 &lt; ($H$16+1)^5, IF(AG819 &gt;= BaseBonus!$C$16, AG819*BaseBonus!$E$31, 0), "")</f>
        <v>13.146750138096115</v>
      </c>
      <c r="AJ819">
        <f t="shared" ca="1" si="124"/>
        <v>0</v>
      </c>
    </row>
    <row r="820" spans="28:36" x14ac:dyDescent="0.3">
      <c r="AB820">
        <f t="shared" ref="AB820:AB883" si="125">IF(ROW()-$AA$51 &lt; (H$16+1)^5, MOD(_xlfn.FLOOR.MATH((ROW()-$AA$51)/AB$50), H$16+1), "")</f>
        <v>0</v>
      </c>
      <c r="AC820">
        <f t="shared" ref="AC820:AC883" si="126">IF(ROW()-$AA$51 &lt; (I$16+1)^5, MOD(_xlfn.FLOOR.MATH((ROW()-$AA$51)/AC$50), I$16+1), "")</f>
        <v>0</v>
      </c>
      <c r="AD820">
        <f t="shared" ref="AD820:AD883" si="127">IF(ROW()-$AA$51 &lt; (J$16+1)^5, MOD(_xlfn.FLOOR.MATH((ROW()-$AA$51)/AD$50), J$16+1), "")</f>
        <v>0</v>
      </c>
      <c r="AE820">
        <f t="shared" ref="AE820:AE883" si="128">IF(ROW()-$AA$51 &lt; (K$16+1)^5, MOD(_xlfn.FLOOR.MATH((ROW()-$AA$51)/AE$50), K$16+1), "")</f>
        <v>0</v>
      </c>
      <c r="AF820">
        <f t="shared" ref="AF820:AF883" si="129">IF(ROW()-$AA$51 &lt; (L$16+1)^5, MOD(_xlfn.FLOOR.MATH((ROW()-$AA$51)/AF$50), L$16+1), "")</f>
        <v>3</v>
      </c>
      <c r="AG820">
        <f t="shared" ref="AG820:AG883" si="130">IF(ROW($AA820) - $AA$51 &lt; ($H$16+1)^5, SUM(AB820:AF820), "")</f>
        <v>3</v>
      </c>
      <c r="AH820">
        <f t="shared" ref="AH820:AH883" ca="1" si="131">IF(ROW($AA820) - $AA$51 &lt; (4)^5,
    (_xlfn.XLOOKUP(AB820,$T$51:$T$55,U$51:U$55,0)/U$27) * (_xlfn.XLOOKUP(AC820,$T$51:$T$55,V$51:V$55,0)/V$27) * (_xlfn.XLOOKUP(AD820,$T$51:$T$55,W$51:W$55,0)/W$27) * (_xlfn.XLOOKUP(AE820,$T$51:$T$55,X$51:X$55,0)/X$27) * (_xlfn.XLOOKUP(AF820,$T$51:$T$55,Y$51:Y$55,0)/Y$27),
"")</f>
        <v>0</v>
      </c>
      <c r="AI820">
        <f>IF(ROW($AA820) - $AA$51 &lt; ($H$16+1)^5, IF(AG820 &gt;= BaseBonus!$C$16, AG820*BaseBonus!$E$31, 0), "")</f>
        <v>0</v>
      </c>
      <c r="AJ820">
        <f t="shared" ref="AJ820:AJ883" ca="1" si="132">IF(ROW($AA820) - $AA$51 &lt; ($H$16+1)^5, AH820*AI820, "")</f>
        <v>0</v>
      </c>
    </row>
    <row r="821" spans="28:36" x14ac:dyDescent="0.3">
      <c r="AB821">
        <f t="shared" si="125"/>
        <v>1</v>
      </c>
      <c r="AC821">
        <f t="shared" si="126"/>
        <v>0</v>
      </c>
      <c r="AD821">
        <f t="shared" si="127"/>
        <v>0</v>
      </c>
      <c r="AE821">
        <f t="shared" si="128"/>
        <v>0</v>
      </c>
      <c r="AF821">
        <f t="shared" si="129"/>
        <v>3</v>
      </c>
      <c r="AG821">
        <f t="shared" si="130"/>
        <v>4</v>
      </c>
      <c r="AH821">
        <f t="shared" ca="1" si="131"/>
        <v>0</v>
      </c>
      <c r="AI821">
        <f>IF(ROW($AA821) - $AA$51 &lt; ($H$16+1)^5, IF(AG821 &gt;= BaseBonus!$C$16, AG821*BaseBonus!$E$31, 0), "")</f>
        <v>0</v>
      </c>
      <c r="AJ821">
        <f t="shared" ca="1" si="132"/>
        <v>0</v>
      </c>
    </row>
    <row r="822" spans="28:36" x14ac:dyDescent="0.3">
      <c r="AB822">
        <f t="shared" si="125"/>
        <v>2</v>
      </c>
      <c r="AC822">
        <f t="shared" si="126"/>
        <v>0</v>
      </c>
      <c r="AD822">
        <f t="shared" si="127"/>
        <v>0</v>
      </c>
      <c r="AE822">
        <f t="shared" si="128"/>
        <v>0</v>
      </c>
      <c r="AF822">
        <f t="shared" si="129"/>
        <v>3</v>
      </c>
      <c r="AG822">
        <f t="shared" si="130"/>
        <v>5</v>
      </c>
      <c r="AH822">
        <f t="shared" ca="1" si="131"/>
        <v>0</v>
      </c>
      <c r="AI822">
        <f>IF(ROW($AA822) - $AA$51 &lt; ($H$16+1)^5, IF(AG822 &gt;= BaseBonus!$C$16, AG822*BaseBonus!$E$31, 0), "")</f>
        <v>4.6952679064628979</v>
      </c>
      <c r="AJ822">
        <f t="shared" ca="1" si="132"/>
        <v>0</v>
      </c>
    </row>
    <row r="823" spans="28:36" x14ac:dyDescent="0.3">
      <c r="AB823">
        <f t="shared" si="125"/>
        <v>3</v>
      </c>
      <c r="AC823">
        <f t="shared" si="126"/>
        <v>0</v>
      </c>
      <c r="AD823">
        <f t="shared" si="127"/>
        <v>0</v>
      </c>
      <c r="AE823">
        <f t="shared" si="128"/>
        <v>0</v>
      </c>
      <c r="AF823">
        <f t="shared" si="129"/>
        <v>3</v>
      </c>
      <c r="AG823">
        <f t="shared" si="130"/>
        <v>6</v>
      </c>
      <c r="AH823">
        <f t="shared" ca="1" si="131"/>
        <v>0</v>
      </c>
      <c r="AI823">
        <f>IF(ROW($AA823) - $AA$51 &lt; ($H$16+1)^5, IF(AG823 &gt;= BaseBonus!$C$16, AG823*BaseBonus!$E$31, 0), "")</f>
        <v>5.6343214877554777</v>
      </c>
      <c r="AJ823">
        <f t="shared" ca="1" si="132"/>
        <v>0</v>
      </c>
    </row>
    <row r="824" spans="28:36" x14ac:dyDescent="0.3">
      <c r="AB824">
        <f t="shared" si="125"/>
        <v>0</v>
      </c>
      <c r="AC824">
        <f t="shared" si="126"/>
        <v>1</v>
      </c>
      <c r="AD824">
        <f t="shared" si="127"/>
        <v>0</v>
      </c>
      <c r="AE824">
        <f t="shared" si="128"/>
        <v>0</v>
      </c>
      <c r="AF824">
        <f t="shared" si="129"/>
        <v>3</v>
      </c>
      <c r="AG824">
        <f t="shared" si="130"/>
        <v>4</v>
      </c>
      <c r="AH824">
        <f t="shared" ca="1" si="131"/>
        <v>0</v>
      </c>
      <c r="AI824">
        <f>IF(ROW($AA824) - $AA$51 &lt; ($H$16+1)^5, IF(AG824 &gt;= BaseBonus!$C$16, AG824*BaseBonus!$E$31, 0), "")</f>
        <v>0</v>
      </c>
      <c r="AJ824">
        <f t="shared" ca="1" si="132"/>
        <v>0</v>
      </c>
    </row>
    <row r="825" spans="28:36" x14ac:dyDescent="0.3">
      <c r="AB825">
        <f t="shared" si="125"/>
        <v>1</v>
      </c>
      <c r="AC825">
        <f t="shared" si="126"/>
        <v>1</v>
      </c>
      <c r="AD825">
        <f t="shared" si="127"/>
        <v>0</v>
      </c>
      <c r="AE825">
        <f t="shared" si="128"/>
        <v>0</v>
      </c>
      <c r="AF825">
        <f t="shared" si="129"/>
        <v>3</v>
      </c>
      <c r="AG825">
        <f t="shared" si="130"/>
        <v>5</v>
      </c>
      <c r="AH825">
        <f t="shared" ca="1" si="131"/>
        <v>0</v>
      </c>
      <c r="AI825">
        <f>IF(ROW($AA825) - $AA$51 &lt; ($H$16+1)^5, IF(AG825 &gt;= BaseBonus!$C$16, AG825*BaseBonus!$E$31, 0), "")</f>
        <v>4.6952679064628979</v>
      </c>
      <c r="AJ825">
        <f t="shared" ca="1" si="132"/>
        <v>0</v>
      </c>
    </row>
    <row r="826" spans="28:36" x14ac:dyDescent="0.3">
      <c r="AB826">
        <f t="shared" si="125"/>
        <v>2</v>
      </c>
      <c r="AC826">
        <f t="shared" si="126"/>
        <v>1</v>
      </c>
      <c r="AD826">
        <f t="shared" si="127"/>
        <v>0</v>
      </c>
      <c r="AE826">
        <f t="shared" si="128"/>
        <v>0</v>
      </c>
      <c r="AF826">
        <f t="shared" si="129"/>
        <v>3</v>
      </c>
      <c r="AG826">
        <f t="shared" si="130"/>
        <v>6</v>
      </c>
      <c r="AH826">
        <f t="shared" ca="1" si="131"/>
        <v>0</v>
      </c>
      <c r="AI826">
        <f>IF(ROW($AA826) - $AA$51 &lt; ($H$16+1)^5, IF(AG826 &gt;= BaseBonus!$C$16, AG826*BaseBonus!$E$31, 0), "")</f>
        <v>5.6343214877554777</v>
      </c>
      <c r="AJ826">
        <f t="shared" ca="1" si="132"/>
        <v>0</v>
      </c>
    </row>
    <row r="827" spans="28:36" x14ac:dyDescent="0.3">
      <c r="AB827">
        <f t="shared" si="125"/>
        <v>3</v>
      </c>
      <c r="AC827">
        <f t="shared" si="126"/>
        <v>1</v>
      </c>
      <c r="AD827">
        <f t="shared" si="127"/>
        <v>0</v>
      </c>
      <c r="AE827">
        <f t="shared" si="128"/>
        <v>0</v>
      </c>
      <c r="AF827">
        <f t="shared" si="129"/>
        <v>3</v>
      </c>
      <c r="AG827">
        <f t="shared" si="130"/>
        <v>7</v>
      </c>
      <c r="AH827">
        <f t="shared" ca="1" si="131"/>
        <v>0</v>
      </c>
      <c r="AI827">
        <f>IF(ROW($AA827) - $AA$51 &lt; ($H$16+1)^5, IF(AG827 &gt;= BaseBonus!$C$16, AG827*BaseBonus!$E$31, 0), "")</f>
        <v>6.5733750690480575</v>
      </c>
      <c r="AJ827">
        <f t="shared" ca="1" si="132"/>
        <v>0</v>
      </c>
    </row>
    <row r="828" spans="28:36" x14ac:dyDescent="0.3">
      <c r="AB828">
        <f t="shared" si="125"/>
        <v>0</v>
      </c>
      <c r="AC828">
        <f t="shared" si="126"/>
        <v>2</v>
      </c>
      <c r="AD828">
        <f t="shared" si="127"/>
        <v>0</v>
      </c>
      <c r="AE828">
        <f t="shared" si="128"/>
        <v>0</v>
      </c>
      <c r="AF828">
        <f t="shared" si="129"/>
        <v>3</v>
      </c>
      <c r="AG828">
        <f t="shared" si="130"/>
        <v>5</v>
      </c>
      <c r="AH828">
        <f t="shared" ca="1" si="131"/>
        <v>0</v>
      </c>
      <c r="AI828">
        <f>IF(ROW($AA828) - $AA$51 &lt; ($H$16+1)^5, IF(AG828 &gt;= BaseBonus!$C$16, AG828*BaseBonus!$E$31, 0), "")</f>
        <v>4.6952679064628979</v>
      </c>
      <c r="AJ828">
        <f t="shared" ca="1" si="132"/>
        <v>0</v>
      </c>
    </row>
    <row r="829" spans="28:36" x14ac:dyDescent="0.3">
      <c r="AB829">
        <f t="shared" si="125"/>
        <v>1</v>
      </c>
      <c r="AC829">
        <f t="shared" si="126"/>
        <v>2</v>
      </c>
      <c r="AD829">
        <f t="shared" si="127"/>
        <v>0</v>
      </c>
      <c r="AE829">
        <f t="shared" si="128"/>
        <v>0</v>
      </c>
      <c r="AF829">
        <f t="shared" si="129"/>
        <v>3</v>
      </c>
      <c r="AG829">
        <f t="shared" si="130"/>
        <v>6</v>
      </c>
      <c r="AH829">
        <f t="shared" ca="1" si="131"/>
        <v>0</v>
      </c>
      <c r="AI829">
        <f>IF(ROW($AA829) - $AA$51 &lt; ($H$16+1)^5, IF(AG829 &gt;= BaseBonus!$C$16, AG829*BaseBonus!$E$31, 0), "")</f>
        <v>5.6343214877554777</v>
      </c>
      <c r="AJ829">
        <f t="shared" ca="1" si="132"/>
        <v>0</v>
      </c>
    </row>
    <row r="830" spans="28:36" x14ac:dyDescent="0.3">
      <c r="AB830">
        <f t="shared" si="125"/>
        <v>2</v>
      </c>
      <c r="AC830">
        <f t="shared" si="126"/>
        <v>2</v>
      </c>
      <c r="AD830">
        <f t="shared" si="127"/>
        <v>0</v>
      </c>
      <c r="AE830">
        <f t="shared" si="128"/>
        <v>0</v>
      </c>
      <c r="AF830">
        <f t="shared" si="129"/>
        <v>3</v>
      </c>
      <c r="AG830">
        <f t="shared" si="130"/>
        <v>7</v>
      </c>
      <c r="AH830">
        <f t="shared" ca="1" si="131"/>
        <v>0</v>
      </c>
      <c r="AI830">
        <f>IF(ROW($AA830) - $AA$51 &lt; ($H$16+1)^5, IF(AG830 &gt;= BaseBonus!$C$16, AG830*BaseBonus!$E$31, 0), "")</f>
        <v>6.5733750690480575</v>
      </c>
      <c r="AJ830">
        <f t="shared" ca="1" si="132"/>
        <v>0</v>
      </c>
    </row>
    <row r="831" spans="28:36" x14ac:dyDescent="0.3">
      <c r="AB831">
        <f t="shared" si="125"/>
        <v>3</v>
      </c>
      <c r="AC831">
        <f t="shared" si="126"/>
        <v>2</v>
      </c>
      <c r="AD831">
        <f t="shared" si="127"/>
        <v>0</v>
      </c>
      <c r="AE831">
        <f t="shared" si="128"/>
        <v>0</v>
      </c>
      <c r="AF831">
        <f t="shared" si="129"/>
        <v>3</v>
      </c>
      <c r="AG831">
        <f t="shared" si="130"/>
        <v>8</v>
      </c>
      <c r="AH831">
        <f t="shared" ca="1" si="131"/>
        <v>0</v>
      </c>
      <c r="AI831">
        <f>IF(ROW($AA831) - $AA$51 &lt; ($H$16+1)^5, IF(AG831 &gt;= BaseBonus!$C$16, AG831*BaseBonus!$E$31, 0), "")</f>
        <v>7.5124286503406372</v>
      </c>
      <c r="AJ831">
        <f t="shared" ca="1" si="132"/>
        <v>0</v>
      </c>
    </row>
    <row r="832" spans="28:36" x14ac:dyDescent="0.3">
      <c r="AB832">
        <f t="shared" si="125"/>
        <v>0</v>
      </c>
      <c r="AC832">
        <f t="shared" si="126"/>
        <v>3</v>
      </c>
      <c r="AD832">
        <f t="shared" si="127"/>
        <v>0</v>
      </c>
      <c r="AE832">
        <f t="shared" si="128"/>
        <v>0</v>
      </c>
      <c r="AF832">
        <f t="shared" si="129"/>
        <v>3</v>
      </c>
      <c r="AG832">
        <f t="shared" si="130"/>
        <v>6</v>
      </c>
      <c r="AH832">
        <f t="shared" ca="1" si="131"/>
        <v>0</v>
      </c>
      <c r="AI832">
        <f>IF(ROW($AA832) - $AA$51 &lt; ($H$16+1)^5, IF(AG832 &gt;= BaseBonus!$C$16, AG832*BaseBonus!$E$31, 0), "")</f>
        <v>5.6343214877554777</v>
      </c>
      <c r="AJ832">
        <f t="shared" ca="1" si="132"/>
        <v>0</v>
      </c>
    </row>
    <row r="833" spans="28:36" x14ac:dyDescent="0.3">
      <c r="AB833">
        <f t="shared" si="125"/>
        <v>1</v>
      </c>
      <c r="AC833">
        <f t="shared" si="126"/>
        <v>3</v>
      </c>
      <c r="AD833">
        <f t="shared" si="127"/>
        <v>0</v>
      </c>
      <c r="AE833">
        <f t="shared" si="128"/>
        <v>0</v>
      </c>
      <c r="AF833">
        <f t="shared" si="129"/>
        <v>3</v>
      </c>
      <c r="AG833">
        <f t="shared" si="130"/>
        <v>7</v>
      </c>
      <c r="AH833">
        <f t="shared" ca="1" si="131"/>
        <v>0</v>
      </c>
      <c r="AI833">
        <f>IF(ROW($AA833) - $AA$51 &lt; ($H$16+1)^5, IF(AG833 &gt;= BaseBonus!$C$16, AG833*BaseBonus!$E$31, 0), "")</f>
        <v>6.5733750690480575</v>
      </c>
      <c r="AJ833">
        <f t="shared" ca="1" si="132"/>
        <v>0</v>
      </c>
    </row>
    <row r="834" spans="28:36" x14ac:dyDescent="0.3">
      <c r="AB834">
        <f t="shared" si="125"/>
        <v>2</v>
      </c>
      <c r="AC834">
        <f t="shared" si="126"/>
        <v>3</v>
      </c>
      <c r="AD834">
        <f t="shared" si="127"/>
        <v>0</v>
      </c>
      <c r="AE834">
        <f t="shared" si="128"/>
        <v>0</v>
      </c>
      <c r="AF834">
        <f t="shared" si="129"/>
        <v>3</v>
      </c>
      <c r="AG834">
        <f t="shared" si="130"/>
        <v>8</v>
      </c>
      <c r="AH834">
        <f t="shared" ca="1" si="131"/>
        <v>0</v>
      </c>
      <c r="AI834">
        <f>IF(ROW($AA834) - $AA$51 &lt; ($H$16+1)^5, IF(AG834 &gt;= BaseBonus!$C$16, AG834*BaseBonus!$E$31, 0), "")</f>
        <v>7.5124286503406372</v>
      </c>
      <c r="AJ834">
        <f t="shared" ca="1" si="132"/>
        <v>0</v>
      </c>
    </row>
    <row r="835" spans="28:36" x14ac:dyDescent="0.3">
      <c r="AB835">
        <f t="shared" si="125"/>
        <v>3</v>
      </c>
      <c r="AC835">
        <f t="shared" si="126"/>
        <v>3</v>
      </c>
      <c r="AD835">
        <f t="shared" si="127"/>
        <v>0</v>
      </c>
      <c r="AE835">
        <f t="shared" si="128"/>
        <v>0</v>
      </c>
      <c r="AF835">
        <f t="shared" si="129"/>
        <v>3</v>
      </c>
      <c r="AG835">
        <f t="shared" si="130"/>
        <v>9</v>
      </c>
      <c r="AH835">
        <f t="shared" ca="1" si="131"/>
        <v>0</v>
      </c>
      <c r="AI835">
        <f>IF(ROW($AA835) - $AA$51 &lt; ($H$16+1)^5, IF(AG835 &gt;= BaseBonus!$C$16, AG835*BaseBonus!$E$31, 0), "")</f>
        <v>8.4514822316332161</v>
      </c>
      <c r="AJ835">
        <f t="shared" ca="1" si="132"/>
        <v>0</v>
      </c>
    </row>
    <row r="836" spans="28:36" x14ac:dyDescent="0.3">
      <c r="AB836">
        <f t="shared" si="125"/>
        <v>0</v>
      </c>
      <c r="AC836">
        <f t="shared" si="126"/>
        <v>0</v>
      </c>
      <c r="AD836">
        <f t="shared" si="127"/>
        <v>1</v>
      </c>
      <c r="AE836">
        <f t="shared" si="128"/>
        <v>0</v>
      </c>
      <c r="AF836">
        <f t="shared" si="129"/>
        <v>3</v>
      </c>
      <c r="AG836">
        <f t="shared" si="130"/>
        <v>4</v>
      </c>
      <c r="AH836">
        <f t="shared" ca="1" si="131"/>
        <v>0</v>
      </c>
      <c r="AI836">
        <f>IF(ROW($AA836) - $AA$51 &lt; ($H$16+1)^5, IF(AG836 &gt;= BaseBonus!$C$16, AG836*BaseBonus!$E$31, 0), "")</f>
        <v>0</v>
      </c>
      <c r="AJ836">
        <f t="shared" ca="1" si="132"/>
        <v>0</v>
      </c>
    </row>
    <row r="837" spans="28:36" x14ac:dyDescent="0.3">
      <c r="AB837">
        <f t="shared" si="125"/>
        <v>1</v>
      </c>
      <c r="AC837">
        <f t="shared" si="126"/>
        <v>0</v>
      </c>
      <c r="AD837">
        <f t="shared" si="127"/>
        <v>1</v>
      </c>
      <c r="AE837">
        <f t="shared" si="128"/>
        <v>0</v>
      </c>
      <c r="AF837">
        <f t="shared" si="129"/>
        <v>3</v>
      </c>
      <c r="AG837">
        <f t="shared" si="130"/>
        <v>5</v>
      </c>
      <c r="AH837">
        <f t="shared" ca="1" si="131"/>
        <v>0</v>
      </c>
      <c r="AI837">
        <f>IF(ROW($AA837) - $AA$51 &lt; ($H$16+1)^5, IF(AG837 &gt;= BaseBonus!$C$16, AG837*BaseBonus!$E$31, 0), "")</f>
        <v>4.6952679064628979</v>
      </c>
      <c r="AJ837">
        <f t="shared" ca="1" si="132"/>
        <v>0</v>
      </c>
    </row>
    <row r="838" spans="28:36" x14ac:dyDescent="0.3">
      <c r="AB838">
        <f t="shared" si="125"/>
        <v>2</v>
      </c>
      <c r="AC838">
        <f t="shared" si="126"/>
        <v>0</v>
      </c>
      <c r="AD838">
        <f t="shared" si="127"/>
        <v>1</v>
      </c>
      <c r="AE838">
        <f t="shared" si="128"/>
        <v>0</v>
      </c>
      <c r="AF838">
        <f t="shared" si="129"/>
        <v>3</v>
      </c>
      <c r="AG838">
        <f t="shared" si="130"/>
        <v>6</v>
      </c>
      <c r="AH838">
        <f t="shared" ca="1" si="131"/>
        <v>0</v>
      </c>
      <c r="AI838">
        <f>IF(ROW($AA838) - $AA$51 &lt; ($H$16+1)^5, IF(AG838 &gt;= BaseBonus!$C$16, AG838*BaseBonus!$E$31, 0), "")</f>
        <v>5.6343214877554777</v>
      </c>
      <c r="AJ838">
        <f t="shared" ca="1" si="132"/>
        <v>0</v>
      </c>
    </row>
    <row r="839" spans="28:36" x14ac:dyDescent="0.3">
      <c r="AB839">
        <f t="shared" si="125"/>
        <v>3</v>
      </c>
      <c r="AC839">
        <f t="shared" si="126"/>
        <v>0</v>
      </c>
      <c r="AD839">
        <f t="shared" si="127"/>
        <v>1</v>
      </c>
      <c r="AE839">
        <f t="shared" si="128"/>
        <v>0</v>
      </c>
      <c r="AF839">
        <f t="shared" si="129"/>
        <v>3</v>
      </c>
      <c r="AG839">
        <f t="shared" si="130"/>
        <v>7</v>
      </c>
      <c r="AH839">
        <f t="shared" ca="1" si="131"/>
        <v>0</v>
      </c>
      <c r="AI839">
        <f>IF(ROW($AA839) - $AA$51 &lt; ($H$16+1)^5, IF(AG839 &gt;= BaseBonus!$C$16, AG839*BaseBonus!$E$31, 0), "")</f>
        <v>6.5733750690480575</v>
      </c>
      <c r="AJ839">
        <f t="shared" ca="1" si="132"/>
        <v>0</v>
      </c>
    </row>
    <row r="840" spans="28:36" x14ac:dyDescent="0.3">
      <c r="AB840">
        <f t="shared" si="125"/>
        <v>0</v>
      </c>
      <c r="AC840">
        <f t="shared" si="126"/>
        <v>1</v>
      </c>
      <c r="AD840">
        <f t="shared" si="127"/>
        <v>1</v>
      </c>
      <c r="AE840">
        <f t="shared" si="128"/>
        <v>0</v>
      </c>
      <c r="AF840">
        <f t="shared" si="129"/>
        <v>3</v>
      </c>
      <c r="AG840">
        <f t="shared" si="130"/>
        <v>5</v>
      </c>
      <c r="AH840">
        <f t="shared" ca="1" si="131"/>
        <v>0</v>
      </c>
      <c r="AI840">
        <f>IF(ROW($AA840) - $AA$51 &lt; ($H$16+1)^5, IF(AG840 &gt;= BaseBonus!$C$16, AG840*BaseBonus!$E$31, 0), "")</f>
        <v>4.6952679064628979</v>
      </c>
      <c r="AJ840">
        <f t="shared" ca="1" si="132"/>
        <v>0</v>
      </c>
    </row>
    <row r="841" spans="28:36" x14ac:dyDescent="0.3">
      <c r="AB841">
        <f t="shared" si="125"/>
        <v>1</v>
      </c>
      <c r="AC841">
        <f t="shared" si="126"/>
        <v>1</v>
      </c>
      <c r="AD841">
        <f t="shared" si="127"/>
        <v>1</v>
      </c>
      <c r="AE841">
        <f t="shared" si="128"/>
        <v>0</v>
      </c>
      <c r="AF841">
        <f t="shared" si="129"/>
        <v>3</v>
      </c>
      <c r="AG841">
        <f t="shared" si="130"/>
        <v>6</v>
      </c>
      <c r="AH841">
        <f t="shared" ca="1" si="131"/>
        <v>0</v>
      </c>
      <c r="AI841">
        <f>IF(ROW($AA841) - $AA$51 &lt; ($H$16+1)^5, IF(AG841 &gt;= BaseBonus!$C$16, AG841*BaseBonus!$E$31, 0), "")</f>
        <v>5.6343214877554777</v>
      </c>
      <c r="AJ841">
        <f t="shared" ca="1" si="132"/>
        <v>0</v>
      </c>
    </row>
    <row r="842" spans="28:36" x14ac:dyDescent="0.3">
      <c r="AB842">
        <f t="shared" si="125"/>
        <v>2</v>
      </c>
      <c r="AC842">
        <f t="shared" si="126"/>
        <v>1</v>
      </c>
      <c r="AD842">
        <f t="shared" si="127"/>
        <v>1</v>
      </c>
      <c r="AE842">
        <f t="shared" si="128"/>
        <v>0</v>
      </c>
      <c r="AF842">
        <f t="shared" si="129"/>
        <v>3</v>
      </c>
      <c r="AG842">
        <f t="shared" si="130"/>
        <v>7</v>
      </c>
      <c r="AH842">
        <f t="shared" ca="1" si="131"/>
        <v>0</v>
      </c>
      <c r="AI842">
        <f>IF(ROW($AA842) - $AA$51 &lt; ($H$16+1)^5, IF(AG842 &gt;= BaseBonus!$C$16, AG842*BaseBonus!$E$31, 0), "")</f>
        <v>6.5733750690480575</v>
      </c>
      <c r="AJ842">
        <f t="shared" ca="1" si="132"/>
        <v>0</v>
      </c>
    </row>
    <row r="843" spans="28:36" x14ac:dyDescent="0.3">
      <c r="AB843">
        <f t="shared" si="125"/>
        <v>3</v>
      </c>
      <c r="AC843">
        <f t="shared" si="126"/>
        <v>1</v>
      </c>
      <c r="AD843">
        <f t="shared" si="127"/>
        <v>1</v>
      </c>
      <c r="AE843">
        <f t="shared" si="128"/>
        <v>0</v>
      </c>
      <c r="AF843">
        <f t="shared" si="129"/>
        <v>3</v>
      </c>
      <c r="AG843">
        <f t="shared" si="130"/>
        <v>8</v>
      </c>
      <c r="AH843">
        <f t="shared" ca="1" si="131"/>
        <v>0</v>
      </c>
      <c r="AI843">
        <f>IF(ROW($AA843) - $AA$51 &lt; ($H$16+1)^5, IF(AG843 &gt;= BaseBonus!$C$16, AG843*BaseBonus!$E$31, 0), "")</f>
        <v>7.5124286503406372</v>
      </c>
      <c r="AJ843">
        <f t="shared" ca="1" si="132"/>
        <v>0</v>
      </c>
    </row>
    <row r="844" spans="28:36" x14ac:dyDescent="0.3">
      <c r="AB844">
        <f t="shared" si="125"/>
        <v>0</v>
      </c>
      <c r="AC844">
        <f t="shared" si="126"/>
        <v>2</v>
      </c>
      <c r="AD844">
        <f t="shared" si="127"/>
        <v>1</v>
      </c>
      <c r="AE844">
        <f t="shared" si="128"/>
        <v>0</v>
      </c>
      <c r="AF844">
        <f t="shared" si="129"/>
        <v>3</v>
      </c>
      <c r="AG844">
        <f t="shared" si="130"/>
        <v>6</v>
      </c>
      <c r="AH844">
        <f t="shared" ca="1" si="131"/>
        <v>0</v>
      </c>
      <c r="AI844">
        <f>IF(ROW($AA844) - $AA$51 &lt; ($H$16+1)^5, IF(AG844 &gt;= BaseBonus!$C$16, AG844*BaseBonus!$E$31, 0), "")</f>
        <v>5.6343214877554777</v>
      </c>
      <c r="AJ844">
        <f t="shared" ca="1" si="132"/>
        <v>0</v>
      </c>
    </row>
    <row r="845" spans="28:36" x14ac:dyDescent="0.3">
      <c r="AB845">
        <f t="shared" si="125"/>
        <v>1</v>
      </c>
      <c r="AC845">
        <f t="shared" si="126"/>
        <v>2</v>
      </c>
      <c r="AD845">
        <f t="shared" si="127"/>
        <v>1</v>
      </c>
      <c r="AE845">
        <f t="shared" si="128"/>
        <v>0</v>
      </c>
      <c r="AF845">
        <f t="shared" si="129"/>
        <v>3</v>
      </c>
      <c r="AG845">
        <f t="shared" si="130"/>
        <v>7</v>
      </c>
      <c r="AH845">
        <f t="shared" ca="1" si="131"/>
        <v>0</v>
      </c>
      <c r="AI845">
        <f>IF(ROW($AA845) - $AA$51 &lt; ($H$16+1)^5, IF(AG845 &gt;= BaseBonus!$C$16, AG845*BaseBonus!$E$31, 0), "")</f>
        <v>6.5733750690480575</v>
      </c>
      <c r="AJ845">
        <f t="shared" ca="1" si="132"/>
        <v>0</v>
      </c>
    </row>
    <row r="846" spans="28:36" x14ac:dyDescent="0.3">
      <c r="AB846">
        <f t="shared" si="125"/>
        <v>2</v>
      </c>
      <c r="AC846">
        <f t="shared" si="126"/>
        <v>2</v>
      </c>
      <c r="AD846">
        <f t="shared" si="127"/>
        <v>1</v>
      </c>
      <c r="AE846">
        <f t="shared" si="128"/>
        <v>0</v>
      </c>
      <c r="AF846">
        <f t="shared" si="129"/>
        <v>3</v>
      </c>
      <c r="AG846">
        <f t="shared" si="130"/>
        <v>8</v>
      </c>
      <c r="AH846">
        <f t="shared" ca="1" si="131"/>
        <v>0</v>
      </c>
      <c r="AI846">
        <f>IF(ROW($AA846) - $AA$51 &lt; ($H$16+1)^5, IF(AG846 &gt;= BaseBonus!$C$16, AG846*BaseBonus!$E$31, 0), "")</f>
        <v>7.5124286503406372</v>
      </c>
      <c r="AJ846">
        <f t="shared" ca="1" si="132"/>
        <v>0</v>
      </c>
    </row>
    <row r="847" spans="28:36" x14ac:dyDescent="0.3">
      <c r="AB847">
        <f t="shared" si="125"/>
        <v>3</v>
      </c>
      <c r="AC847">
        <f t="shared" si="126"/>
        <v>2</v>
      </c>
      <c r="AD847">
        <f t="shared" si="127"/>
        <v>1</v>
      </c>
      <c r="AE847">
        <f t="shared" si="128"/>
        <v>0</v>
      </c>
      <c r="AF847">
        <f t="shared" si="129"/>
        <v>3</v>
      </c>
      <c r="AG847">
        <f t="shared" si="130"/>
        <v>9</v>
      </c>
      <c r="AH847">
        <f t="shared" ca="1" si="131"/>
        <v>0</v>
      </c>
      <c r="AI847">
        <f>IF(ROW($AA847) - $AA$51 &lt; ($H$16+1)^5, IF(AG847 &gt;= BaseBonus!$C$16, AG847*BaseBonus!$E$31, 0), "")</f>
        <v>8.4514822316332161</v>
      </c>
      <c r="AJ847">
        <f t="shared" ca="1" si="132"/>
        <v>0</v>
      </c>
    </row>
    <row r="848" spans="28:36" x14ac:dyDescent="0.3">
      <c r="AB848">
        <f t="shared" si="125"/>
        <v>0</v>
      </c>
      <c r="AC848">
        <f t="shared" si="126"/>
        <v>3</v>
      </c>
      <c r="AD848">
        <f t="shared" si="127"/>
        <v>1</v>
      </c>
      <c r="AE848">
        <f t="shared" si="128"/>
        <v>0</v>
      </c>
      <c r="AF848">
        <f t="shared" si="129"/>
        <v>3</v>
      </c>
      <c r="AG848">
        <f t="shared" si="130"/>
        <v>7</v>
      </c>
      <c r="AH848">
        <f t="shared" ca="1" si="131"/>
        <v>0</v>
      </c>
      <c r="AI848">
        <f>IF(ROW($AA848) - $AA$51 &lt; ($H$16+1)^5, IF(AG848 &gt;= BaseBonus!$C$16, AG848*BaseBonus!$E$31, 0), "")</f>
        <v>6.5733750690480575</v>
      </c>
      <c r="AJ848">
        <f t="shared" ca="1" si="132"/>
        <v>0</v>
      </c>
    </row>
    <row r="849" spans="28:36" x14ac:dyDescent="0.3">
      <c r="AB849">
        <f t="shared" si="125"/>
        <v>1</v>
      </c>
      <c r="AC849">
        <f t="shared" si="126"/>
        <v>3</v>
      </c>
      <c r="AD849">
        <f t="shared" si="127"/>
        <v>1</v>
      </c>
      <c r="AE849">
        <f t="shared" si="128"/>
        <v>0</v>
      </c>
      <c r="AF849">
        <f t="shared" si="129"/>
        <v>3</v>
      </c>
      <c r="AG849">
        <f t="shared" si="130"/>
        <v>8</v>
      </c>
      <c r="AH849">
        <f t="shared" ca="1" si="131"/>
        <v>0</v>
      </c>
      <c r="AI849">
        <f>IF(ROW($AA849) - $AA$51 &lt; ($H$16+1)^5, IF(AG849 &gt;= BaseBonus!$C$16, AG849*BaseBonus!$E$31, 0), "")</f>
        <v>7.5124286503406372</v>
      </c>
      <c r="AJ849">
        <f t="shared" ca="1" si="132"/>
        <v>0</v>
      </c>
    </row>
    <row r="850" spans="28:36" x14ac:dyDescent="0.3">
      <c r="AB850">
        <f t="shared" si="125"/>
        <v>2</v>
      </c>
      <c r="AC850">
        <f t="shared" si="126"/>
        <v>3</v>
      </c>
      <c r="AD850">
        <f t="shared" si="127"/>
        <v>1</v>
      </c>
      <c r="AE850">
        <f t="shared" si="128"/>
        <v>0</v>
      </c>
      <c r="AF850">
        <f t="shared" si="129"/>
        <v>3</v>
      </c>
      <c r="AG850">
        <f t="shared" si="130"/>
        <v>9</v>
      </c>
      <c r="AH850">
        <f t="shared" ca="1" si="131"/>
        <v>0</v>
      </c>
      <c r="AI850">
        <f>IF(ROW($AA850) - $AA$51 &lt; ($H$16+1)^5, IF(AG850 &gt;= BaseBonus!$C$16, AG850*BaseBonus!$E$31, 0), "")</f>
        <v>8.4514822316332161</v>
      </c>
      <c r="AJ850">
        <f t="shared" ca="1" si="132"/>
        <v>0</v>
      </c>
    </row>
    <row r="851" spans="28:36" x14ac:dyDescent="0.3">
      <c r="AB851">
        <f t="shared" si="125"/>
        <v>3</v>
      </c>
      <c r="AC851">
        <f t="shared" si="126"/>
        <v>3</v>
      </c>
      <c r="AD851">
        <f t="shared" si="127"/>
        <v>1</v>
      </c>
      <c r="AE851">
        <f t="shared" si="128"/>
        <v>0</v>
      </c>
      <c r="AF851">
        <f t="shared" si="129"/>
        <v>3</v>
      </c>
      <c r="AG851">
        <f t="shared" si="130"/>
        <v>10</v>
      </c>
      <c r="AH851">
        <f t="shared" ca="1" si="131"/>
        <v>0</v>
      </c>
      <c r="AI851">
        <f>IF(ROW($AA851) - $AA$51 &lt; ($H$16+1)^5, IF(AG851 &gt;= BaseBonus!$C$16, AG851*BaseBonus!$E$31, 0), "")</f>
        <v>9.3905358129257959</v>
      </c>
      <c r="AJ851">
        <f t="shared" ca="1" si="132"/>
        <v>0</v>
      </c>
    </row>
    <row r="852" spans="28:36" x14ac:dyDescent="0.3">
      <c r="AB852">
        <f t="shared" si="125"/>
        <v>0</v>
      </c>
      <c r="AC852">
        <f t="shared" si="126"/>
        <v>0</v>
      </c>
      <c r="AD852">
        <f t="shared" si="127"/>
        <v>2</v>
      </c>
      <c r="AE852">
        <f t="shared" si="128"/>
        <v>0</v>
      </c>
      <c r="AF852">
        <f t="shared" si="129"/>
        <v>3</v>
      </c>
      <c r="AG852">
        <f t="shared" si="130"/>
        <v>5</v>
      </c>
      <c r="AH852">
        <f t="shared" ca="1" si="131"/>
        <v>0</v>
      </c>
      <c r="AI852">
        <f>IF(ROW($AA852) - $AA$51 &lt; ($H$16+1)^5, IF(AG852 &gt;= BaseBonus!$C$16, AG852*BaseBonus!$E$31, 0), "")</f>
        <v>4.6952679064628979</v>
      </c>
      <c r="AJ852">
        <f t="shared" ca="1" si="132"/>
        <v>0</v>
      </c>
    </row>
    <row r="853" spans="28:36" x14ac:dyDescent="0.3">
      <c r="AB853">
        <f t="shared" si="125"/>
        <v>1</v>
      </c>
      <c r="AC853">
        <f t="shared" si="126"/>
        <v>0</v>
      </c>
      <c r="AD853">
        <f t="shared" si="127"/>
        <v>2</v>
      </c>
      <c r="AE853">
        <f t="shared" si="128"/>
        <v>0</v>
      </c>
      <c r="AF853">
        <f t="shared" si="129"/>
        <v>3</v>
      </c>
      <c r="AG853">
        <f t="shared" si="130"/>
        <v>6</v>
      </c>
      <c r="AH853">
        <f t="shared" ca="1" si="131"/>
        <v>0</v>
      </c>
      <c r="AI853">
        <f>IF(ROW($AA853) - $AA$51 &lt; ($H$16+1)^5, IF(AG853 &gt;= BaseBonus!$C$16, AG853*BaseBonus!$E$31, 0), "")</f>
        <v>5.6343214877554777</v>
      </c>
      <c r="AJ853">
        <f t="shared" ca="1" si="132"/>
        <v>0</v>
      </c>
    </row>
    <row r="854" spans="28:36" x14ac:dyDescent="0.3">
      <c r="AB854">
        <f t="shared" si="125"/>
        <v>2</v>
      </c>
      <c r="AC854">
        <f t="shared" si="126"/>
        <v>0</v>
      </c>
      <c r="AD854">
        <f t="shared" si="127"/>
        <v>2</v>
      </c>
      <c r="AE854">
        <f t="shared" si="128"/>
        <v>0</v>
      </c>
      <c r="AF854">
        <f t="shared" si="129"/>
        <v>3</v>
      </c>
      <c r="AG854">
        <f t="shared" si="130"/>
        <v>7</v>
      </c>
      <c r="AH854">
        <f t="shared" ca="1" si="131"/>
        <v>0</v>
      </c>
      <c r="AI854">
        <f>IF(ROW($AA854) - $AA$51 &lt; ($H$16+1)^5, IF(AG854 &gt;= BaseBonus!$C$16, AG854*BaseBonus!$E$31, 0), "")</f>
        <v>6.5733750690480575</v>
      </c>
      <c r="AJ854">
        <f t="shared" ca="1" si="132"/>
        <v>0</v>
      </c>
    </row>
    <row r="855" spans="28:36" x14ac:dyDescent="0.3">
      <c r="AB855">
        <f t="shared" si="125"/>
        <v>3</v>
      </c>
      <c r="AC855">
        <f t="shared" si="126"/>
        <v>0</v>
      </c>
      <c r="AD855">
        <f t="shared" si="127"/>
        <v>2</v>
      </c>
      <c r="AE855">
        <f t="shared" si="128"/>
        <v>0</v>
      </c>
      <c r="AF855">
        <f t="shared" si="129"/>
        <v>3</v>
      </c>
      <c r="AG855">
        <f t="shared" si="130"/>
        <v>8</v>
      </c>
      <c r="AH855">
        <f t="shared" ca="1" si="131"/>
        <v>0</v>
      </c>
      <c r="AI855">
        <f>IF(ROW($AA855) - $AA$51 &lt; ($H$16+1)^5, IF(AG855 &gt;= BaseBonus!$C$16, AG855*BaseBonus!$E$31, 0), "")</f>
        <v>7.5124286503406372</v>
      </c>
      <c r="AJ855">
        <f t="shared" ca="1" si="132"/>
        <v>0</v>
      </c>
    </row>
    <row r="856" spans="28:36" x14ac:dyDescent="0.3">
      <c r="AB856">
        <f t="shared" si="125"/>
        <v>0</v>
      </c>
      <c r="AC856">
        <f t="shared" si="126"/>
        <v>1</v>
      </c>
      <c r="AD856">
        <f t="shared" si="127"/>
        <v>2</v>
      </c>
      <c r="AE856">
        <f t="shared" si="128"/>
        <v>0</v>
      </c>
      <c r="AF856">
        <f t="shared" si="129"/>
        <v>3</v>
      </c>
      <c r="AG856">
        <f t="shared" si="130"/>
        <v>6</v>
      </c>
      <c r="AH856">
        <f t="shared" ca="1" si="131"/>
        <v>0</v>
      </c>
      <c r="AI856">
        <f>IF(ROW($AA856) - $AA$51 &lt; ($H$16+1)^5, IF(AG856 &gt;= BaseBonus!$C$16, AG856*BaseBonus!$E$31, 0), "")</f>
        <v>5.6343214877554777</v>
      </c>
      <c r="AJ856">
        <f t="shared" ca="1" si="132"/>
        <v>0</v>
      </c>
    </row>
    <row r="857" spans="28:36" x14ac:dyDescent="0.3">
      <c r="AB857">
        <f t="shared" si="125"/>
        <v>1</v>
      </c>
      <c r="AC857">
        <f t="shared" si="126"/>
        <v>1</v>
      </c>
      <c r="AD857">
        <f t="shared" si="127"/>
        <v>2</v>
      </c>
      <c r="AE857">
        <f t="shared" si="128"/>
        <v>0</v>
      </c>
      <c r="AF857">
        <f t="shared" si="129"/>
        <v>3</v>
      </c>
      <c r="AG857">
        <f t="shared" si="130"/>
        <v>7</v>
      </c>
      <c r="AH857">
        <f t="shared" ca="1" si="131"/>
        <v>0</v>
      </c>
      <c r="AI857">
        <f>IF(ROW($AA857) - $AA$51 &lt; ($H$16+1)^5, IF(AG857 &gt;= BaseBonus!$C$16, AG857*BaseBonus!$E$31, 0), "")</f>
        <v>6.5733750690480575</v>
      </c>
      <c r="AJ857">
        <f t="shared" ca="1" si="132"/>
        <v>0</v>
      </c>
    </row>
    <row r="858" spans="28:36" x14ac:dyDescent="0.3">
      <c r="AB858">
        <f t="shared" si="125"/>
        <v>2</v>
      </c>
      <c r="AC858">
        <f t="shared" si="126"/>
        <v>1</v>
      </c>
      <c r="AD858">
        <f t="shared" si="127"/>
        <v>2</v>
      </c>
      <c r="AE858">
        <f t="shared" si="128"/>
        <v>0</v>
      </c>
      <c r="AF858">
        <f t="shared" si="129"/>
        <v>3</v>
      </c>
      <c r="AG858">
        <f t="shared" si="130"/>
        <v>8</v>
      </c>
      <c r="AH858">
        <f t="shared" ca="1" si="131"/>
        <v>0</v>
      </c>
      <c r="AI858">
        <f>IF(ROW($AA858) - $AA$51 &lt; ($H$16+1)^5, IF(AG858 &gt;= BaseBonus!$C$16, AG858*BaseBonus!$E$31, 0), "")</f>
        <v>7.5124286503406372</v>
      </c>
      <c r="AJ858">
        <f t="shared" ca="1" si="132"/>
        <v>0</v>
      </c>
    </row>
    <row r="859" spans="28:36" x14ac:dyDescent="0.3">
      <c r="AB859">
        <f t="shared" si="125"/>
        <v>3</v>
      </c>
      <c r="AC859">
        <f t="shared" si="126"/>
        <v>1</v>
      </c>
      <c r="AD859">
        <f t="shared" si="127"/>
        <v>2</v>
      </c>
      <c r="AE859">
        <f t="shared" si="128"/>
        <v>0</v>
      </c>
      <c r="AF859">
        <f t="shared" si="129"/>
        <v>3</v>
      </c>
      <c r="AG859">
        <f t="shared" si="130"/>
        <v>9</v>
      </c>
      <c r="AH859">
        <f t="shared" ca="1" si="131"/>
        <v>0</v>
      </c>
      <c r="AI859">
        <f>IF(ROW($AA859) - $AA$51 &lt; ($H$16+1)^5, IF(AG859 &gt;= BaseBonus!$C$16, AG859*BaseBonus!$E$31, 0), "")</f>
        <v>8.4514822316332161</v>
      </c>
      <c r="AJ859">
        <f t="shared" ca="1" si="132"/>
        <v>0</v>
      </c>
    </row>
    <row r="860" spans="28:36" x14ac:dyDescent="0.3">
      <c r="AB860">
        <f t="shared" si="125"/>
        <v>0</v>
      </c>
      <c r="AC860">
        <f t="shared" si="126"/>
        <v>2</v>
      </c>
      <c r="AD860">
        <f t="shared" si="127"/>
        <v>2</v>
      </c>
      <c r="AE860">
        <f t="shared" si="128"/>
        <v>0</v>
      </c>
      <c r="AF860">
        <f t="shared" si="129"/>
        <v>3</v>
      </c>
      <c r="AG860">
        <f t="shared" si="130"/>
        <v>7</v>
      </c>
      <c r="AH860">
        <f t="shared" ca="1" si="131"/>
        <v>0</v>
      </c>
      <c r="AI860">
        <f>IF(ROW($AA860) - $AA$51 &lt; ($H$16+1)^5, IF(AG860 &gt;= BaseBonus!$C$16, AG860*BaseBonus!$E$31, 0), "")</f>
        <v>6.5733750690480575</v>
      </c>
      <c r="AJ860">
        <f t="shared" ca="1" si="132"/>
        <v>0</v>
      </c>
    </row>
    <row r="861" spans="28:36" x14ac:dyDescent="0.3">
      <c r="AB861">
        <f t="shared" si="125"/>
        <v>1</v>
      </c>
      <c r="AC861">
        <f t="shared" si="126"/>
        <v>2</v>
      </c>
      <c r="AD861">
        <f t="shared" si="127"/>
        <v>2</v>
      </c>
      <c r="AE861">
        <f t="shared" si="128"/>
        <v>0</v>
      </c>
      <c r="AF861">
        <f t="shared" si="129"/>
        <v>3</v>
      </c>
      <c r="AG861">
        <f t="shared" si="130"/>
        <v>8</v>
      </c>
      <c r="AH861">
        <f t="shared" ca="1" si="131"/>
        <v>0</v>
      </c>
      <c r="AI861">
        <f>IF(ROW($AA861) - $AA$51 &lt; ($H$16+1)^5, IF(AG861 &gt;= BaseBonus!$C$16, AG861*BaseBonus!$E$31, 0), "")</f>
        <v>7.5124286503406372</v>
      </c>
      <c r="AJ861">
        <f t="shared" ca="1" si="132"/>
        <v>0</v>
      </c>
    </row>
    <row r="862" spans="28:36" x14ac:dyDescent="0.3">
      <c r="AB862">
        <f t="shared" si="125"/>
        <v>2</v>
      </c>
      <c r="AC862">
        <f t="shared" si="126"/>
        <v>2</v>
      </c>
      <c r="AD862">
        <f t="shared" si="127"/>
        <v>2</v>
      </c>
      <c r="AE862">
        <f t="shared" si="128"/>
        <v>0</v>
      </c>
      <c r="AF862">
        <f t="shared" si="129"/>
        <v>3</v>
      </c>
      <c r="AG862">
        <f t="shared" si="130"/>
        <v>9</v>
      </c>
      <c r="AH862">
        <f t="shared" ca="1" si="131"/>
        <v>0</v>
      </c>
      <c r="AI862">
        <f>IF(ROW($AA862) - $AA$51 &lt; ($H$16+1)^5, IF(AG862 &gt;= BaseBonus!$C$16, AG862*BaseBonus!$E$31, 0), "")</f>
        <v>8.4514822316332161</v>
      </c>
      <c r="AJ862">
        <f t="shared" ca="1" si="132"/>
        <v>0</v>
      </c>
    </row>
    <row r="863" spans="28:36" x14ac:dyDescent="0.3">
      <c r="AB863">
        <f t="shared" si="125"/>
        <v>3</v>
      </c>
      <c r="AC863">
        <f t="shared" si="126"/>
        <v>2</v>
      </c>
      <c r="AD863">
        <f t="shared" si="127"/>
        <v>2</v>
      </c>
      <c r="AE863">
        <f t="shared" si="128"/>
        <v>0</v>
      </c>
      <c r="AF863">
        <f t="shared" si="129"/>
        <v>3</v>
      </c>
      <c r="AG863">
        <f t="shared" si="130"/>
        <v>10</v>
      </c>
      <c r="AH863">
        <f t="shared" ca="1" si="131"/>
        <v>0</v>
      </c>
      <c r="AI863">
        <f>IF(ROW($AA863) - $AA$51 &lt; ($H$16+1)^5, IF(AG863 &gt;= BaseBonus!$C$16, AG863*BaseBonus!$E$31, 0), "")</f>
        <v>9.3905358129257959</v>
      </c>
      <c r="AJ863">
        <f t="shared" ca="1" si="132"/>
        <v>0</v>
      </c>
    </row>
    <row r="864" spans="28:36" x14ac:dyDescent="0.3">
      <c r="AB864">
        <f t="shared" si="125"/>
        <v>0</v>
      </c>
      <c r="AC864">
        <f t="shared" si="126"/>
        <v>3</v>
      </c>
      <c r="AD864">
        <f t="shared" si="127"/>
        <v>2</v>
      </c>
      <c r="AE864">
        <f t="shared" si="128"/>
        <v>0</v>
      </c>
      <c r="AF864">
        <f t="shared" si="129"/>
        <v>3</v>
      </c>
      <c r="AG864">
        <f t="shared" si="130"/>
        <v>8</v>
      </c>
      <c r="AH864">
        <f t="shared" ca="1" si="131"/>
        <v>0</v>
      </c>
      <c r="AI864">
        <f>IF(ROW($AA864) - $AA$51 &lt; ($H$16+1)^5, IF(AG864 &gt;= BaseBonus!$C$16, AG864*BaseBonus!$E$31, 0), "")</f>
        <v>7.5124286503406372</v>
      </c>
      <c r="AJ864">
        <f t="shared" ca="1" si="132"/>
        <v>0</v>
      </c>
    </row>
    <row r="865" spans="28:36" x14ac:dyDescent="0.3">
      <c r="AB865">
        <f t="shared" si="125"/>
        <v>1</v>
      </c>
      <c r="AC865">
        <f t="shared" si="126"/>
        <v>3</v>
      </c>
      <c r="AD865">
        <f t="shared" si="127"/>
        <v>2</v>
      </c>
      <c r="AE865">
        <f t="shared" si="128"/>
        <v>0</v>
      </c>
      <c r="AF865">
        <f t="shared" si="129"/>
        <v>3</v>
      </c>
      <c r="AG865">
        <f t="shared" si="130"/>
        <v>9</v>
      </c>
      <c r="AH865">
        <f t="shared" ca="1" si="131"/>
        <v>0</v>
      </c>
      <c r="AI865">
        <f>IF(ROW($AA865) - $AA$51 &lt; ($H$16+1)^5, IF(AG865 &gt;= BaseBonus!$C$16, AG865*BaseBonus!$E$31, 0), "")</f>
        <v>8.4514822316332161</v>
      </c>
      <c r="AJ865">
        <f t="shared" ca="1" si="132"/>
        <v>0</v>
      </c>
    </row>
    <row r="866" spans="28:36" x14ac:dyDescent="0.3">
      <c r="AB866">
        <f t="shared" si="125"/>
        <v>2</v>
      </c>
      <c r="AC866">
        <f t="shared" si="126"/>
        <v>3</v>
      </c>
      <c r="AD866">
        <f t="shared" si="127"/>
        <v>2</v>
      </c>
      <c r="AE866">
        <f t="shared" si="128"/>
        <v>0</v>
      </c>
      <c r="AF866">
        <f t="shared" si="129"/>
        <v>3</v>
      </c>
      <c r="AG866">
        <f t="shared" si="130"/>
        <v>10</v>
      </c>
      <c r="AH866">
        <f t="shared" ca="1" si="131"/>
        <v>0</v>
      </c>
      <c r="AI866">
        <f>IF(ROW($AA866) - $AA$51 &lt; ($H$16+1)^5, IF(AG866 &gt;= BaseBonus!$C$16, AG866*BaseBonus!$E$31, 0), "")</f>
        <v>9.3905358129257959</v>
      </c>
      <c r="AJ866">
        <f t="shared" ca="1" si="132"/>
        <v>0</v>
      </c>
    </row>
    <row r="867" spans="28:36" x14ac:dyDescent="0.3">
      <c r="AB867">
        <f t="shared" si="125"/>
        <v>3</v>
      </c>
      <c r="AC867">
        <f t="shared" si="126"/>
        <v>3</v>
      </c>
      <c r="AD867">
        <f t="shared" si="127"/>
        <v>2</v>
      </c>
      <c r="AE867">
        <f t="shared" si="128"/>
        <v>0</v>
      </c>
      <c r="AF867">
        <f t="shared" si="129"/>
        <v>3</v>
      </c>
      <c r="AG867">
        <f t="shared" si="130"/>
        <v>11</v>
      </c>
      <c r="AH867">
        <f t="shared" ca="1" si="131"/>
        <v>0</v>
      </c>
      <c r="AI867">
        <f>IF(ROW($AA867) - $AA$51 &lt; ($H$16+1)^5, IF(AG867 &gt;= BaseBonus!$C$16, AG867*BaseBonus!$E$31, 0), "")</f>
        <v>10.329589394218376</v>
      </c>
      <c r="AJ867">
        <f t="shared" ca="1" si="132"/>
        <v>0</v>
      </c>
    </row>
    <row r="868" spans="28:36" x14ac:dyDescent="0.3">
      <c r="AB868">
        <f t="shared" si="125"/>
        <v>0</v>
      </c>
      <c r="AC868">
        <f t="shared" si="126"/>
        <v>0</v>
      </c>
      <c r="AD868">
        <f t="shared" si="127"/>
        <v>3</v>
      </c>
      <c r="AE868">
        <f t="shared" si="128"/>
        <v>0</v>
      </c>
      <c r="AF868">
        <f t="shared" si="129"/>
        <v>3</v>
      </c>
      <c r="AG868">
        <f t="shared" si="130"/>
        <v>6</v>
      </c>
      <c r="AH868">
        <f t="shared" ca="1" si="131"/>
        <v>0</v>
      </c>
      <c r="AI868">
        <f>IF(ROW($AA868) - $AA$51 &lt; ($H$16+1)^5, IF(AG868 &gt;= BaseBonus!$C$16, AG868*BaseBonus!$E$31, 0), "")</f>
        <v>5.6343214877554777</v>
      </c>
      <c r="AJ868">
        <f t="shared" ca="1" si="132"/>
        <v>0</v>
      </c>
    </row>
    <row r="869" spans="28:36" x14ac:dyDescent="0.3">
      <c r="AB869">
        <f t="shared" si="125"/>
        <v>1</v>
      </c>
      <c r="AC869">
        <f t="shared" si="126"/>
        <v>0</v>
      </c>
      <c r="AD869">
        <f t="shared" si="127"/>
        <v>3</v>
      </c>
      <c r="AE869">
        <f t="shared" si="128"/>
        <v>0</v>
      </c>
      <c r="AF869">
        <f t="shared" si="129"/>
        <v>3</v>
      </c>
      <c r="AG869">
        <f t="shared" si="130"/>
        <v>7</v>
      </c>
      <c r="AH869">
        <f t="shared" ca="1" si="131"/>
        <v>0</v>
      </c>
      <c r="AI869">
        <f>IF(ROW($AA869) - $AA$51 &lt; ($H$16+1)^5, IF(AG869 &gt;= BaseBonus!$C$16, AG869*BaseBonus!$E$31, 0), "")</f>
        <v>6.5733750690480575</v>
      </c>
      <c r="AJ869">
        <f t="shared" ca="1" si="132"/>
        <v>0</v>
      </c>
    </row>
    <row r="870" spans="28:36" x14ac:dyDescent="0.3">
      <c r="AB870">
        <f t="shared" si="125"/>
        <v>2</v>
      </c>
      <c r="AC870">
        <f t="shared" si="126"/>
        <v>0</v>
      </c>
      <c r="AD870">
        <f t="shared" si="127"/>
        <v>3</v>
      </c>
      <c r="AE870">
        <f t="shared" si="128"/>
        <v>0</v>
      </c>
      <c r="AF870">
        <f t="shared" si="129"/>
        <v>3</v>
      </c>
      <c r="AG870">
        <f t="shared" si="130"/>
        <v>8</v>
      </c>
      <c r="AH870">
        <f t="shared" ca="1" si="131"/>
        <v>0</v>
      </c>
      <c r="AI870">
        <f>IF(ROW($AA870) - $AA$51 &lt; ($H$16+1)^5, IF(AG870 &gt;= BaseBonus!$C$16, AG870*BaseBonus!$E$31, 0), "")</f>
        <v>7.5124286503406372</v>
      </c>
      <c r="AJ870">
        <f t="shared" ca="1" si="132"/>
        <v>0</v>
      </c>
    </row>
    <row r="871" spans="28:36" x14ac:dyDescent="0.3">
      <c r="AB871">
        <f t="shared" si="125"/>
        <v>3</v>
      </c>
      <c r="AC871">
        <f t="shared" si="126"/>
        <v>0</v>
      </c>
      <c r="AD871">
        <f t="shared" si="127"/>
        <v>3</v>
      </c>
      <c r="AE871">
        <f t="shared" si="128"/>
        <v>0</v>
      </c>
      <c r="AF871">
        <f t="shared" si="129"/>
        <v>3</v>
      </c>
      <c r="AG871">
        <f t="shared" si="130"/>
        <v>9</v>
      </c>
      <c r="AH871">
        <f t="shared" ca="1" si="131"/>
        <v>0</v>
      </c>
      <c r="AI871">
        <f>IF(ROW($AA871) - $AA$51 &lt; ($H$16+1)^5, IF(AG871 &gt;= BaseBonus!$C$16, AG871*BaseBonus!$E$31, 0), "")</f>
        <v>8.4514822316332161</v>
      </c>
      <c r="AJ871">
        <f t="shared" ca="1" si="132"/>
        <v>0</v>
      </c>
    </row>
    <row r="872" spans="28:36" x14ac:dyDescent="0.3">
      <c r="AB872">
        <f t="shared" si="125"/>
        <v>0</v>
      </c>
      <c r="AC872">
        <f t="shared" si="126"/>
        <v>1</v>
      </c>
      <c r="AD872">
        <f t="shared" si="127"/>
        <v>3</v>
      </c>
      <c r="AE872">
        <f t="shared" si="128"/>
        <v>0</v>
      </c>
      <c r="AF872">
        <f t="shared" si="129"/>
        <v>3</v>
      </c>
      <c r="AG872">
        <f t="shared" si="130"/>
        <v>7</v>
      </c>
      <c r="AH872">
        <f t="shared" ca="1" si="131"/>
        <v>0</v>
      </c>
      <c r="AI872">
        <f>IF(ROW($AA872) - $AA$51 &lt; ($H$16+1)^5, IF(AG872 &gt;= BaseBonus!$C$16, AG872*BaseBonus!$E$31, 0), "")</f>
        <v>6.5733750690480575</v>
      </c>
      <c r="AJ872">
        <f t="shared" ca="1" si="132"/>
        <v>0</v>
      </c>
    </row>
    <row r="873" spans="28:36" x14ac:dyDescent="0.3">
      <c r="AB873">
        <f t="shared" si="125"/>
        <v>1</v>
      </c>
      <c r="AC873">
        <f t="shared" si="126"/>
        <v>1</v>
      </c>
      <c r="AD873">
        <f t="shared" si="127"/>
        <v>3</v>
      </c>
      <c r="AE873">
        <f t="shared" si="128"/>
        <v>0</v>
      </c>
      <c r="AF873">
        <f t="shared" si="129"/>
        <v>3</v>
      </c>
      <c r="AG873">
        <f t="shared" si="130"/>
        <v>8</v>
      </c>
      <c r="AH873">
        <f t="shared" ca="1" si="131"/>
        <v>0</v>
      </c>
      <c r="AI873">
        <f>IF(ROW($AA873) - $AA$51 &lt; ($H$16+1)^5, IF(AG873 &gt;= BaseBonus!$C$16, AG873*BaseBonus!$E$31, 0), "")</f>
        <v>7.5124286503406372</v>
      </c>
      <c r="AJ873">
        <f t="shared" ca="1" si="132"/>
        <v>0</v>
      </c>
    </row>
    <row r="874" spans="28:36" x14ac:dyDescent="0.3">
      <c r="AB874">
        <f t="shared" si="125"/>
        <v>2</v>
      </c>
      <c r="AC874">
        <f t="shared" si="126"/>
        <v>1</v>
      </c>
      <c r="AD874">
        <f t="shared" si="127"/>
        <v>3</v>
      </c>
      <c r="AE874">
        <f t="shared" si="128"/>
        <v>0</v>
      </c>
      <c r="AF874">
        <f t="shared" si="129"/>
        <v>3</v>
      </c>
      <c r="AG874">
        <f t="shared" si="130"/>
        <v>9</v>
      </c>
      <c r="AH874">
        <f t="shared" ca="1" si="131"/>
        <v>0</v>
      </c>
      <c r="AI874">
        <f>IF(ROW($AA874) - $AA$51 &lt; ($H$16+1)^5, IF(AG874 &gt;= BaseBonus!$C$16, AG874*BaseBonus!$E$31, 0), "")</f>
        <v>8.4514822316332161</v>
      </c>
      <c r="AJ874">
        <f t="shared" ca="1" si="132"/>
        <v>0</v>
      </c>
    </row>
    <row r="875" spans="28:36" x14ac:dyDescent="0.3">
      <c r="AB875">
        <f t="shared" si="125"/>
        <v>3</v>
      </c>
      <c r="AC875">
        <f t="shared" si="126"/>
        <v>1</v>
      </c>
      <c r="AD875">
        <f t="shared" si="127"/>
        <v>3</v>
      </c>
      <c r="AE875">
        <f t="shared" si="128"/>
        <v>0</v>
      </c>
      <c r="AF875">
        <f t="shared" si="129"/>
        <v>3</v>
      </c>
      <c r="AG875">
        <f t="shared" si="130"/>
        <v>10</v>
      </c>
      <c r="AH875">
        <f t="shared" ca="1" si="131"/>
        <v>0</v>
      </c>
      <c r="AI875">
        <f>IF(ROW($AA875) - $AA$51 &lt; ($H$16+1)^5, IF(AG875 &gt;= BaseBonus!$C$16, AG875*BaseBonus!$E$31, 0), "")</f>
        <v>9.3905358129257959</v>
      </c>
      <c r="AJ875">
        <f t="shared" ca="1" si="132"/>
        <v>0</v>
      </c>
    </row>
    <row r="876" spans="28:36" x14ac:dyDescent="0.3">
      <c r="AB876">
        <f t="shared" si="125"/>
        <v>0</v>
      </c>
      <c r="AC876">
        <f t="shared" si="126"/>
        <v>2</v>
      </c>
      <c r="AD876">
        <f t="shared" si="127"/>
        <v>3</v>
      </c>
      <c r="AE876">
        <f t="shared" si="128"/>
        <v>0</v>
      </c>
      <c r="AF876">
        <f t="shared" si="129"/>
        <v>3</v>
      </c>
      <c r="AG876">
        <f t="shared" si="130"/>
        <v>8</v>
      </c>
      <c r="AH876">
        <f t="shared" ca="1" si="131"/>
        <v>0</v>
      </c>
      <c r="AI876">
        <f>IF(ROW($AA876) - $AA$51 &lt; ($H$16+1)^5, IF(AG876 &gt;= BaseBonus!$C$16, AG876*BaseBonus!$E$31, 0), "")</f>
        <v>7.5124286503406372</v>
      </c>
      <c r="AJ876">
        <f t="shared" ca="1" si="132"/>
        <v>0</v>
      </c>
    </row>
    <row r="877" spans="28:36" x14ac:dyDescent="0.3">
      <c r="AB877">
        <f t="shared" si="125"/>
        <v>1</v>
      </c>
      <c r="AC877">
        <f t="shared" si="126"/>
        <v>2</v>
      </c>
      <c r="AD877">
        <f t="shared" si="127"/>
        <v>3</v>
      </c>
      <c r="AE877">
        <f t="shared" si="128"/>
        <v>0</v>
      </c>
      <c r="AF877">
        <f t="shared" si="129"/>
        <v>3</v>
      </c>
      <c r="AG877">
        <f t="shared" si="130"/>
        <v>9</v>
      </c>
      <c r="AH877">
        <f t="shared" ca="1" si="131"/>
        <v>0</v>
      </c>
      <c r="AI877">
        <f>IF(ROW($AA877) - $AA$51 &lt; ($H$16+1)^5, IF(AG877 &gt;= BaseBonus!$C$16, AG877*BaseBonus!$E$31, 0), "")</f>
        <v>8.4514822316332161</v>
      </c>
      <c r="AJ877">
        <f t="shared" ca="1" si="132"/>
        <v>0</v>
      </c>
    </row>
    <row r="878" spans="28:36" x14ac:dyDescent="0.3">
      <c r="AB878">
        <f t="shared" si="125"/>
        <v>2</v>
      </c>
      <c r="AC878">
        <f t="shared" si="126"/>
        <v>2</v>
      </c>
      <c r="AD878">
        <f t="shared" si="127"/>
        <v>3</v>
      </c>
      <c r="AE878">
        <f t="shared" si="128"/>
        <v>0</v>
      </c>
      <c r="AF878">
        <f t="shared" si="129"/>
        <v>3</v>
      </c>
      <c r="AG878">
        <f t="shared" si="130"/>
        <v>10</v>
      </c>
      <c r="AH878">
        <f t="shared" ca="1" si="131"/>
        <v>0</v>
      </c>
      <c r="AI878">
        <f>IF(ROW($AA878) - $AA$51 &lt; ($H$16+1)^5, IF(AG878 &gt;= BaseBonus!$C$16, AG878*BaseBonus!$E$31, 0), "")</f>
        <v>9.3905358129257959</v>
      </c>
      <c r="AJ878">
        <f t="shared" ca="1" si="132"/>
        <v>0</v>
      </c>
    </row>
    <row r="879" spans="28:36" x14ac:dyDescent="0.3">
      <c r="AB879">
        <f t="shared" si="125"/>
        <v>3</v>
      </c>
      <c r="AC879">
        <f t="shared" si="126"/>
        <v>2</v>
      </c>
      <c r="AD879">
        <f t="shared" si="127"/>
        <v>3</v>
      </c>
      <c r="AE879">
        <f t="shared" si="128"/>
        <v>0</v>
      </c>
      <c r="AF879">
        <f t="shared" si="129"/>
        <v>3</v>
      </c>
      <c r="AG879">
        <f t="shared" si="130"/>
        <v>11</v>
      </c>
      <c r="AH879">
        <f t="shared" ca="1" si="131"/>
        <v>0</v>
      </c>
      <c r="AI879">
        <f>IF(ROW($AA879) - $AA$51 &lt; ($H$16+1)^5, IF(AG879 &gt;= BaseBonus!$C$16, AG879*BaseBonus!$E$31, 0), "")</f>
        <v>10.329589394218376</v>
      </c>
      <c r="AJ879">
        <f t="shared" ca="1" si="132"/>
        <v>0</v>
      </c>
    </row>
    <row r="880" spans="28:36" x14ac:dyDescent="0.3">
      <c r="AB880">
        <f t="shared" si="125"/>
        <v>0</v>
      </c>
      <c r="AC880">
        <f t="shared" si="126"/>
        <v>3</v>
      </c>
      <c r="AD880">
        <f t="shared" si="127"/>
        <v>3</v>
      </c>
      <c r="AE880">
        <f t="shared" si="128"/>
        <v>0</v>
      </c>
      <c r="AF880">
        <f t="shared" si="129"/>
        <v>3</v>
      </c>
      <c r="AG880">
        <f t="shared" si="130"/>
        <v>9</v>
      </c>
      <c r="AH880">
        <f t="shared" ca="1" si="131"/>
        <v>0</v>
      </c>
      <c r="AI880">
        <f>IF(ROW($AA880) - $AA$51 &lt; ($H$16+1)^5, IF(AG880 &gt;= BaseBonus!$C$16, AG880*BaseBonus!$E$31, 0), "")</f>
        <v>8.4514822316332161</v>
      </c>
      <c r="AJ880">
        <f t="shared" ca="1" si="132"/>
        <v>0</v>
      </c>
    </row>
    <row r="881" spans="28:36" x14ac:dyDescent="0.3">
      <c r="AB881">
        <f t="shared" si="125"/>
        <v>1</v>
      </c>
      <c r="AC881">
        <f t="shared" si="126"/>
        <v>3</v>
      </c>
      <c r="AD881">
        <f t="shared" si="127"/>
        <v>3</v>
      </c>
      <c r="AE881">
        <f t="shared" si="128"/>
        <v>0</v>
      </c>
      <c r="AF881">
        <f t="shared" si="129"/>
        <v>3</v>
      </c>
      <c r="AG881">
        <f t="shared" si="130"/>
        <v>10</v>
      </c>
      <c r="AH881">
        <f t="shared" ca="1" si="131"/>
        <v>0</v>
      </c>
      <c r="AI881">
        <f>IF(ROW($AA881) - $AA$51 &lt; ($H$16+1)^5, IF(AG881 &gt;= BaseBonus!$C$16, AG881*BaseBonus!$E$31, 0), "")</f>
        <v>9.3905358129257959</v>
      </c>
      <c r="AJ881">
        <f t="shared" ca="1" si="132"/>
        <v>0</v>
      </c>
    </row>
    <row r="882" spans="28:36" x14ac:dyDescent="0.3">
      <c r="AB882">
        <f t="shared" si="125"/>
        <v>2</v>
      </c>
      <c r="AC882">
        <f t="shared" si="126"/>
        <v>3</v>
      </c>
      <c r="AD882">
        <f t="shared" si="127"/>
        <v>3</v>
      </c>
      <c r="AE882">
        <f t="shared" si="128"/>
        <v>0</v>
      </c>
      <c r="AF882">
        <f t="shared" si="129"/>
        <v>3</v>
      </c>
      <c r="AG882">
        <f t="shared" si="130"/>
        <v>11</v>
      </c>
      <c r="AH882">
        <f t="shared" ca="1" si="131"/>
        <v>0</v>
      </c>
      <c r="AI882">
        <f>IF(ROW($AA882) - $AA$51 &lt; ($H$16+1)^5, IF(AG882 &gt;= BaseBonus!$C$16, AG882*BaseBonus!$E$31, 0), "")</f>
        <v>10.329589394218376</v>
      </c>
      <c r="AJ882">
        <f t="shared" ca="1" si="132"/>
        <v>0</v>
      </c>
    </row>
    <row r="883" spans="28:36" x14ac:dyDescent="0.3">
      <c r="AB883">
        <f t="shared" si="125"/>
        <v>3</v>
      </c>
      <c r="AC883">
        <f t="shared" si="126"/>
        <v>3</v>
      </c>
      <c r="AD883">
        <f t="shared" si="127"/>
        <v>3</v>
      </c>
      <c r="AE883">
        <f t="shared" si="128"/>
        <v>0</v>
      </c>
      <c r="AF883">
        <f t="shared" si="129"/>
        <v>3</v>
      </c>
      <c r="AG883">
        <f t="shared" si="130"/>
        <v>12</v>
      </c>
      <c r="AH883">
        <f t="shared" ca="1" si="131"/>
        <v>0</v>
      </c>
      <c r="AI883">
        <f>IF(ROW($AA883) - $AA$51 &lt; ($H$16+1)^5, IF(AG883 &gt;= BaseBonus!$C$16, AG883*BaseBonus!$E$31, 0), "")</f>
        <v>11.268642975510955</v>
      </c>
      <c r="AJ883">
        <f t="shared" ca="1" si="132"/>
        <v>0</v>
      </c>
    </row>
    <row r="884" spans="28:36" x14ac:dyDescent="0.3">
      <c r="AB884">
        <f t="shared" ref="AB884:AB947" si="133">IF(ROW()-$AA$51 &lt; (H$16+1)^5, MOD(_xlfn.FLOOR.MATH((ROW()-$AA$51)/AB$50), H$16+1), "")</f>
        <v>0</v>
      </c>
      <c r="AC884">
        <f t="shared" ref="AC884:AC947" si="134">IF(ROW()-$AA$51 &lt; (I$16+1)^5, MOD(_xlfn.FLOOR.MATH((ROW()-$AA$51)/AC$50), I$16+1), "")</f>
        <v>0</v>
      </c>
      <c r="AD884">
        <f t="shared" ref="AD884:AD947" si="135">IF(ROW()-$AA$51 &lt; (J$16+1)^5, MOD(_xlfn.FLOOR.MATH((ROW()-$AA$51)/AD$50), J$16+1), "")</f>
        <v>0</v>
      </c>
      <c r="AE884">
        <f t="shared" ref="AE884:AE947" si="136">IF(ROW()-$AA$51 &lt; (K$16+1)^5, MOD(_xlfn.FLOOR.MATH((ROW()-$AA$51)/AE$50), K$16+1), "")</f>
        <v>1</v>
      </c>
      <c r="AF884">
        <f t="shared" ref="AF884:AF947" si="137">IF(ROW()-$AA$51 &lt; (L$16+1)^5, MOD(_xlfn.FLOOR.MATH((ROW()-$AA$51)/AF$50), L$16+1), "")</f>
        <v>3</v>
      </c>
      <c r="AG884">
        <f t="shared" ref="AG884:AG947" si="138">IF(ROW($AA884) - $AA$51 &lt; ($H$16+1)^5, SUM(AB884:AF884), "")</f>
        <v>4</v>
      </c>
      <c r="AH884">
        <f t="shared" ref="AH884:AH947" ca="1" si="139">IF(ROW($AA884) - $AA$51 &lt; (4)^5,
    (_xlfn.XLOOKUP(AB884,$T$51:$T$55,U$51:U$55,0)/U$27) * (_xlfn.XLOOKUP(AC884,$T$51:$T$55,V$51:V$55,0)/V$27) * (_xlfn.XLOOKUP(AD884,$T$51:$T$55,W$51:W$55,0)/W$27) * (_xlfn.XLOOKUP(AE884,$T$51:$T$55,X$51:X$55,0)/X$27) * (_xlfn.XLOOKUP(AF884,$T$51:$T$55,Y$51:Y$55,0)/Y$27),
"")</f>
        <v>0</v>
      </c>
      <c r="AI884">
        <f>IF(ROW($AA884) - $AA$51 &lt; ($H$16+1)^5, IF(AG884 &gt;= BaseBonus!$C$16, AG884*BaseBonus!$E$31, 0), "")</f>
        <v>0</v>
      </c>
      <c r="AJ884">
        <f t="shared" ref="AJ884:AJ947" ca="1" si="140">IF(ROW($AA884) - $AA$51 &lt; ($H$16+1)^5, AH884*AI884, "")</f>
        <v>0</v>
      </c>
    </row>
    <row r="885" spans="28:36" x14ac:dyDescent="0.3">
      <c r="AB885">
        <f t="shared" si="133"/>
        <v>1</v>
      </c>
      <c r="AC885">
        <f t="shared" si="134"/>
        <v>0</v>
      </c>
      <c r="AD885">
        <f t="shared" si="135"/>
        <v>0</v>
      </c>
      <c r="AE885">
        <f t="shared" si="136"/>
        <v>1</v>
      </c>
      <c r="AF885">
        <f t="shared" si="137"/>
        <v>3</v>
      </c>
      <c r="AG885">
        <f t="shared" si="138"/>
        <v>5</v>
      </c>
      <c r="AH885">
        <f t="shared" ca="1" si="139"/>
        <v>0</v>
      </c>
      <c r="AI885">
        <f>IF(ROW($AA885) - $AA$51 &lt; ($H$16+1)^5, IF(AG885 &gt;= BaseBonus!$C$16, AG885*BaseBonus!$E$31, 0), "")</f>
        <v>4.6952679064628979</v>
      </c>
      <c r="AJ885">
        <f t="shared" ca="1" si="140"/>
        <v>0</v>
      </c>
    </row>
    <row r="886" spans="28:36" x14ac:dyDescent="0.3">
      <c r="AB886">
        <f t="shared" si="133"/>
        <v>2</v>
      </c>
      <c r="AC886">
        <f t="shared" si="134"/>
        <v>0</v>
      </c>
      <c r="AD886">
        <f t="shared" si="135"/>
        <v>0</v>
      </c>
      <c r="AE886">
        <f t="shared" si="136"/>
        <v>1</v>
      </c>
      <c r="AF886">
        <f t="shared" si="137"/>
        <v>3</v>
      </c>
      <c r="AG886">
        <f t="shared" si="138"/>
        <v>6</v>
      </c>
      <c r="AH886">
        <f t="shared" ca="1" si="139"/>
        <v>0</v>
      </c>
      <c r="AI886">
        <f>IF(ROW($AA886) - $AA$51 &lt; ($H$16+1)^5, IF(AG886 &gt;= BaseBonus!$C$16, AG886*BaseBonus!$E$31, 0), "")</f>
        <v>5.6343214877554777</v>
      </c>
      <c r="AJ886">
        <f t="shared" ca="1" si="140"/>
        <v>0</v>
      </c>
    </row>
    <row r="887" spans="28:36" x14ac:dyDescent="0.3">
      <c r="AB887">
        <f t="shared" si="133"/>
        <v>3</v>
      </c>
      <c r="AC887">
        <f t="shared" si="134"/>
        <v>0</v>
      </c>
      <c r="AD887">
        <f t="shared" si="135"/>
        <v>0</v>
      </c>
      <c r="AE887">
        <f t="shared" si="136"/>
        <v>1</v>
      </c>
      <c r="AF887">
        <f t="shared" si="137"/>
        <v>3</v>
      </c>
      <c r="AG887">
        <f t="shared" si="138"/>
        <v>7</v>
      </c>
      <c r="AH887">
        <f t="shared" ca="1" si="139"/>
        <v>0</v>
      </c>
      <c r="AI887">
        <f>IF(ROW($AA887) - $AA$51 &lt; ($H$16+1)^5, IF(AG887 &gt;= BaseBonus!$C$16, AG887*BaseBonus!$E$31, 0), "")</f>
        <v>6.5733750690480575</v>
      </c>
      <c r="AJ887">
        <f t="shared" ca="1" si="140"/>
        <v>0</v>
      </c>
    </row>
    <row r="888" spans="28:36" x14ac:dyDescent="0.3">
      <c r="AB888">
        <f t="shared" si="133"/>
        <v>0</v>
      </c>
      <c r="AC888">
        <f t="shared" si="134"/>
        <v>1</v>
      </c>
      <c r="AD888">
        <f t="shared" si="135"/>
        <v>0</v>
      </c>
      <c r="AE888">
        <f t="shared" si="136"/>
        <v>1</v>
      </c>
      <c r="AF888">
        <f t="shared" si="137"/>
        <v>3</v>
      </c>
      <c r="AG888">
        <f t="shared" si="138"/>
        <v>5</v>
      </c>
      <c r="AH888">
        <f t="shared" ca="1" si="139"/>
        <v>0</v>
      </c>
      <c r="AI888">
        <f>IF(ROW($AA888) - $AA$51 &lt; ($H$16+1)^5, IF(AG888 &gt;= BaseBonus!$C$16, AG888*BaseBonus!$E$31, 0), "")</f>
        <v>4.6952679064628979</v>
      </c>
      <c r="AJ888">
        <f t="shared" ca="1" si="140"/>
        <v>0</v>
      </c>
    </row>
    <row r="889" spans="28:36" x14ac:dyDescent="0.3">
      <c r="AB889">
        <f t="shared" si="133"/>
        <v>1</v>
      </c>
      <c r="AC889">
        <f t="shared" si="134"/>
        <v>1</v>
      </c>
      <c r="AD889">
        <f t="shared" si="135"/>
        <v>0</v>
      </c>
      <c r="AE889">
        <f t="shared" si="136"/>
        <v>1</v>
      </c>
      <c r="AF889">
        <f t="shared" si="137"/>
        <v>3</v>
      </c>
      <c r="AG889">
        <f t="shared" si="138"/>
        <v>6</v>
      </c>
      <c r="AH889">
        <f t="shared" ca="1" si="139"/>
        <v>0</v>
      </c>
      <c r="AI889">
        <f>IF(ROW($AA889) - $AA$51 &lt; ($H$16+1)^5, IF(AG889 &gt;= BaseBonus!$C$16, AG889*BaseBonus!$E$31, 0), "")</f>
        <v>5.6343214877554777</v>
      </c>
      <c r="AJ889">
        <f t="shared" ca="1" si="140"/>
        <v>0</v>
      </c>
    </row>
    <row r="890" spans="28:36" x14ac:dyDescent="0.3">
      <c r="AB890">
        <f t="shared" si="133"/>
        <v>2</v>
      </c>
      <c r="AC890">
        <f t="shared" si="134"/>
        <v>1</v>
      </c>
      <c r="AD890">
        <f t="shared" si="135"/>
        <v>0</v>
      </c>
      <c r="AE890">
        <f t="shared" si="136"/>
        <v>1</v>
      </c>
      <c r="AF890">
        <f t="shared" si="137"/>
        <v>3</v>
      </c>
      <c r="AG890">
        <f t="shared" si="138"/>
        <v>7</v>
      </c>
      <c r="AH890">
        <f t="shared" ca="1" si="139"/>
        <v>0</v>
      </c>
      <c r="AI890">
        <f>IF(ROW($AA890) - $AA$51 &lt; ($H$16+1)^5, IF(AG890 &gt;= BaseBonus!$C$16, AG890*BaseBonus!$E$31, 0), "")</f>
        <v>6.5733750690480575</v>
      </c>
      <c r="AJ890">
        <f t="shared" ca="1" si="140"/>
        <v>0</v>
      </c>
    </row>
    <row r="891" spans="28:36" x14ac:dyDescent="0.3">
      <c r="AB891">
        <f t="shared" si="133"/>
        <v>3</v>
      </c>
      <c r="AC891">
        <f t="shared" si="134"/>
        <v>1</v>
      </c>
      <c r="AD891">
        <f t="shared" si="135"/>
        <v>0</v>
      </c>
      <c r="AE891">
        <f t="shared" si="136"/>
        <v>1</v>
      </c>
      <c r="AF891">
        <f t="shared" si="137"/>
        <v>3</v>
      </c>
      <c r="AG891">
        <f t="shared" si="138"/>
        <v>8</v>
      </c>
      <c r="AH891">
        <f t="shared" ca="1" si="139"/>
        <v>0</v>
      </c>
      <c r="AI891">
        <f>IF(ROW($AA891) - $AA$51 &lt; ($H$16+1)^5, IF(AG891 &gt;= BaseBonus!$C$16, AG891*BaseBonus!$E$31, 0), "")</f>
        <v>7.5124286503406372</v>
      </c>
      <c r="AJ891">
        <f t="shared" ca="1" si="140"/>
        <v>0</v>
      </c>
    </row>
    <row r="892" spans="28:36" x14ac:dyDescent="0.3">
      <c r="AB892">
        <f t="shared" si="133"/>
        <v>0</v>
      </c>
      <c r="AC892">
        <f t="shared" si="134"/>
        <v>2</v>
      </c>
      <c r="AD892">
        <f t="shared" si="135"/>
        <v>0</v>
      </c>
      <c r="AE892">
        <f t="shared" si="136"/>
        <v>1</v>
      </c>
      <c r="AF892">
        <f t="shared" si="137"/>
        <v>3</v>
      </c>
      <c r="AG892">
        <f t="shared" si="138"/>
        <v>6</v>
      </c>
      <c r="AH892">
        <f t="shared" ca="1" si="139"/>
        <v>0</v>
      </c>
      <c r="AI892">
        <f>IF(ROW($AA892) - $AA$51 &lt; ($H$16+1)^5, IF(AG892 &gt;= BaseBonus!$C$16, AG892*BaseBonus!$E$31, 0), "")</f>
        <v>5.6343214877554777</v>
      </c>
      <c r="AJ892">
        <f t="shared" ca="1" si="140"/>
        <v>0</v>
      </c>
    </row>
    <row r="893" spans="28:36" x14ac:dyDescent="0.3">
      <c r="AB893">
        <f t="shared" si="133"/>
        <v>1</v>
      </c>
      <c r="AC893">
        <f t="shared" si="134"/>
        <v>2</v>
      </c>
      <c r="AD893">
        <f t="shared" si="135"/>
        <v>0</v>
      </c>
      <c r="AE893">
        <f t="shared" si="136"/>
        <v>1</v>
      </c>
      <c r="AF893">
        <f t="shared" si="137"/>
        <v>3</v>
      </c>
      <c r="AG893">
        <f t="shared" si="138"/>
        <v>7</v>
      </c>
      <c r="AH893">
        <f t="shared" ca="1" si="139"/>
        <v>0</v>
      </c>
      <c r="AI893">
        <f>IF(ROW($AA893) - $AA$51 &lt; ($H$16+1)^5, IF(AG893 &gt;= BaseBonus!$C$16, AG893*BaseBonus!$E$31, 0), "")</f>
        <v>6.5733750690480575</v>
      </c>
      <c r="AJ893">
        <f t="shared" ca="1" si="140"/>
        <v>0</v>
      </c>
    </row>
    <row r="894" spans="28:36" x14ac:dyDescent="0.3">
      <c r="AB894">
        <f t="shared" si="133"/>
        <v>2</v>
      </c>
      <c r="AC894">
        <f t="shared" si="134"/>
        <v>2</v>
      </c>
      <c r="AD894">
        <f t="shared" si="135"/>
        <v>0</v>
      </c>
      <c r="AE894">
        <f t="shared" si="136"/>
        <v>1</v>
      </c>
      <c r="AF894">
        <f t="shared" si="137"/>
        <v>3</v>
      </c>
      <c r="AG894">
        <f t="shared" si="138"/>
        <v>8</v>
      </c>
      <c r="AH894">
        <f t="shared" ca="1" si="139"/>
        <v>0</v>
      </c>
      <c r="AI894">
        <f>IF(ROW($AA894) - $AA$51 &lt; ($H$16+1)^5, IF(AG894 &gt;= BaseBonus!$C$16, AG894*BaseBonus!$E$31, 0), "")</f>
        <v>7.5124286503406372</v>
      </c>
      <c r="AJ894">
        <f t="shared" ca="1" si="140"/>
        <v>0</v>
      </c>
    </row>
    <row r="895" spans="28:36" x14ac:dyDescent="0.3">
      <c r="AB895">
        <f t="shared" si="133"/>
        <v>3</v>
      </c>
      <c r="AC895">
        <f t="shared" si="134"/>
        <v>2</v>
      </c>
      <c r="AD895">
        <f t="shared" si="135"/>
        <v>0</v>
      </c>
      <c r="AE895">
        <f t="shared" si="136"/>
        <v>1</v>
      </c>
      <c r="AF895">
        <f t="shared" si="137"/>
        <v>3</v>
      </c>
      <c r="AG895">
        <f t="shared" si="138"/>
        <v>9</v>
      </c>
      <c r="AH895">
        <f t="shared" ca="1" si="139"/>
        <v>0</v>
      </c>
      <c r="AI895">
        <f>IF(ROW($AA895) - $AA$51 &lt; ($H$16+1)^5, IF(AG895 &gt;= BaseBonus!$C$16, AG895*BaseBonus!$E$31, 0), "")</f>
        <v>8.4514822316332161</v>
      </c>
      <c r="AJ895">
        <f t="shared" ca="1" si="140"/>
        <v>0</v>
      </c>
    </row>
    <row r="896" spans="28:36" x14ac:dyDescent="0.3">
      <c r="AB896">
        <f t="shared" si="133"/>
        <v>0</v>
      </c>
      <c r="AC896">
        <f t="shared" si="134"/>
        <v>3</v>
      </c>
      <c r="AD896">
        <f t="shared" si="135"/>
        <v>0</v>
      </c>
      <c r="AE896">
        <f t="shared" si="136"/>
        <v>1</v>
      </c>
      <c r="AF896">
        <f t="shared" si="137"/>
        <v>3</v>
      </c>
      <c r="AG896">
        <f t="shared" si="138"/>
        <v>7</v>
      </c>
      <c r="AH896">
        <f t="shared" ca="1" si="139"/>
        <v>0</v>
      </c>
      <c r="AI896">
        <f>IF(ROW($AA896) - $AA$51 &lt; ($H$16+1)^5, IF(AG896 &gt;= BaseBonus!$C$16, AG896*BaseBonus!$E$31, 0), "")</f>
        <v>6.5733750690480575</v>
      </c>
      <c r="AJ896">
        <f t="shared" ca="1" si="140"/>
        <v>0</v>
      </c>
    </row>
    <row r="897" spans="28:36" x14ac:dyDescent="0.3">
      <c r="AB897">
        <f t="shared" si="133"/>
        <v>1</v>
      </c>
      <c r="AC897">
        <f t="shared" si="134"/>
        <v>3</v>
      </c>
      <c r="AD897">
        <f t="shared" si="135"/>
        <v>0</v>
      </c>
      <c r="AE897">
        <f t="shared" si="136"/>
        <v>1</v>
      </c>
      <c r="AF897">
        <f t="shared" si="137"/>
        <v>3</v>
      </c>
      <c r="AG897">
        <f t="shared" si="138"/>
        <v>8</v>
      </c>
      <c r="AH897">
        <f t="shared" ca="1" si="139"/>
        <v>0</v>
      </c>
      <c r="AI897">
        <f>IF(ROW($AA897) - $AA$51 &lt; ($H$16+1)^5, IF(AG897 &gt;= BaseBonus!$C$16, AG897*BaseBonus!$E$31, 0), "")</f>
        <v>7.5124286503406372</v>
      </c>
      <c r="AJ897">
        <f t="shared" ca="1" si="140"/>
        <v>0</v>
      </c>
    </row>
    <row r="898" spans="28:36" x14ac:dyDescent="0.3">
      <c r="AB898">
        <f t="shared" si="133"/>
        <v>2</v>
      </c>
      <c r="AC898">
        <f t="shared" si="134"/>
        <v>3</v>
      </c>
      <c r="AD898">
        <f t="shared" si="135"/>
        <v>0</v>
      </c>
      <c r="AE898">
        <f t="shared" si="136"/>
        <v>1</v>
      </c>
      <c r="AF898">
        <f t="shared" si="137"/>
        <v>3</v>
      </c>
      <c r="AG898">
        <f t="shared" si="138"/>
        <v>9</v>
      </c>
      <c r="AH898">
        <f t="shared" ca="1" si="139"/>
        <v>0</v>
      </c>
      <c r="AI898">
        <f>IF(ROW($AA898) - $AA$51 &lt; ($H$16+1)^5, IF(AG898 &gt;= BaseBonus!$C$16, AG898*BaseBonus!$E$31, 0), "")</f>
        <v>8.4514822316332161</v>
      </c>
      <c r="AJ898">
        <f t="shared" ca="1" si="140"/>
        <v>0</v>
      </c>
    </row>
    <row r="899" spans="28:36" x14ac:dyDescent="0.3">
      <c r="AB899">
        <f t="shared" si="133"/>
        <v>3</v>
      </c>
      <c r="AC899">
        <f t="shared" si="134"/>
        <v>3</v>
      </c>
      <c r="AD899">
        <f t="shared" si="135"/>
        <v>0</v>
      </c>
      <c r="AE899">
        <f t="shared" si="136"/>
        <v>1</v>
      </c>
      <c r="AF899">
        <f t="shared" si="137"/>
        <v>3</v>
      </c>
      <c r="AG899">
        <f t="shared" si="138"/>
        <v>10</v>
      </c>
      <c r="AH899">
        <f t="shared" ca="1" si="139"/>
        <v>0</v>
      </c>
      <c r="AI899">
        <f>IF(ROW($AA899) - $AA$51 &lt; ($H$16+1)^5, IF(AG899 &gt;= BaseBonus!$C$16, AG899*BaseBonus!$E$31, 0), "")</f>
        <v>9.3905358129257959</v>
      </c>
      <c r="AJ899">
        <f t="shared" ca="1" si="140"/>
        <v>0</v>
      </c>
    </row>
    <row r="900" spans="28:36" x14ac:dyDescent="0.3">
      <c r="AB900">
        <f t="shared" si="133"/>
        <v>0</v>
      </c>
      <c r="AC900">
        <f t="shared" si="134"/>
        <v>0</v>
      </c>
      <c r="AD900">
        <f t="shared" si="135"/>
        <v>1</v>
      </c>
      <c r="AE900">
        <f t="shared" si="136"/>
        <v>1</v>
      </c>
      <c r="AF900">
        <f t="shared" si="137"/>
        <v>3</v>
      </c>
      <c r="AG900">
        <f t="shared" si="138"/>
        <v>5</v>
      </c>
      <c r="AH900">
        <f t="shared" ca="1" si="139"/>
        <v>0</v>
      </c>
      <c r="AI900">
        <f>IF(ROW($AA900) - $AA$51 &lt; ($H$16+1)^5, IF(AG900 &gt;= BaseBonus!$C$16, AG900*BaseBonus!$E$31, 0), "")</f>
        <v>4.6952679064628979</v>
      </c>
      <c r="AJ900">
        <f t="shared" ca="1" si="140"/>
        <v>0</v>
      </c>
    </row>
    <row r="901" spans="28:36" x14ac:dyDescent="0.3">
      <c r="AB901">
        <f t="shared" si="133"/>
        <v>1</v>
      </c>
      <c r="AC901">
        <f t="shared" si="134"/>
        <v>0</v>
      </c>
      <c r="AD901">
        <f t="shared" si="135"/>
        <v>1</v>
      </c>
      <c r="AE901">
        <f t="shared" si="136"/>
        <v>1</v>
      </c>
      <c r="AF901">
        <f t="shared" si="137"/>
        <v>3</v>
      </c>
      <c r="AG901">
        <f t="shared" si="138"/>
        <v>6</v>
      </c>
      <c r="AH901">
        <f t="shared" ca="1" si="139"/>
        <v>0</v>
      </c>
      <c r="AI901">
        <f>IF(ROW($AA901) - $AA$51 &lt; ($H$16+1)^5, IF(AG901 &gt;= BaseBonus!$C$16, AG901*BaseBonus!$E$31, 0), "")</f>
        <v>5.6343214877554777</v>
      </c>
      <c r="AJ901">
        <f t="shared" ca="1" si="140"/>
        <v>0</v>
      </c>
    </row>
    <row r="902" spans="28:36" x14ac:dyDescent="0.3">
      <c r="AB902">
        <f t="shared" si="133"/>
        <v>2</v>
      </c>
      <c r="AC902">
        <f t="shared" si="134"/>
        <v>0</v>
      </c>
      <c r="AD902">
        <f t="shared" si="135"/>
        <v>1</v>
      </c>
      <c r="AE902">
        <f t="shared" si="136"/>
        <v>1</v>
      </c>
      <c r="AF902">
        <f t="shared" si="137"/>
        <v>3</v>
      </c>
      <c r="AG902">
        <f t="shared" si="138"/>
        <v>7</v>
      </c>
      <c r="AH902">
        <f t="shared" ca="1" si="139"/>
        <v>0</v>
      </c>
      <c r="AI902">
        <f>IF(ROW($AA902) - $AA$51 &lt; ($H$16+1)^5, IF(AG902 &gt;= BaseBonus!$C$16, AG902*BaseBonus!$E$31, 0), "")</f>
        <v>6.5733750690480575</v>
      </c>
      <c r="AJ902">
        <f t="shared" ca="1" si="140"/>
        <v>0</v>
      </c>
    </row>
    <row r="903" spans="28:36" x14ac:dyDescent="0.3">
      <c r="AB903">
        <f t="shared" si="133"/>
        <v>3</v>
      </c>
      <c r="AC903">
        <f t="shared" si="134"/>
        <v>0</v>
      </c>
      <c r="AD903">
        <f t="shared" si="135"/>
        <v>1</v>
      </c>
      <c r="AE903">
        <f t="shared" si="136"/>
        <v>1</v>
      </c>
      <c r="AF903">
        <f t="shared" si="137"/>
        <v>3</v>
      </c>
      <c r="AG903">
        <f t="shared" si="138"/>
        <v>8</v>
      </c>
      <c r="AH903">
        <f t="shared" ca="1" si="139"/>
        <v>0</v>
      </c>
      <c r="AI903">
        <f>IF(ROW($AA903) - $AA$51 &lt; ($H$16+1)^5, IF(AG903 &gt;= BaseBonus!$C$16, AG903*BaseBonus!$E$31, 0), "")</f>
        <v>7.5124286503406372</v>
      </c>
      <c r="AJ903">
        <f t="shared" ca="1" si="140"/>
        <v>0</v>
      </c>
    </row>
    <row r="904" spans="28:36" x14ac:dyDescent="0.3">
      <c r="AB904">
        <f t="shared" si="133"/>
        <v>0</v>
      </c>
      <c r="AC904">
        <f t="shared" si="134"/>
        <v>1</v>
      </c>
      <c r="AD904">
        <f t="shared" si="135"/>
        <v>1</v>
      </c>
      <c r="AE904">
        <f t="shared" si="136"/>
        <v>1</v>
      </c>
      <c r="AF904">
        <f t="shared" si="137"/>
        <v>3</v>
      </c>
      <c r="AG904">
        <f t="shared" si="138"/>
        <v>6</v>
      </c>
      <c r="AH904">
        <f t="shared" ca="1" si="139"/>
        <v>0</v>
      </c>
      <c r="AI904">
        <f>IF(ROW($AA904) - $AA$51 &lt; ($H$16+1)^5, IF(AG904 &gt;= BaseBonus!$C$16, AG904*BaseBonus!$E$31, 0), "")</f>
        <v>5.6343214877554777</v>
      </c>
      <c r="AJ904">
        <f t="shared" ca="1" si="140"/>
        <v>0</v>
      </c>
    </row>
    <row r="905" spans="28:36" x14ac:dyDescent="0.3">
      <c r="AB905">
        <f t="shared" si="133"/>
        <v>1</v>
      </c>
      <c r="AC905">
        <f t="shared" si="134"/>
        <v>1</v>
      </c>
      <c r="AD905">
        <f t="shared" si="135"/>
        <v>1</v>
      </c>
      <c r="AE905">
        <f t="shared" si="136"/>
        <v>1</v>
      </c>
      <c r="AF905">
        <f t="shared" si="137"/>
        <v>3</v>
      </c>
      <c r="AG905">
        <f t="shared" si="138"/>
        <v>7</v>
      </c>
      <c r="AH905">
        <f t="shared" ca="1" si="139"/>
        <v>0</v>
      </c>
      <c r="AI905">
        <f>IF(ROW($AA905) - $AA$51 &lt; ($H$16+1)^5, IF(AG905 &gt;= BaseBonus!$C$16, AG905*BaseBonus!$E$31, 0), "")</f>
        <v>6.5733750690480575</v>
      </c>
      <c r="AJ905">
        <f t="shared" ca="1" si="140"/>
        <v>0</v>
      </c>
    </row>
    <row r="906" spans="28:36" x14ac:dyDescent="0.3">
      <c r="AB906">
        <f t="shared" si="133"/>
        <v>2</v>
      </c>
      <c r="AC906">
        <f t="shared" si="134"/>
        <v>1</v>
      </c>
      <c r="AD906">
        <f t="shared" si="135"/>
        <v>1</v>
      </c>
      <c r="AE906">
        <f t="shared" si="136"/>
        <v>1</v>
      </c>
      <c r="AF906">
        <f t="shared" si="137"/>
        <v>3</v>
      </c>
      <c r="AG906">
        <f t="shared" si="138"/>
        <v>8</v>
      </c>
      <c r="AH906">
        <f t="shared" ca="1" si="139"/>
        <v>0</v>
      </c>
      <c r="AI906">
        <f>IF(ROW($AA906) - $AA$51 &lt; ($H$16+1)^5, IF(AG906 &gt;= BaseBonus!$C$16, AG906*BaseBonus!$E$31, 0), "")</f>
        <v>7.5124286503406372</v>
      </c>
      <c r="AJ906">
        <f t="shared" ca="1" si="140"/>
        <v>0</v>
      </c>
    </row>
    <row r="907" spans="28:36" x14ac:dyDescent="0.3">
      <c r="AB907">
        <f t="shared" si="133"/>
        <v>3</v>
      </c>
      <c r="AC907">
        <f t="shared" si="134"/>
        <v>1</v>
      </c>
      <c r="AD907">
        <f t="shared" si="135"/>
        <v>1</v>
      </c>
      <c r="AE907">
        <f t="shared" si="136"/>
        <v>1</v>
      </c>
      <c r="AF907">
        <f t="shared" si="137"/>
        <v>3</v>
      </c>
      <c r="AG907">
        <f t="shared" si="138"/>
        <v>9</v>
      </c>
      <c r="AH907">
        <f t="shared" ca="1" si="139"/>
        <v>0</v>
      </c>
      <c r="AI907">
        <f>IF(ROW($AA907) - $AA$51 &lt; ($H$16+1)^5, IF(AG907 &gt;= BaseBonus!$C$16, AG907*BaseBonus!$E$31, 0), "")</f>
        <v>8.4514822316332161</v>
      </c>
      <c r="AJ907">
        <f t="shared" ca="1" si="140"/>
        <v>0</v>
      </c>
    </row>
    <row r="908" spans="28:36" x14ac:dyDescent="0.3">
      <c r="AB908">
        <f t="shared" si="133"/>
        <v>0</v>
      </c>
      <c r="AC908">
        <f t="shared" si="134"/>
        <v>2</v>
      </c>
      <c r="AD908">
        <f t="shared" si="135"/>
        <v>1</v>
      </c>
      <c r="AE908">
        <f t="shared" si="136"/>
        <v>1</v>
      </c>
      <c r="AF908">
        <f t="shared" si="137"/>
        <v>3</v>
      </c>
      <c r="AG908">
        <f t="shared" si="138"/>
        <v>7</v>
      </c>
      <c r="AH908">
        <f t="shared" ca="1" si="139"/>
        <v>0</v>
      </c>
      <c r="AI908">
        <f>IF(ROW($AA908) - $AA$51 &lt; ($H$16+1)^5, IF(AG908 &gt;= BaseBonus!$C$16, AG908*BaseBonus!$E$31, 0), "")</f>
        <v>6.5733750690480575</v>
      </c>
      <c r="AJ908">
        <f t="shared" ca="1" si="140"/>
        <v>0</v>
      </c>
    </row>
    <row r="909" spans="28:36" x14ac:dyDescent="0.3">
      <c r="AB909">
        <f t="shared" si="133"/>
        <v>1</v>
      </c>
      <c r="AC909">
        <f t="shared" si="134"/>
        <v>2</v>
      </c>
      <c r="AD909">
        <f t="shared" si="135"/>
        <v>1</v>
      </c>
      <c r="AE909">
        <f t="shared" si="136"/>
        <v>1</v>
      </c>
      <c r="AF909">
        <f t="shared" si="137"/>
        <v>3</v>
      </c>
      <c r="AG909">
        <f t="shared" si="138"/>
        <v>8</v>
      </c>
      <c r="AH909">
        <f t="shared" ca="1" si="139"/>
        <v>0</v>
      </c>
      <c r="AI909">
        <f>IF(ROW($AA909) - $AA$51 &lt; ($H$16+1)^5, IF(AG909 &gt;= BaseBonus!$C$16, AG909*BaseBonus!$E$31, 0), "")</f>
        <v>7.5124286503406372</v>
      </c>
      <c r="AJ909">
        <f t="shared" ca="1" si="140"/>
        <v>0</v>
      </c>
    </row>
    <row r="910" spans="28:36" x14ac:dyDescent="0.3">
      <c r="AB910">
        <f t="shared" si="133"/>
        <v>2</v>
      </c>
      <c r="AC910">
        <f t="shared" si="134"/>
        <v>2</v>
      </c>
      <c r="AD910">
        <f t="shared" si="135"/>
        <v>1</v>
      </c>
      <c r="AE910">
        <f t="shared" si="136"/>
        <v>1</v>
      </c>
      <c r="AF910">
        <f t="shared" si="137"/>
        <v>3</v>
      </c>
      <c r="AG910">
        <f t="shared" si="138"/>
        <v>9</v>
      </c>
      <c r="AH910">
        <f t="shared" ca="1" si="139"/>
        <v>0</v>
      </c>
      <c r="AI910">
        <f>IF(ROW($AA910) - $AA$51 &lt; ($H$16+1)^5, IF(AG910 &gt;= BaseBonus!$C$16, AG910*BaseBonus!$E$31, 0), "")</f>
        <v>8.4514822316332161</v>
      </c>
      <c r="AJ910">
        <f t="shared" ca="1" si="140"/>
        <v>0</v>
      </c>
    </row>
    <row r="911" spans="28:36" x14ac:dyDescent="0.3">
      <c r="AB911">
        <f t="shared" si="133"/>
        <v>3</v>
      </c>
      <c r="AC911">
        <f t="shared" si="134"/>
        <v>2</v>
      </c>
      <c r="AD911">
        <f t="shared" si="135"/>
        <v>1</v>
      </c>
      <c r="AE911">
        <f t="shared" si="136"/>
        <v>1</v>
      </c>
      <c r="AF911">
        <f t="shared" si="137"/>
        <v>3</v>
      </c>
      <c r="AG911">
        <f t="shared" si="138"/>
        <v>10</v>
      </c>
      <c r="AH911">
        <f t="shared" ca="1" si="139"/>
        <v>0</v>
      </c>
      <c r="AI911">
        <f>IF(ROW($AA911) - $AA$51 &lt; ($H$16+1)^5, IF(AG911 &gt;= BaseBonus!$C$16, AG911*BaseBonus!$E$31, 0), "")</f>
        <v>9.3905358129257959</v>
      </c>
      <c r="AJ911">
        <f t="shared" ca="1" si="140"/>
        <v>0</v>
      </c>
    </row>
    <row r="912" spans="28:36" x14ac:dyDescent="0.3">
      <c r="AB912">
        <f t="shared" si="133"/>
        <v>0</v>
      </c>
      <c r="AC912">
        <f t="shared" si="134"/>
        <v>3</v>
      </c>
      <c r="AD912">
        <f t="shared" si="135"/>
        <v>1</v>
      </c>
      <c r="AE912">
        <f t="shared" si="136"/>
        <v>1</v>
      </c>
      <c r="AF912">
        <f t="shared" si="137"/>
        <v>3</v>
      </c>
      <c r="AG912">
        <f t="shared" si="138"/>
        <v>8</v>
      </c>
      <c r="AH912">
        <f t="shared" ca="1" si="139"/>
        <v>0</v>
      </c>
      <c r="AI912">
        <f>IF(ROW($AA912) - $AA$51 &lt; ($H$16+1)^5, IF(AG912 &gt;= BaseBonus!$C$16, AG912*BaseBonus!$E$31, 0), "")</f>
        <v>7.5124286503406372</v>
      </c>
      <c r="AJ912">
        <f t="shared" ca="1" si="140"/>
        <v>0</v>
      </c>
    </row>
    <row r="913" spans="28:36" x14ac:dyDescent="0.3">
      <c r="AB913">
        <f t="shared" si="133"/>
        <v>1</v>
      </c>
      <c r="AC913">
        <f t="shared" si="134"/>
        <v>3</v>
      </c>
      <c r="AD913">
        <f t="shared" si="135"/>
        <v>1</v>
      </c>
      <c r="AE913">
        <f t="shared" si="136"/>
        <v>1</v>
      </c>
      <c r="AF913">
        <f t="shared" si="137"/>
        <v>3</v>
      </c>
      <c r="AG913">
        <f t="shared" si="138"/>
        <v>9</v>
      </c>
      <c r="AH913">
        <f t="shared" ca="1" si="139"/>
        <v>0</v>
      </c>
      <c r="AI913">
        <f>IF(ROW($AA913) - $AA$51 &lt; ($H$16+1)^5, IF(AG913 &gt;= BaseBonus!$C$16, AG913*BaseBonus!$E$31, 0), "")</f>
        <v>8.4514822316332161</v>
      </c>
      <c r="AJ913">
        <f t="shared" ca="1" si="140"/>
        <v>0</v>
      </c>
    </row>
    <row r="914" spans="28:36" x14ac:dyDescent="0.3">
      <c r="AB914">
        <f t="shared" si="133"/>
        <v>2</v>
      </c>
      <c r="AC914">
        <f t="shared" si="134"/>
        <v>3</v>
      </c>
      <c r="AD914">
        <f t="shared" si="135"/>
        <v>1</v>
      </c>
      <c r="AE914">
        <f t="shared" si="136"/>
        <v>1</v>
      </c>
      <c r="AF914">
        <f t="shared" si="137"/>
        <v>3</v>
      </c>
      <c r="AG914">
        <f t="shared" si="138"/>
        <v>10</v>
      </c>
      <c r="AH914">
        <f t="shared" ca="1" si="139"/>
        <v>0</v>
      </c>
      <c r="AI914">
        <f>IF(ROW($AA914) - $AA$51 &lt; ($H$16+1)^5, IF(AG914 &gt;= BaseBonus!$C$16, AG914*BaseBonus!$E$31, 0), "")</f>
        <v>9.3905358129257959</v>
      </c>
      <c r="AJ914">
        <f t="shared" ca="1" si="140"/>
        <v>0</v>
      </c>
    </row>
    <row r="915" spans="28:36" x14ac:dyDescent="0.3">
      <c r="AB915">
        <f t="shared" si="133"/>
        <v>3</v>
      </c>
      <c r="AC915">
        <f t="shared" si="134"/>
        <v>3</v>
      </c>
      <c r="AD915">
        <f t="shared" si="135"/>
        <v>1</v>
      </c>
      <c r="AE915">
        <f t="shared" si="136"/>
        <v>1</v>
      </c>
      <c r="AF915">
        <f t="shared" si="137"/>
        <v>3</v>
      </c>
      <c r="AG915">
        <f t="shared" si="138"/>
        <v>11</v>
      </c>
      <c r="AH915">
        <f t="shared" ca="1" si="139"/>
        <v>0</v>
      </c>
      <c r="AI915">
        <f>IF(ROW($AA915) - $AA$51 &lt; ($H$16+1)^5, IF(AG915 &gt;= BaseBonus!$C$16, AG915*BaseBonus!$E$31, 0), "")</f>
        <v>10.329589394218376</v>
      </c>
      <c r="AJ915">
        <f t="shared" ca="1" si="140"/>
        <v>0</v>
      </c>
    </row>
    <row r="916" spans="28:36" x14ac:dyDescent="0.3">
      <c r="AB916">
        <f t="shared" si="133"/>
        <v>0</v>
      </c>
      <c r="AC916">
        <f t="shared" si="134"/>
        <v>0</v>
      </c>
      <c r="AD916">
        <f t="shared" si="135"/>
        <v>2</v>
      </c>
      <c r="AE916">
        <f t="shared" si="136"/>
        <v>1</v>
      </c>
      <c r="AF916">
        <f t="shared" si="137"/>
        <v>3</v>
      </c>
      <c r="AG916">
        <f t="shared" si="138"/>
        <v>6</v>
      </c>
      <c r="AH916">
        <f t="shared" ca="1" si="139"/>
        <v>0</v>
      </c>
      <c r="AI916">
        <f>IF(ROW($AA916) - $AA$51 &lt; ($H$16+1)^5, IF(AG916 &gt;= BaseBonus!$C$16, AG916*BaseBonus!$E$31, 0), "")</f>
        <v>5.6343214877554777</v>
      </c>
      <c r="AJ916">
        <f t="shared" ca="1" si="140"/>
        <v>0</v>
      </c>
    </row>
    <row r="917" spans="28:36" x14ac:dyDescent="0.3">
      <c r="AB917">
        <f t="shared" si="133"/>
        <v>1</v>
      </c>
      <c r="AC917">
        <f t="shared" si="134"/>
        <v>0</v>
      </c>
      <c r="AD917">
        <f t="shared" si="135"/>
        <v>2</v>
      </c>
      <c r="AE917">
        <f t="shared" si="136"/>
        <v>1</v>
      </c>
      <c r="AF917">
        <f t="shared" si="137"/>
        <v>3</v>
      </c>
      <c r="AG917">
        <f t="shared" si="138"/>
        <v>7</v>
      </c>
      <c r="AH917">
        <f t="shared" ca="1" si="139"/>
        <v>0</v>
      </c>
      <c r="AI917">
        <f>IF(ROW($AA917) - $AA$51 &lt; ($H$16+1)^5, IF(AG917 &gt;= BaseBonus!$C$16, AG917*BaseBonus!$E$31, 0), "")</f>
        <v>6.5733750690480575</v>
      </c>
      <c r="AJ917">
        <f t="shared" ca="1" si="140"/>
        <v>0</v>
      </c>
    </row>
    <row r="918" spans="28:36" x14ac:dyDescent="0.3">
      <c r="AB918">
        <f t="shared" si="133"/>
        <v>2</v>
      </c>
      <c r="AC918">
        <f t="shared" si="134"/>
        <v>0</v>
      </c>
      <c r="AD918">
        <f t="shared" si="135"/>
        <v>2</v>
      </c>
      <c r="AE918">
        <f t="shared" si="136"/>
        <v>1</v>
      </c>
      <c r="AF918">
        <f t="shared" si="137"/>
        <v>3</v>
      </c>
      <c r="AG918">
        <f t="shared" si="138"/>
        <v>8</v>
      </c>
      <c r="AH918">
        <f t="shared" ca="1" si="139"/>
        <v>0</v>
      </c>
      <c r="AI918">
        <f>IF(ROW($AA918) - $AA$51 &lt; ($H$16+1)^5, IF(AG918 &gt;= BaseBonus!$C$16, AG918*BaseBonus!$E$31, 0), "")</f>
        <v>7.5124286503406372</v>
      </c>
      <c r="AJ918">
        <f t="shared" ca="1" si="140"/>
        <v>0</v>
      </c>
    </row>
    <row r="919" spans="28:36" x14ac:dyDescent="0.3">
      <c r="AB919">
        <f t="shared" si="133"/>
        <v>3</v>
      </c>
      <c r="AC919">
        <f t="shared" si="134"/>
        <v>0</v>
      </c>
      <c r="AD919">
        <f t="shared" si="135"/>
        <v>2</v>
      </c>
      <c r="AE919">
        <f t="shared" si="136"/>
        <v>1</v>
      </c>
      <c r="AF919">
        <f t="shared" si="137"/>
        <v>3</v>
      </c>
      <c r="AG919">
        <f t="shared" si="138"/>
        <v>9</v>
      </c>
      <c r="AH919">
        <f t="shared" ca="1" si="139"/>
        <v>0</v>
      </c>
      <c r="AI919">
        <f>IF(ROW($AA919) - $AA$51 &lt; ($H$16+1)^5, IF(AG919 &gt;= BaseBonus!$C$16, AG919*BaseBonus!$E$31, 0), "")</f>
        <v>8.4514822316332161</v>
      </c>
      <c r="AJ919">
        <f t="shared" ca="1" si="140"/>
        <v>0</v>
      </c>
    </row>
    <row r="920" spans="28:36" x14ac:dyDescent="0.3">
      <c r="AB920">
        <f t="shared" si="133"/>
        <v>0</v>
      </c>
      <c r="AC920">
        <f t="shared" si="134"/>
        <v>1</v>
      </c>
      <c r="AD920">
        <f t="shared" si="135"/>
        <v>2</v>
      </c>
      <c r="AE920">
        <f t="shared" si="136"/>
        <v>1</v>
      </c>
      <c r="AF920">
        <f t="shared" si="137"/>
        <v>3</v>
      </c>
      <c r="AG920">
        <f t="shared" si="138"/>
        <v>7</v>
      </c>
      <c r="AH920">
        <f t="shared" ca="1" si="139"/>
        <v>0</v>
      </c>
      <c r="AI920">
        <f>IF(ROW($AA920) - $AA$51 &lt; ($H$16+1)^5, IF(AG920 &gt;= BaseBonus!$C$16, AG920*BaseBonus!$E$31, 0), "")</f>
        <v>6.5733750690480575</v>
      </c>
      <c r="AJ920">
        <f t="shared" ca="1" si="140"/>
        <v>0</v>
      </c>
    </row>
    <row r="921" spans="28:36" x14ac:dyDescent="0.3">
      <c r="AB921">
        <f t="shared" si="133"/>
        <v>1</v>
      </c>
      <c r="AC921">
        <f t="shared" si="134"/>
        <v>1</v>
      </c>
      <c r="AD921">
        <f t="shared" si="135"/>
        <v>2</v>
      </c>
      <c r="AE921">
        <f t="shared" si="136"/>
        <v>1</v>
      </c>
      <c r="AF921">
        <f t="shared" si="137"/>
        <v>3</v>
      </c>
      <c r="AG921">
        <f t="shared" si="138"/>
        <v>8</v>
      </c>
      <c r="AH921">
        <f t="shared" ca="1" si="139"/>
        <v>0</v>
      </c>
      <c r="AI921">
        <f>IF(ROW($AA921) - $AA$51 &lt; ($H$16+1)^5, IF(AG921 &gt;= BaseBonus!$C$16, AG921*BaseBonus!$E$31, 0), "")</f>
        <v>7.5124286503406372</v>
      </c>
      <c r="AJ921">
        <f t="shared" ca="1" si="140"/>
        <v>0</v>
      </c>
    </row>
    <row r="922" spans="28:36" x14ac:dyDescent="0.3">
      <c r="AB922">
        <f t="shared" si="133"/>
        <v>2</v>
      </c>
      <c r="AC922">
        <f t="shared" si="134"/>
        <v>1</v>
      </c>
      <c r="AD922">
        <f t="shared" si="135"/>
        <v>2</v>
      </c>
      <c r="AE922">
        <f t="shared" si="136"/>
        <v>1</v>
      </c>
      <c r="AF922">
        <f t="shared" si="137"/>
        <v>3</v>
      </c>
      <c r="AG922">
        <f t="shared" si="138"/>
        <v>9</v>
      </c>
      <c r="AH922">
        <f t="shared" ca="1" si="139"/>
        <v>0</v>
      </c>
      <c r="AI922">
        <f>IF(ROW($AA922) - $AA$51 &lt; ($H$16+1)^5, IF(AG922 &gt;= BaseBonus!$C$16, AG922*BaseBonus!$E$31, 0), "")</f>
        <v>8.4514822316332161</v>
      </c>
      <c r="AJ922">
        <f t="shared" ca="1" si="140"/>
        <v>0</v>
      </c>
    </row>
    <row r="923" spans="28:36" x14ac:dyDescent="0.3">
      <c r="AB923">
        <f t="shared" si="133"/>
        <v>3</v>
      </c>
      <c r="AC923">
        <f t="shared" si="134"/>
        <v>1</v>
      </c>
      <c r="AD923">
        <f t="shared" si="135"/>
        <v>2</v>
      </c>
      <c r="AE923">
        <f t="shared" si="136"/>
        <v>1</v>
      </c>
      <c r="AF923">
        <f t="shared" si="137"/>
        <v>3</v>
      </c>
      <c r="AG923">
        <f t="shared" si="138"/>
        <v>10</v>
      </c>
      <c r="AH923">
        <f t="shared" ca="1" si="139"/>
        <v>0</v>
      </c>
      <c r="AI923">
        <f>IF(ROW($AA923) - $AA$51 &lt; ($H$16+1)^5, IF(AG923 &gt;= BaseBonus!$C$16, AG923*BaseBonus!$E$31, 0), "")</f>
        <v>9.3905358129257959</v>
      </c>
      <c r="AJ923">
        <f t="shared" ca="1" si="140"/>
        <v>0</v>
      </c>
    </row>
    <row r="924" spans="28:36" x14ac:dyDescent="0.3">
      <c r="AB924">
        <f t="shared" si="133"/>
        <v>0</v>
      </c>
      <c r="AC924">
        <f t="shared" si="134"/>
        <v>2</v>
      </c>
      <c r="AD924">
        <f t="shared" si="135"/>
        <v>2</v>
      </c>
      <c r="AE924">
        <f t="shared" si="136"/>
        <v>1</v>
      </c>
      <c r="AF924">
        <f t="shared" si="137"/>
        <v>3</v>
      </c>
      <c r="AG924">
        <f t="shared" si="138"/>
        <v>8</v>
      </c>
      <c r="AH924">
        <f t="shared" ca="1" si="139"/>
        <v>0</v>
      </c>
      <c r="AI924">
        <f>IF(ROW($AA924) - $AA$51 &lt; ($H$16+1)^5, IF(AG924 &gt;= BaseBonus!$C$16, AG924*BaseBonus!$E$31, 0), "")</f>
        <v>7.5124286503406372</v>
      </c>
      <c r="AJ924">
        <f t="shared" ca="1" si="140"/>
        <v>0</v>
      </c>
    </row>
    <row r="925" spans="28:36" x14ac:dyDescent="0.3">
      <c r="AB925">
        <f t="shared" si="133"/>
        <v>1</v>
      </c>
      <c r="AC925">
        <f t="shared" si="134"/>
        <v>2</v>
      </c>
      <c r="AD925">
        <f t="shared" si="135"/>
        <v>2</v>
      </c>
      <c r="AE925">
        <f t="shared" si="136"/>
        <v>1</v>
      </c>
      <c r="AF925">
        <f t="shared" si="137"/>
        <v>3</v>
      </c>
      <c r="AG925">
        <f t="shared" si="138"/>
        <v>9</v>
      </c>
      <c r="AH925">
        <f t="shared" ca="1" si="139"/>
        <v>0</v>
      </c>
      <c r="AI925">
        <f>IF(ROW($AA925) - $AA$51 &lt; ($H$16+1)^5, IF(AG925 &gt;= BaseBonus!$C$16, AG925*BaseBonus!$E$31, 0), "")</f>
        <v>8.4514822316332161</v>
      </c>
      <c r="AJ925">
        <f t="shared" ca="1" si="140"/>
        <v>0</v>
      </c>
    </row>
    <row r="926" spans="28:36" x14ac:dyDescent="0.3">
      <c r="AB926">
        <f t="shared" si="133"/>
        <v>2</v>
      </c>
      <c r="AC926">
        <f t="shared" si="134"/>
        <v>2</v>
      </c>
      <c r="AD926">
        <f t="shared" si="135"/>
        <v>2</v>
      </c>
      <c r="AE926">
        <f t="shared" si="136"/>
        <v>1</v>
      </c>
      <c r="AF926">
        <f t="shared" si="137"/>
        <v>3</v>
      </c>
      <c r="AG926">
        <f t="shared" si="138"/>
        <v>10</v>
      </c>
      <c r="AH926">
        <f t="shared" ca="1" si="139"/>
        <v>0</v>
      </c>
      <c r="AI926">
        <f>IF(ROW($AA926) - $AA$51 &lt; ($H$16+1)^5, IF(AG926 &gt;= BaseBonus!$C$16, AG926*BaseBonus!$E$31, 0), "")</f>
        <v>9.3905358129257959</v>
      </c>
      <c r="AJ926">
        <f t="shared" ca="1" si="140"/>
        <v>0</v>
      </c>
    </row>
    <row r="927" spans="28:36" x14ac:dyDescent="0.3">
      <c r="AB927">
        <f t="shared" si="133"/>
        <v>3</v>
      </c>
      <c r="AC927">
        <f t="shared" si="134"/>
        <v>2</v>
      </c>
      <c r="AD927">
        <f t="shared" si="135"/>
        <v>2</v>
      </c>
      <c r="AE927">
        <f t="shared" si="136"/>
        <v>1</v>
      </c>
      <c r="AF927">
        <f t="shared" si="137"/>
        <v>3</v>
      </c>
      <c r="AG927">
        <f t="shared" si="138"/>
        <v>11</v>
      </c>
      <c r="AH927">
        <f t="shared" ca="1" si="139"/>
        <v>0</v>
      </c>
      <c r="AI927">
        <f>IF(ROW($AA927) - $AA$51 &lt; ($H$16+1)^5, IF(AG927 &gt;= BaseBonus!$C$16, AG927*BaseBonus!$E$31, 0), "")</f>
        <v>10.329589394218376</v>
      </c>
      <c r="AJ927">
        <f t="shared" ca="1" si="140"/>
        <v>0</v>
      </c>
    </row>
    <row r="928" spans="28:36" x14ac:dyDescent="0.3">
      <c r="AB928">
        <f t="shared" si="133"/>
        <v>0</v>
      </c>
      <c r="AC928">
        <f t="shared" si="134"/>
        <v>3</v>
      </c>
      <c r="AD928">
        <f t="shared" si="135"/>
        <v>2</v>
      </c>
      <c r="AE928">
        <f t="shared" si="136"/>
        <v>1</v>
      </c>
      <c r="AF928">
        <f t="shared" si="137"/>
        <v>3</v>
      </c>
      <c r="AG928">
        <f t="shared" si="138"/>
        <v>9</v>
      </c>
      <c r="AH928">
        <f t="shared" ca="1" si="139"/>
        <v>0</v>
      </c>
      <c r="AI928">
        <f>IF(ROW($AA928) - $AA$51 &lt; ($H$16+1)^5, IF(AG928 &gt;= BaseBonus!$C$16, AG928*BaseBonus!$E$31, 0), "")</f>
        <v>8.4514822316332161</v>
      </c>
      <c r="AJ928">
        <f t="shared" ca="1" si="140"/>
        <v>0</v>
      </c>
    </row>
    <row r="929" spans="28:36" x14ac:dyDescent="0.3">
      <c r="AB929">
        <f t="shared" si="133"/>
        <v>1</v>
      </c>
      <c r="AC929">
        <f t="shared" si="134"/>
        <v>3</v>
      </c>
      <c r="AD929">
        <f t="shared" si="135"/>
        <v>2</v>
      </c>
      <c r="AE929">
        <f t="shared" si="136"/>
        <v>1</v>
      </c>
      <c r="AF929">
        <f t="shared" si="137"/>
        <v>3</v>
      </c>
      <c r="AG929">
        <f t="shared" si="138"/>
        <v>10</v>
      </c>
      <c r="AH929">
        <f t="shared" ca="1" si="139"/>
        <v>0</v>
      </c>
      <c r="AI929">
        <f>IF(ROW($AA929) - $AA$51 &lt; ($H$16+1)^5, IF(AG929 &gt;= BaseBonus!$C$16, AG929*BaseBonus!$E$31, 0), "")</f>
        <v>9.3905358129257959</v>
      </c>
      <c r="AJ929">
        <f t="shared" ca="1" si="140"/>
        <v>0</v>
      </c>
    </row>
    <row r="930" spans="28:36" x14ac:dyDescent="0.3">
      <c r="AB930">
        <f t="shared" si="133"/>
        <v>2</v>
      </c>
      <c r="AC930">
        <f t="shared" si="134"/>
        <v>3</v>
      </c>
      <c r="AD930">
        <f t="shared" si="135"/>
        <v>2</v>
      </c>
      <c r="AE930">
        <f t="shared" si="136"/>
        <v>1</v>
      </c>
      <c r="AF930">
        <f t="shared" si="137"/>
        <v>3</v>
      </c>
      <c r="AG930">
        <f t="shared" si="138"/>
        <v>11</v>
      </c>
      <c r="AH930">
        <f t="shared" ca="1" si="139"/>
        <v>0</v>
      </c>
      <c r="AI930">
        <f>IF(ROW($AA930) - $AA$51 &lt; ($H$16+1)^5, IF(AG930 &gt;= BaseBonus!$C$16, AG930*BaseBonus!$E$31, 0), "")</f>
        <v>10.329589394218376</v>
      </c>
      <c r="AJ930">
        <f t="shared" ca="1" si="140"/>
        <v>0</v>
      </c>
    </row>
    <row r="931" spans="28:36" x14ac:dyDescent="0.3">
      <c r="AB931">
        <f t="shared" si="133"/>
        <v>3</v>
      </c>
      <c r="AC931">
        <f t="shared" si="134"/>
        <v>3</v>
      </c>
      <c r="AD931">
        <f t="shared" si="135"/>
        <v>2</v>
      </c>
      <c r="AE931">
        <f t="shared" si="136"/>
        <v>1</v>
      </c>
      <c r="AF931">
        <f t="shared" si="137"/>
        <v>3</v>
      </c>
      <c r="AG931">
        <f t="shared" si="138"/>
        <v>12</v>
      </c>
      <c r="AH931">
        <f t="shared" ca="1" si="139"/>
        <v>0</v>
      </c>
      <c r="AI931">
        <f>IF(ROW($AA931) - $AA$51 &lt; ($H$16+1)^5, IF(AG931 &gt;= BaseBonus!$C$16, AG931*BaseBonus!$E$31, 0), "")</f>
        <v>11.268642975510955</v>
      </c>
      <c r="AJ931">
        <f t="shared" ca="1" si="140"/>
        <v>0</v>
      </c>
    </row>
    <row r="932" spans="28:36" x14ac:dyDescent="0.3">
      <c r="AB932">
        <f t="shared" si="133"/>
        <v>0</v>
      </c>
      <c r="AC932">
        <f t="shared" si="134"/>
        <v>0</v>
      </c>
      <c r="AD932">
        <f t="shared" si="135"/>
        <v>3</v>
      </c>
      <c r="AE932">
        <f t="shared" si="136"/>
        <v>1</v>
      </c>
      <c r="AF932">
        <f t="shared" si="137"/>
        <v>3</v>
      </c>
      <c r="AG932">
        <f t="shared" si="138"/>
        <v>7</v>
      </c>
      <c r="AH932">
        <f t="shared" ca="1" si="139"/>
        <v>0</v>
      </c>
      <c r="AI932">
        <f>IF(ROW($AA932) - $AA$51 &lt; ($H$16+1)^5, IF(AG932 &gt;= BaseBonus!$C$16, AG932*BaseBonus!$E$31, 0), "")</f>
        <v>6.5733750690480575</v>
      </c>
      <c r="AJ932">
        <f t="shared" ca="1" si="140"/>
        <v>0</v>
      </c>
    </row>
    <row r="933" spans="28:36" x14ac:dyDescent="0.3">
      <c r="AB933">
        <f t="shared" si="133"/>
        <v>1</v>
      </c>
      <c r="AC933">
        <f t="shared" si="134"/>
        <v>0</v>
      </c>
      <c r="AD933">
        <f t="shared" si="135"/>
        <v>3</v>
      </c>
      <c r="AE933">
        <f t="shared" si="136"/>
        <v>1</v>
      </c>
      <c r="AF933">
        <f t="shared" si="137"/>
        <v>3</v>
      </c>
      <c r="AG933">
        <f t="shared" si="138"/>
        <v>8</v>
      </c>
      <c r="AH933">
        <f t="shared" ca="1" si="139"/>
        <v>0</v>
      </c>
      <c r="AI933">
        <f>IF(ROW($AA933) - $AA$51 &lt; ($H$16+1)^5, IF(AG933 &gt;= BaseBonus!$C$16, AG933*BaseBonus!$E$31, 0), "")</f>
        <v>7.5124286503406372</v>
      </c>
      <c r="AJ933">
        <f t="shared" ca="1" si="140"/>
        <v>0</v>
      </c>
    </row>
    <row r="934" spans="28:36" x14ac:dyDescent="0.3">
      <c r="AB934">
        <f t="shared" si="133"/>
        <v>2</v>
      </c>
      <c r="AC934">
        <f t="shared" si="134"/>
        <v>0</v>
      </c>
      <c r="AD934">
        <f t="shared" si="135"/>
        <v>3</v>
      </c>
      <c r="AE934">
        <f t="shared" si="136"/>
        <v>1</v>
      </c>
      <c r="AF934">
        <f t="shared" si="137"/>
        <v>3</v>
      </c>
      <c r="AG934">
        <f t="shared" si="138"/>
        <v>9</v>
      </c>
      <c r="AH934">
        <f t="shared" ca="1" si="139"/>
        <v>0</v>
      </c>
      <c r="AI934">
        <f>IF(ROW($AA934) - $AA$51 &lt; ($H$16+1)^5, IF(AG934 &gt;= BaseBonus!$C$16, AG934*BaseBonus!$E$31, 0), "")</f>
        <v>8.4514822316332161</v>
      </c>
      <c r="AJ934">
        <f t="shared" ca="1" si="140"/>
        <v>0</v>
      </c>
    </row>
    <row r="935" spans="28:36" x14ac:dyDescent="0.3">
      <c r="AB935">
        <f t="shared" si="133"/>
        <v>3</v>
      </c>
      <c r="AC935">
        <f t="shared" si="134"/>
        <v>0</v>
      </c>
      <c r="AD935">
        <f t="shared" si="135"/>
        <v>3</v>
      </c>
      <c r="AE935">
        <f t="shared" si="136"/>
        <v>1</v>
      </c>
      <c r="AF935">
        <f t="shared" si="137"/>
        <v>3</v>
      </c>
      <c r="AG935">
        <f t="shared" si="138"/>
        <v>10</v>
      </c>
      <c r="AH935">
        <f t="shared" ca="1" si="139"/>
        <v>0</v>
      </c>
      <c r="AI935">
        <f>IF(ROW($AA935) - $AA$51 &lt; ($H$16+1)^5, IF(AG935 &gt;= BaseBonus!$C$16, AG935*BaseBonus!$E$31, 0), "")</f>
        <v>9.3905358129257959</v>
      </c>
      <c r="AJ935">
        <f t="shared" ca="1" si="140"/>
        <v>0</v>
      </c>
    </row>
    <row r="936" spans="28:36" x14ac:dyDescent="0.3">
      <c r="AB936">
        <f t="shared" si="133"/>
        <v>0</v>
      </c>
      <c r="AC936">
        <f t="shared" si="134"/>
        <v>1</v>
      </c>
      <c r="AD936">
        <f t="shared" si="135"/>
        <v>3</v>
      </c>
      <c r="AE936">
        <f t="shared" si="136"/>
        <v>1</v>
      </c>
      <c r="AF936">
        <f t="shared" si="137"/>
        <v>3</v>
      </c>
      <c r="AG936">
        <f t="shared" si="138"/>
        <v>8</v>
      </c>
      <c r="AH936">
        <f t="shared" ca="1" si="139"/>
        <v>0</v>
      </c>
      <c r="AI936">
        <f>IF(ROW($AA936) - $AA$51 &lt; ($H$16+1)^5, IF(AG936 &gt;= BaseBonus!$C$16, AG936*BaseBonus!$E$31, 0), "")</f>
        <v>7.5124286503406372</v>
      </c>
      <c r="AJ936">
        <f t="shared" ca="1" si="140"/>
        <v>0</v>
      </c>
    </row>
    <row r="937" spans="28:36" x14ac:dyDescent="0.3">
      <c r="AB937">
        <f t="shared" si="133"/>
        <v>1</v>
      </c>
      <c r="AC937">
        <f t="shared" si="134"/>
        <v>1</v>
      </c>
      <c r="AD937">
        <f t="shared" si="135"/>
        <v>3</v>
      </c>
      <c r="AE937">
        <f t="shared" si="136"/>
        <v>1</v>
      </c>
      <c r="AF937">
        <f t="shared" si="137"/>
        <v>3</v>
      </c>
      <c r="AG937">
        <f t="shared" si="138"/>
        <v>9</v>
      </c>
      <c r="AH937">
        <f t="shared" ca="1" si="139"/>
        <v>0</v>
      </c>
      <c r="AI937">
        <f>IF(ROW($AA937) - $AA$51 &lt; ($H$16+1)^5, IF(AG937 &gt;= BaseBonus!$C$16, AG937*BaseBonus!$E$31, 0), "")</f>
        <v>8.4514822316332161</v>
      </c>
      <c r="AJ937">
        <f t="shared" ca="1" si="140"/>
        <v>0</v>
      </c>
    </row>
    <row r="938" spans="28:36" x14ac:dyDescent="0.3">
      <c r="AB938">
        <f t="shared" si="133"/>
        <v>2</v>
      </c>
      <c r="AC938">
        <f t="shared" si="134"/>
        <v>1</v>
      </c>
      <c r="AD938">
        <f t="shared" si="135"/>
        <v>3</v>
      </c>
      <c r="AE938">
        <f t="shared" si="136"/>
        <v>1</v>
      </c>
      <c r="AF938">
        <f t="shared" si="137"/>
        <v>3</v>
      </c>
      <c r="AG938">
        <f t="shared" si="138"/>
        <v>10</v>
      </c>
      <c r="AH938">
        <f t="shared" ca="1" si="139"/>
        <v>0</v>
      </c>
      <c r="AI938">
        <f>IF(ROW($AA938) - $AA$51 &lt; ($H$16+1)^5, IF(AG938 &gt;= BaseBonus!$C$16, AG938*BaseBonus!$E$31, 0), "")</f>
        <v>9.3905358129257959</v>
      </c>
      <c r="AJ938">
        <f t="shared" ca="1" si="140"/>
        <v>0</v>
      </c>
    </row>
    <row r="939" spans="28:36" x14ac:dyDescent="0.3">
      <c r="AB939">
        <f t="shared" si="133"/>
        <v>3</v>
      </c>
      <c r="AC939">
        <f t="shared" si="134"/>
        <v>1</v>
      </c>
      <c r="AD939">
        <f t="shared" si="135"/>
        <v>3</v>
      </c>
      <c r="AE939">
        <f t="shared" si="136"/>
        <v>1</v>
      </c>
      <c r="AF939">
        <f t="shared" si="137"/>
        <v>3</v>
      </c>
      <c r="AG939">
        <f t="shared" si="138"/>
        <v>11</v>
      </c>
      <c r="AH939">
        <f t="shared" ca="1" si="139"/>
        <v>0</v>
      </c>
      <c r="AI939">
        <f>IF(ROW($AA939) - $AA$51 &lt; ($H$16+1)^5, IF(AG939 &gt;= BaseBonus!$C$16, AG939*BaseBonus!$E$31, 0), "")</f>
        <v>10.329589394218376</v>
      </c>
      <c r="AJ939">
        <f t="shared" ca="1" si="140"/>
        <v>0</v>
      </c>
    </row>
    <row r="940" spans="28:36" x14ac:dyDescent="0.3">
      <c r="AB940">
        <f t="shared" si="133"/>
        <v>0</v>
      </c>
      <c r="AC940">
        <f t="shared" si="134"/>
        <v>2</v>
      </c>
      <c r="AD940">
        <f t="shared" si="135"/>
        <v>3</v>
      </c>
      <c r="AE940">
        <f t="shared" si="136"/>
        <v>1</v>
      </c>
      <c r="AF940">
        <f t="shared" si="137"/>
        <v>3</v>
      </c>
      <c r="AG940">
        <f t="shared" si="138"/>
        <v>9</v>
      </c>
      <c r="AH940">
        <f t="shared" ca="1" si="139"/>
        <v>0</v>
      </c>
      <c r="AI940">
        <f>IF(ROW($AA940) - $AA$51 &lt; ($H$16+1)^5, IF(AG940 &gt;= BaseBonus!$C$16, AG940*BaseBonus!$E$31, 0), "")</f>
        <v>8.4514822316332161</v>
      </c>
      <c r="AJ940">
        <f t="shared" ca="1" si="140"/>
        <v>0</v>
      </c>
    </row>
    <row r="941" spans="28:36" x14ac:dyDescent="0.3">
      <c r="AB941">
        <f t="shared" si="133"/>
        <v>1</v>
      </c>
      <c r="AC941">
        <f t="shared" si="134"/>
        <v>2</v>
      </c>
      <c r="AD941">
        <f t="shared" si="135"/>
        <v>3</v>
      </c>
      <c r="AE941">
        <f t="shared" si="136"/>
        <v>1</v>
      </c>
      <c r="AF941">
        <f t="shared" si="137"/>
        <v>3</v>
      </c>
      <c r="AG941">
        <f t="shared" si="138"/>
        <v>10</v>
      </c>
      <c r="AH941">
        <f t="shared" ca="1" si="139"/>
        <v>0</v>
      </c>
      <c r="AI941">
        <f>IF(ROW($AA941) - $AA$51 &lt; ($H$16+1)^5, IF(AG941 &gt;= BaseBonus!$C$16, AG941*BaseBonus!$E$31, 0), "")</f>
        <v>9.3905358129257959</v>
      </c>
      <c r="AJ941">
        <f t="shared" ca="1" si="140"/>
        <v>0</v>
      </c>
    </row>
    <row r="942" spans="28:36" x14ac:dyDescent="0.3">
      <c r="AB942">
        <f t="shared" si="133"/>
        <v>2</v>
      </c>
      <c r="AC942">
        <f t="shared" si="134"/>
        <v>2</v>
      </c>
      <c r="AD942">
        <f t="shared" si="135"/>
        <v>3</v>
      </c>
      <c r="AE942">
        <f t="shared" si="136"/>
        <v>1</v>
      </c>
      <c r="AF942">
        <f t="shared" si="137"/>
        <v>3</v>
      </c>
      <c r="AG942">
        <f t="shared" si="138"/>
        <v>11</v>
      </c>
      <c r="AH942">
        <f t="shared" ca="1" si="139"/>
        <v>0</v>
      </c>
      <c r="AI942">
        <f>IF(ROW($AA942) - $AA$51 &lt; ($H$16+1)^5, IF(AG942 &gt;= BaseBonus!$C$16, AG942*BaseBonus!$E$31, 0), "")</f>
        <v>10.329589394218376</v>
      </c>
      <c r="AJ942">
        <f t="shared" ca="1" si="140"/>
        <v>0</v>
      </c>
    </row>
    <row r="943" spans="28:36" x14ac:dyDescent="0.3">
      <c r="AB943">
        <f t="shared" si="133"/>
        <v>3</v>
      </c>
      <c r="AC943">
        <f t="shared" si="134"/>
        <v>2</v>
      </c>
      <c r="AD943">
        <f t="shared" si="135"/>
        <v>3</v>
      </c>
      <c r="AE943">
        <f t="shared" si="136"/>
        <v>1</v>
      </c>
      <c r="AF943">
        <f t="shared" si="137"/>
        <v>3</v>
      </c>
      <c r="AG943">
        <f t="shared" si="138"/>
        <v>12</v>
      </c>
      <c r="AH943">
        <f t="shared" ca="1" si="139"/>
        <v>0</v>
      </c>
      <c r="AI943">
        <f>IF(ROW($AA943) - $AA$51 &lt; ($H$16+1)^5, IF(AG943 &gt;= BaseBonus!$C$16, AG943*BaseBonus!$E$31, 0), "")</f>
        <v>11.268642975510955</v>
      </c>
      <c r="AJ943">
        <f t="shared" ca="1" si="140"/>
        <v>0</v>
      </c>
    </row>
    <row r="944" spans="28:36" x14ac:dyDescent="0.3">
      <c r="AB944">
        <f t="shared" si="133"/>
        <v>0</v>
      </c>
      <c r="AC944">
        <f t="shared" si="134"/>
        <v>3</v>
      </c>
      <c r="AD944">
        <f t="shared" si="135"/>
        <v>3</v>
      </c>
      <c r="AE944">
        <f t="shared" si="136"/>
        <v>1</v>
      </c>
      <c r="AF944">
        <f t="shared" si="137"/>
        <v>3</v>
      </c>
      <c r="AG944">
        <f t="shared" si="138"/>
        <v>10</v>
      </c>
      <c r="AH944">
        <f t="shared" ca="1" si="139"/>
        <v>0</v>
      </c>
      <c r="AI944">
        <f>IF(ROW($AA944) - $AA$51 &lt; ($H$16+1)^5, IF(AG944 &gt;= BaseBonus!$C$16, AG944*BaseBonus!$E$31, 0), "")</f>
        <v>9.3905358129257959</v>
      </c>
      <c r="AJ944">
        <f t="shared" ca="1" si="140"/>
        <v>0</v>
      </c>
    </row>
    <row r="945" spans="28:36" x14ac:dyDescent="0.3">
      <c r="AB945">
        <f t="shared" si="133"/>
        <v>1</v>
      </c>
      <c r="AC945">
        <f t="shared" si="134"/>
        <v>3</v>
      </c>
      <c r="AD945">
        <f t="shared" si="135"/>
        <v>3</v>
      </c>
      <c r="AE945">
        <f t="shared" si="136"/>
        <v>1</v>
      </c>
      <c r="AF945">
        <f t="shared" si="137"/>
        <v>3</v>
      </c>
      <c r="AG945">
        <f t="shared" si="138"/>
        <v>11</v>
      </c>
      <c r="AH945">
        <f t="shared" ca="1" si="139"/>
        <v>0</v>
      </c>
      <c r="AI945">
        <f>IF(ROW($AA945) - $AA$51 &lt; ($H$16+1)^5, IF(AG945 &gt;= BaseBonus!$C$16, AG945*BaseBonus!$E$31, 0), "")</f>
        <v>10.329589394218376</v>
      </c>
      <c r="AJ945">
        <f t="shared" ca="1" si="140"/>
        <v>0</v>
      </c>
    </row>
    <row r="946" spans="28:36" x14ac:dyDescent="0.3">
      <c r="AB946">
        <f t="shared" si="133"/>
        <v>2</v>
      </c>
      <c r="AC946">
        <f t="shared" si="134"/>
        <v>3</v>
      </c>
      <c r="AD946">
        <f t="shared" si="135"/>
        <v>3</v>
      </c>
      <c r="AE946">
        <f t="shared" si="136"/>
        <v>1</v>
      </c>
      <c r="AF946">
        <f t="shared" si="137"/>
        <v>3</v>
      </c>
      <c r="AG946">
        <f t="shared" si="138"/>
        <v>12</v>
      </c>
      <c r="AH946">
        <f t="shared" ca="1" si="139"/>
        <v>0</v>
      </c>
      <c r="AI946">
        <f>IF(ROW($AA946) - $AA$51 &lt; ($H$16+1)^5, IF(AG946 &gt;= BaseBonus!$C$16, AG946*BaseBonus!$E$31, 0), "")</f>
        <v>11.268642975510955</v>
      </c>
      <c r="AJ946">
        <f t="shared" ca="1" si="140"/>
        <v>0</v>
      </c>
    </row>
    <row r="947" spans="28:36" x14ac:dyDescent="0.3">
      <c r="AB947">
        <f t="shared" si="133"/>
        <v>3</v>
      </c>
      <c r="AC947">
        <f t="shared" si="134"/>
        <v>3</v>
      </c>
      <c r="AD947">
        <f t="shared" si="135"/>
        <v>3</v>
      </c>
      <c r="AE947">
        <f t="shared" si="136"/>
        <v>1</v>
      </c>
      <c r="AF947">
        <f t="shared" si="137"/>
        <v>3</v>
      </c>
      <c r="AG947">
        <f t="shared" si="138"/>
        <v>13</v>
      </c>
      <c r="AH947">
        <f t="shared" ca="1" si="139"/>
        <v>0</v>
      </c>
      <c r="AI947">
        <f>IF(ROW($AA947) - $AA$51 &lt; ($H$16+1)^5, IF(AG947 &gt;= BaseBonus!$C$16, AG947*BaseBonus!$E$31, 0), "")</f>
        <v>12.207696556803535</v>
      </c>
      <c r="AJ947">
        <f t="shared" ca="1" si="140"/>
        <v>0</v>
      </c>
    </row>
    <row r="948" spans="28:36" x14ac:dyDescent="0.3">
      <c r="AB948">
        <f t="shared" ref="AB948:AB1011" si="141">IF(ROW()-$AA$51 &lt; (H$16+1)^5, MOD(_xlfn.FLOOR.MATH((ROW()-$AA$51)/AB$50), H$16+1), "")</f>
        <v>0</v>
      </c>
      <c r="AC948">
        <f t="shared" ref="AC948:AC1011" si="142">IF(ROW()-$AA$51 &lt; (I$16+1)^5, MOD(_xlfn.FLOOR.MATH((ROW()-$AA$51)/AC$50), I$16+1), "")</f>
        <v>0</v>
      </c>
      <c r="AD948">
        <f t="shared" ref="AD948:AD1011" si="143">IF(ROW()-$AA$51 &lt; (J$16+1)^5, MOD(_xlfn.FLOOR.MATH((ROW()-$AA$51)/AD$50), J$16+1), "")</f>
        <v>0</v>
      </c>
      <c r="AE948">
        <f t="shared" ref="AE948:AE1011" si="144">IF(ROW()-$AA$51 &lt; (K$16+1)^5, MOD(_xlfn.FLOOR.MATH((ROW()-$AA$51)/AE$50), K$16+1), "")</f>
        <v>2</v>
      </c>
      <c r="AF948">
        <f t="shared" ref="AF948:AF1011" si="145">IF(ROW()-$AA$51 &lt; (L$16+1)^5, MOD(_xlfn.FLOOR.MATH((ROW()-$AA$51)/AF$50), L$16+1), "")</f>
        <v>3</v>
      </c>
      <c r="AG948">
        <f t="shared" ref="AG948:AG1011" si="146">IF(ROW($AA948) - $AA$51 &lt; ($H$16+1)^5, SUM(AB948:AF948), "")</f>
        <v>5</v>
      </c>
      <c r="AH948">
        <f t="shared" ref="AH948:AH1011" ca="1" si="147">IF(ROW($AA948) - $AA$51 &lt; (4)^5,
    (_xlfn.XLOOKUP(AB948,$T$51:$T$55,U$51:U$55,0)/U$27) * (_xlfn.XLOOKUP(AC948,$T$51:$T$55,V$51:V$55,0)/V$27) * (_xlfn.XLOOKUP(AD948,$T$51:$T$55,W$51:W$55,0)/W$27) * (_xlfn.XLOOKUP(AE948,$T$51:$T$55,X$51:X$55,0)/X$27) * (_xlfn.XLOOKUP(AF948,$T$51:$T$55,Y$51:Y$55,0)/Y$27),
"")</f>
        <v>0</v>
      </c>
      <c r="AI948">
        <f>IF(ROW($AA948) - $AA$51 &lt; ($H$16+1)^5, IF(AG948 &gt;= BaseBonus!$C$16, AG948*BaseBonus!$E$31, 0), "")</f>
        <v>4.6952679064628979</v>
      </c>
      <c r="AJ948">
        <f t="shared" ref="AJ948:AJ1011" ca="1" si="148">IF(ROW($AA948) - $AA$51 &lt; ($H$16+1)^5, AH948*AI948, "")</f>
        <v>0</v>
      </c>
    </row>
    <row r="949" spans="28:36" x14ac:dyDescent="0.3">
      <c r="AB949">
        <f t="shared" si="141"/>
        <v>1</v>
      </c>
      <c r="AC949">
        <f t="shared" si="142"/>
        <v>0</v>
      </c>
      <c r="AD949">
        <f t="shared" si="143"/>
        <v>0</v>
      </c>
      <c r="AE949">
        <f t="shared" si="144"/>
        <v>2</v>
      </c>
      <c r="AF949">
        <f t="shared" si="145"/>
        <v>3</v>
      </c>
      <c r="AG949">
        <f t="shared" si="146"/>
        <v>6</v>
      </c>
      <c r="AH949">
        <f t="shared" ca="1" si="147"/>
        <v>0</v>
      </c>
      <c r="AI949">
        <f>IF(ROW($AA949) - $AA$51 &lt; ($H$16+1)^5, IF(AG949 &gt;= BaseBonus!$C$16, AG949*BaseBonus!$E$31, 0), "")</f>
        <v>5.6343214877554777</v>
      </c>
      <c r="AJ949">
        <f t="shared" ca="1" si="148"/>
        <v>0</v>
      </c>
    </row>
    <row r="950" spans="28:36" x14ac:dyDescent="0.3">
      <c r="AB950">
        <f t="shared" si="141"/>
        <v>2</v>
      </c>
      <c r="AC950">
        <f t="shared" si="142"/>
        <v>0</v>
      </c>
      <c r="AD950">
        <f t="shared" si="143"/>
        <v>0</v>
      </c>
      <c r="AE950">
        <f t="shared" si="144"/>
        <v>2</v>
      </c>
      <c r="AF950">
        <f t="shared" si="145"/>
        <v>3</v>
      </c>
      <c r="AG950">
        <f t="shared" si="146"/>
        <v>7</v>
      </c>
      <c r="AH950">
        <f t="shared" ca="1" si="147"/>
        <v>0</v>
      </c>
      <c r="AI950">
        <f>IF(ROW($AA950) - $AA$51 &lt; ($H$16+1)^5, IF(AG950 &gt;= BaseBonus!$C$16, AG950*BaseBonus!$E$31, 0), "")</f>
        <v>6.5733750690480575</v>
      </c>
      <c r="AJ950">
        <f t="shared" ca="1" si="148"/>
        <v>0</v>
      </c>
    </row>
    <row r="951" spans="28:36" x14ac:dyDescent="0.3">
      <c r="AB951">
        <f t="shared" si="141"/>
        <v>3</v>
      </c>
      <c r="AC951">
        <f t="shared" si="142"/>
        <v>0</v>
      </c>
      <c r="AD951">
        <f t="shared" si="143"/>
        <v>0</v>
      </c>
      <c r="AE951">
        <f t="shared" si="144"/>
        <v>2</v>
      </c>
      <c r="AF951">
        <f t="shared" si="145"/>
        <v>3</v>
      </c>
      <c r="AG951">
        <f t="shared" si="146"/>
        <v>8</v>
      </c>
      <c r="AH951">
        <f t="shared" ca="1" si="147"/>
        <v>0</v>
      </c>
      <c r="AI951">
        <f>IF(ROW($AA951) - $AA$51 &lt; ($H$16+1)^5, IF(AG951 &gt;= BaseBonus!$C$16, AG951*BaseBonus!$E$31, 0), "")</f>
        <v>7.5124286503406372</v>
      </c>
      <c r="AJ951">
        <f t="shared" ca="1" si="148"/>
        <v>0</v>
      </c>
    </row>
    <row r="952" spans="28:36" x14ac:dyDescent="0.3">
      <c r="AB952">
        <f t="shared" si="141"/>
        <v>0</v>
      </c>
      <c r="AC952">
        <f t="shared" si="142"/>
        <v>1</v>
      </c>
      <c r="AD952">
        <f t="shared" si="143"/>
        <v>0</v>
      </c>
      <c r="AE952">
        <f t="shared" si="144"/>
        <v>2</v>
      </c>
      <c r="AF952">
        <f t="shared" si="145"/>
        <v>3</v>
      </c>
      <c r="AG952">
        <f t="shared" si="146"/>
        <v>6</v>
      </c>
      <c r="AH952">
        <f t="shared" ca="1" si="147"/>
        <v>0</v>
      </c>
      <c r="AI952">
        <f>IF(ROW($AA952) - $AA$51 &lt; ($H$16+1)^5, IF(AG952 &gt;= BaseBonus!$C$16, AG952*BaseBonus!$E$31, 0), "")</f>
        <v>5.6343214877554777</v>
      </c>
      <c r="AJ952">
        <f t="shared" ca="1" si="148"/>
        <v>0</v>
      </c>
    </row>
    <row r="953" spans="28:36" x14ac:dyDescent="0.3">
      <c r="AB953">
        <f t="shared" si="141"/>
        <v>1</v>
      </c>
      <c r="AC953">
        <f t="shared" si="142"/>
        <v>1</v>
      </c>
      <c r="AD953">
        <f t="shared" si="143"/>
        <v>0</v>
      </c>
      <c r="AE953">
        <f t="shared" si="144"/>
        <v>2</v>
      </c>
      <c r="AF953">
        <f t="shared" si="145"/>
        <v>3</v>
      </c>
      <c r="AG953">
        <f t="shared" si="146"/>
        <v>7</v>
      </c>
      <c r="AH953">
        <f t="shared" ca="1" si="147"/>
        <v>0</v>
      </c>
      <c r="AI953">
        <f>IF(ROW($AA953) - $AA$51 &lt; ($H$16+1)^5, IF(AG953 &gt;= BaseBonus!$C$16, AG953*BaseBonus!$E$31, 0), "")</f>
        <v>6.5733750690480575</v>
      </c>
      <c r="AJ953">
        <f t="shared" ca="1" si="148"/>
        <v>0</v>
      </c>
    </row>
    <row r="954" spans="28:36" x14ac:dyDescent="0.3">
      <c r="AB954">
        <f t="shared" si="141"/>
        <v>2</v>
      </c>
      <c r="AC954">
        <f t="shared" si="142"/>
        <v>1</v>
      </c>
      <c r="AD954">
        <f t="shared" si="143"/>
        <v>0</v>
      </c>
      <c r="AE954">
        <f t="shared" si="144"/>
        <v>2</v>
      </c>
      <c r="AF954">
        <f t="shared" si="145"/>
        <v>3</v>
      </c>
      <c r="AG954">
        <f t="shared" si="146"/>
        <v>8</v>
      </c>
      <c r="AH954">
        <f t="shared" ca="1" si="147"/>
        <v>0</v>
      </c>
      <c r="AI954">
        <f>IF(ROW($AA954) - $AA$51 &lt; ($H$16+1)^5, IF(AG954 &gt;= BaseBonus!$C$16, AG954*BaseBonus!$E$31, 0), "")</f>
        <v>7.5124286503406372</v>
      </c>
      <c r="AJ954">
        <f t="shared" ca="1" si="148"/>
        <v>0</v>
      </c>
    </row>
    <row r="955" spans="28:36" x14ac:dyDescent="0.3">
      <c r="AB955">
        <f t="shared" si="141"/>
        <v>3</v>
      </c>
      <c r="AC955">
        <f t="shared" si="142"/>
        <v>1</v>
      </c>
      <c r="AD955">
        <f t="shared" si="143"/>
        <v>0</v>
      </c>
      <c r="AE955">
        <f t="shared" si="144"/>
        <v>2</v>
      </c>
      <c r="AF955">
        <f t="shared" si="145"/>
        <v>3</v>
      </c>
      <c r="AG955">
        <f t="shared" si="146"/>
        <v>9</v>
      </c>
      <c r="AH955">
        <f t="shared" ca="1" si="147"/>
        <v>0</v>
      </c>
      <c r="AI955">
        <f>IF(ROW($AA955) - $AA$51 &lt; ($H$16+1)^5, IF(AG955 &gt;= BaseBonus!$C$16, AG955*BaseBonus!$E$31, 0), "")</f>
        <v>8.4514822316332161</v>
      </c>
      <c r="AJ955">
        <f t="shared" ca="1" si="148"/>
        <v>0</v>
      </c>
    </row>
    <row r="956" spans="28:36" x14ac:dyDescent="0.3">
      <c r="AB956">
        <f t="shared" si="141"/>
        <v>0</v>
      </c>
      <c r="AC956">
        <f t="shared" si="142"/>
        <v>2</v>
      </c>
      <c r="AD956">
        <f t="shared" si="143"/>
        <v>0</v>
      </c>
      <c r="AE956">
        <f t="shared" si="144"/>
        <v>2</v>
      </c>
      <c r="AF956">
        <f t="shared" si="145"/>
        <v>3</v>
      </c>
      <c r="AG956">
        <f t="shared" si="146"/>
        <v>7</v>
      </c>
      <c r="AH956">
        <f t="shared" ca="1" si="147"/>
        <v>0</v>
      </c>
      <c r="AI956">
        <f>IF(ROW($AA956) - $AA$51 &lt; ($H$16+1)^5, IF(AG956 &gt;= BaseBonus!$C$16, AG956*BaseBonus!$E$31, 0), "")</f>
        <v>6.5733750690480575</v>
      </c>
      <c r="AJ956">
        <f t="shared" ca="1" si="148"/>
        <v>0</v>
      </c>
    </row>
    <row r="957" spans="28:36" x14ac:dyDescent="0.3">
      <c r="AB957">
        <f t="shared" si="141"/>
        <v>1</v>
      </c>
      <c r="AC957">
        <f t="shared" si="142"/>
        <v>2</v>
      </c>
      <c r="AD957">
        <f t="shared" si="143"/>
        <v>0</v>
      </c>
      <c r="AE957">
        <f t="shared" si="144"/>
        <v>2</v>
      </c>
      <c r="AF957">
        <f t="shared" si="145"/>
        <v>3</v>
      </c>
      <c r="AG957">
        <f t="shared" si="146"/>
        <v>8</v>
      </c>
      <c r="AH957">
        <f t="shared" ca="1" si="147"/>
        <v>0</v>
      </c>
      <c r="AI957">
        <f>IF(ROW($AA957) - $AA$51 &lt; ($H$16+1)^5, IF(AG957 &gt;= BaseBonus!$C$16, AG957*BaseBonus!$E$31, 0), "")</f>
        <v>7.5124286503406372</v>
      </c>
      <c r="AJ957">
        <f t="shared" ca="1" si="148"/>
        <v>0</v>
      </c>
    </row>
    <row r="958" spans="28:36" x14ac:dyDescent="0.3">
      <c r="AB958">
        <f t="shared" si="141"/>
        <v>2</v>
      </c>
      <c r="AC958">
        <f t="shared" si="142"/>
        <v>2</v>
      </c>
      <c r="AD958">
        <f t="shared" si="143"/>
        <v>0</v>
      </c>
      <c r="AE958">
        <f t="shared" si="144"/>
        <v>2</v>
      </c>
      <c r="AF958">
        <f t="shared" si="145"/>
        <v>3</v>
      </c>
      <c r="AG958">
        <f t="shared" si="146"/>
        <v>9</v>
      </c>
      <c r="AH958">
        <f t="shared" ca="1" si="147"/>
        <v>0</v>
      </c>
      <c r="AI958">
        <f>IF(ROW($AA958) - $AA$51 &lt; ($H$16+1)^5, IF(AG958 &gt;= BaseBonus!$C$16, AG958*BaseBonus!$E$31, 0), "")</f>
        <v>8.4514822316332161</v>
      </c>
      <c r="AJ958">
        <f t="shared" ca="1" si="148"/>
        <v>0</v>
      </c>
    </row>
    <row r="959" spans="28:36" x14ac:dyDescent="0.3">
      <c r="AB959">
        <f t="shared" si="141"/>
        <v>3</v>
      </c>
      <c r="AC959">
        <f t="shared" si="142"/>
        <v>2</v>
      </c>
      <c r="AD959">
        <f t="shared" si="143"/>
        <v>0</v>
      </c>
      <c r="AE959">
        <f t="shared" si="144"/>
        <v>2</v>
      </c>
      <c r="AF959">
        <f t="shared" si="145"/>
        <v>3</v>
      </c>
      <c r="AG959">
        <f t="shared" si="146"/>
        <v>10</v>
      </c>
      <c r="AH959">
        <f t="shared" ca="1" si="147"/>
        <v>0</v>
      </c>
      <c r="AI959">
        <f>IF(ROW($AA959) - $AA$51 &lt; ($H$16+1)^5, IF(AG959 &gt;= BaseBonus!$C$16, AG959*BaseBonus!$E$31, 0), "")</f>
        <v>9.3905358129257959</v>
      </c>
      <c r="AJ959">
        <f t="shared" ca="1" si="148"/>
        <v>0</v>
      </c>
    </row>
    <row r="960" spans="28:36" x14ac:dyDescent="0.3">
      <c r="AB960">
        <f t="shared" si="141"/>
        <v>0</v>
      </c>
      <c r="AC960">
        <f t="shared" si="142"/>
        <v>3</v>
      </c>
      <c r="AD960">
        <f t="shared" si="143"/>
        <v>0</v>
      </c>
      <c r="AE960">
        <f t="shared" si="144"/>
        <v>2</v>
      </c>
      <c r="AF960">
        <f t="shared" si="145"/>
        <v>3</v>
      </c>
      <c r="AG960">
        <f t="shared" si="146"/>
        <v>8</v>
      </c>
      <c r="AH960">
        <f t="shared" ca="1" si="147"/>
        <v>0</v>
      </c>
      <c r="AI960">
        <f>IF(ROW($AA960) - $AA$51 &lt; ($H$16+1)^5, IF(AG960 &gt;= BaseBonus!$C$16, AG960*BaseBonus!$E$31, 0), "")</f>
        <v>7.5124286503406372</v>
      </c>
      <c r="AJ960">
        <f t="shared" ca="1" si="148"/>
        <v>0</v>
      </c>
    </row>
    <row r="961" spans="28:36" x14ac:dyDescent="0.3">
      <c r="AB961">
        <f t="shared" si="141"/>
        <v>1</v>
      </c>
      <c r="AC961">
        <f t="shared" si="142"/>
        <v>3</v>
      </c>
      <c r="AD961">
        <f t="shared" si="143"/>
        <v>0</v>
      </c>
      <c r="AE961">
        <f t="shared" si="144"/>
        <v>2</v>
      </c>
      <c r="AF961">
        <f t="shared" si="145"/>
        <v>3</v>
      </c>
      <c r="AG961">
        <f t="shared" si="146"/>
        <v>9</v>
      </c>
      <c r="AH961">
        <f t="shared" ca="1" si="147"/>
        <v>0</v>
      </c>
      <c r="AI961">
        <f>IF(ROW($AA961) - $AA$51 &lt; ($H$16+1)^5, IF(AG961 &gt;= BaseBonus!$C$16, AG961*BaseBonus!$E$31, 0), "")</f>
        <v>8.4514822316332161</v>
      </c>
      <c r="AJ961">
        <f t="shared" ca="1" si="148"/>
        <v>0</v>
      </c>
    </row>
    <row r="962" spans="28:36" x14ac:dyDescent="0.3">
      <c r="AB962">
        <f t="shared" si="141"/>
        <v>2</v>
      </c>
      <c r="AC962">
        <f t="shared" si="142"/>
        <v>3</v>
      </c>
      <c r="AD962">
        <f t="shared" si="143"/>
        <v>0</v>
      </c>
      <c r="AE962">
        <f t="shared" si="144"/>
        <v>2</v>
      </c>
      <c r="AF962">
        <f t="shared" si="145"/>
        <v>3</v>
      </c>
      <c r="AG962">
        <f t="shared" si="146"/>
        <v>10</v>
      </c>
      <c r="AH962">
        <f t="shared" ca="1" si="147"/>
        <v>0</v>
      </c>
      <c r="AI962">
        <f>IF(ROW($AA962) - $AA$51 &lt; ($H$16+1)^5, IF(AG962 &gt;= BaseBonus!$C$16, AG962*BaseBonus!$E$31, 0), "")</f>
        <v>9.3905358129257959</v>
      </c>
      <c r="AJ962">
        <f t="shared" ca="1" si="148"/>
        <v>0</v>
      </c>
    </row>
    <row r="963" spans="28:36" x14ac:dyDescent="0.3">
      <c r="AB963">
        <f t="shared" si="141"/>
        <v>3</v>
      </c>
      <c r="AC963">
        <f t="shared" si="142"/>
        <v>3</v>
      </c>
      <c r="AD963">
        <f t="shared" si="143"/>
        <v>0</v>
      </c>
      <c r="AE963">
        <f t="shared" si="144"/>
        <v>2</v>
      </c>
      <c r="AF963">
        <f t="shared" si="145"/>
        <v>3</v>
      </c>
      <c r="AG963">
        <f t="shared" si="146"/>
        <v>11</v>
      </c>
      <c r="AH963">
        <f t="shared" ca="1" si="147"/>
        <v>0</v>
      </c>
      <c r="AI963">
        <f>IF(ROW($AA963) - $AA$51 &lt; ($H$16+1)^5, IF(AG963 &gt;= BaseBonus!$C$16, AG963*BaseBonus!$E$31, 0), "")</f>
        <v>10.329589394218376</v>
      </c>
      <c r="AJ963">
        <f t="shared" ca="1" si="148"/>
        <v>0</v>
      </c>
    </row>
    <row r="964" spans="28:36" x14ac:dyDescent="0.3">
      <c r="AB964">
        <f t="shared" si="141"/>
        <v>0</v>
      </c>
      <c r="AC964">
        <f t="shared" si="142"/>
        <v>0</v>
      </c>
      <c r="AD964">
        <f t="shared" si="143"/>
        <v>1</v>
      </c>
      <c r="AE964">
        <f t="shared" si="144"/>
        <v>2</v>
      </c>
      <c r="AF964">
        <f t="shared" si="145"/>
        <v>3</v>
      </c>
      <c r="AG964">
        <f t="shared" si="146"/>
        <v>6</v>
      </c>
      <c r="AH964">
        <f t="shared" ca="1" si="147"/>
        <v>0</v>
      </c>
      <c r="AI964">
        <f>IF(ROW($AA964) - $AA$51 &lt; ($H$16+1)^5, IF(AG964 &gt;= BaseBonus!$C$16, AG964*BaseBonus!$E$31, 0), "")</f>
        <v>5.6343214877554777</v>
      </c>
      <c r="AJ964">
        <f t="shared" ca="1" si="148"/>
        <v>0</v>
      </c>
    </row>
    <row r="965" spans="28:36" x14ac:dyDescent="0.3">
      <c r="AB965">
        <f t="shared" si="141"/>
        <v>1</v>
      </c>
      <c r="AC965">
        <f t="shared" si="142"/>
        <v>0</v>
      </c>
      <c r="AD965">
        <f t="shared" si="143"/>
        <v>1</v>
      </c>
      <c r="AE965">
        <f t="shared" si="144"/>
        <v>2</v>
      </c>
      <c r="AF965">
        <f t="shared" si="145"/>
        <v>3</v>
      </c>
      <c r="AG965">
        <f t="shared" si="146"/>
        <v>7</v>
      </c>
      <c r="AH965">
        <f t="shared" ca="1" si="147"/>
        <v>0</v>
      </c>
      <c r="AI965">
        <f>IF(ROW($AA965) - $AA$51 &lt; ($H$16+1)^5, IF(AG965 &gt;= BaseBonus!$C$16, AG965*BaseBonus!$E$31, 0), "")</f>
        <v>6.5733750690480575</v>
      </c>
      <c r="AJ965">
        <f t="shared" ca="1" si="148"/>
        <v>0</v>
      </c>
    </row>
    <row r="966" spans="28:36" x14ac:dyDescent="0.3">
      <c r="AB966">
        <f t="shared" si="141"/>
        <v>2</v>
      </c>
      <c r="AC966">
        <f t="shared" si="142"/>
        <v>0</v>
      </c>
      <c r="AD966">
        <f t="shared" si="143"/>
        <v>1</v>
      </c>
      <c r="AE966">
        <f t="shared" si="144"/>
        <v>2</v>
      </c>
      <c r="AF966">
        <f t="shared" si="145"/>
        <v>3</v>
      </c>
      <c r="AG966">
        <f t="shared" si="146"/>
        <v>8</v>
      </c>
      <c r="AH966">
        <f t="shared" ca="1" si="147"/>
        <v>0</v>
      </c>
      <c r="AI966">
        <f>IF(ROW($AA966) - $AA$51 &lt; ($H$16+1)^5, IF(AG966 &gt;= BaseBonus!$C$16, AG966*BaseBonus!$E$31, 0), "")</f>
        <v>7.5124286503406372</v>
      </c>
      <c r="AJ966">
        <f t="shared" ca="1" si="148"/>
        <v>0</v>
      </c>
    </row>
    <row r="967" spans="28:36" x14ac:dyDescent="0.3">
      <c r="AB967">
        <f t="shared" si="141"/>
        <v>3</v>
      </c>
      <c r="AC967">
        <f t="shared" si="142"/>
        <v>0</v>
      </c>
      <c r="AD967">
        <f t="shared" si="143"/>
        <v>1</v>
      </c>
      <c r="AE967">
        <f t="shared" si="144"/>
        <v>2</v>
      </c>
      <c r="AF967">
        <f t="shared" si="145"/>
        <v>3</v>
      </c>
      <c r="AG967">
        <f t="shared" si="146"/>
        <v>9</v>
      </c>
      <c r="AH967">
        <f t="shared" ca="1" si="147"/>
        <v>0</v>
      </c>
      <c r="AI967">
        <f>IF(ROW($AA967) - $AA$51 &lt; ($H$16+1)^5, IF(AG967 &gt;= BaseBonus!$C$16, AG967*BaseBonus!$E$31, 0), "")</f>
        <v>8.4514822316332161</v>
      </c>
      <c r="AJ967">
        <f t="shared" ca="1" si="148"/>
        <v>0</v>
      </c>
    </row>
    <row r="968" spans="28:36" x14ac:dyDescent="0.3">
      <c r="AB968">
        <f t="shared" si="141"/>
        <v>0</v>
      </c>
      <c r="AC968">
        <f t="shared" si="142"/>
        <v>1</v>
      </c>
      <c r="AD968">
        <f t="shared" si="143"/>
        <v>1</v>
      </c>
      <c r="AE968">
        <f t="shared" si="144"/>
        <v>2</v>
      </c>
      <c r="AF968">
        <f t="shared" si="145"/>
        <v>3</v>
      </c>
      <c r="AG968">
        <f t="shared" si="146"/>
        <v>7</v>
      </c>
      <c r="AH968">
        <f t="shared" ca="1" si="147"/>
        <v>0</v>
      </c>
      <c r="AI968">
        <f>IF(ROW($AA968) - $AA$51 &lt; ($H$16+1)^5, IF(AG968 &gt;= BaseBonus!$C$16, AG968*BaseBonus!$E$31, 0), "")</f>
        <v>6.5733750690480575</v>
      </c>
      <c r="AJ968">
        <f t="shared" ca="1" si="148"/>
        <v>0</v>
      </c>
    </row>
    <row r="969" spans="28:36" x14ac:dyDescent="0.3">
      <c r="AB969">
        <f t="shared" si="141"/>
        <v>1</v>
      </c>
      <c r="AC969">
        <f t="shared" si="142"/>
        <v>1</v>
      </c>
      <c r="AD969">
        <f t="shared" si="143"/>
        <v>1</v>
      </c>
      <c r="AE969">
        <f t="shared" si="144"/>
        <v>2</v>
      </c>
      <c r="AF969">
        <f t="shared" si="145"/>
        <v>3</v>
      </c>
      <c r="AG969">
        <f t="shared" si="146"/>
        <v>8</v>
      </c>
      <c r="AH969">
        <f t="shared" ca="1" si="147"/>
        <v>0</v>
      </c>
      <c r="AI969">
        <f>IF(ROW($AA969) - $AA$51 &lt; ($H$16+1)^5, IF(AG969 &gt;= BaseBonus!$C$16, AG969*BaseBonus!$E$31, 0), "")</f>
        <v>7.5124286503406372</v>
      </c>
      <c r="AJ969">
        <f t="shared" ca="1" si="148"/>
        <v>0</v>
      </c>
    </row>
    <row r="970" spans="28:36" x14ac:dyDescent="0.3">
      <c r="AB970">
        <f t="shared" si="141"/>
        <v>2</v>
      </c>
      <c r="AC970">
        <f t="shared" si="142"/>
        <v>1</v>
      </c>
      <c r="AD970">
        <f t="shared" si="143"/>
        <v>1</v>
      </c>
      <c r="AE970">
        <f t="shared" si="144"/>
        <v>2</v>
      </c>
      <c r="AF970">
        <f t="shared" si="145"/>
        <v>3</v>
      </c>
      <c r="AG970">
        <f t="shared" si="146"/>
        <v>9</v>
      </c>
      <c r="AH970">
        <f t="shared" ca="1" si="147"/>
        <v>0</v>
      </c>
      <c r="AI970">
        <f>IF(ROW($AA970) - $AA$51 &lt; ($H$16+1)^5, IF(AG970 &gt;= BaseBonus!$C$16, AG970*BaseBonus!$E$31, 0), "")</f>
        <v>8.4514822316332161</v>
      </c>
      <c r="AJ970">
        <f t="shared" ca="1" si="148"/>
        <v>0</v>
      </c>
    </row>
    <row r="971" spans="28:36" x14ac:dyDescent="0.3">
      <c r="AB971">
        <f t="shared" si="141"/>
        <v>3</v>
      </c>
      <c r="AC971">
        <f t="shared" si="142"/>
        <v>1</v>
      </c>
      <c r="AD971">
        <f t="shared" si="143"/>
        <v>1</v>
      </c>
      <c r="AE971">
        <f t="shared" si="144"/>
        <v>2</v>
      </c>
      <c r="AF971">
        <f t="shared" si="145"/>
        <v>3</v>
      </c>
      <c r="AG971">
        <f t="shared" si="146"/>
        <v>10</v>
      </c>
      <c r="AH971">
        <f t="shared" ca="1" si="147"/>
        <v>0</v>
      </c>
      <c r="AI971">
        <f>IF(ROW($AA971) - $AA$51 &lt; ($H$16+1)^5, IF(AG971 &gt;= BaseBonus!$C$16, AG971*BaseBonus!$E$31, 0), "")</f>
        <v>9.3905358129257959</v>
      </c>
      <c r="AJ971">
        <f t="shared" ca="1" si="148"/>
        <v>0</v>
      </c>
    </row>
    <row r="972" spans="28:36" x14ac:dyDescent="0.3">
      <c r="AB972">
        <f t="shared" si="141"/>
        <v>0</v>
      </c>
      <c r="AC972">
        <f t="shared" si="142"/>
        <v>2</v>
      </c>
      <c r="AD972">
        <f t="shared" si="143"/>
        <v>1</v>
      </c>
      <c r="AE972">
        <f t="shared" si="144"/>
        <v>2</v>
      </c>
      <c r="AF972">
        <f t="shared" si="145"/>
        <v>3</v>
      </c>
      <c r="AG972">
        <f t="shared" si="146"/>
        <v>8</v>
      </c>
      <c r="AH972">
        <f t="shared" ca="1" si="147"/>
        <v>0</v>
      </c>
      <c r="AI972">
        <f>IF(ROW($AA972) - $AA$51 &lt; ($H$16+1)^5, IF(AG972 &gt;= BaseBonus!$C$16, AG972*BaseBonus!$E$31, 0), "")</f>
        <v>7.5124286503406372</v>
      </c>
      <c r="AJ972">
        <f t="shared" ca="1" si="148"/>
        <v>0</v>
      </c>
    </row>
    <row r="973" spans="28:36" x14ac:dyDescent="0.3">
      <c r="AB973">
        <f t="shared" si="141"/>
        <v>1</v>
      </c>
      <c r="AC973">
        <f t="shared" si="142"/>
        <v>2</v>
      </c>
      <c r="AD973">
        <f t="shared" si="143"/>
        <v>1</v>
      </c>
      <c r="AE973">
        <f t="shared" si="144"/>
        <v>2</v>
      </c>
      <c r="AF973">
        <f t="shared" si="145"/>
        <v>3</v>
      </c>
      <c r="AG973">
        <f t="shared" si="146"/>
        <v>9</v>
      </c>
      <c r="AH973">
        <f t="shared" ca="1" si="147"/>
        <v>0</v>
      </c>
      <c r="AI973">
        <f>IF(ROW($AA973) - $AA$51 &lt; ($H$16+1)^5, IF(AG973 &gt;= BaseBonus!$C$16, AG973*BaseBonus!$E$31, 0), "")</f>
        <v>8.4514822316332161</v>
      </c>
      <c r="AJ973">
        <f t="shared" ca="1" si="148"/>
        <v>0</v>
      </c>
    </row>
    <row r="974" spans="28:36" x14ac:dyDescent="0.3">
      <c r="AB974">
        <f t="shared" si="141"/>
        <v>2</v>
      </c>
      <c r="AC974">
        <f t="shared" si="142"/>
        <v>2</v>
      </c>
      <c r="AD974">
        <f t="shared" si="143"/>
        <v>1</v>
      </c>
      <c r="AE974">
        <f t="shared" si="144"/>
        <v>2</v>
      </c>
      <c r="AF974">
        <f t="shared" si="145"/>
        <v>3</v>
      </c>
      <c r="AG974">
        <f t="shared" si="146"/>
        <v>10</v>
      </c>
      <c r="AH974">
        <f t="shared" ca="1" si="147"/>
        <v>0</v>
      </c>
      <c r="AI974">
        <f>IF(ROW($AA974) - $AA$51 &lt; ($H$16+1)^5, IF(AG974 &gt;= BaseBonus!$C$16, AG974*BaseBonus!$E$31, 0), "")</f>
        <v>9.3905358129257959</v>
      </c>
      <c r="AJ974">
        <f t="shared" ca="1" si="148"/>
        <v>0</v>
      </c>
    </row>
    <row r="975" spans="28:36" x14ac:dyDescent="0.3">
      <c r="AB975">
        <f t="shared" si="141"/>
        <v>3</v>
      </c>
      <c r="AC975">
        <f t="shared" si="142"/>
        <v>2</v>
      </c>
      <c r="AD975">
        <f t="shared" si="143"/>
        <v>1</v>
      </c>
      <c r="AE975">
        <f t="shared" si="144"/>
        <v>2</v>
      </c>
      <c r="AF975">
        <f t="shared" si="145"/>
        <v>3</v>
      </c>
      <c r="AG975">
        <f t="shared" si="146"/>
        <v>11</v>
      </c>
      <c r="AH975">
        <f t="shared" ca="1" si="147"/>
        <v>0</v>
      </c>
      <c r="AI975">
        <f>IF(ROW($AA975) - $AA$51 &lt; ($H$16+1)^5, IF(AG975 &gt;= BaseBonus!$C$16, AG975*BaseBonus!$E$31, 0), "")</f>
        <v>10.329589394218376</v>
      </c>
      <c r="AJ975">
        <f t="shared" ca="1" si="148"/>
        <v>0</v>
      </c>
    </row>
    <row r="976" spans="28:36" x14ac:dyDescent="0.3">
      <c r="AB976">
        <f t="shared" si="141"/>
        <v>0</v>
      </c>
      <c r="AC976">
        <f t="shared" si="142"/>
        <v>3</v>
      </c>
      <c r="AD976">
        <f t="shared" si="143"/>
        <v>1</v>
      </c>
      <c r="AE976">
        <f t="shared" si="144"/>
        <v>2</v>
      </c>
      <c r="AF976">
        <f t="shared" si="145"/>
        <v>3</v>
      </c>
      <c r="AG976">
        <f t="shared" si="146"/>
        <v>9</v>
      </c>
      <c r="AH976">
        <f t="shared" ca="1" si="147"/>
        <v>0</v>
      </c>
      <c r="AI976">
        <f>IF(ROW($AA976) - $AA$51 &lt; ($H$16+1)^5, IF(AG976 &gt;= BaseBonus!$C$16, AG976*BaseBonus!$E$31, 0), "")</f>
        <v>8.4514822316332161</v>
      </c>
      <c r="AJ976">
        <f t="shared" ca="1" si="148"/>
        <v>0</v>
      </c>
    </row>
    <row r="977" spans="28:36" x14ac:dyDescent="0.3">
      <c r="AB977">
        <f t="shared" si="141"/>
        <v>1</v>
      </c>
      <c r="AC977">
        <f t="shared" si="142"/>
        <v>3</v>
      </c>
      <c r="AD977">
        <f t="shared" si="143"/>
        <v>1</v>
      </c>
      <c r="AE977">
        <f t="shared" si="144"/>
        <v>2</v>
      </c>
      <c r="AF977">
        <f t="shared" si="145"/>
        <v>3</v>
      </c>
      <c r="AG977">
        <f t="shared" si="146"/>
        <v>10</v>
      </c>
      <c r="AH977">
        <f t="shared" ca="1" si="147"/>
        <v>0</v>
      </c>
      <c r="AI977">
        <f>IF(ROW($AA977) - $AA$51 &lt; ($H$16+1)^5, IF(AG977 &gt;= BaseBonus!$C$16, AG977*BaseBonus!$E$31, 0), "")</f>
        <v>9.3905358129257959</v>
      </c>
      <c r="AJ977">
        <f t="shared" ca="1" si="148"/>
        <v>0</v>
      </c>
    </row>
    <row r="978" spans="28:36" x14ac:dyDescent="0.3">
      <c r="AB978">
        <f t="shared" si="141"/>
        <v>2</v>
      </c>
      <c r="AC978">
        <f t="shared" si="142"/>
        <v>3</v>
      </c>
      <c r="AD978">
        <f t="shared" si="143"/>
        <v>1</v>
      </c>
      <c r="AE978">
        <f t="shared" si="144"/>
        <v>2</v>
      </c>
      <c r="AF978">
        <f t="shared" si="145"/>
        <v>3</v>
      </c>
      <c r="AG978">
        <f t="shared" si="146"/>
        <v>11</v>
      </c>
      <c r="AH978">
        <f t="shared" ca="1" si="147"/>
        <v>0</v>
      </c>
      <c r="AI978">
        <f>IF(ROW($AA978) - $AA$51 &lt; ($H$16+1)^5, IF(AG978 &gt;= BaseBonus!$C$16, AG978*BaseBonus!$E$31, 0), "")</f>
        <v>10.329589394218376</v>
      </c>
      <c r="AJ978">
        <f t="shared" ca="1" si="148"/>
        <v>0</v>
      </c>
    </row>
    <row r="979" spans="28:36" x14ac:dyDescent="0.3">
      <c r="AB979">
        <f t="shared" si="141"/>
        <v>3</v>
      </c>
      <c r="AC979">
        <f t="shared" si="142"/>
        <v>3</v>
      </c>
      <c r="AD979">
        <f t="shared" si="143"/>
        <v>1</v>
      </c>
      <c r="AE979">
        <f t="shared" si="144"/>
        <v>2</v>
      </c>
      <c r="AF979">
        <f t="shared" si="145"/>
        <v>3</v>
      </c>
      <c r="AG979">
        <f t="shared" si="146"/>
        <v>12</v>
      </c>
      <c r="AH979">
        <f t="shared" ca="1" si="147"/>
        <v>0</v>
      </c>
      <c r="AI979">
        <f>IF(ROW($AA979) - $AA$51 &lt; ($H$16+1)^5, IF(AG979 &gt;= BaseBonus!$C$16, AG979*BaseBonus!$E$31, 0), "")</f>
        <v>11.268642975510955</v>
      </c>
      <c r="AJ979">
        <f t="shared" ca="1" si="148"/>
        <v>0</v>
      </c>
    </row>
    <row r="980" spans="28:36" x14ac:dyDescent="0.3">
      <c r="AB980">
        <f t="shared" si="141"/>
        <v>0</v>
      </c>
      <c r="AC980">
        <f t="shared" si="142"/>
        <v>0</v>
      </c>
      <c r="AD980">
        <f t="shared" si="143"/>
        <v>2</v>
      </c>
      <c r="AE980">
        <f t="shared" si="144"/>
        <v>2</v>
      </c>
      <c r="AF980">
        <f t="shared" si="145"/>
        <v>3</v>
      </c>
      <c r="AG980">
        <f t="shared" si="146"/>
        <v>7</v>
      </c>
      <c r="AH980">
        <f t="shared" ca="1" si="147"/>
        <v>0</v>
      </c>
      <c r="AI980">
        <f>IF(ROW($AA980) - $AA$51 &lt; ($H$16+1)^5, IF(AG980 &gt;= BaseBonus!$C$16, AG980*BaseBonus!$E$31, 0), "")</f>
        <v>6.5733750690480575</v>
      </c>
      <c r="AJ980">
        <f t="shared" ca="1" si="148"/>
        <v>0</v>
      </c>
    </row>
    <row r="981" spans="28:36" x14ac:dyDescent="0.3">
      <c r="AB981">
        <f t="shared" si="141"/>
        <v>1</v>
      </c>
      <c r="AC981">
        <f t="shared" si="142"/>
        <v>0</v>
      </c>
      <c r="AD981">
        <f t="shared" si="143"/>
        <v>2</v>
      </c>
      <c r="AE981">
        <f t="shared" si="144"/>
        <v>2</v>
      </c>
      <c r="AF981">
        <f t="shared" si="145"/>
        <v>3</v>
      </c>
      <c r="AG981">
        <f t="shared" si="146"/>
        <v>8</v>
      </c>
      <c r="AH981">
        <f t="shared" ca="1" si="147"/>
        <v>0</v>
      </c>
      <c r="AI981">
        <f>IF(ROW($AA981) - $AA$51 &lt; ($H$16+1)^5, IF(AG981 &gt;= BaseBonus!$C$16, AG981*BaseBonus!$E$31, 0), "")</f>
        <v>7.5124286503406372</v>
      </c>
      <c r="AJ981">
        <f t="shared" ca="1" si="148"/>
        <v>0</v>
      </c>
    </row>
    <row r="982" spans="28:36" x14ac:dyDescent="0.3">
      <c r="AB982">
        <f t="shared" si="141"/>
        <v>2</v>
      </c>
      <c r="AC982">
        <f t="shared" si="142"/>
        <v>0</v>
      </c>
      <c r="AD982">
        <f t="shared" si="143"/>
        <v>2</v>
      </c>
      <c r="AE982">
        <f t="shared" si="144"/>
        <v>2</v>
      </c>
      <c r="AF982">
        <f t="shared" si="145"/>
        <v>3</v>
      </c>
      <c r="AG982">
        <f t="shared" si="146"/>
        <v>9</v>
      </c>
      <c r="AH982">
        <f t="shared" ca="1" si="147"/>
        <v>0</v>
      </c>
      <c r="AI982">
        <f>IF(ROW($AA982) - $AA$51 &lt; ($H$16+1)^5, IF(AG982 &gt;= BaseBonus!$C$16, AG982*BaseBonus!$E$31, 0), "")</f>
        <v>8.4514822316332161</v>
      </c>
      <c r="AJ982">
        <f t="shared" ca="1" si="148"/>
        <v>0</v>
      </c>
    </row>
    <row r="983" spans="28:36" x14ac:dyDescent="0.3">
      <c r="AB983">
        <f t="shared" si="141"/>
        <v>3</v>
      </c>
      <c r="AC983">
        <f t="shared" si="142"/>
        <v>0</v>
      </c>
      <c r="AD983">
        <f t="shared" si="143"/>
        <v>2</v>
      </c>
      <c r="AE983">
        <f t="shared" si="144"/>
        <v>2</v>
      </c>
      <c r="AF983">
        <f t="shared" si="145"/>
        <v>3</v>
      </c>
      <c r="AG983">
        <f t="shared" si="146"/>
        <v>10</v>
      </c>
      <c r="AH983">
        <f t="shared" ca="1" si="147"/>
        <v>0</v>
      </c>
      <c r="AI983">
        <f>IF(ROW($AA983) - $AA$51 &lt; ($H$16+1)^5, IF(AG983 &gt;= BaseBonus!$C$16, AG983*BaseBonus!$E$31, 0), "")</f>
        <v>9.3905358129257959</v>
      </c>
      <c r="AJ983">
        <f t="shared" ca="1" si="148"/>
        <v>0</v>
      </c>
    </row>
    <row r="984" spans="28:36" x14ac:dyDescent="0.3">
      <c r="AB984">
        <f t="shared" si="141"/>
        <v>0</v>
      </c>
      <c r="AC984">
        <f t="shared" si="142"/>
        <v>1</v>
      </c>
      <c r="AD984">
        <f t="shared" si="143"/>
        <v>2</v>
      </c>
      <c r="AE984">
        <f t="shared" si="144"/>
        <v>2</v>
      </c>
      <c r="AF984">
        <f t="shared" si="145"/>
        <v>3</v>
      </c>
      <c r="AG984">
        <f t="shared" si="146"/>
        <v>8</v>
      </c>
      <c r="AH984">
        <f t="shared" ca="1" si="147"/>
        <v>0</v>
      </c>
      <c r="AI984">
        <f>IF(ROW($AA984) - $AA$51 &lt; ($H$16+1)^5, IF(AG984 &gt;= BaseBonus!$C$16, AG984*BaseBonus!$E$31, 0), "")</f>
        <v>7.5124286503406372</v>
      </c>
      <c r="AJ984">
        <f t="shared" ca="1" si="148"/>
        <v>0</v>
      </c>
    </row>
    <row r="985" spans="28:36" x14ac:dyDescent="0.3">
      <c r="AB985">
        <f t="shared" si="141"/>
        <v>1</v>
      </c>
      <c r="AC985">
        <f t="shared" si="142"/>
        <v>1</v>
      </c>
      <c r="AD985">
        <f t="shared" si="143"/>
        <v>2</v>
      </c>
      <c r="AE985">
        <f t="shared" si="144"/>
        <v>2</v>
      </c>
      <c r="AF985">
        <f t="shared" si="145"/>
        <v>3</v>
      </c>
      <c r="AG985">
        <f t="shared" si="146"/>
        <v>9</v>
      </c>
      <c r="AH985">
        <f t="shared" ca="1" si="147"/>
        <v>0</v>
      </c>
      <c r="AI985">
        <f>IF(ROW($AA985) - $AA$51 &lt; ($H$16+1)^5, IF(AG985 &gt;= BaseBonus!$C$16, AG985*BaseBonus!$E$31, 0), "")</f>
        <v>8.4514822316332161</v>
      </c>
      <c r="AJ985">
        <f t="shared" ca="1" si="148"/>
        <v>0</v>
      </c>
    </row>
    <row r="986" spans="28:36" x14ac:dyDescent="0.3">
      <c r="AB986">
        <f t="shared" si="141"/>
        <v>2</v>
      </c>
      <c r="AC986">
        <f t="shared" si="142"/>
        <v>1</v>
      </c>
      <c r="AD986">
        <f t="shared" si="143"/>
        <v>2</v>
      </c>
      <c r="AE986">
        <f t="shared" si="144"/>
        <v>2</v>
      </c>
      <c r="AF986">
        <f t="shared" si="145"/>
        <v>3</v>
      </c>
      <c r="AG986">
        <f t="shared" si="146"/>
        <v>10</v>
      </c>
      <c r="AH986">
        <f t="shared" ca="1" si="147"/>
        <v>0</v>
      </c>
      <c r="AI986">
        <f>IF(ROW($AA986) - $AA$51 &lt; ($H$16+1)^5, IF(AG986 &gt;= BaseBonus!$C$16, AG986*BaseBonus!$E$31, 0), "")</f>
        <v>9.3905358129257959</v>
      </c>
      <c r="AJ986">
        <f t="shared" ca="1" si="148"/>
        <v>0</v>
      </c>
    </row>
    <row r="987" spans="28:36" x14ac:dyDescent="0.3">
      <c r="AB987">
        <f t="shared" si="141"/>
        <v>3</v>
      </c>
      <c r="AC987">
        <f t="shared" si="142"/>
        <v>1</v>
      </c>
      <c r="AD987">
        <f t="shared" si="143"/>
        <v>2</v>
      </c>
      <c r="AE987">
        <f t="shared" si="144"/>
        <v>2</v>
      </c>
      <c r="AF987">
        <f t="shared" si="145"/>
        <v>3</v>
      </c>
      <c r="AG987">
        <f t="shared" si="146"/>
        <v>11</v>
      </c>
      <c r="AH987">
        <f t="shared" ca="1" si="147"/>
        <v>0</v>
      </c>
      <c r="AI987">
        <f>IF(ROW($AA987) - $AA$51 &lt; ($H$16+1)^5, IF(AG987 &gt;= BaseBonus!$C$16, AG987*BaseBonus!$E$31, 0), "")</f>
        <v>10.329589394218376</v>
      </c>
      <c r="AJ987">
        <f t="shared" ca="1" si="148"/>
        <v>0</v>
      </c>
    </row>
    <row r="988" spans="28:36" x14ac:dyDescent="0.3">
      <c r="AB988">
        <f t="shared" si="141"/>
        <v>0</v>
      </c>
      <c r="AC988">
        <f t="shared" si="142"/>
        <v>2</v>
      </c>
      <c r="AD988">
        <f t="shared" si="143"/>
        <v>2</v>
      </c>
      <c r="AE988">
        <f t="shared" si="144"/>
        <v>2</v>
      </c>
      <c r="AF988">
        <f t="shared" si="145"/>
        <v>3</v>
      </c>
      <c r="AG988">
        <f t="shared" si="146"/>
        <v>9</v>
      </c>
      <c r="AH988">
        <f t="shared" ca="1" si="147"/>
        <v>0</v>
      </c>
      <c r="AI988">
        <f>IF(ROW($AA988) - $AA$51 &lt; ($H$16+1)^5, IF(AG988 &gt;= BaseBonus!$C$16, AG988*BaseBonus!$E$31, 0), "")</f>
        <v>8.4514822316332161</v>
      </c>
      <c r="AJ988">
        <f t="shared" ca="1" si="148"/>
        <v>0</v>
      </c>
    </row>
    <row r="989" spans="28:36" x14ac:dyDescent="0.3">
      <c r="AB989">
        <f t="shared" si="141"/>
        <v>1</v>
      </c>
      <c r="AC989">
        <f t="shared" si="142"/>
        <v>2</v>
      </c>
      <c r="AD989">
        <f t="shared" si="143"/>
        <v>2</v>
      </c>
      <c r="AE989">
        <f t="shared" si="144"/>
        <v>2</v>
      </c>
      <c r="AF989">
        <f t="shared" si="145"/>
        <v>3</v>
      </c>
      <c r="AG989">
        <f t="shared" si="146"/>
        <v>10</v>
      </c>
      <c r="AH989">
        <f t="shared" ca="1" si="147"/>
        <v>0</v>
      </c>
      <c r="AI989">
        <f>IF(ROW($AA989) - $AA$51 &lt; ($H$16+1)^5, IF(AG989 &gt;= BaseBonus!$C$16, AG989*BaseBonus!$E$31, 0), "")</f>
        <v>9.3905358129257959</v>
      </c>
      <c r="AJ989">
        <f t="shared" ca="1" si="148"/>
        <v>0</v>
      </c>
    </row>
    <row r="990" spans="28:36" x14ac:dyDescent="0.3">
      <c r="AB990">
        <f t="shared" si="141"/>
        <v>2</v>
      </c>
      <c r="AC990">
        <f t="shared" si="142"/>
        <v>2</v>
      </c>
      <c r="AD990">
        <f t="shared" si="143"/>
        <v>2</v>
      </c>
      <c r="AE990">
        <f t="shared" si="144"/>
        <v>2</v>
      </c>
      <c r="AF990">
        <f t="shared" si="145"/>
        <v>3</v>
      </c>
      <c r="AG990">
        <f t="shared" si="146"/>
        <v>11</v>
      </c>
      <c r="AH990">
        <f t="shared" ca="1" si="147"/>
        <v>0</v>
      </c>
      <c r="AI990">
        <f>IF(ROW($AA990) - $AA$51 &lt; ($H$16+1)^5, IF(AG990 &gt;= BaseBonus!$C$16, AG990*BaseBonus!$E$31, 0), "")</f>
        <v>10.329589394218376</v>
      </c>
      <c r="AJ990">
        <f t="shared" ca="1" si="148"/>
        <v>0</v>
      </c>
    </row>
    <row r="991" spans="28:36" x14ac:dyDescent="0.3">
      <c r="AB991">
        <f t="shared" si="141"/>
        <v>3</v>
      </c>
      <c r="AC991">
        <f t="shared" si="142"/>
        <v>2</v>
      </c>
      <c r="AD991">
        <f t="shared" si="143"/>
        <v>2</v>
      </c>
      <c r="AE991">
        <f t="shared" si="144"/>
        <v>2</v>
      </c>
      <c r="AF991">
        <f t="shared" si="145"/>
        <v>3</v>
      </c>
      <c r="AG991">
        <f t="shared" si="146"/>
        <v>12</v>
      </c>
      <c r="AH991">
        <f t="shared" ca="1" si="147"/>
        <v>0</v>
      </c>
      <c r="AI991">
        <f>IF(ROW($AA991) - $AA$51 &lt; ($H$16+1)^5, IF(AG991 &gt;= BaseBonus!$C$16, AG991*BaseBonus!$E$31, 0), "")</f>
        <v>11.268642975510955</v>
      </c>
      <c r="AJ991">
        <f t="shared" ca="1" si="148"/>
        <v>0</v>
      </c>
    </row>
    <row r="992" spans="28:36" x14ac:dyDescent="0.3">
      <c r="AB992">
        <f t="shared" si="141"/>
        <v>0</v>
      </c>
      <c r="AC992">
        <f t="shared" si="142"/>
        <v>3</v>
      </c>
      <c r="AD992">
        <f t="shared" si="143"/>
        <v>2</v>
      </c>
      <c r="AE992">
        <f t="shared" si="144"/>
        <v>2</v>
      </c>
      <c r="AF992">
        <f t="shared" si="145"/>
        <v>3</v>
      </c>
      <c r="AG992">
        <f t="shared" si="146"/>
        <v>10</v>
      </c>
      <c r="AH992">
        <f t="shared" ca="1" si="147"/>
        <v>0</v>
      </c>
      <c r="AI992">
        <f>IF(ROW($AA992) - $AA$51 &lt; ($H$16+1)^5, IF(AG992 &gt;= BaseBonus!$C$16, AG992*BaseBonus!$E$31, 0), "")</f>
        <v>9.3905358129257959</v>
      </c>
      <c r="AJ992">
        <f t="shared" ca="1" si="148"/>
        <v>0</v>
      </c>
    </row>
    <row r="993" spans="28:36" x14ac:dyDescent="0.3">
      <c r="AB993">
        <f t="shared" si="141"/>
        <v>1</v>
      </c>
      <c r="AC993">
        <f t="shared" si="142"/>
        <v>3</v>
      </c>
      <c r="AD993">
        <f t="shared" si="143"/>
        <v>2</v>
      </c>
      <c r="AE993">
        <f t="shared" si="144"/>
        <v>2</v>
      </c>
      <c r="AF993">
        <f t="shared" si="145"/>
        <v>3</v>
      </c>
      <c r="AG993">
        <f t="shared" si="146"/>
        <v>11</v>
      </c>
      <c r="AH993">
        <f t="shared" ca="1" si="147"/>
        <v>0</v>
      </c>
      <c r="AI993">
        <f>IF(ROW($AA993) - $AA$51 &lt; ($H$16+1)^5, IF(AG993 &gt;= BaseBonus!$C$16, AG993*BaseBonus!$E$31, 0), "")</f>
        <v>10.329589394218376</v>
      </c>
      <c r="AJ993">
        <f t="shared" ca="1" si="148"/>
        <v>0</v>
      </c>
    </row>
    <row r="994" spans="28:36" x14ac:dyDescent="0.3">
      <c r="AB994">
        <f t="shared" si="141"/>
        <v>2</v>
      </c>
      <c r="AC994">
        <f t="shared" si="142"/>
        <v>3</v>
      </c>
      <c r="AD994">
        <f t="shared" si="143"/>
        <v>2</v>
      </c>
      <c r="AE994">
        <f t="shared" si="144"/>
        <v>2</v>
      </c>
      <c r="AF994">
        <f t="shared" si="145"/>
        <v>3</v>
      </c>
      <c r="AG994">
        <f t="shared" si="146"/>
        <v>12</v>
      </c>
      <c r="AH994">
        <f t="shared" ca="1" si="147"/>
        <v>0</v>
      </c>
      <c r="AI994">
        <f>IF(ROW($AA994) - $AA$51 &lt; ($H$16+1)^5, IF(AG994 &gt;= BaseBonus!$C$16, AG994*BaseBonus!$E$31, 0), "")</f>
        <v>11.268642975510955</v>
      </c>
      <c r="AJ994">
        <f t="shared" ca="1" si="148"/>
        <v>0</v>
      </c>
    </row>
    <row r="995" spans="28:36" x14ac:dyDescent="0.3">
      <c r="AB995">
        <f t="shared" si="141"/>
        <v>3</v>
      </c>
      <c r="AC995">
        <f t="shared" si="142"/>
        <v>3</v>
      </c>
      <c r="AD995">
        <f t="shared" si="143"/>
        <v>2</v>
      </c>
      <c r="AE995">
        <f t="shared" si="144"/>
        <v>2</v>
      </c>
      <c r="AF995">
        <f t="shared" si="145"/>
        <v>3</v>
      </c>
      <c r="AG995">
        <f t="shared" si="146"/>
        <v>13</v>
      </c>
      <c r="AH995">
        <f t="shared" ca="1" si="147"/>
        <v>0</v>
      </c>
      <c r="AI995">
        <f>IF(ROW($AA995) - $AA$51 &lt; ($H$16+1)^5, IF(AG995 &gt;= BaseBonus!$C$16, AG995*BaseBonus!$E$31, 0), "")</f>
        <v>12.207696556803535</v>
      </c>
      <c r="AJ995">
        <f t="shared" ca="1" si="148"/>
        <v>0</v>
      </c>
    </row>
    <row r="996" spans="28:36" x14ac:dyDescent="0.3">
      <c r="AB996">
        <f t="shared" si="141"/>
        <v>0</v>
      </c>
      <c r="AC996">
        <f t="shared" si="142"/>
        <v>0</v>
      </c>
      <c r="AD996">
        <f t="shared" si="143"/>
        <v>3</v>
      </c>
      <c r="AE996">
        <f t="shared" si="144"/>
        <v>2</v>
      </c>
      <c r="AF996">
        <f t="shared" si="145"/>
        <v>3</v>
      </c>
      <c r="AG996">
        <f t="shared" si="146"/>
        <v>8</v>
      </c>
      <c r="AH996">
        <f t="shared" ca="1" si="147"/>
        <v>0</v>
      </c>
      <c r="AI996">
        <f>IF(ROW($AA996) - $AA$51 &lt; ($H$16+1)^5, IF(AG996 &gt;= BaseBonus!$C$16, AG996*BaseBonus!$E$31, 0), "")</f>
        <v>7.5124286503406372</v>
      </c>
      <c r="AJ996">
        <f t="shared" ca="1" si="148"/>
        <v>0</v>
      </c>
    </row>
    <row r="997" spans="28:36" x14ac:dyDescent="0.3">
      <c r="AB997">
        <f t="shared" si="141"/>
        <v>1</v>
      </c>
      <c r="AC997">
        <f t="shared" si="142"/>
        <v>0</v>
      </c>
      <c r="AD997">
        <f t="shared" si="143"/>
        <v>3</v>
      </c>
      <c r="AE997">
        <f t="shared" si="144"/>
        <v>2</v>
      </c>
      <c r="AF997">
        <f t="shared" si="145"/>
        <v>3</v>
      </c>
      <c r="AG997">
        <f t="shared" si="146"/>
        <v>9</v>
      </c>
      <c r="AH997">
        <f t="shared" ca="1" si="147"/>
        <v>0</v>
      </c>
      <c r="AI997">
        <f>IF(ROW($AA997) - $AA$51 &lt; ($H$16+1)^5, IF(AG997 &gt;= BaseBonus!$C$16, AG997*BaseBonus!$E$31, 0), "")</f>
        <v>8.4514822316332161</v>
      </c>
      <c r="AJ997">
        <f t="shared" ca="1" si="148"/>
        <v>0</v>
      </c>
    </row>
    <row r="998" spans="28:36" x14ac:dyDescent="0.3">
      <c r="AB998">
        <f t="shared" si="141"/>
        <v>2</v>
      </c>
      <c r="AC998">
        <f t="shared" si="142"/>
        <v>0</v>
      </c>
      <c r="AD998">
        <f t="shared" si="143"/>
        <v>3</v>
      </c>
      <c r="AE998">
        <f t="shared" si="144"/>
        <v>2</v>
      </c>
      <c r="AF998">
        <f t="shared" si="145"/>
        <v>3</v>
      </c>
      <c r="AG998">
        <f t="shared" si="146"/>
        <v>10</v>
      </c>
      <c r="AH998">
        <f t="shared" ca="1" si="147"/>
        <v>0</v>
      </c>
      <c r="AI998">
        <f>IF(ROW($AA998) - $AA$51 &lt; ($H$16+1)^5, IF(AG998 &gt;= BaseBonus!$C$16, AG998*BaseBonus!$E$31, 0), "")</f>
        <v>9.3905358129257959</v>
      </c>
      <c r="AJ998">
        <f t="shared" ca="1" si="148"/>
        <v>0</v>
      </c>
    </row>
    <row r="999" spans="28:36" x14ac:dyDescent="0.3">
      <c r="AB999">
        <f t="shared" si="141"/>
        <v>3</v>
      </c>
      <c r="AC999">
        <f t="shared" si="142"/>
        <v>0</v>
      </c>
      <c r="AD999">
        <f t="shared" si="143"/>
        <v>3</v>
      </c>
      <c r="AE999">
        <f t="shared" si="144"/>
        <v>2</v>
      </c>
      <c r="AF999">
        <f t="shared" si="145"/>
        <v>3</v>
      </c>
      <c r="AG999">
        <f t="shared" si="146"/>
        <v>11</v>
      </c>
      <c r="AH999">
        <f t="shared" ca="1" si="147"/>
        <v>0</v>
      </c>
      <c r="AI999">
        <f>IF(ROW($AA999) - $AA$51 &lt; ($H$16+1)^5, IF(AG999 &gt;= BaseBonus!$C$16, AG999*BaseBonus!$E$31, 0), "")</f>
        <v>10.329589394218376</v>
      </c>
      <c r="AJ999">
        <f t="shared" ca="1" si="148"/>
        <v>0</v>
      </c>
    </row>
    <row r="1000" spans="28:36" x14ac:dyDescent="0.3">
      <c r="AB1000">
        <f t="shared" si="141"/>
        <v>0</v>
      </c>
      <c r="AC1000">
        <f t="shared" si="142"/>
        <v>1</v>
      </c>
      <c r="AD1000">
        <f t="shared" si="143"/>
        <v>3</v>
      </c>
      <c r="AE1000">
        <f t="shared" si="144"/>
        <v>2</v>
      </c>
      <c r="AF1000">
        <f t="shared" si="145"/>
        <v>3</v>
      </c>
      <c r="AG1000">
        <f t="shared" si="146"/>
        <v>9</v>
      </c>
      <c r="AH1000">
        <f t="shared" ca="1" si="147"/>
        <v>0</v>
      </c>
      <c r="AI1000">
        <f>IF(ROW($AA1000) - $AA$51 &lt; ($H$16+1)^5, IF(AG1000 &gt;= BaseBonus!$C$16, AG1000*BaseBonus!$E$31, 0), "")</f>
        <v>8.4514822316332161</v>
      </c>
      <c r="AJ1000">
        <f t="shared" ca="1" si="148"/>
        <v>0</v>
      </c>
    </row>
    <row r="1001" spans="28:36" x14ac:dyDescent="0.3">
      <c r="AB1001">
        <f t="shared" si="141"/>
        <v>1</v>
      </c>
      <c r="AC1001">
        <f t="shared" si="142"/>
        <v>1</v>
      </c>
      <c r="AD1001">
        <f t="shared" si="143"/>
        <v>3</v>
      </c>
      <c r="AE1001">
        <f t="shared" si="144"/>
        <v>2</v>
      </c>
      <c r="AF1001">
        <f t="shared" si="145"/>
        <v>3</v>
      </c>
      <c r="AG1001">
        <f t="shared" si="146"/>
        <v>10</v>
      </c>
      <c r="AH1001">
        <f t="shared" ca="1" si="147"/>
        <v>0</v>
      </c>
      <c r="AI1001">
        <f>IF(ROW($AA1001) - $AA$51 &lt; ($H$16+1)^5, IF(AG1001 &gt;= BaseBonus!$C$16, AG1001*BaseBonus!$E$31, 0), "")</f>
        <v>9.3905358129257959</v>
      </c>
      <c r="AJ1001">
        <f t="shared" ca="1" si="148"/>
        <v>0</v>
      </c>
    </row>
    <row r="1002" spans="28:36" x14ac:dyDescent="0.3">
      <c r="AB1002">
        <f t="shared" si="141"/>
        <v>2</v>
      </c>
      <c r="AC1002">
        <f t="shared" si="142"/>
        <v>1</v>
      </c>
      <c r="AD1002">
        <f t="shared" si="143"/>
        <v>3</v>
      </c>
      <c r="AE1002">
        <f t="shared" si="144"/>
        <v>2</v>
      </c>
      <c r="AF1002">
        <f t="shared" si="145"/>
        <v>3</v>
      </c>
      <c r="AG1002">
        <f t="shared" si="146"/>
        <v>11</v>
      </c>
      <c r="AH1002">
        <f t="shared" ca="1" si="147"/>
        <v>0</v>
      </c>
      <c r="AI1002">
        <f>IF(ROW($AA1002) - $AA$51 &lt; ($H$16+1)^5, IF(AG1002 &gt;= BaseBonus!$C$16, AG1002*BaseBonus!$E$31, 0), "")</f>
        <v>10.329589394218376</v>
      </c>
      <c r="AJ1002">
        <f t="shared" ca="1" si="148"/>
        <v>0</v>
      </c>
    </row>
    <row r="1003" spans="28:36" x14ac:dyDescent="0.3">
      <c r="AB1003">
        <f t="shared" si="141"/>
        <v>3</v>
      </c>
      <c r="AC1003">
        <f t="shared" si="142"/>
        <v>1</v>
      </c>
      <c r="AD1003">
        <f t="shared" si="143"/>
        <v>3</v>
      </c>
      <c r="AE1003">
        <f t="shared" si="144"/>
        <v>2</v>
      </c>
      <c r="AF1003">
        <f t="shared" si="145"/>
        <v>3</v>
      </c>
      <c r="AG1003">
        <f t="shared" si="146"/>
        <v>12</v>
      </c>
      <c r="AH1003">
        <f t="shared" ca="1" si="147"/>
        <v>0</v>
      </c>
      <c r="AI1003">
        <f>IF(ROW($AA1003) - $AA$51 &lt; ($H$16+1)^5, IF(AG1003 &gt;= BaseBonus!$C$16, AG1003*BaseBonus!$E$31, 0), "")</f>
        <v>11.268642975510955</v>
      </c>
      <c r="AJ1003">
        <f t="shared" ca="1" si="148"/>
        <v>0</v>
      </c>
    </row>
    <row r="1004" spans="28:36" x14ac:dyDescent="0.3">
      <c r="AB1004">
        <f t="shared" si="141"/>
        <v>0</v>
      </c>
      <c r="AC1004">
        <f t="shared" si="142"/>
        <v>2</v>
      </c>
      <c r="AD1004">
        <f t="shared" si="143"/>
        <v>3</v>
      </c>
      <c r="AE1004">
        <f t="shared" si="144"/>
        <v>2</v>
      </c>
      <c r="AF1004">
        <f t="shared" si="145"/>
        <v>3</v>
      </c>
      <c r="AG1004">
        <f t="shared" si="146"/>
        <v>10</v>
      </c>
      <c r="AH1004">
        <f t="shared" ca="1" si="147"/>
        <v>0</v>
      </c>
      <c r="AI1004">
        <f>IF(ROW($AA1004) - $AA$51 &lt; ($H$16+1)^5, IF(AG1004 &gt;= BaseBonus!$C$16, AG1004*BaseBonus!$E$31, 0), "")</f>
        <v>9.3905358129257959</v>
      </c>
      <c r="AJ1004">
        <f t="shared" ca="1" si="148"/>
        <v>0</v>
      </c>
    </row>
    <row r="1005" spans="28:36" x14ac:dyDescent="0.3">
      <c r="AB1005">
        <f t="shared" si="141"/>
        <v>1</v>
      </c>
      <c r="AC1005">
        <f t="shared" si="142"/>
        <v>2</v>
      </c>
      <c r="AD1005">
        <f t="shared" si="143"/>
        <v>3</v>
      </c>
      <c r="AE1005">
        <f t="shared" si="144"/>
        <v>2</v>
      </c>
      <c r="AF1005">
        <f t="shared" si="145"/>
        <v>3</v>
      </c>
      <c r="AG1005">
        <f t="shared" si="146"/>
        <v>11</v>
      </c>
      <c r="AH1005">
        <f t="shared" ca="1" si="147"/>
        <v>0</v>
      </c>
      <c r="AI1005">
        <f>IF(ROW($AA1005) - $AA$51 &lt; ($H$16+1)^5, IF(AG1005 &gt;= BaseBonus!$C$16, AG1005*BaseBonus!$E$31, 0), "")</f>
        <v>10.329589394218376</v>
      </c>
      <c r="AJ1005">
        <f t="shared" ca="1" si="148"/>
        <v>0</v>
      </c>
    </row>
    <row r="1006" spans="28:36" x14ac:dyDescent="0.3">
      <c r="AB1006">
        <f t="shared" si="141"/>
        <v>2</v>
      </c>
      <c r="AC1006">
        <f t="shared" si="142"/>
        <v>2</v>
      </c>
      <c r="AD1006">
        <f t="shared" si="143"/>
        <v>3</v>
      </c>
      <c r="AE1006">
        <f t="shared" si="144"/>
        <v>2</v>
      </c>
      <c r="AF1006">
        <f t="shared" si="145"/>
        <v>3</v>
      </c>
      <c r="AG1006">
        <f t="shared" si="146"/>
        <v>12</v>
      </c>
      <c r="AH1006">
        <f t="shared" ca="1" si="147"/>
        <v>0</v>
      </c>
      <c r="AI1006">
        <f>IF(ROW($AA1006) - $AA$51 &lt; ($H$16+1)^5, IF(AG1006 &gt;= BaseBonus!$C$16, AG1006*BaseBonus!$E$31, 0), "")</f>
        <v>11.268642975510955</v>
      </c>
      <c r="AJ1006">
        <f t="shared" ca="1" si="148"/>
        <v>0</v>
      </c>
    </row>
    <row r="1007" spans="28:36" x14ac:dyDescent="0.3">
      <c r="AB1007">
        <f t="shared" si="141"/>
        <v>3</v>
      </c>
      <c r="AC1007">
        <f t="shared" si="142"/>
        <v>2</v>
      </c>
      <c r="AD1007">
        <f t="shared" si="143"/>
        <v>3</v>
      </c>
      <c r="AE1007">
        <f t="shared" si="144"/>
        <v>2</v>
      </c>
      <c r="AF1007">
        <f t="shared" si="145"/>
        <v>3</v>
      </c>
      <c r="AG1007">
        <f t="shared" si="146"/>
        <v>13</v>
      </c>
      <c r="AH1007">
        <f t="shared" ca="1" si="147"/>
        <v>0</v>
      </c>
      <c r="AI1007">
        <f>IF(ROW($AA1007) - $AA$51 &lt; ($H$16+1)^5, IF(AG1007 &gt;= BaseBonus!$C$16, AG1007*BaseBonus!$E$31, 0), "")</f>
        <v>12.207696556803535</v>
      </c>
      <c r="AJ1007">
        <f t="shared" ca="1" si="148"/>
        <v>0</v>
      </c>
    </row>
    <row r="1008" spans="28:36" x14ac:dyDescent="0.3">
      <c r="AB1008">
        <f t="shared" si="141"/>
        <v>0</v>
      </c>
      <c r="AC1008">
        <f t="shared" si="142"/>
        <v>3</v>
      </c>
      <c r="AD1008">
        <f t="shared" si="143"/>
        <v>3</v>
      </c>
      <c r="AE1008">
        <f t="shared" si="144"/>
        <v>2</v>
      </c>
      <c r="AF1008">
        <f t="shared" si="145"/>
        <v>3</v>
      </c>
      <c r="AG1008">
        <f t="shared" si="146"/>
        <v>11</v>
      </c>
      <c r="AH1008">
        <f t="shared" ca="1" si="147"/>
        <v>0</v>
      </c>
      <c r="AI1008">
        <f>IF(ROW($AA1008) - $AA$51 &lt; ($H$16+1)^5, IF(AG1008 &gt;= BaseBonus!$C$16, AG1008*BaseBonus!$E$31, 0), "")</f>
        <v>10.329589394218376</v>
      </c>
      <c r="AJ1008">
        <f t="shared" ca="1" si="148"/>
        <v>0</v>
      </c>
    </row>
    <row r="1009" spans="28:36" x14ac:dyDescent="0.3">
      <c r="AB1009">
        <f t="shared" si="141"/>
        <v>1</v>
      </c>
      <c r="AC1009">
        <f t="shared" si="142"/>
        <v>3</v>
      </c>
      <c r="AD1009">
        <f t="shared" si="143"/>
        <v>3</v>
      </c>
      <c r="AE1009">
        <f t="shared" si="144"/>
        <v>2</v>
      </c>
      <c r="AF1009">
        <f t="shared" si="145"/>
        <v>3</v>
      </c>
      <c r="AG1009">
        <f t="shared" si="146"/>
        <v>12</v>
      </c>
      <c r="AH1009">
        <f t="shared" ca="1" si="147"/>
        <v>0</v>
      </c>
      <c r="AI1009">
        <f>IF(ROW($AA1009) - $AA$51 &lt; ($H$16+1)^5, IF(AG1009 &gt;= BaseBonus!$C$16, AG1009*BaseBonus!$E$31, 0), "")</f>
        <v>11.268642975510955</v>
      </c>
      <c r="AJ1009">
        <f t="shared" ca="1" si="148"/>
        <v>0</v>
      </c>
    </row>
    <row r="1010" spans="28:36" x14ac:dyDescent="0.3">
      <c r="AB1010">
        <f t="shared" si="141"/>
        <v>2</v>
      </c>
      <c r="AC1010">
        <f t="shared" si="142"/>
        <v>3</v>
      </c>
      <c r="AD1010">
        <f t="shared" si="143"/>
        <v>3</v>
      </c>
      <c r="AE1010">
        <f t="shared" si="144"/>
        <v>2</v>
      </c>
      <c r="AF1010">
        <f t="shared" si="145"/>
        <v>3</v>
      </c>
      <c r="AG1010">
        <f t="shared" si="146"/>
        <v>13</v>
      </c>
      <c r="AH1010">
        <f t="shared" ca="1" si="147"/>
        <v>0</v>
      </c>
      <c r="AI1010">
        <f>IF(ROW($AA1010) - $AA$51 &lt; ($H$16+1)^5, IF(AG1010 &gt;= BaseBonus!$C$16, AG1010*BaseBonus!$E$31, 0), "")</f>
        <v>12.207696556803535</v>
      </c>
      <c r="AJ1010">
        <f t="shared" ca="1" si="148"/>
        <v>0</v>
      </c>
    </row>
    <row r="1011" spans="28:36" x14ac:dyDescent="0.3">
      <c r="AB1011">
        <f t="shared" si="141"/>
        <v>3</v>
      </c>
      <c r="AC1011">
        <f t="shared" si="142"/>
        <v>3</v>
      </c>
      <c r="AD1011">
        <f t="shared" si="143"/>
        <v>3</v>
      </c>
      <c r="AE1011">
        <f t="shared" si="144"/>
        <v>2</v>
      </c>
      <c r="AF1011">
        <f t="shared" si="145"/>
        <v>3</v>
      </c>
      <c r="AG1011">
        <f t="shared" si="146"/>
        <v>14</v>
      </c>
      <c r="AH1011">
        <f t="shared" ca="1" si="147"/>
        <v>0</v>
      </c>
      <c r="AI1011">
        <f>IF(ROW($AA1011) - $AA$51 &lt; ($H$16+1)^5, IF(AG1011 &gt;= BaseBonus!$C$16, AG1011*BaseBonus!$E$31, 0), "")</f>
        <v>13.146750138096115</v>
      </c>
      <c r="AJ1011">
        <f t="shared" ca="1" si="148"/>
        <v>0</v>
      </c>
    </row>
    <row r="1012" spans="28:36" x14ac:dyDescent="0.3">
      <c r="AB1012">
        <f t="shared" ref="AB1012:AB1075" si="149">IF(ROW()-$AA$51 &lt; (H$16+1)^5, MOD(_xlfn.FLOOR.MATH((ROW()-$AA$51)/AB$50), H$16+1), "")</f>
        <v>0</v>
      </c>
      <c r="AC1012">
        <f t="shared" ref="AC1012:AC1075" si="150">IF(ROW()-$AA$51 &lt; (I$16+1)^5, MOD(_xlfn.FLOOR.MATH((ROW()-$AA$51)/AC$50), I$16+1), "")</f>
        <v>0</v>
      </c>
      <c r="AD1012">
        <f t="shared" ref="AD1012:AD1075" si="151">IF(ROW()-$AA$51 &lt; (J$16+1)^5, MOD(_xlfn.FLOOR.MATH((ROW()-$AA$51)/AD$50), J$16+1), "")</f>
        <v>0</v>
      </c>
      <c r="AE1012">
        <f t="shared" ref="AE1012:AE1075" si="152">IF(ROW()-$AA$51 &lt; (K$16+1)^5, MOD(_xlfn.FLOOR.MATH((ROW()-$AA$51)/AE$50), K$16+1), "")</f>
        <v>3</v>
      </c>
      <c r="AF1012">
        <f t="shared" ref="AF1012:AF1075" si="153">IF(ROW()-$AA$51 &lt; (L$16+1)^5, MOD(_xlfn.FLOOR.MATH((ROW()-$AA$51)/AF$50), L$16+1), "")</f>
        <v>3</v>
      </c>
      <c r="AG1012">
        <f t="shared" ref="AG1012:AG1075" si="154">IF(ROW($AA1012) - $AA$51 &lt; ($H$16+1)^5, SUM(AB1012:AF1012), "")</f>
        <v>6</v>
      </c>
      <c r="AH1012">
        <f t="shared" ref="AH1012:AH1075" ca="1" si="155">IF(ROW($AA1012) - $AA$51 &lt; (4)^5,
    (_xlfn.XLOOKUP(AB1012,$T$51:$T$55,U$51:U$55,0)/U$27) * (_xlfn.XLOOKUP(AC1012,$T$51:$T$55,V$51:V$55,0)/V$27) * (_xlfn.XLOOKUP(AD1012,$T$51:$T$55,W$51:W$55,0)/W$27) * (_xlfn.XLOOKUP(AE1012,$T$51:$T$55,X$51:X$55,0)/X$27) * (_xlfn.XLOOKUP(AF1012,$T$51:$T$55,Y$51:Y$55,0)/Y$27),
"")</f>
        <v>0</v>
      </c>
      <c r="AI1012">
        <f>IF(ROW($AA1012) - $AA$51 &lt; ($H$16+1)^5, IF(AG1012 &gt;= BaseBonus!$C$16, AG1012*BaseBonus!$E$31, 0), "")</f>
        <v>5.6343214877554777</v>
      </c>
      <c r="AJ1012">
        <f t="shared" ref="AJ1012:AJ1075" ca="1" si="156">IF(ROW($AA1012) - $AA$51 &lt; ($H$16+1)^5, AH1012*AI1012, "")</f>
        <v>0</v>
      </c>
    </row>
    <row r="1013" spans="28:36" x14ac:dyDescent="0.3">
      <c r="AB1013">
        <f t="shared" si="149"/>
        <v>1</v>
      </c>
      <c r="AC1013">
        <f t="shared" si="150"/>
        <v>0</v>
      </c>
      <c r="AD1013">
        <f t="shared" si="151"/>
        <v>0</v>
      </c>
      <c r="AE1013">
        <f t="shared" si="152"/>
        <v>3</v>
      </c>
      <c r="AF1013">
        <f t="shared" si="153"/>
        <v>3</v>
      </c>
      <c r="AG1013">
        <f t="shared" si="154"/>
        <v>7</v>
      </c>
      <c r="AH1013">
        <f t="shared" ca="1" si="155"/>
        <v>0</v>
      </c>
      <c r="AI1013">
        <f>IF(ROW($AA1013) - $AA$51 &lt; ($H$16+1)^5, IF(AG1013 &gt;= BaseBonus!$C$16, AG1013*BaseBonus!$E$31, 0), "")</f>
        <v>6.5733750690480575</v>
      </c>
      <c r="AJ1013">
        <f t="shared" ca="1" si="156"/>
        <v>0</v>
      </c>
    </row>
    <row r="1014" spans="28:36" x14ac:dyDescent="0.3">
      <c r="AB1014">
        <f t="shared" si="149"/>
        <v>2</v>
      </c>
      <c r="AC1014">
        <f t="shared" si="150"/>
        <v>0</v>
      </c>
      <c r="AD1014">
        <f t="shared" si="151"/>
        <v>0</v>
      </c>
      <c r="AE1014">
        <f t="shared" si="152"/>
        <v>3</v>
      </c>
      <c r="AF1014">
        <f t="shared" si="153"/>
        <v>3</v>
      </c>
      <c r="AG1014">
        <f t="shared" si="154"/>
        <v>8</v>
      </c>
      <c r="AH1014">
        <f t="shared" ca="1" si="155"/>
        <v>0</v>
      </c>
      <c r="AI1014">
        <f>IF(ROW($AA1014) - $AA$51 &lt; ($H$16+1)^5, IF(AG1014 &gt;= BaseBonus!$C$16, AG1014*BaseBonus!$E$31, 0), "")</f>
        <v>7.5124286503406372</v>
      </c>
      <c r="AJ1014">
        <f t="shared" ca="1" si="156"/>
        <v>0</v>
      </c>
    </row>
    <row r="1015" spans="28:36" x14ac:dyDescent="0.3">
      <c r="AB1015">
        <f t="shared" si="149"/>
        <v>3</v>
      </c>
      <c r="AC1015">
        <f t="shared" si="150"/>
        <v>0</v>
      </c>
      <c r="AD1015">
        <f t="shared" si="151"/>
        <v>0</v>
      </c>
      <c r="AE1015">
        <f t="shared" si="152"/>
        <v>3</v>
      </c>
      <c r="AF1015">
        <f t="shared" si="153"/>
        <v>3</v>
      </c>
      <c r="AG1015">
        <f t="shared" si="154"/>
        <v>9</v>
      </c>
      <c r="AH1015">
        <f t="shared" ca="1" si="155"/>
        <v>0</v>
      </c>
      <c r="AI1015">
        <f>IF(ROW($AA1015) - $AA$51 &lt; ($H$16+1)^5, IF(AG1015 &gt;= BaseBonus!$C$16, AG1015*BaseBonus!$E$31, 0), "")</f>
        <v>8.4514822316332161</v>
      </c>
      <c r="AJ1015">
        <f t="shared" ca="1" si="156"/>
        <v>0</v>
      </c>
    </row>
    <row r="1016" spans="28:36" x14ac:dyDescent="0.3">
      <c r="AB1016">
        <f t="shared" si="149"/>
        <v>0</v>
      </c>
      <c r="AC1016">
        <f t="shared" si="150"/>
        <v>1</v>
      </c>
      <c r="AD1016">
        <f t="shared" si="151"/>
        <v>0</v>
      </c>
      <c r="AE1016">
        <f t="shared" si="152"/>
        <v>3</v>
      </c>
      <c r="AF1016">
        <f t="shared" si="153"/>
        <v>3</v>
      </c>
      <c r="AG1016">
        <f t="shared" si="154"/>
        <v>7</v>
      </c>
      <c r="AH1016">
        <f t="shared" ca="1" si="155"/>
        <v>0</v>
      </c>
      <c r="AI1016">
        <f>IF(ROW($AA1016) - $AA$51 &lt; ($H$16+1)^5, IF(AG1016 &gt;= BaseBonus!$C$16, AG1016*BaseBonus!$E$31, 0), "")</f>
        <v>6.5733750690480575</v>
      </c>
      <c r="AJ1016">
        <f t="shared" ca="1" si="156"/>
        <v>0</v>
      </c>
    </row>
    <row r="1017" spans="28:36" x14ac:dyDescent="0.3">
      <c r="AB1017">
        <f t="shared" si="149"/>
        <v>1</v>
      </c>
      <c r="AC1017">
        <f t="shared" si="150"/>
        <v>1</v>
      </c>
      <c r="AD1017">
        <f t="shared" si="151"/>
        <v>0</v>
      </c>
      <c r="AE1017">
        <f t="shared" si="152"/>
        <v>3</v>
      </c>
      <c r="AF1017">
        <f t="shared" si="153"/>
        <v>3</v>
      </c>
      <c r="AG1017">
        <f t="shared" si="154"/>
        <v>8</v>
      </c>
      <c r="AH1017">
        <f t="shared" ca="1" si="155"/>
        <v>0</v>
      </c>
      <c r="AI1017">
        <f>IF(ROW($AA1017) - $AA$51 &lt; ($H$16+1)^5, IF(AG1017 &gt;= BaseBonus!$C$16, AG1017*BaseBonus!$E$31, 0), "")</f>
        <v>7.5124286503406372</v>
      </c>
      <c r="AJ1017">
        <f t="shared" ca="1" si="156"/>
        <v>0</v>
      </c>
    </row>
    <row r="1018" spans="28:36" x14ac:dyDescent="0.3">
      <c r="AB1018">
        <f t="shared" si="149"/>
        <v>2</v>
      </c>
      <c r="AC1018">
        <f t="shared" si="150"/>
        <v>1</v>
      </c>
      <c r="AD1018">
        <f t="shared" si="151"/>
        <v>0</v>
      </c>
      <c r="AE1018">
        <f t="shared" si="152"/>
        <v>3</v>
      </c>
      <c r="AF1018">
        <f t="shared" si="153"/>
        <v>3</v>
      </c>
      <c r="AG1018">
        <f t="shared" si="154"/>
        <v>9</v>
      </c>
      <c r="AH1018">
        <f t="shared" ca="1" si="155"/>
        <v>0</v>
      </c>
      <c r="AI1018">
        <f>IF(ROW($AA1018) - $AA$51 &lt; ($H$16+1)^5, IF(AG1018 &gt;= BaseBonus!$C$16, AG1018*BaseBonus!$E$31, 0), "")</f>
        <v>8.4514822316332161</v>
      </c>
      <c r="AJ1018">
        <f t="shared" ca="1" si="156"/>
        <v>0</v>
      </c>
    </row>
    <row r="1019" spans="28:36" x14ac:dyDescent="0.3">
      <c r="AB1019">
        <f t="shared" si="149"/>
        <v>3</v>
      </c>
      <c r="AC1019">
        <f t="shared" si="150"/>
        <v>1</v>
      </c>
      <c r="AD1019">
        <f t="shared" si="151"/>
        <v>0</v>
      </c>
      <c r="AE1019">
        <f t="shared" si="152"/>
        <v>3</v>
      </c>
      <c r="AF1019">
        <f t="shared" si="153"/>
        <v>3</v>
      </c>
      <c r="AG1019">
        <f t="shared" si="154"/>
        <v>10</v>
      </c>
      <c r="AH1019">
        <f t="shared" ca="1" si="155"/>
        <v>0</v>
      </c>
      <c r="AI1019">
        <f>IF(ROW($AA1019) - $AA$51 &lt; ($H$16+1)^5, IF(AG1019 &gt;= BaseBonus!$C$16, AG1019*BaseBonus!$E$31, 0), "")</f>
        <v>9.3905358129257959</v>
      </c>
      <c r="AJ1019">
        <f t="shared" ca="1" si="156"/>
        <v>0</v>
      </c>
    </row>
    <row r="1020" spans="28:36" x14ac:dyDescent="0.3">
      <c r="AB1020">
        <f t="shared" si="149"/>
        <v>0</v>
      </c>
      <c r="AC1020">
        <f t="shared" si="150"/>
        <v>2</v>
      </c>
      <c r="AD1020">
        <f t="shared" si="151"/>
        <v>0</v>
      </c>
      <c r="AE1020">
        <f t="shared" si="152"/>
        <v>3</v>
      </c>
      <c r="AF1020">
        <f t="shared" si="153"/>
        <v>3</v>
      </c>
      <c r="AG1020">
        <f t="shared" si="154"/>
        <v>8</v>
      </c>
      <c r="AH1020">
        <f t="shared" ca="1" si="155"/>
        <v>0</v>
      </c>
      <c r="AI1020">
        <f>IF(ROW($AA1020) - $AA$51 &lt; ($H$16+1)^5, IF(AG1020 &gt;= BaseBonus!$C$16, AG1020*BaseBonus!$E$31, 0), "")</f>
        <v>7.5124286503406372</v>
      </c>
      <c r="AJ1020">
        <f t="shared" ca="1" si="156"/>
        <v>0</v>
      </c>
    </row>
    <row r="1021" spans="28:36" x14ac:dyDescent="0.3">
      <c r="AB1021">
        <f t="shared" si="149"/>
        <v>1</v>
      </c>
      <c r="AC1021">
        <f t="shared" si="150"/>
        <v>2</v>
      </c>
      <c r="AD1021">
        <f t="shared" si="151"/>
        <v>0</v>
      </c>
      <c r="AE1021">
        <f t="shared" si="152"/>
        <v>3</v>
      </c>
      <c r="AF1021">
        <f t="shared" si="153"/>
        <v>3</v>
      </c>
      <c r="AG1021">
        <f t="shared" si="154"/>
        <v>9</v>
      </c>
      <c r="AH1021">
        <f t="shared" ca="1" si="155"/>
        <v>0</v>
      </c>
      <c r="AI1021">
        <f>IF(ROW($AA1021) - $AA$51 &lt; ($H$16+1)^5, IF(AG1021 &gt;= BaseBonus!$C$16, AG1021*BaseBonus!$E$31, 0), "")</f>
        <v>8.4514822316332161</v>
      </c>
      <c r="AJ1021">
        <f t="shared" ca="1" si="156"/>
        <v>0</v>
      </c>
    </row>
    <row r="1022" spans="28:36" x14ac:dyDescent="0.3">
      <c r="AB1022">
        <f t="shared" si="149"/>
        <v>2</v>
      </c>
      <c r="AC1022">
        <f t="shared" si="150"/>
        <v>2</v>
      </c>
      <c r="AD1022">
        <f t="shared" si="151"/>
        <v>0</v>
      </c>
      <c r="AE1022">
        <f t="shared" si="152"/>
        <v>3</v>
      </c>
      <c r="AF1022">
        <f t="shared" si="153"/>
        <v>3</v>
      </c>
      <c r="AG1022">
        <f t="shared" si="154"/>
        <v>10</v>
      </c>
      <c r="AH1022">
        <f t="shared" ca="1" si="155"/>
        <v>0</v>
      </c>
      <c r="AI1022">
        <f>IF(ROW($AA1022) - $AA$51 &lt; ($H$16+1)^5, IF(AG1022 &gt;= BaseBonus!$C$16, AG1022*BaseBonus!$E$31, 0), "")</f>
        <v>9.3905358129257959</v>
      </c>
      <c r="AJ1022">
        <f t="shared" ca="1" si="156"/>
        <v>0</v>
      </c>
    </row>
    <row r="1023" spans="28:36" x14ac:dyDescent="0.3">
      <c r="AB1023">
        <f t="shared" si="149"/>
        <v>3</v>
      </c>
      <c r="AC1023">
        <f t="shared" si="150"/>
        <v>2</v>
      </c>
      <c r="AD1023">
        <f t="shared" si="151"/>
        <v>0</v>
      </c>
      <c r="AE1023">
        <f t="shared" si="152"/>
        <v>3</v>
      </c>
      <c r="AF1023">
        <f t="shared" si="153"/>
        <v>3</v>
      </c>
      <c r="AG1023">
        <f t="shared" si="154"/>
        <v>11</v>
      </c>
      <c r="AH1023">
        <f t="shared" ca="1" si="155"/>
        <v>0</v>
      </c>
      <c r="AI1023">
        <f>IF(ROW($AA1023) - $AA$51 &lt; ($H$16+1)^5, IF(AG1023 &gt;= BaseBonus!$C$16, AG1023*BaseBonus!$E$31, 0), "")</f>
        <v>10.329589394218376</v>
      </c>
      <c r="AJ1023">
        <f t="shared" ca="1" si="156"/>
        <v>0</v>
      </c>
    </row>
    <row r="1024" spans="28:36" x14ac:dyDescent="0.3">
      <c r="AB1024">
        <f t="shared" si="149"/>
        <v>0</v>
      </c>
      <c r="AC1024">
        <f t="shared" si="150"/>
        <v>3</v>
      </c>
      <c r="AD1024">
        <f t="shared" si="151"/>
        <v>0</v>
      </c>
      <c r="AE1024">
        <f t="shared" si="152"/>
        <v>3</v>
      </c>
      <c r="AF1024">
        <f t="shared" si="153"/>
        <v>3</v>
      </c>
      <c r="AG1024">
        <f t="shared" si="154"/>
        <v>9</v>
      </c>
      <c r="AH1024">
        <f t="shared" ca="1" si="155"/>
        <v>0</v>
      </c>
      <c r="AI1024">
        <f>IF(ROW($AA1024) - $AA$51 &lt; ($H$16+1)^5, IF(AG1024 &gt;= BaseBonus!$C$16, AG1024*BaseBonus!$E$31, 0), "")</f>
        <v>8.4514822316332161</v>
      </c>
      <c r="AJ1024">
        <f t="shared" ca="1" si="156"/>
        <v>0</v>
      </c>
    </row>
    <row r="1025" spans="28:36" x14ac:dyDescent="0.3">
      <c r="AB1025">
        <f t="shared" si="149"/>
        <v>1</v>
      </c>
      <c r="AC1025">
        <f t="shared" si="150"/>
        <v>3</v>
      </c>
      <c r="AD1025">
        <f t="shared" si="151"/>
        <v>0</v>
      </c>
      <c r="AE1025">
        <f t="shared" si="152"/>
        <v>3</v>
      </c>
      <c r="AF1025">
        <f t="shared" si="153"/>
        <v>3</v>
      </c>
      <c r="AG1025">
        <f t="shared" si="154"/>
        <v>10</v>
      </c>
      <c r="AH1025">
        <f t="shared" ca="1" si="155"/>
        <v>0</v>
      </c>
      <c r="AI1025">
        <f>IF(ROW($AA1025) - $AA$51 &lt; ($H$16+1)^5, IF(AG1025 &gt;= BaseBonus!$C$16, AG1025*BaseBonus!$E$31, 0), "")</f>
        <v>9.3905358129257959</v>
      </c>
      <c r="AJ1025">
        <f t="shared" ca="1" si="156"/>
        <v>0</v>
      </c>
    </row>
    <row r="1026" spans="28:36" x14ac:dyDescent="0.3">
      <c r="AB1026">
        <f t="shared" si="149"/>
        <v>2</v>
      </c>
      <c r="AC1026">
        <f t="shared" si="150"/>
        <v>3</v>
      </c>
      <c r="AD1026">
        <f t="shared" si="151"/>
        <v>0</v>
      </c>
      <c r="AE1026">
        <f t="shared" si="152"/>
        <v>3</v>
      </c>
      <c r="AF1026">
        <f t="shared" si="153"/>
        <v>3</v>
      </c>
      <c r="AG1026">
        <f t="shared" si="154"/>
        <v>11</v>
      </c>
      <c r="AH1026">
        <f t="shared" ca="1" si="155"/>
        <v>0</v>
      </c>
      <c r="AI1026">
        <f>IF(ROW($AA1026) - $AA$51 &lt; ($H$16+1)^5, IF(AG1026 &gt;= BaseBonus!$C$16, AG1026*BaseBonus!$E$31, 0), "")</f>
        <v>10.329589394218376</v>
      </c>
      <c r="AJ1026">
        <f t="shared" ca="1" si="156"/>
        <v>0</v>
      </c>
    </row>
    <row r="1027" spans="28:36" x14ac:dyDescent="0.3">
      <c r="AB1027">
        <f t="shared" si="149"/>
        <v>3</v>
      </c>
      <c r="AC1027">
        <f t="shared" si="150"/>
        <v>3</v>
      </c>
      <c r="AD1027">
        <f t="shared" si="151"/>
        <v>0</v>
      </c>
      <c r="AE1027">
        <f t="shared" si="152"/>
        <v>3</v>
      </c>
      <c r="AF1027">
        <f t="shared" si="153"/>
        <v>3</v>
      </c>
      <c r="AG1027">
        <f t="shared" si="154"/>
        <v>12</v>
      </c>
      <c r="AH1027">
        <f t="shared" ca="1" si="155"/>
        <v>0</v>
      </c>
      <c r="AI1027">
        <f>IF(ROW($AA1027) - $AA$51 &lt; ($H$16+1)^5, IF(AG1027 &gt;= BaseBonus!$C$16, AG1027*BaseBonus!$E$31, 0), "")</f>
        <v>11.268642975510955</v>
      </c>
      <c r="AJ1027">
        <f t="shared" ca="1" si="156"/>
        <v>0</v>
      </c>
    </row>
    <row r="1028" spans="28:36" x14ac:dyDescent="0.3">
      <c r="AB1028">
        <f t="shared" si="149"/>
        <v>0</v>
      </c>
      <c r="AC1028">
        <f t="shared" si="150"/>
        <v>0</v>
      </c>
      <c r="AD1028">
        <f t="shared" si="151"/>
        <v>1</v>
      </c>
      <c r="AE1028">
        <f t="shared" si="152"/>
        <v>3</v>
      </c>
      <c r="AF1028">
        <f t="shared" si="153"/>
        <v>3</v>
      </c>
      <c r="AG1028">
        <f t="shared" si="154"/>
        <v>7</v>
      </c>
      <c r="AH1028">
        <f t="shared" ca="1" si="155"/>
        <v>0</v>
      </c>
      <c r="AI1028">
        <f>IF(ROW($AA1028) - $AA$51 &lt; ($H$16+1)^5, IF(AG1028 &gt;= BaseBonus!$C$16, AG1028*BaseBonus!$E$31, 0), "")</f>
        <v>6.5733750690480575</v>
      </c>
      <c r="AJ1028">
        <f t="shared" ca="1" si="156"/>
        <v>0</v>
      </c>
    </row>
    <row r="1029" spans="28:36" x14ac:dyDescent="0.3">
      <c r="AB1029">
        <f t="shared" si="149"/>
        <v>1</v>
      </c>
      <c r="AC1029">
        <f t="shared" si="150"/>
        <v>0</v>
      </c>
      <c r="AD1029">
        <f t="shared" si="151"/>
        <v>1</v>
      </c>
      <c r="AE1029">
        <f t="shared" si="152"/>
        <v>3</v>
      </c>
      <c r="AF1029">
        <f t="shared" si="153"/>
        <v>3</v>
      </c>
      <c r="AG1029">
        <f t="shared" si="154"/>
        <v>8</v>
      </c>
      <c r="AH1029">
        <f t="shared" ca="1" si="155"/>
        <v>0</v>
      </c>
      <c r="AI1029">
        <f>IF(ROW($AA1029) - $AA$51 &lt; ($H$16+1)^5, IF(AG1029 &gt;= BaseBonus!$C$16, AG1029*BaseBonus!$E$31, 0), "")</f>
        <v>7.5124286503406372</v>
      </c>
      <c r="AJ1029">
        <f t="shared" ca="1" si="156"/>
        <v>0</v>
      </c>
    </row>
    <row r="1030" spans="28:36" x14ac:dyDescent="0.3">
      <c r="AB1030">
        <f t="shared" si="149"/>
        <v>2</v>
      </c>
      <c r="AC1030">
        <f t="shared" si="150"/>
        <v>0</v>
      </c>
      <c r="AD1030">
        <f t="shared" si="151"/>
        <v>1</v>
      </c>
      <c r="AE1030">
        <f t="shared" si="152"/>
        <v>3</v>
      </c>
      <c r="AF1030">
        <f t="shared" si="153"/>
        <v>3</v>
      </c>
      <c r="AG1030">
        <f t="shared" si="154"/>
        <v>9</v>
      </c>
      <c r="AH1030">
        <f t="shared" ca="1" si="155"/>
        <v>0</v>
      </c>
      <c r="AI1030">
        <f>IF(ROW($AA1030) - $AA$51 &lt; ($H$16+1)^5, IF(AG1030 &gt;= BaseBonus!$C$16, AG1030*BaseBonus!$E$31, 0), "")</f>
        <v>8.4514822316332161</v>
      </c>
      <c r="AJ1030">
        <f t="shared" ca="1" si="156"/>
        <v>0</v>
      </c>
    </row>
    <row r="1031" spans="28:36" x14ac:dyDescent="0.3">
      <c r="AB1031">
        <f t="shared" si="149"/>
        <v>3</v>
      </c>
      <c r="AC1031">
        <f t="shared" si="150"/>
        <v>0</v>
      </c>
      <c r="AD1031">
        <f t="shared" si="151"/>
        <v>1</v>
      </c>
      <c r="AE1031">
        <f t="shared" si="152"/>
        <v>3</v>
      </c>
      <c r="AF1031">
        <f t="shared" si="153"/>
        <v>3</v>
      </c>
      <c r="AG1031">
        <f t="shared" si="154"/>
        <v>10</v>
      </c>
      <c r="AH1031">
        <f t="shared" ca="1" si="155"/>
        <v>0</v>
      </c>
      <c r="AI1031">
        <f>IF(ROW($AA1031) - $AA$51 &lt; ($H$16+1)^5, IF(AG1031 &gt;= BaseBonus!$C$16, AG1031*BaseBonus!$E$31, 0), "")</f>
        <v>9.3905358129257959</v>
      </c>
      <c r="AJ1031">
        <f t="shared" ca="1" si="156"/>
        <v>0</v>
      </c>
    </row>
    <row r="1032" spans="28:36" x14ac:dyDescent="0.3">
      <c r="AB1032">
        <f t="shared" si="149"/>
        <v>0</v>
      </c>
      <c r="AC1032">
        <f t="shared" si="150"/>
        <v>1</v>
      </c>
      <c r="AD1032">
        <f t="shared" si="151"/>
        <v>1</v>
      </c>
      <c r="AE1032">
        <f t="shared" si="152"/>
        <v>3</v>
      </c>
      <c r="AF1032">
        <f t="shared" si="153"/>
        <v>3</v>
      </c>
      <c r="AG1032">
        <f t="shared" si="154"/>
        <v>8</v>
      </c>
      <c r="AH1032">
        <f t="shared" ca="1" si="155"/>
        <v>0</v>
      </c>
      <c r="AI1032">
        <f>IF(ROW($AA1032) - $AA$51 &lt; ($H$16+1)^5, IF(AG1032 &gt;= BaseBonus!$C$16, AG1032*BaseBonus!$E$31, 0), "")</f>
        <v>7.5124286503406372</v>
      </c>
      <c r="AJ1032">
        <f t="shared" ca="1" si="156"/>
        <v>0</v>
      </c>
    </row>
    <row r="1033" spans="28:36" x14ac:dyDescent="0.3">
      <c r="AB1033">
        <f t="shared" si="149"/>
        <v>1</v>
      </c>
      <c r="AC1033">
        <f t="shared" si="150"/>
        <v>1</v>
      </c>
      <c r="AD1033">
        <f t="shared" si="151"/>
        <v>1</v>
      </c>
      <c r="AE1033">
        <f t="shared" si="152"/>
        <v>3</v>
      </c>
      <c r="AF1033">
        <f t="shared" si="153"/>
        <v>3</v>
      </c>
      <c r="AG1033">
        <f t="shared" si="154"/>
        <v>9</v>
      </c>
      <c r="AH1033">
        <f t="shared" ca="1" si="155"/>
        <v>0</v>
      </c>
      <c r="AI1033">
        <f>IF(ROW($AA1033) - $AA$51 &lt; ($H$16+1)^5, IF(AG1033 &gt;= BaseBonus!$C$16, AG1033*BaseBonus!$E$31, 0), "")</f>
        <v>8.4514822316332161</v>
      </c>
      <c r="AJ1033">
        <f t="shared" ca="1" si="156"/>
        <v>0</v>
      </c>
    </row>
    <row r="1034" spans="28:36" x14ac:dyDescent="0.3">
      <c r="AB1034">
        <f t="shared" si="149"/>
        <v>2</v>
      </c>
      <c r="AC1034">
        <f t="shared" si="150"/>
        <v>1</v>
      </c>
      <c r="AD1034">
        <f t="shared" si="151"/>
        <v>1</v>
      </c>
      <c r="AE1034">
        <f t="shared" si="152"/>
        <v>3</v>
      </c>
      <c r="AF1034">
        <f t="shared" si="153"/>
        <v>3</v>
      </c>
      <c r="AG1034">
        <f t="shared" si="154"/>
        <v>10</v>
      </c>
      <c r="AH1034">
        <f t="shared" ca="1" si="155"/>
        <v>0</v>
      </c>
      <c r="AI1034">
        <f>IF(ROW($AA1034) - $AA$51 &lt; ($H$16+1)^5, IF(AG1034 &gt;= BaseBonus!$C$16, AG1034*BaseBonus!$E$31, 0), "")</f>
        <v>9.3905358129257959</v>
      </c>
      <c r="AJ1034">
        <f t="shared" ca="1" si="156"/>
        <v>0</v>
      </c>
    </row>
    <row r="1035" spans="28:36" x14ac:dyDescent="0.3">
      <c r="AB1035">
        <f t="shared" si="149"/>
        <v>3</v>
      </c>
      <c r="AC1035">
        <f t="shared" si="150"/>
        <v>1</v>
      </c>
      <c r="AD1035">
        <f t="shared" si="151"/>
        <v>1</v>
      </c>
      <c r="AE1035">
        <f t="shared" si="152"/>
        <v>3</v>
      </c>
      <c r="AF1035">
        <f t="shared" si="153"/>
        <v>3</v>
      </c>
      <c r="AG1035">
        <f t="shared" si="154"/>
        <v>11</v>
      </c>
      <c r="AH1035">
        <f t="shared" ca="1" si="155"/>
        <v>0</v>
      </c>
      <c r="AI1035">
        <f>IF(ROW($AA1035) - $AA$51 &lt; ($H$16+1)^5, IF(AG1035 &gt;= BaseBonus!$C$16, AG1035*BaseBonus!$E$31, 0), "")</f>
        <v>10.329589394218376</v>
      </c>
      <c r="AJ1035">
        <f t="shared" ca="1" si="156"/>
        <v>0</v>
      </c>
    </row>
    <row r="1036" spans="28:36" x14ac:dyDescent="0.3">
      <c r="AB1036">
        <f t="shared" si="149"/>
        <v>0</v>
      </c>
      <c r="AC1036">
        <f t="shared" si="150"/>
        <v>2</v>
      </c>
      <c r="AD1036">
        <f t="shared" si="151"/>
        <v>1</v>
      </c>
      <c r="AE1036">
        <f t="shared" si="152"/>
        <v>3</v>
      </c>
      <c r="AF1036">
        <f t="shared" si="153"/>
        <v>3</v>
      </c>
      <c r="AG1036">
        <f t="shared" si="154"/>
        <v>9</v>
      </c>
      <c r="AH1036">
        <f t="shared" ca="1" si="155"/>
        <v>0</v>
      </c>
      <c r="AI1036">
        <f>IF(ROW($AA1036) - $AA$51 &lt; ($H$16+1)^5, IF(AG1036 &gt;= BaseBonus!$C$16, AG1036*BaseBonus!$E$31, 0), "")</f>
        <v>8.4514822316332161</v>
      </c>
      <c r="AJ1036">
        <f t="shared" ca="1" si="156"/>
        <v>0</v>
      </c>
    </row>
    <row r="1037" spans="28:36" x14ac:dyDescent="0.3">
      <c r="AB1037">
        <f t="shared" si="149"/>
        <v>1</v>
      </c>
      <c r="AC1037">
        <f t="shared" si="150"/>
        <v>2</v>
      </c>
      <c r="AD1037">
        <f t="shared" si="151"/>
        <v>1</v>
      </c>
      <c r="AE1037">
        <f t="shared" si="152"/>
        <v>3</v>
      </c>
      <c r="AF1037">
        <f t="shared" si="153"/>
        <v>3</v>
      </c>
      <c r="AG1037">
        <f t="shared" si="154"/>
        <v>10</v>
      </c>
      <c r="AH1037">
        <f t="shared" ca="1" si="155"/>
        <v>0</v>
      </c>
      <c r="AI1037">
        <f>IF(ROW($AA1037) - $AA$51 &lt; ($H$16+1)^5, IF(AG1037 &gt;= BaseBonus!$C$16, AG1037*BaseBonus!$E$31, 0), "")</f>
        <v>9.3905358129257959</v>
      </c>
      <c r="AJ1037">
        <f t="shared" ca="1" si="156"/>
        <v>0</v>
      </c>
    </row>
    <row r="1038" spans="28:36" x14ac:dyDescent="0.3">
      <c r="AB1038">
        <f t="shared" si="149"/>
        <v>2</v>
      </c>
      <c r="AC1038">
        <f t="shared" si="150"/>
        <v>2</v>
      </c>
      <c r="AD1038">
        <f t="shared" si="151"/>
        <v>1</v>
      </c>
      <c r="AE1038">
        <f t="shared" si="152"/>
        <v>3</v>
      </c>
      <c r="AF1038">
        <f t="shared" si="153"/>
        <v>3</v>
      </c>
      <c r="AG1038">
        <f t="shared" si="154"/>
        <v>11</v>
      </c>
      <c r="AH1038">
        <f t="shared" ca="1" si="155"/>
        <v>0</v>
      </c>
      <c r="AI1038">
        <f>IF(ROW($AA1038) - $AA$51 &lt; ($H$16+1)^5, IF(AG1038 &gt;= BaseBonus!$C$16, AG1038*BaseBonus!$E$31, 0), "")</f>
        <v>10.329589394218376</v>
      </c>
      <c r="AJ1038">
        <f t="shared" ca="1" si="156"/>
        <v>0</v>
      </c>
    </row>
    <row r="1039" spans="28:36" x14ac:dyDescent="0.3">
      <c r="AB1039">
        <f t="shared" si="149"/>
        <v>3</v>
      </c>
      <c r="AC1039">
        <f t="shared" si="150"/>
        <v>2</v>
      </c>
      <c r="AD1039">
        <f t="shared" si="151"/>
        <v>1</v>
      </c>
      <c r="AE1039">
        <f t="shared" si="152"/>
        <v>3</v>
      </c>
      <c r="AF1039">
        <f t="shared" si="153"/>
        <v>3</v>
      </c>
      <c r="AG1039">
        <f t="shared" si="154"/>
        <v>12</v>
      </c>
      <c r="AH1039">
        <f t="shared" ca="1" si="155"/>
        <v>0</v>
      </c>
      <c r="AI1039">
        <f>IF(ROW($AA1039) - $AA$51 &lt; ($H$16+1)^5, IF(AG1039 &gt;= BaseBonus!$C$16, AG1039*BaseBonus!$E$31, 0), "")</f>
        <v>11.268642975510955</v>
      </c>
      <c r="AJ1039">
        <f t="shared" ca="1" si="156"/>
        <v>0</v>
      </c>
    </row>
    <row r="1040" spans="28:36" x14ac:dyDescent="0.3">
      <c r="AB1040">
        <f t="shared" si="149"/>
        <v>0</v>
      </c>
      <c r="AC1040">
        <f t="shared" si="150"/>
        <v>3</v>
      </c>
      <c r="AD1040">
        <f t="shared" si="151"/>
        <v>1</v>
      </c>
      <c r="AE1040">
        <f t="shared" si="152"/>
        <v>3</v>
      </c>
      <c r="AF1040">
        <f t="shared" si="153"/>
        <v>3</v>
      </c>
      <c r="AG1040">
        <f t="shared" si="154"/>
        <v>10</v>
      </c>
      <c r="AH1040">
        <f t="shared" ca="1" si="155"/>
        <v>0</v>
      </c>
      <c r="AI1040">
        <f>IF(ROW($AA1040) - $AA$51 &lt; ($H$16+1)^5, IF(AG1040 &gt;= BaseBonus!$C$16, AG1040*BaseBonus!$E$31, 0), "")</f>
        <v>9.3905358129257959</v>
      </c>
      <c r="AJ1040">
        <f t="shared" ca="1" si="156"/>
        <v>0</v>
      </c>
    </row>
    <row r="1041" spans="28:36" x14ac:dyDescent="0.3">
      <c r="AB1041">
        <f t="shared" si="149"/>
        <v>1</v>
      </c>
      <c r="AC1041">
        <f t="shared" si="150"/>
        <v>3</v>
      </c>
      <c r="AD1041">
        <f t="shared" si="151"/>
        <v>1</v>
      </c>
      <c r="AE1041">
        <f t="shared" si="152"/>
        <v>3</v>
      </c>
      <c r="AF1041">
        <f t="shared" si="153"/>
        <v>3</v>
      </c>
      <c r="AG1041">
        <f t="shared" si="154"/>
        <v>11</v>
      </c>
      <c r="AH1041">
        <f t="shared" ca="1" si="155"/>
        <v>0</v>
      </c>
      <c r="AI1041">
        <f>IF(ROW($AA1041) - $AA$51 &lt; ($H$16+1)^5, IF(AG1041 &gt;= BaseBonus!$C$16, AG1041*BaseBonus!$E$31, 0), "")</f>
        <v>10.329589394218376</v>
      </c>
      <c r="AJ1041">
        <f t="shared" ca="1" si="156"/>
        <v>0</v>
      </c>
    </row>
    <row r="1042" spans="28:36" x14ac:dyDescent="0.3">
      <c r="AB1042">
        <f t="shared" si="149"/>
        <v>2</v>
      </c>
      <c r="AC1042">
        <f t="shared" si="150"/>
        <v>3</v>
      </c>
      <c r="AD1042">
        <f t="shared" si="151"/>
        <v>1</v>
      </c>
      <c r="AE1042">
        <f t="shared" si="152"/>
        <v>3</v>
      </c>
      <c r="AF1042">
        <f t="shared" si="153"/>
        <v>3</v>
      </c>
      <c r="AG1042">
        <f t="shared" si="154"/>
        <v>12</v>
      </c>
      <c r="AH1042">
        <f t="shared" ca="1" si="155"/>
        <v>0</v>
      </c>
      <c r="AI1042">
        <f>IF(ROW($AA1042) - $AA$51 &lt; ($H$16+1)^5, IF(AG1042 &gt;= BaseBonus!$C$16, AG1042*BaseBonus!$E$31, 0), "")</f>
        <v>11.268642975510955</v>
      </c>
      <c r="AJ1042">
        <f t="shared" ca="1" si="156"/>
        <v>0</v>
      </c>
    </row>
    <row r="1043" spans="28:36" x14ac:dyDescent="0.3">
      <c r="AB1043">
        <f t="shared" si="149"/>
        <v>3</v>
      </c>
      <c r="AC1043">
        <f t="shared" si="150"/>
        <v>3</v>
      </c>
      <c r="AD1043">
        <f t="shared" si="151"/>
        <v>1</v>
      </c>
      <c r="AE1043">
        <f t="shared" si="152"/>
        <v>3</v>
      </c>
      <c r="AF1043">
        <f t="shared" si="153"/>
        <v>3</v>
      </c>
      <c r="AG1043">
        <f t="shared" si="154"/>
        <v>13</v>
      </c>
      <c r="AH1043">
        <f t="shared" ca="1" si="155"/>
        <v>0</v>
      </c>
      <c r="AI1043">
        <f>IF(ROW($AA1043) - $AA$51 &lt; ($H$16+1)^5, IF(AG1043 &gt;= BaseBonus!$C$16, AG1043*BaseBonus!$E$31, 0), "")</f>
        <v>12.207696556803535</v>
      </c>
      <c r="AJ1043">
        <f t="shared" ca="1" si="156"/>
        <v>0</v>
      </c>
    </row>
    <row r="1044" spans="28:36" x14ac:dyDescent="0.3">
      <c r="AB1044">
        <f t="shared" si="149"/>
        <v>0</v>
      </c>
      <c r="AC1044">
        <f t="shared" si="150"/>
        <v>0</v>
      </c>
      <c r="AD1044">
        <f t="shared" si="151"/>
        <v>2</v>
      </c>
      <c r="AE1044">
        <f t="shared" si="152"/>
        <v>3</v>
      </c>
      <c r="AF1044">
        <f t="shared" si="153"/>
        <v>3</v>
      </c>
      <c r="AG1044">
        <f t="shared" si="154"/>
        <v>8</v>
      </c>
      <c r="AH1044">
        <f t="shared" ca="1" si="155"/>
        <v>0</v>
      </c>
      <c r="AI1044">
        <f>IF(ROW($AA1044) - $AA$51 &lt; ($H$16+1)^5, IF(AG1044 &gt;= BaseBonus!$C$16, AG1044*BaseBonus!$E$31, 0), "")</f>
        <v>7.5124286503406372</v>
      </c>
      <c r="AJ1044">
        <f t="shared" ca="1" si="156"/>
        <v>0</v>
      </c>
    </row>
    <row r="1045" spans="28:36" x14ac:dyDescent="0.3">
      <c r="AB1045">
        <f t="shared" si="149"/>
        <v>1</v>
      </c>
      <c r="AC1045">
        <f t="shared" si="150"/>
        <v>0</v>
      </c>
      <c r="AD1045">
        <f t="shared" si="151"/>
        <v>2</v>
      </c>
      <c r="AE1045">
        <f t="shared" si="152"/>
        <v>3</v>
      </c>
      <c r="AF1045">
        <f t="shared" si="153"/>
        <v>3</v>
      </c>
      <c r="AG1045">
        <f t="shared" si="154"/>
        <v>9</v>
      </c>
      <c r="AH1045">
        <f t="shared" ca="1" si="155"/>
        <v>0</v>
      </c>
      <c r="AI1045">
        <f>IF(ROW($AA1045) - $AA$51 &lt; ($H$16+1)^5, IF(AG1045 &gt;= BaseBonus!$C$16, AG1045*BaseBonus!$E$31, 0), "")</f>
        <v>8.4514822316332161</v>
      </c>
      <c r="AJ1045">
        <f t="shared" ca="1" si="156"/>
        <v>0</v>
      </c>
    </row>
    <row r="1046" spans="28:36" x14ac:dyDescent="0.3">
      <c r="AB1046">
        <f t="shared" si="149"/>
        <v>2</v>
      </c>
      <c r="AC1046">
        <f t="shared" si="150"/>
        <v>0</v>
      </c>
      <c r="AD1046">
        <f t="shared" si="151"/>
        <v>2</v>
      </c>
      <c r="AE1046">
        <f t="shared" si="152"/>
        <v>3</v>
      </c>
      <c r="AF1046">
        <f t="shared" si="153"/>
        <v>3</v>
      </c>
      <c r="AG1046">
        <f t="shared" si="154"/>
        <v>10</v>
      </c>
      <c r="AH1046">
        <f t="shared" ca="1" si="155"/>
        <v>0</v>
      </c>
      <c r="AI1046">
        <f>IF(ROW($AA1046) - $AA$51 &lt; ($H$16+1)^5, IF(AG1046 &gt;= BaseBonus!$C$16, AG1046*BaseBonus!$E$31, 0), "")</f>
        <v>9.3905358129257959</v>
      </c>
      <c r="AJ1046">
        <f t="shared" ca="1" si="156"/>
        <v>0</v>
      </c>
    </row>
    <row r="1047" spans="28:36" x14ac:dyDescent="0.3">
      <c r="AB1047">
        <f t="shared" si="149"/>
        <v>3</v>
      </c>
      <c r="AC1047">
        <f t="shared" si="150"/>
        <v>0</v>
      </c>
      <c r="AD1047">
        <f t="shared" si="151"/>
        <v>2</v>
      </c>
      <c r="AE1047">
        <f t="shared" si="152"/>
        <v>3</v>
      </c>
      <c r="AF1047">
        <f t="shared" si="153"/>
        <v>3</v>
      </c>
      <c r="AG1047">
        <f t="shared" si="154"/>
        <v>11</v>
      </c>
      <c r="AH1047">
        <f t="shared" ca="1" si="155"/>
        <v>0</v>
      </c>
      <c r="AI1047">
        <f>IF(ROW($AA1047) - $AA$51 &lt; ($H$16+1)^5, IF(AG1047 &gt;= BaseBonus!$C$16, AG1047*BaseBonus!$E$31, 0), "")</f>
        <v>10.329589394218376</v>
      </c>
      <c r="AJ1047">
        <f t="shared" ca="1" si="156"/>
        <v>0</v>
      </c>
    </row>
    <row r="1048" spans="28:36" x14ac:dyDescent="0.3">
      <c r="AB1048">
        <f t="shared" si="149"/>
        <v>0</v>
      </c>
      <c r="AC1048">
        <f t="shared" si="150"/>
        <v>1</v>
      </c>
      <c r="AD1048">
        <f t="shared" si="151"/>
        <v>2</v>
      </c>
      <c r="AE1048">
        <f t="shared" si="152"/>
        <v>3</v>
      </c>
      <c r="AF1048">
        <f t="shared" si="153"/>
        <v>3</v>
      </c>
      <c r="AG1048">
        <f t="shared" si="154"/>
        <v>9</v>
      </c>
      <c r="AH1048">
        <f t="shared" ca="1" si="155"/>
        <v>0</v>
      </c>
      <c r="AI1048">
        <f>IF(ROW($AA1048) - $AA$51 &lt; ($H$16+1)^5, IF(AG1048 &gt;= BaseBonus!$C$16, AG1048*BaseBonus!$E$31, 0), "")</f>
        <v>8.4514822316332161</v>
      </c>
      <c r="AJ1048">
        <f t="shared" ca="1" si="156"/>
        <v>0</v>
      </c>
    </row>
    <row r="1049" spans="28:36" x14ac:dyDescent="0.3">
      <c r="AB1049">
        <f t="shared" si="149"/>
        <v>1</v>
      </c>
      <c r="AC1049">
        <f t="shared" si="150"/>
        <v>1</v>
      </c>
      <c r="AD1049">
        <f t="shared" si="151"/>
        <v>2</v>
      </c>
      <c r="AE1049">
        <f t="shared" si="152"/>
        <v>3</v>
      </c>
      <c r="AF1049">
        <f t="shared" si="153"/>
        <v>3</v>
      </c>
      <c r="AG1049">
        <f t="shared" si="154"/>
        <v>10</v>
      </c>
      <c r="AH1049">
        <f t="shared" ca="1" si="155"/>
        <v>0</v>
      </c>
      <c r="AI1049">
        <f>IF(ROW($AA1049) - $AA$51 &lt; ($H$16+1)^5, IF(AG1049 &gt;= BaseBonus!$C$16, AG1049*BaseBonus!$E$31, 0), "")</f>
        <v>9.3905358129257959</v>
      </c>
      <c r="AJ1049">
        <f t="shared" ca="1" si="156"/>
        <v>0</v>
      </c>
    </row>
    <row r="1050" spans="28:36" x14ac:dyDescent="0.3">
      <c r="AB1050">
        <f t="shared" si="149"/>
        <v>2</v>
      </c>
      <c r="AC1050">
        <f t="shared" si="150"/>
        <v>1</v>
      </c>
      <c r="AD1050">
        <f t="shared" si="151"/>
        <v>2</v>
      </c>
      <c r="AE1050">
        <f t="shared" si="152"/>
        <v>3</v>
      </c>
      <c r="AF1050">
        <f t="shared" si="153"/>
        <v>3</v>
      </c>
      <c r="AG1050">
        <f t="shared" si="154"/>
        <v>11</v>
      </c>
      <c r="AH1050">
        <f t="shared" ca="1" si="155"/>
        <v>0</v>
      </c>
      <c r="AI1050">
        <f>IF(ROW($AA1050) - $AA$51 &lt; ($H$16+1)^5, IF(AG1050 &gt;= BaseBonus!$C$16, AG1050*BaseBonus!$E$31, 0), "")</f>
        <v>10.329589394218376</v>
      </c>
      <c r="AJ1050">
        <f t="shared" ca="1" si="156"/>
        <v>0</v>
      </c>
    </row>
    <row r="1051" spans="28:36" x14ac:dyDescent="0.3">
      <c r="AB1051">
        <f t="shared" si="149"/>
        <v>3</v>
      </c>
      <c r="AC1051">
        <f t="shared" si="150"/>
        <v>1</v>
      </c>
      <c r="AD1051">
        <f t="shared" si="151"/>
        <v>2</v>
      </c>
      <c r="AE1051">
        <f t="shared" si="152"/>
        <v>3</v>
      </c>
      <c r="AF1051">
        <f t="shared" si="153"/>
        <v>3</v>
      </c>
      <c r="AG1051">
        <f t="shared" si="154"/>
        <v>12</v>
      </c>
      <c r="AH1051">
        <f t="shared" ca="1" si="155"/>
        <v>0</v>
      </c>
      <c r="AI1051">
        <f>IF(ROW($AA1051) - $AA$51 &lt; ($H$16+1)^5, IF(AG1051 &gt;= BaseBonus!$C$16, AG1051*BaseBonus!$E$31, 0), "")</f>
        <v>11.268642975510955</v>
      </c>
      <c r="AJ1051">
        <f t="shared" ca="1" si="156"/>
        <v>0</v>
      </c>
    </row>
    <row r="1052" spans="28:36" x14ac:dyDescent="0.3">
      <c r="AB1052">
        <f t="shared" si="149"/>
        <v>0</v>
      </c>
      <c r="AC1052">
        <f t="shared" si="150"/>
        <v>2</v>
      </c>
      <c r="AD1052">
        <f t="shared" si="151"/>
        <v>2</v>
      </c>
      <c r="AE1052">
        <f t="shared" si="152"/>
        <v>3</v>
      </c>
      <c r="AF1052">
        <f t="shared" si="153"/>
        <v>3</v>
      </c>
      <c r="AG1052">
        <f t="shared" si="154"/>
        <v>10</v>
      </c>
      <c r="AH1052">
        <f t="shared" ca="1" si="155"/>
        <v>0</v>
      </c>
      <c r="AI1052">
        <f>IF(ROW($AA1052) - $AA$51 &lt; ($H$16+1)^5, IF(AG1052 &gt;= BaseBonus!$C$16, AG1052*BaseBonus!$E$31, 0), "")</f>
        <v>9.3905358129257959</v>
      </c>
      <c r="AJ1052">
        <f t="shared" ca="1" si="156"/>
        <v>0</v>
      </c>
    </row>
    <row r="1053" spans="28:36" x14ac:dyDescent="0.3">
      <c r="AB1053">
        <f t="shared" si="149"/>
        <v>1</v>
      </c>
      <c r="AC1053">
        <f t="shared" si="150"/>
        <v>2</v>
      </c>
      <c r="AD1053">
        <f t="shared" si="151"/>
        <v>2</v>
      </c>
      <c r="AE1053">
        <f t="shared" si="152"/>
        <v>3</v>
      </c>
      <c r="AF1053">
        <f t="shared" si="153"/>
        <v>3</v>
      </c>
      <c r="AG1053">
        <f t="shared" si="154"/>
        <v>11</v>
      </c>
      <c r="AH1053">
        <f t="shared" ca="1" si="155"/>
        <v>0</v>
      </c>
      <c r="AI1053">
        <f>IF(ROW($AA1053) - $AA$51 &lt; ($H$16+1)^5, IF(AG1053 &gt;= BaseBonus!$C$16, AG1053*BaseBonus!$E$31, 0), "")</f>
        <v>10.329589394218376</v>
      </c>
      <c r="AJ1053">
        <f t="shared" ca="1" si="156"/>
        <v>0</v>
      </c>
    </row>
    <row r="1054" spans="28:36" x14ac:dyDescent="0.3">
      <c r="AB1054">
        <f t="shared" si="149"/>
        <v>2</v>
      </c>
      <c r="AC1054">
        <f t="shared" si="150"/>
        <v>2</v>
      </c>
      <c r="AD1054">
        <f t="shared" si="151"/>
        <v>2</v>
      </c>
      <c r="AE1054">
        <f t="shared" si="152"/>
        <v>3</v>
      </c>
      <c r="AF1054">
        <f t="shared" si="153"/>
        <v>3</v>
      </c>
      <c r="AG1054">
        <f t="shared" si="154"/>
        <v>12</v>
      </c>
      <c r="AH1054">
        <f t="shared" ca="1" si="155"/>
        <v>0</v>
      </c>
      <c r="AI1054">
        <f>IF(ROW($AA1054) - $AA$51 &lt; ($H$16+1)^5, IF(AG1054 &gt;= BaseBonus!$C$16, AG1054*BaseBonus!$E$31, 0), "")</f>
        <v>11.268642975510955</v>
      </c>
      <c r="AJ1054">
        <f t="shared" ca="1" si="156"/>
        <v>0</v>
      </c>
    </row>
    <row r="1055" spans="28:36" x14ac:dyDescent="0.3">
      <c r="AB1055">
        <f t="shared" si="149"/>
        <v>3</v>
      </c>
      <c r="AC1055">
        <f t="shared" si="150"/>
        <v>2</v>
      </c>
      <c r="AD1055">
        <f t="shared" si="151"/>
        <v>2</v>
      </c>
      <c r="AE1055">
        <f t="shared" si="152"/>
        <v>3</v>
      </c>
      <c r="AF1055">
        <f t="shared" si="153"/>
        <v>3</v>
      </c>
      <c r="AG1055">
        <f t="shared" si="154"/>
        <v>13</v>
      </c>
      <c r="AH1055">
        <f t="shared" ca="1" si="155"/>
        <v>0</v>
      </c>
      <c r="AI1055">
        <f>IF(ROW($AA1055) - $AA$51 &lt; ($H$16+1)^5, IF(AG1055 &gt;= BaseBonus!$C$16, AG1055*BaseBonus!$E$31, 0), "")</f>
        <v>12.207696556803535</v>
      </c>
      <c r="AJ1055">
        <f t="shared" ca="1" si="156"/>
        <v>0</v>
      </c>
    </row>
    <row r="1056" spans="28:36" x14ac:dyDescent="0.3">
      <c r="AB1056">
        <f t="shared" si="149"/>
        <v>0</v>
      </c>
      <c r="AC1056">
        <f t="shared" si="150"/>
        <v>3</v>
      </c>
      <c r="AD1056">
        <f t="shared" si="151"/>
        <v>2</v>
      </c>
      <c r="AE1056">
        <f t="shared" si="152"/>
        <v>3</v>
      </c>
      <c r="AF1056">
        <f t="shared" si="153"/>
        <v>3</v>
      </c>
      <c r="AG1056">
        <f t="shared" si="154"/>
        <v>11</v>
      </c>
      <c r="AH1056">
        <f t="shared" ca="1" si="155"/>
        <v>0</v>
      </c>
      <c r="AI1056">
        <f>IF(ROW($AA1056) - $AA$51 &lt; ($H$16+1)^5, IF(AG1056 &gt;= BaseBonus!$C$16, AG1056*BaseBonus!$E$31, 0), "")</f>
        <v>10.329589394218376</v>
      </c>
      <c r="AJ1056">
        <f t="shared" ca="1" si="156"/>
        <v>0</v>
      </c>
    </row>
    <row r="1057" spans="28:36" x14ac:dyDescent="0.3">
      <c r="AB1057">
        <f t="shared" si="149"/>
        <v>1</v>
      </c>
      <c r="AC1057">
        <f t="shared" si="150"/>
        <v>3</v>
      </c>
      <c r="AD1057">
        <f t="shared" si="151"/>
        <v>2</v>
      </c>
      <c r="AE1057">
        <f t="shared" si="152"/>
        <v>3</v>
      </c>
      <c r="AF1057">
        <f t="shared" si="153"/>
        <v>3</v>
      </c>
      <c r="AG1057">
        <f t="shared" si="154"/>
        <v>12</v>
      </c>
      <c r="AH1057">
        <f t="shared" ca="1" si="155"/>
        <v>0</v>
      </c>
      <c r="AI1057">
        <f>IF(ROW($AA1057) - $AA$51 &lt; ($H$16+1)^5, IF(AG1057 &gt;= BaseBonus!$C$16, AG1057*BaseBonus!$E$31, 0), "")</f>
        <v>11.268642975510955</v>
      </c>
      <c r="AJ1057">
        <f t="shared" ca="1" si="156"/>
        <v>0</v>
      </c>
    </row>
    <row r="1058" spans="28:36" x14ac:dyDescent="0.3">
      <c r="AB1058">
        <f t="shared" si="149"/>
        <v>2</v>
      </c>
      <c r="AC1058">
        <f t="shared" si="150"/>
        <v>3</v>
      </c>
      <c r="AD1058">
        <f t="shared" si="151"/>
        <v>2</v>
      </c>
      <c r="AE1058">
        <f t="shared" si="152"/>
        <v>3</v>
      </c>
      <c r="AF1058">
        <f t="shared" si="153"/>
        <v>3</v>
      </c>
      <c r="AG1058">
        <f t="shared" si="154"/>
        <v>13</v>
      </c>
      <c r="AH1058">
        <f t="shared" ca="1" si="155"/>
        <v>0</v>
      </c>
      <c r="AI1058">
        <f>IF(ROW($AA1058) - $AA$51 &lt; ($H$16+1)^5, IF(AG1058 &gt;= BaseBonus!$C$16, AG1058*BaseBonus!$E$31, 0), "")</f>
        <v>12.207696556803535</v>
      </c>
      <c r="AJ1058">
        <f t="shared" ca="1" si="156"/>
        <v>0</v>
      </c>
    </row>
    <row r="1059" spans="28:36" x14ac:dyDescent="0.3">
      <c r="AB1059">
        <f t="shared" si="149"/>
        <v>3</v>
      </c>
      <c r="AC1059">
        <f t="shared" si="150"/>
        <v>3</v>
      </c>
      <c r="AD1059">
        <f t="shared" si="151"/>
        <v>2</v>
      </c>
      <c r="AE1059">
        <f t="shared" si="152"/>
        <v>3</v>
      </c>
      <c r="AF1059">
        <f t="shared" si="153"/>
        <v>3</v>
      </c>
      <c r="AG1059">
        <f t="shared" si="154"/>
        <v>14</v>
      </c>
      <c r="AH1059">
        <f t="shared" ca="1" si="155"/>
        <v>0</v>
      </c>
      <c r="AI1059">
        <f>IF(ROW($AA1059) - $AA$51 &lt; ($H$16+1)^5, IF(AG1059 &gt;= BaseBonus!$C$16, AG1059*BaseBonus!$E$31, 0), "")</f>
        <v>13.146750138096115</v>
      </c>
      <c r="AJ1059">
        <f t="shared" ca="1" si="156"/>
        <v>0</v>
      </c>
    </row>
    <row r="1060" spans="28:36" x14ac:dyDescent="0.3">
      <c r="AB1060">
        <f t="shared" si="149"/>
        <v>0</v>
      </c>
      <c r="AC1060">
        <f t="shared" si="150"/>
        <v>0</v>
      </c>
      <c r="AD1060">
        <f t="shared" si="151"/>
        <v>3</v>
      </c>
      <c r="AE1060">
        <f t="shared" si="152"/>
        <v>3</v>
      </c>
      <c r="AF1060">
        <f t="shared" si="153"/>
        <v>3</v>
      </c>
      <c r="AG1060">
        <f t="shared" si="154"/>
        <v>9</v>
      </c>
      <c r="AH1060">
        <f t="shared" ca="1" si="155"/>
        <v>0</v>
      </c>
      <c r="AI1060">
        <f>IF(ROW($AA1060) - $AA$51 &lt; ($H$16+1)^5, IF(AG1060 &gt;= BaseBonus!$C$16, AG1060*BaseBonus!$E$31, 0), "")</f>
        <v>8.4514822316332161</v>
      </c>
      <c r="AJ1060">
        <f t="shared" ca="1" si="156"/>
        <v>0</v>
      </c>
    </row>
    <row r="1061" spans="28:36" x14ac:dyDescent="0.3">
      <c r="AB1061">
        <f t="shared" si="149"/>
        <v>1</v>
      </c>
      <c r="AC1061">
        <f t="shared" si="150"/>
        <v>0</v>
      </c>
      <c r="AD1061">
        <f t="shared" si="151"/>
        <v>3</v>
      </c>
      <c r="AE1061">
        <f t="shared" si="152"/>
        <v>3</v>
      </c>
      <c r="AF1061">
        <f t="shared" si="153"/>
        <v>3</v>
      </c>
      <c r="AG1061">
        <f t="shared" si="154"/>
        <v>10</v>
      </c>
      <c r="AH1061">
        <f t="shared" ca="1" si="155"/>
        <v>0</v>
      </c>
      <c r="AI1061">
        <f>IF(ROW($AA1061) - $AA$51 &lt; ($H$16+1)^5, IF(AG1061 &gt;= BaseBonus!$C$16, AG1061*BaseBonus!$E$31, 0), "")</f>
        <v>9.3905358129257959</v>
      </c>
      <c r="AJ1061">
        <f t="shared" ca="1" si="156"/>
        <v>0</v>
      </c>
    </row>
    <row r="1062" spans="28:36" x14ac:dyDescent="0.3">
      <c r="AB1062">
        <f t="shared" si="149"/>
        <v>2</v>
      </c>
      <c r="AC1062">
        <f t="shared" si="150"/>
        <v>0</v>
      </c>
      <c r="AD1062">
        <f t="shared" si="151"/>
        <v>3</v>
      </c>
      <c r="AE1062">
        <f t="shared" si="152"/>
        <v>3</v>
      </c>
      <c r="AF1062">
        <f t="shared" si="153"/>
        <v>3</v>
      </c>
      <c r="AG1062">
        <f t="shared" si="154"/>
        <v>11</v>
      </c>
      <c r="AH1062">
        <f t="shared" ca="1" si="155"/>
        <v>0</v>
      </c>
      <c r="AI1062">
        <f>IF(ROW($AA1062) - $AA$51 &lt; ($H$16+1)^5, IF(AG1062 &gt;= BaseBonus!$C$16, AG1062*BaseBonus!$E$31, 0), "")</f>
        <v>10.329589394218376</v>
      </c>
      <c r="AJ1062">
        <f t="shared" ca="1" si="156"/>
        <v>0</v>
      </c>
    </row>
    <row r="1063" spans="28:36" x14ac:dyDescent="0.3">
      <c r="AB1063">
        <f t="shared" si="149"/>
        <v>3</v>
      </c>
      <c r="AC1063">
        <f t="shared" si="150"/>
        <v>0</v>
      </c>
      <c r="AD1063">
        <f t="shared" si="151"/>
        <v>3</v>
      </c>
      <c r="AE1063">
        <f t="shared" si="152"/>
        <v>3</v>
      </c>
      <c r="AF1063">
        <f t="shared" si="153"/>
        <v>3</v>
      </c>
      <c r="AG1063">
        <f t="shared" si="154"/>
        <v>12</v>
      </c>
      <c r="AH1063">
        <f t="shared" ca="1" si="155"/>
        <v>0</v>
      </c>
      <c r="AI1063">
        <f>IF(ROW($AA1063) - $AA$51 &lt; ($H$16+1)^5, IF(AG1063 &gt;= BaseBonus!$C$16, AG1063*BaseBonus!$E$31, 0), "")</f>
        <v>11.268642975510955</v>
      </c>
      <c r="AJ1063">
        <f t="shared" ca="1" si="156"/>
        <v>0</v>
      </c>
    </row>
    <row r="1064" spans="28:36" x14ac:dyDescent="0.3">
      <c r="AB1064">
        <f t="shared" si="149"/>
        <v>0</v>
      </c>
      <c r="AC1064">
        <f t="shared" si="150"/>
        <v>1</v>
      </c>
      <c r="AD1064">
        <f t="shared" si="151"/>
        <v>3</v>
      </c>
      <c r="AE1064">
        <f t="shared" si="152"/>
        <v>3</v>
      </c>
      <c r="AF1064">
        <f t="shared" si="153"/>
        <v>3</v>
      </c>
      <c r="AG1064">
        <f t="shared" si="154"/>
        <v>10</v>
      </c>
      <c r="AH1064">
        <f t="shared" ca="1" si="155"/>
        <v>0</v>
      </c>
      <c r="AI1064">
        <f>IF(ROW($AA1064) - $AA$51 &lt; ($H$16+1)^5, IF(AG1064 &gt;= BaseBonus!$C$16, AG1064*BaseBonus!$E$31, 0), "")</f>
        <v>9.3905358129257959</v>
      </c>
      <c r="AJ1064">
        <f t="shared" ca="1" si="156"/>
        <v>0</v>
      </c>
    </row>
    <row r="1065" spans="28:36" x14ac:dyDescent="0.3">
      <c r="AB1065">
        <f t="shared" si="149"/>
        <v>1</v>
      </c>
      <c r="AC1065">
        <f t="shared" si="150"/>
        <v>1</v>
      </c>
      <c r="AD1065">
        <f t="shared" si="151"/>
        <v>3</v>
      </c>
      <c r="AE1065">
        <f t="shared" si="152"/>
        <v>3</v>
      </c>
      <c r="AF1065">
        <f t="shared" si="153"/>
        <v>3</v>
      </c>
      <c r="AG1065">
        <f t="shared" si="154"/>
        <v>11</v>
      </c>
      <c r="AH1065">
        <f t="shared" ca="1" si="155"/>
        <v>0</v>
      </c>
      <c r="AI1065">
        <f>IF(ROW($AA1065) - $AA$51 &lt; ($H$16+1)^5, IF(AG1065 &gt;= BaseBonus!$C$16, AG1065*BaseBonus!$E$31, 0), "")</f>
        <v>10.329589394218376</v>
      </c>
      <c r="AJ1065">
        <f t="shared" ca="1" si="156"/>
        <v>0</v>
      </c>
    </row>
    <row r="1066" spans="28:36" x14ac:dyDescent="0.3">
      <c r="AB1066">
        <f t="shared" si="149"/>
        <v>2</v>
      </c>
      <c r="AC1066">
        <f t="shared" si="150"/>
        <v>1</v>
      </c>
      <c r="AD1066">
        <f t="shared" si="151"/>
        <v>3</v>
      </c>
      <c r="AE1066">
        <f t="shared" si="152"/>
        <v>3</v>
      </c>
      <c r="AF1066">
        <f t="shared" si="153"/>
        <v>3</v>
      </c>
      <c r="AG1066">
        <f t="shared" si="154"/>
        <v>12</v>
      </c>
      <c r="AH1066">
        <f t="shared" ca="1" si="155"/>
        <v>0</v>
      </c>
      <c r="AI1066">
        <f>IF(ROW($AA1066) - $AA$51 &lt; ($H$16+1)^5, IF(AG1066 &gt;= BaseBonus!$C$16, AG1066*BaseBonus!$E$31, 0), "")</f>
        <v>11.268642975510955</v>
      </c>
      <c r="AJ1066">
        <f t="shared" ca="1" si="156"/>
        <v>0</v>
      </c>
    </row>
    <row r="1067" spans="28:36" x14ac:dyDescent="0.3">
      <c r="AB1067">
        <f t="shared" si="149"/>
        <v>3</v>
      </c>
      <c r="AC1067">
        <f t="shared" si="150"/>
        <v>1</v>
      </c>
      <c r="AD1067">
        <f t="shared" si="151"/>
        <v>3</v>
      </c>
      <c r="AE1067">
        <f t="shared" si="152"/>
        <v>3</v>
      </c>
      <c r="AF1067">
        <f t="shared" si="153"/>
        <v>3</v>
      </c>
      <c r="AG1067">
        <f t="shared" si="154"/>
        <v>13</v>
      </c>
      <c r="AH1067">
        <f t="shared" ca="1" si="155"/>
        <v>0</v>
      </c>
      <c r="AI1067">
        <f>IF(ROW($AA1067) - $AA$51 &lt; ($H$16+1)^5, IF(AG1067 &gt;= BaseBonus!$C$16, AG1067*BaseBonus!$E$31, 0), "")</f>
        <v>12.207696556803535</v>
      </c>
      <c r="AJ1067">
        <f t="shared" ca="1" si="156"/>
        <v>0</v>
      </c>
    </row>
    <row r="1068" spans="28:36" x14ac:dyDescent="0.3">
      <c r="AB1068">
        <f t="shared" si="149"/>
        <v>0</v>
      </c>
      <c r="AC1068">
        <f t="shared" si="150"/>
        <v>2</v>
      </c>
      <c r="AD1068">
        <f t="shared" si="151"/>
        <v>3</v>
      </c>
      <c r="AE1068">
        <f t="shared" si="152"/>
        <v>3</v>
      </c>
      <c r="AF1068">
        <f t="shared" si="153"/>
        <v>3</v>
      </c>
      <c r="AG1068">
        <f t="shared" si="154"/>
        <v>11</v>
      </c>
      <c r="AH1068">
        <f t="shared" ca="1" si="155"/>
        <v>0</v>
      </c>
      <c r="AI1068">
        <f>IF(ROW($AA1068) - $AA$51 &lt; ($H$16+1)^5, IF(AG1068 &gt;= BaseBonus!$C$16, AG1068*BaseBonus!$E$31, 0), "")</f>
        <v>10.329589394218376</v>
      </c>
      <c r="AJ1068">
        <f t="shared" ca="1" si="156"/>
        <v>0</v>
      </c>
    </row>
    <row r="1069" spans="28:36" x14ac:dyDescent="0.3">
      <c r="AB1069">
        <f t="shared" si="149"/>
        <v>1</v>
      </c>
      <c r="AC1069">
        <f t="shared" si="150"/>
        <v>2</v>
      </c>
      <c r="AD1069">
        <f t="shared" si="151"/>
        <v>3</v>
      </c>
      <c r="AE1069">
        <f t="shared" si="152"/>
        <v>3</v>
      </c>
      <c r="AF1069">
        <f t="shared" si="153"/>
        <v>3</v>
      </c>
      <c r="AG1069">
        <f t="shared" si="154"/>
        <v>12</v>
      </c>
      <c r="AH1069">
        <f t="shared" ca="1" si="155"/>
        <v>0</v>
      </c>
      <c r="AI1069">
        <f>IF(ROW($AA1069) - $AA$51 &lt; ($H$16+1)^5, IF(AG1069 &gt;= BaseBonus!$C$16, AG1069*BaseBonus!$E$31, 0), "")</f>
        <v>11.268642975510955</v>
      </c>
      <c r="AJ1069">
        <f t="shared" ca="1" si="156"/>
        <v>0</v>
      </c>
    </row>
    <row r="1070" spans="28:36" x14ac:dyDescent="0.3">
      <c r="AB1070">
        <f t="shared" si="149"/>
        <v>2</v>
      </c>
      <c r="AC1070">
        <f t="shared" si="150"/>
        <v>2</v>
      </c>
      <c r="AD1070">
        <f t="shared" si="151"/>
        <v>3</v>
      </c>
      <c r="AE1070">
        <f t="shared" si="152"/>
        <v>3</v>
      </c>
      <c r="AF1070">
        <f t="shared" si="153"/>
        <v>3</v>
      </c>
      <c r="AG1070">
        <f t="shared" si="154"/>
        <v>13</v>
      </c>
      <c r="AH1070">
        <f t="shared" ca="1" si="155"/>
        <v>0</v>
      </c>
      <c r="AI1070">
        <f>IF(ROW($AA1070) - $AA$51 &lt; ($H$16+1)^5, IF(AG1070 &gt;= BaseBonus!$C$16, AG1070*BaseBonus!$E$31, 0), "")</f>
        <v>12.207696556803535</v>
      </c>
      <c r="AJ1070">
        <f t="shared" ca="1" si="156"/>
        <v>0</v>
      </c>
    </row>
    <row r="1071" spans="28:36" x14ac:dyDescent="0.3">
      <c r="AB1071">
        <f t="shared" si="149"/>
        <v>3</v>
      </c>
      <c r="AC1071">
        <f t="shared" si="150"/>
        <v>2</v>
      </c>
      <c r="AD1071">
        <f t="shared" si="151"/>
        <v>3</v>
      </c>
      <c r="AE1071">
        <f t="shared" si="152"/>
        <v>3</v>
      </c>
      <c r="AF1071">
        <f t="shared" si="153"/>
        <v>3</v>
      </c>
      <c r="AG1071">
        <f t="shared" si="154"/>
        <v>14</v>
      </c>
      <c r="AH1071">
        <f t="shared" ca="1" si="155"/>
        <v>0</v>
      </c>
      <c r="AI1071">
        <f>IF(ROW($AA1071) - $AA$51 &lt; ($H$16+1)^5, IF(AG1071 &gt;= BaseBonus!$C$16, AG1071*BaseBonus!$E$31, 0), "")</f>
        <v>13.146750138096115</v>
      </c>
      <c r="AJ1071">
        <f t="shared" ca="1" si="156"/>
        <v>0</v>
      </c>
    </row>
    <row r="1072" spans="28:36" x14ac:dyDescent="0.3">
      <c r="AB1072">
        <f t="shared" si="149"/>
        <v>0</v>
      </c>
      <c r="AC1072">
        <f t="shared" si="150"/>
        <v>3</v>
      </c>
      <c r="AD1072">
        <f t="shared" si="151"/>
        <v>3</v>
      </c>
      <c r="AE1072">
        <f t="shared" si="152"/>
        <v>3</v>
      </c>
      <c r="AF1072">
        <f t="shared" si="153"/>
        <v>3</v>
      </c>
      <c r="AG1072">
        <f t="shared" si="154"/>
        <v>12</v>
      </c>
      <c r="AH1072">
        <f t="shared" ca="1" si="155"/>
        <v>0</v>
      </c>
      <c r="AI1072">
        <f>IF(ROW($AA1072) - $AA$51 &lt; ($H$16+1)^5, IF(AG1072 &gt;= BaseBonus!$C$16, AG1072*BaseBonus!$E$31, 0), "")</f>
        <v>11.268642975510955</v>
      </c>
      <c r="AJ1072">
        <f t="shared" ca="1" si="156"/>
        <v>0</v>
      </c>
    </row>
    <row r="1073" spans="28:36" x14ac:dyDescent="0.3">
      <c r="AB1073">
        <f t="shared" si="149"/>
        <v>1</v>
      </c>
      <c r="AC1073">
        <f t="shared" si="150"/>
        <v>3</v>
      </c>
      <c r="AD1073">
        <f t="shared" si="151"/>
        <v>3</v>
      </c>
      <c r="AE1073">
        <f t="shared" si="152"/>
        <v>3</v>
      </c>
      <c r="AF1073">
        <f t="shared" si="153"/>
        <v>3</v>
      </c>
      <c r="AG1073">
        <f t="shared" si="154"/>
        <v>13</v>
      </c>
      <c r="AH1073">
        <f t="shared" ca="1" si="155"/>
        <v>0</v>
      </c>
      <c r="AI1073">
        <f>IF(ROW($AA1073) - $AA$51 &lt; ($H$16+1)^5, IF(AG1073 &gt;= BaseBonus!$C$16, AG1073*BaseBonus!$E$31, 0), "")</f>
        <v>12.207696556803535</v>
      </c>
      <c r="AJ1073">
        <f t="shared" ca="1" si="156"/>
        <v>0</v>
      </c>
    </row>
    <row r="1074" spans="28:36" x14ac:dyDescent="0.3">
      <c r="AB1074">
        <f t="shared" si="149"/>
        <v>2</v>
      </c>
      <c r="AC1074">
        <f t="shared" si="150"/>
        <v>3</v>
      </c>
      <c r="AD1074">
        <f t="shared" si="151"/>
        <v>3</v>
      </c>
      <c r="AE1074">
        <f t="shared" si="152"/>
        <v>3</v>
      </c>
      <c r="AF1074">
        <f t="shared" si="153"/>
        <v>3</v>
      </c>
      <c r="AG1074">
        <f t="shared" si="154"/>
        <v>14</v>
      </c>
      <c r="AH1074">
        <f t="shared" ca="1" si="155"/>
        <v>0</v>
      </c>
      <c r="AI1074">
        <f>IF(ROW($AA1074) - $AA$51 &lt; ($H$16+1)^5, IF(AG1074 &gt;= BaseBonus!$C$16, AG1074*BaseBonus!$E$31, 0), "")</f>
        <v>13.146750138096115</v>
      </c>
      <c r="AJ1074">
        <f t="shared" ca="1" si="156"/>
        <v>0</v>
      </c>
    </row>
    <row r="1075" spans="28:36" x14ac:dyDescent="0.3">
      <c r="AB1075">
        <f t="shared" si="149"/>
        <v>3</v>
      </c>
      <c r="AC1075">
        <f t="shared" si="150"/>
        <v>3</v>
      </c>
      <c r="AD1075">
        <f t="shared" si="151"/>
        <v>3</v>
      </c>
      <c r="AE1075">
        <f t="shared" si="152"/>
        <v>3</v>
      </c>
      <c r="AF1075">
        <f t="shared" si="153"/>
        <v>3</v>
      </c>
      <c r="AG1075">
        <f t="shared" si="154"/>
        <v>15</v>
      </c>
      <c r="AH1075">
        <f t="shared" ca="1" si="155"/>
        <v>0</v>
      </c>
      <c r="AI1075">
        <f>IF(ROW($AA1075) - $AA$51 &lt; ($H$16+1)^5, IF(AG1075 &gt;= BaseBonus!$C$16, AG1075*BaseBonus!$E$31, 0), "")</f>
        <v>14.085803719388695</v>
      </c>
      <c r="AJ1075">
        <f t="shared" ca="1" si="156"/>
        <v>0</v>
      </c>
    </row>
    <row r="1076" spans="28:36" x14ac:dyDescent="0.3">
      <c r="AB1076" t="str">
        <f t="shared" ref="AB1076:AB1139" si="157">IF(ROW()-$AA$51 &lt; (H$16+1)^5, MOD(_xlfn.FLOOR.MATH((ROW()-$AA$51)/AB$50), H$16+1), "")</f>
        <v/>
      </c>
      <c r="AC1076" t="str">
        <f t="shared" ref="AC1076:AC1139" si="158">IF(ROW()-$AA$51 &lt; (I$16+1)^5, MOD(_xlfn.FLOOR.MATH((ROW()-$AA$51)/AC$50), I$16+1), "")</f>
        <v/>
      </c>
      <c r="AD1076" t="str">
        <f t="shared" ref="AD1076:AD1139" si="159">IF(ROW()-$AA$51 &lt; (J$16+1)^5, MOD(_xlfn.FLOOR.MATH((ROW()-$AA$51)/AD$50), J$16+1), "")</f>
        <v/>
      </c>
      <c r="AE1076" t="str">
        <f t="shared" ref="AE1076:AE1139" si="160">IF(ROW()-$AA$51 &lt; (K$16+1)^5, MOD(_xlfn.FLOOR.MATH((ROW()-$AA$51)/AE$50), K$16+1), "")</f>
        <v/>
      </c>
      <c r="AF1076" t="str">
        <f t="shared" ref="AF1076:AF1139" si="161">IF(ROW()-$AA$51 &lt; (L$16+1)^5, MOD(_xlfn.FLOOR.MATH((ROW()-$AA$51)/AF$50), L$16+1), "")</f>
        <v/>
      </c>
      <c r="AI1076" t="str">
        <f>IF(ROW($AA1076) - $AA$51 &lt; ($H$16+1)^5, IF(AG1076 &gt;= BaseBonus!$C$16, AG1076*BaseBonus!$E$31, 0), "")</f>
        <v/>
      </c>
    </row>
    <row r="1077" spans="28:36" x14ac:dyDescent="0.3">
      <c r="AB1077" t="str">
        <f t="shared" si="157"/>
        <v/>
      </c>
      <c r="AC1077" t="str">
        <f t="shared" si="158"/>
        <v/>
      </c>
      <c r="AD1077" t="str">
        <f t="shared" si="159"/>
        <v/>
      </c>
      <c r="AE1077" t="str">
        <f t="shared" si="160"/>
        <v/>
      </c>
      <c r="AF1077" t="str">
        <f t="shared" si="161"/>
        <v/>
      </c>
      <c r="AI1077" t="str">
        <f>IF(ROW($AA1077) - $AA$51 &lt; ($H$16+1)^5, IF(AG1077 &gt;= BaseBonus!$C$16, AG1077*BaseBonus!$E$31, 0), "")</f>
        <v/>
      </c>
    </row>
    <row r="1078" spans="28:36" x14ac:dyDescent="0.3">
      <c r="AB1078" t="str">
        <f t="shared" si="157"/>
        <v/>
      </c>
      <c r="AC1078" t="str">
        <f t="shared" si="158"/>
        <v/>
      </c>
      <c r="AD1078" t="str">
        <f t="shared" si="159"/>
        <v/>
      </c>
      <c r="AE1078" t="str">
        <f t="shared" si="160"/>
        <v/>
      </c>
      <c r="AF1078" t="str">
        <f t="shared" si="161"/>
        <v/>
      </c>
      <c r="AI1078" t="str">
        <f>IF(ROW($AA1078) - $AA$51 &lt; ($H$16+1)^5, IF(AG1078 &gt;= BaseBonus!$C$16, AG1078*BaseBonus!$E$31, 0), "")</f>
        <v/>
      </c>
    </row>
    <row r="1079" spans="28:36" x14ac:dyDescent="0.3">
      <c r="AB1079" t="str">
        <f t="shared" si="157"/>
        <v/>
      </c>
      <c r="AC1079" t="str">
        <f t="shared" si="158"/>
        <v/>
      </c>
      <c r="AD1079" t="str">
        <f t="shared" si="159"/>
        <v/>
      </c>
      <c r="AE1079" t="str">
        <f t="shared" si="160"/>
        <v/>
      </c>
      <c r="AF1079" t="str">
        <f t="shared" si="161"/>
        <v/>
      </c>
      <c r="AI1079" t="str">
        <f>IF(ROW($AA1079) - $AA$51 &lt; ($H$16+1)^5, IF(AG1079 &gt;= BaseBonus!$C$16, AG1079*BaseBonus!$E$31, 0), "")</f>
        <v/>
      </c>
    </row>
    <row r="1080" spans="28:36" x14ac:dyDescent="0.3">
      <c r="AB1080" t="str">
        <f t="shared" si="157"/>
        <v/>
      </c>
      <c r="AC1080" t="str">
        <f t="shared" si="158"/>
        <v/>
      </c>
      <c r="AD1080" t="str">
        <f t="shared" si="159"/>
        <v/>
      </c>
      <c r="AE1080" t="str">
        <f t="shared" si="160"/>
        <v/>
      </c>
      <c r="AF1080" t="str">
        <f t="shared" si="161"/>
        <v/>
      </c>
      <c r="AI1080" t="str">
        <f>IF(ROW($AA1080) - $AA$51 &lt; ($H$16+1)^5, IF(AG1080 &gt;= BaseBonus!$C$16, AG1080*BaseBonus!$E$31, 0), "")</f>
        <v/>
      </c>
    </row>
    <row r="1081" spans="28:36" x14ac:dyDescent="0.3">
      <c r="AB1081" t="str">
        <f t="shared" si="157"/>
        <v/>
      </c>
      <c r="AC1081" t="str">
        <f t="shared" si="158"/>
        <v/>
      </c>
      <c r="AD1081" t="str">
        <f t="shared" si="159"/>
        <v/>
      </c>
      <c r="AE1081" t="str">
        <f t="shared" si="160"/>
        <v/>
      </c>
      <c r="AF1081" t="str">
        <f t="shared" si="161"/>
        <v/>
      </c>
      <c r="AI1081" t="str">
        <f>IF(ROW($AA1081) - $AA$51 &lt; ($H$16+1)^5, IF(AG1081 &gt;= BaseBonus!$C$16, AG1081*BaseBonus!$E$31, 0), "")</f>
        <v/>
      </c>
    </row>
    <row r="1082" spans="28:36" x14ac:dyDescent="0.3">
      <c r="AB1082" t="str">
        <f t="shared" si="157"/>
        <v/>
      </c>
      <c r="AC1082" t="str">
        <f t="shared" si="158"/>
        <v/>
      </c>
      <c r="AD1082" t="str">
        <f t="shared" si="159"/>
        <v/>
      </c>
      <c r="AE1082" t="str">
        <f t="shared" si="160"/>
        <v/>
      </c>
      <c r="AF1082" t="str">
        <f t="shared" si="161"/>
        <v/>
      </c>
      <c r="AI1082" t="str">
        <f>IF(ROW($AA1082) - $AA$51 &lt; ($H$16+1)^5, IF(AG1082 &gt;= BaseBonus!$C$16, AG1082*BaseBonus!$E$31, 0), "")</f>
        <v/>
      </c>
    </row>
    <row r="1083" spans="28:36" x14ac:dyDescent="0.3">
      <c r="AB1083" t="str">
        <f t="shared" si="157"/>
        <v/>
      </c>
      <c r="AC1083" t="str">
        <f t="shared" si="158"/>
        <v/>
      </c>
      <c r="AD1083" t="str">
        <f t="shared" si="159"/>
        <v/>
      </c>
      <c r="AE1083" t="str">
        <f t="shared" si="160"/>
        <v/>
      </c>
      <c r="AF1083" t="str">
        <f t="shared" si="161"/>
        <v/>
      </c>
      <c r="AI1083" t="str">
        <f>IF(ROW($AA1083) - $AA$51 &lt; ($H$16+1)^5, IF(AG1083 &gt;= BaseBonus!$C$16, AG1083*BaseBonus!$E$31, 0), "")</f>
        <v/>
      </c>
    </row>
    <row r="1084" spans="28:36" x14ac:dyDescent="0.3">
      <c r="AB1084" t="str">
        <f t="shared" si="157"/>
        <v/>
      </c>
      <c r="AC1084" t="str">
        <f t="shared" si="158"/>
        <v/>
      </c>
      <c r="AD1084" t="str">
        <f t="shared" si="159"/>
        <v/>
      </c>
      <c r="AE1084" t="str">
        <f t="shared" si="160"/>
        <v/>
      </c>
      <c r="AF1084" t="str">
        <f t="shared" si="161"/>
        <v/>
      </c>
      <c r="AI1084" t="str">
        <f>IF(ROW($AA1084) - $AA$51 &lt; ($H$16+1)^5, IF(AG1084 &gt;= BaseBonus!$C$16, AG1084*BaseBonus!$E$31, 0), "")</f>
        <v/>
      </c>
    </row>
    <row r="1085" spans="28:36" x14ac:dyDescent="0.3">
      <c r="AB1085" t="str">
        <f t="shared" si="157"/>
        <v/>
      </c>
      <c r="AC1085" t="str">
        <f t="shared" si="158"/>
        <v/>
      </c>
      <c r="AD1085" t="str">
        <f t="shared" si="159"/>
        <v/>
      </c>
      <c r="AE1085" t="str">
        <f t="shared" si="160"/>
        <v/>
      </c>
      <c r="AF1085" t="str">
        <f t="shared" si="161"/>
        <v/>
      </c>
      <c r="AI1085" t="str">
        <f>IF(ROW($AA1085) - $AA$51 &lt; ($H$16+1)^5, IF(AG1085 &gt;= BaseBonus!$C$16, AG1085*BaseBonus!$E$31, 0), "")</f>
        <v/>
      </c>
    </row>
    <row r="1086" spans="28:36" x14ac:dyDescent="0.3">
      <c r="AB1086" t="str">
        <f t="shared" si="157"/>
        <v/>
      </c>
      <c r="AC1086" t="str">
        <f t="shared" si="158"/>
        <v/>
      </c>
      <c r="AD1086" t="str">
        <f t="shared" si="159"/>
        <v/>
      </c>
      <c r="AE1086" t="str">
        <f t="shared" si="160"/>
        <v/>
      </c>
      <c r="AF1086" t="str">
        <f t="shared" si="161"/>
        <v/>
      </c>
      <c r="AI1086" t="str">
        <f>IF(ROW($AA1086) - $AA$51 &lt; ($H$16+1)^5, IF(AG1086 &gt;= BaseBonus!$C$16, AG1086*BaseBonus!$E$31, 0), "")</f>
        <v/>
      </c>
    </row>
    <row r="1087" spans="28:36" x14ac:dyDescent="0.3">
      <c r="AB1087" t="str">
        <f t="shared" si="157"/>
        <v/>
      </c>
      <c r="AC1087" t="str">
        <f t="shared" si="158"/>
        <v/>
      </c>
      <c r="AD1087" t="str">
        <f t="shared" si="159"/>
        <v/>
      </c>
      <c r="AE1087" t="str">
        <f t="shared" si="160"/>
        <v/>
      </c>
      <c r="AF1087" t="str">
        <f t="shared" si="161"/>
        <v/>
      </c>
      <c r="AI1087" t="str">
        <f>IF(ROW($AA1087) - $AA$51 &lt; ($H$16+1)^5, IF(AG1087 &gt;= BaseBonus!$C$16, AG1087*BaseBonus!$E$31, 0), "")</f>
        <v/>
      </c>
    </row>
    <row r="1088" spans="28:36" x14ac:dyDescent="0.3">
      <c r="AB1088" t="str">
        <f t="shared" si="157"/>
        <v/>
      </c>
      <c r="AC1088" t="str">
        <f t="shared" si="158"/>
        <v/>
      </c>
      <c r="AD1088" t="str">
        <f t="shared" si="159"/>
        <v/>
      </c>
      <c r="AE1088" t="str">
        <f t="shared" si="160"/>
        <v/>
      </c>
      <c r="AF1088" t="str">
        <f t="shared" si="161"/>
        <v/>
      </c>
      <c r="AI1088" t="str">
        <f>IF(ROW($AA1088) - $AA$51 &lt; ($H$16+1)^5, IF(AG1088 &gt;= BaseBonus!$C$16, AG1088*BaseBonus!$E$31, 0), "")</f>
        <v/>
      </c>
    </row>
    <row r="1089" spans="28:35" x14ac:dyDescent="0.3">
      <c r="AB1089" t="str">
        <f t="shared" si="157"/>
        <v/>
      </c>
      <c r="AC1089" t="str">
        <f t="shared" si="158"/>
        <v/>
      </c>
      <c r="AD1089" t="str">
        <f t="shared" si="159"/>
        <v/>
      </c>
      <c r="AE1089" t="str">
        <f t="shared" si="160"/>
        <v/>
      </c>
      <c r="AF1089" t="str">
        <f t="shared" si="161"/>
        <v/>
      </c>
      <c r="AI1089" t="str">
        <f>IF(ROW($AA1089) - $AA$51 &lt; ($H$16+1)^5, IF(AG1089 &gt;= BaseBonus!$C$16, AG1089*BaseBonus!$E$31, 0), "")</f>
        <v/>
      </c>
    </row>
    <row r="1090" spans="28:35" x14ac:dyDescent="0.3">
      <c r="AB1090" t="str">
        <f t="shared" si="157"/>
        <v/>
      </c>
      <c r="AC1090" t="str">
        <f t="shared" si="158"/>
        <v/>
      </c>
      <c r="AD1090" t="str">
        <f t="shared" si="159"/>
        <v/>
      </c>
      <c r="AE1090" t="str">
        <f t="shared" si="160"/>
        <v/>
      </c>
      <c r="AF1090" t="str">
        <f t="shared" si="161"/>
        <v/>
      </c>
      <c r="AI1090" t="str">
        <f>IF(ROW($AA1090) - $AA$51 &lt; ($H$16+1)^5, IF(AG1090 &gt;= BaseBonus!$C$16, AG1090*BaseBonus!$E$31, 0), "")</f>
        <v/>
      </c>
    </row>
    <row r="1091" spans="28:35" x14ac:dyDescent="0.3">
      <c r="AB1091" t="str">
        <f t="shared" si="157"/>
        <v/>
      </c>
      <c r="AC1091" t="str">
        <f t="shared" si="158"/>
        <v/>
      </c>
      <c r="AD1091" t="str">
        <f t="shared" si="159"/>
        <v/>
      </c>
      <c r="AE1091" t="str">
        <f t="shared" si="160"/>
        <v/>
      </c>
      <c r="AF1091" t="str">
        <f t="shared" si="161"/>
        <v/>
      </c>
      <c r="AI1091" t="str">
        <f>IF(ROW($AA1091) - $AA$51 &lt; ($H$16+1)^5, IF(AG1091 &gt;= BaseBonus!$C$16, AG1091*BaseBonus!$E$31, 0), "")</f>
        <v/>
      </c>
    </row>
    <row r="1092" spans="28:35" x14ac:dyDescent="0.3">
      <c r="AB1092" t="str">
        <f t="shared" si="157"/>
        <v/>
      </c>
      <c r="AC1092" t="str">
        <f t="shared" si="158"/>
        <v/>
      </c>
      <c r="AD1092" t="str">
        <f t="shared" si="159"/>
        <v/>
      </c>
      <c r="AE1092" t="str">
        <f t="shared" si="160"/>
        <v/>
      </c>
      <c r="AF1092" t="str">
        <f t="shared" si="161"/>
        <v/>
      </c>
      <c r="AI1092" t="str">
        <f>IF(ROW($AA1092) - $AA$51 &lt; ($H$16+1)^5, IF(AG1092 &gt;= BaseBonus!$C$16, AG1092*BaseBonus!$E$31, 0), "")</f>
        <v/>
      </c>
    </row>
    <row r="1093" spans="28:35" x14ac:dyDescent="0.3">
      <c r="AB1093" t="str">
        <f t="shared" si="157"/>
        <v/>
      </c>
      <c r="AC1093" t="str">
        <f t="shared" si="158"/>
        <v/>
      </c>
      <c r="AD1093" t="str">
        <f t="shared" si="159"/>
        <v/>
      </c>
      <c r="AE1093" t="str">
        <f t="shared" si="160"/>
        <v/>
      </c>
      <c r="AF1093" t="str">
        <f t="shared" si="161"/>
        <v/>
      </c>
      <c r="AI1093" t="str">
        <f>IF(ROW($AA1093) - $AA$51 &lt; ($H$16+1)^5, IF(AG1093 &gt;= BaseBonus!$C$16, AG1093*BaseBonus!$E$31, 0), "")</f>
        <v/>
      </c>
    </row>
    <row r="1094" spans="28:35" x14ac:dyDescent="0.3">
      <c r="AB1094" t="str">
        <f t="shared" si="157"/>
        <v/>
      </c>
      <c r="AC1094" t="str">
        <f t="shared" si="158"/>
        <v/>
      </c>
      <c r="AD1094" t="str">
        <f t="shared" si="159"/>
        <v/>
      </c>
      <c r="AE1094" t="str">
        <f t="shared" si="160"/>
        <v/>
      </c>
      <c r="AF1094" t="str">
        <f t="shared" si="161"/>
        <v/>
      </c>
      <c r="AI1094" t="str">
        <f>IF(ROW($AA1094) - $AA$51 &lt; ($H$16+1)^5, IF(AG1094 &gt;= BaseBonus!$C$16, AG1094*BaseBonus!$E$31, 0), "")</f>
        <v/>
      </c>
    </row>
    <row r="1095" spans="28:35" x14ac:dyDescent="0.3">
      <c r="AB1095" t="str">
        <f t="shared" si="157"/>
        <v/>
      </c>
      <c r="AC1095" t="str">
        <f t="shared" si="158"/>
        <v/>
      </c>
      <c r="AD1095" t="str">
        <f t="shared" si="159"/>
        <v/>
      </c>
      <c r="AE1095" t="str">
        <f t="shared" si="160"/>
        <v/>
      </c>
      <c r="AF1095" t="str">
        <f t="shared" si="161"/>
        <v/>
      </c>
      <c r="AI1095" t="str">
        <f>IF(ROW($AA1095) - $AA$51 &lt; ($H$16+1)^5, IF(AG1095 &gt;= BaseBonus!$C$16, AG1095*BaseBonus!$E$31, 0), "")</f>
        <v/>
      </c>
    </row>
    <row r="1096" spans="28:35" x14ac:dyDescent="0.3">
      <c r="AB1096" t="str">
        <f t="shared" si="157"/>
        <v/>
      </c>
      <c r="AC1096" t="str">
        <f t="shared" si="158"/>
        <v/>
      </c>
      <c r="AD1096" t="str">
        <f t="shared" si="159"/>
        <v/>
      </c>
      <c r="AE1096" t="str">
        <f t="shared" si="160"/>
        <v/>
      </c>
      <c r="AF1096" t="str">
        <f t="shared" si="161"/>
        <v/>
      </c>
      <c r="AI1096" t="str">
        <f>IF(ROW($AA1096) - $AA$51 &lt; ($H$16+1)^5, IF(AG1096 &gt;= BaseBonus!$C$16, AG1096*BaseBonus!$E$31, 0), "")</f>
        <v/>
      </c>
    </row>
    <row r="1097" spans="28:35" x14ac:dyDescent="0.3">
      <c r="AB1097" t="str">
        <f t="shared" si="157"/>
        <v/>
      </c>
      <c r="AC1097" t="str">
        <f t="shared" si="158"/>
        <v/>
      </c>
      <c r="AD1097" t="str">
        <f t="shared" si="159"/>
        <v/>
      </c>
      <c r="AE1097" t="str">
        <f t="shared" si="160"/>
        <v/>
      </c>
      <c r="AF1097" t="str">
        <f t="shared" si="161"/>
        <v/>
      </c>
      <c r="AI1097" t="str">
        <f>IF(ROW($AA1097) - $AA$51 &lt; ($H$16+1)^5, IF(AG1097 &gt;= BaseBonus!$C$16, AG1097*BaseBonus!$E$31, 0), "")</f>
        <v/>
      </c>
    </row>
    <row r="1098" spans="28:35" x14ac:dyDescent="0.3">
      <c r="AB1098" t="str">
        <f t="shared" si="157"/>
        <v/>
      </c>
      <c r="AC1098" t="str">
        <f t="shared" si="158"/>
        <v/>
      </c>
      <c r="AD1098" t="str">
        <f t="shared" si="159"/>
        <v/>
      </c>
      <c r="AE1098" t="str">
        <f t="shared" si="160"/>
        <v/>
      </c>
      <c r="AF1098" t="str">
        <f t="shared" si="161"/>
        <v/>
      </c>
      <c r="AI1098" t="str">
        <f>IF(ROW($AA1098) - $AA$51 &lt; ($H$16+1)^5, IF(AG1098 &gt;= BaseBonus!$C$16, AG1098*BaseBonus!$E$31, 0), "")</f>
        <v/>
      </c>
    </row>
    <row r="1099" spans="28:35" x14ac:dyDescent="0.3">
      <c r="AB1099" t="str">
        <f t="shared" si="157"/>
        <v/>
      </c>
      <c r="AC1099" t="str">
        <f t="shared" si="158"/>
        <v/>
      </c>
      <c r="AD1099" t="str">
        <f t="shared" si="159"/>
        <v/>
      </c>
      <c r="AE1099" t="str">
        <f t="shared" si="160"/>
        <v/>
      </c>
      <c r="AF1099" t="str">
        <f t="shared" si="161"/>
        <v/>
      </c>
      <c r="AI1099" t="str">
        <f>IF(ROW($AA1099) - $AA$51 &lt; ($H$16+1)^5, IF(AG1099 &gt;= BaseBonus!$C$16, AG1099*BaseBonus!$E$31, 0), "")</f>
        <v/>
      </c>
    </row>
    <row r="1100" spans="28:35" x14ac:dyDescent="0.3">
      <c r="AB1100" t="str">
        <f t="shared" si="157"/>
        <v/>
      </c>
      <c r="AC1100" t="str">
        <f t="shared" si="158"/>
        <v/>
      </c>
      <c r="AD1100" t="str">
        <f t="shared" si="159"/>
        <v/>
      </c>
      <c r="AE1100" t="str">
        <f t="shared" si="160"/>
        <v/>
      </c>
      <c r="AF1100" t="str">
        <f t="shared" si="161"/>
        <v/>
      </c>
      <c r="AI1100" t="str">
        <f>IF(ROW($AA1100) - $AA$51 &lt; ($H$16+1)^5, IF(AG1100 &gt;= BaseBonus!$C$16, AG1100*BaseBonus!$E$31, 0), "")</f>
        <v/>
      </c>
    </row>
    <row r="1101" spans="28:35" x14ac:dyDescent="0.3">
      <c r="AB1101" t="str">
        <f t="shared" si="157"/>
        <v/>
      </c>
      <c r="AC1101" t="str">
        <f t="shared" si="158"/>
        <v/>
      </c>
      <c r="AD1101" t="str">
        <f t="shared" si="159"/>
        <v/>
      </c>
      <c r="AE1101" t="str">
        <f t="shared" si="160"/>
        <v/>
      </c>
      <c r="AF1101" t="str">
        <f t="shared" si="161"/>
        <v/>
      </c>
      <c r="AI1101" t="str">
        <f>IF(ROW($AA1101) - $AA$51 &lt; ($H$16+1)^5, IF(AG1101 &gt;= BaseBonus!$C$16, AG1101*BaseBonus!$E$31, 0), "")</f>
        <v/>
      </c>
    </row>
    <row r="1102" spans="28:35" x14ac:dyDescent="0.3">
      <c r="AB1102" t="str">
        <f t="shared" si="157"/>
        <v/>
      </c>
      <c r="AC1102" t="str">
        <f t="shared" si="158"/>
        <v/>
      </c>
      <c r="AD1102" t="str">
        <f t="shared" si="159"/>
        <v/>
      </c>
      <c r="AE1102" t="str">
        <f t="shared" si="160"/>
        <v/>
      </c>
      <c r="AF1102" t="str">
        <f t="shared" si="161"/>
        <v/>
      </c>
      <c r="AI1102" t="str">
        <f>IF(ROW($AA1102) - $AA$51 &lt; ($H$16+1)^5, IF(AG1102 &gt;= BaseBonus!$C$16, AG1102*BaseBonus!$E$31, 0), "")</f>
        <v/>
      </c>
    </row>
    <row r="1103" spans="28:35" x14ac:dyDescent="0.3">
      <c r="AB1103" t="str">
        <f t="shared" si="157"/>
        <v/>
      </c>
      <c r="AC1103" t="str">
        <f t="shared" si="158"/>
        <v/>
      </c>
      <c r="AD1103" t="str">
        <f t="shared" si="159"/>
        <v/>
      </c>
      <c r="AE1103" t="str">
        <f t="shared" si="160"/>
        <v/>
      </c>
      <c r="AF1103" t="str">
        <f t="shared" si="161"/>
        <v/>
      </c>
      <c r="AI1103" t="str">
        <f>IF(ROW($AA1103) - $AA$51 &lt; ($H$16+1)^5, IF(AG1103 &gt;= BaseBonus!$C$16, AG1103*BaseBonus!$E$31, 0), "")</f>
        <v/>
      </c>
    </row>
    <row r="1104" spans="28:35" x14ac:dyDescent="0.3">
      <c r="AB1104" t="str">
        <f t="shared" si="157"/>
        <v/>
      </c>
      <c r="AC1104" t="str">
        <f t="shared" si="158"/>
        <v/>
      </c>
      <c r="AD1104" t="str">
        <f t="shared" si="159"/>
        <v/>
      </c>
      <c r="AE1104" t="str">
        <f t="shared" si="160"/>
        <v/>
      </c>
      <c r="AF1104" t="str">
        <f t="shared" si="161"/>
        <v/>
      </c>
      <c r="AI1104" t="str">
        <f>IF(ROW($AA1104) - $AA$51 &lt; ($H$16+1)^5, IF(AG1104 &gt;= BaseBonus!$C$16, AG1104*BaseBonus!$E$31, 0), "")</f>
        <v/>
      </c>
    </row>
    <row r="1105" spans="28:35" x14ac:dyDescent="0.3">
      <c r="AB1105" t="str">
        <f t="shared" si="157"/>
        <v/>
      </c>
      <c r="AC1105" t="str">
        <f t="shared" si="158"/>
        <v/>
      </c>
      <c r="AD1105" t="str">
        <f t="shared" si="159"/>
        <v/>
      </c>
      <c r="AE1105" t="str">
        <f t="shared" si="160"/>
        <v/>
      </c>
      <c r="AF1105" t="str">
        <f t="shared" si="161"/>
        <v/>
      </c>
      <c r="AI1105" t="str">
        <f>IF(ROW($AA1105) - $AA$51 &lt; ($H$16+1)^5, IF(AG1105 &gt;= BaseBonus!$C$16, AG1105*BaseBonus!$E$31, 0), "")</f>
        <v/>
      </c>
    </row>
    <row r="1106" spans="28:35" x14ac:dyDescent="0.3">
      <c r="AB1106" t="str">
        <f t="shared" si="157"/>
        <v/>
      </c>
      <c r="AC1106" t="str">
        <f t="shared" si="158"/>
        <v/>
      </c>
      <c r="AD1106" t="str">
        <f t="shared" si="159"/>
        <v/>
      </c>
      <c r="AE1106" t="str">
        <f t="shared" si="160"/>
        <v/>
      </c>
      <c r="AF1106" t="str">
        <f t="shared" si="161"/>
        <v/>
      </c>
      <c r="AI1106" t="str">
        <f>IF(ROW($AA1106) - $AA$51 &lt; ($H$16+1)^5, IF(AG1106 &gt;= BaseBonus!$C$16, AG1106*BaseBonus!$E$31, 0), "")</f>
        <v/>
      </c>
    </row>
    <row r="1107" spans="28:35" x14ac:dyDescent="0.3">
      <c r="AB1107" t="str">
        <f t="shared" si="157"/>
        <v/>
      </c>
      <c r="AC1107" t="str">
        <f t="shared" si="158"/>
        <v/>
      </c>
      <c r="AD1107" t="str">
        <f t="shared" si="159"/>
        <v/>
      </c>
      <c r="AE1107" t="str">
        <f t="shared" si="160"/>
        <v/>
      </c>
      <c r="AF1107" t="str">
        <f t="shared" si="161"/>
        <v/>
      </c>
      <c r="AI1107" t="str">
        <f>IF(ROW($AA1107) - $AA$51 &lt; ($H$16+1)^5, IF(AG1107 &gt;= BaseBonus!$C$16, AG1107*BaseBonus!$E$31, 0), "")</f>
        <v/>
      </c>
    </row>
    <row r="1108" spans="28:35" x14ac:dyDescent="0.3">
      <c r="AB1108" t="str">
        <f t="shared" si="157"/>
        <v/>
      </c>
      <c r="AC1108" t="str">
        <f t="shared" si="158"/>
        <v/>
      </c>
      <c r="AD1108" t="str">
        <f t="shared" si="159"/>
        <v/>
      </c>
      <c r="AE1108" t="str">
        <f t="shared" si="160"/>
        <v/>
      </c>
      <c r="AF1108" t="str">
        <f t="shared" si="161"/>
        <v/>
      </c>
      <c r="AI1108" t="str">
        <f>IF(ROW($AA1108) - $AA$51 &lt; ($H$16+1)^5, IF(AG1108 &gt;= BaseBonus!$C$16, AG1108*BaseBonus!$E$31, 0), "")</f>
        <v/>
      </c>
    </row>
    <row r="1109" spans="28:35" x14ac:dyDescent="0.3">
      <c r="AB1109" t="str">
        <f t="shared" si="157"/>
        <v/>
      </c>
      <c r="AC1109" t="str">
        <f t="shared" si="158"/>
        <v/>
      </c>
      <c r="AD1109" t="str">
        <f t="shared" si="159"/>
        <v/>
      </c>
      <c r="AE1109" t="str">
        <f t="shared" si="160"/>
        <v/>
      </c>
      <c r="AF1109" t="str">
        <f t="shared" si="161"/>
        <v/>
      </c>
      <c r="AI1109" t="str">
        <f>IF(ROW($AA1109) - $AA$51 &lt; ($H$16+1)^5, IF(AG1109 &gt;= BaseBonus!$C$16, AG1109*BaseBonus!$E$31, 0), "")</f>
        <v/>
      </c>
    </row>
    <row r="1110" spans="28:35" x14ac:dyDescent="0.3">
      <c r="AB1110" t="str">
        <f t="shared" si="157"/>
        <v/>
      </c>
      <c r="AC1110" t="str">
        <f t="shared" si="158"/>
        <v/>
      </c>
      <c r="AD1110" t="str">
        <f t="shared" si="159"/>
        <v/>
      </c>
      <c r="AE1110" t="str">
        <f t="shared" si="160"/>
        <v/>
      </c>
      <c r="AF1110" t="str">
        <f t="shared" si="161"/>
        <v/>
      </c>
      <c r="AI1110" t="str">
        <f>IF(ROW($AA1110) - $AA$51 &lt; ($H$16+1)^5, IF(AG1110 &gt;= BaseBonus!$C$16, AG1110*BaseBonus!$E$31, 0), "")</f>
        <v/>
      </c>
    </row>
    <row r="1111" spans="28:35" x14ac:dyDescent="0.3">
      <c r="AB1111" t="str">
        <f t="shared" si="157"/>
        <v/>
      </c>
      <c r="AC1111" t="str">
        <f t="shared" si="158"/>
        <v/>
      </c>
      <c r="AD1111" t="str">
        <f t="shared" si="159"/>
        <v/>
      </c>
      <c r="AE1111" t="str">
        <f t="shared" si="160"/>
        <v/>
      </c>
      <c r="AF1111" t="str">
        <f t="shared" si="161"/>
        <v/>
      </c>
      <c r="AI1111" t="str">
        <f>IF(ROW($AA1111) - $AA$51 &lt; ($H$16+1)^5, IF(AG1111 &gt;= BaseBonus!$C$16, AG1111*BaseBonus!$E$31, 0), "")</f>
        <v/>
      </c>
    </row>
    <row r="1112" spans="28:35" x14ac:dyDescent="0.3">
      <c r="AB1112" t="str">
        <f t="shared" si="157"/>
        <v/>
      </c>
      <c r="AC1112" t="str">
        <f t="shared" si="158"/>
        <v/>
      </c>
      <c r="AD1112" t="str">
        <f t="shared" si="159"/>
        <v/>
      </c>
      <c r="AE1112" t="str">
        <f t="shared" si="160"/>
        <v/>
      </c>
      <c r="AF1112" t="str">
        <f t="shared" si="161"/>
        <v/>
      </c>
      <c r="AI1112" t="str">
        <f>IF(ROW($AA1112) - $AA$51 &lt; ($H$16+1)^5, IF(AG1112 &gt;= BaseBonus!$C$16, AG1112*BaseBonus!$E$31, 0), "")</f>
        <v/>
      </c>
    </row>
    <row r="1113" spans="28:35" x14ac:dyDescent="0.3">
      <c r="AB1113" t="str">
        <f t="shared" si="157"/>
        <v/>
      </c>
      <c r="AC1113" t="str">
        <f t="shared" si="158"/>
        <v/>
      </c>
      <c r="AD1113" t="str">
        <f t="shared" si="159"/>
        <v/>
      </c>
      <c r="AE1113" t="str">
        <f t="shared" si="160"/>
        <v/>
      </c>
      <c r="AF1113" t="str">
        <f t="shared" si="161"/>
        <v/>
      </c>
      <c r="AI1113" t="str">
        <f>IF(ROW($AA1113) - $AA$51 &lt; ($H$16+1)^5, IF(AG1113 &gt;= BaseBonus!$C$16, AG1113*BaseBonus!$E$31, 0), "")</f>
        <v/>
      </c>
    </row>
    <row r="1114" spans="28:35" x14ac:dyDescent="0.3">
      <c r="AB1114" t="str">
        <f t="shared" si="157"/>
        <v/>
      </c>
      <c r="AC1114" t="str">
        <f t="shared" si="158"/>
        <v/>
      </c>
      <c r="AD1114" t="str">
        <f t="shared" si="159"/>
        <v/>
      </c>
      <c r="AE1114" t="str">
        <f t="shared" si="160"/>
        <v/>
      </c>
      <c r="AF1114" t="str">
        <f t="shared" si="161"/>
        <v/>
      </c>
      <c r="AI1114" t="str">
        <f>IF(ROW($AA1114) - $AA$51 &lt; ($H$16+1)^5, IF(AG1114 &gt;= BaseBonus!$C$16, AG1114*BaseBonus!$E$31, 0), "")</f>
        <v/>
      </c>
    </row>
    <row r="1115" spans="28:35" x14ac:dyDescent="0.3">
      <c r="AB1115" t="str">
        <f t="shared" si="157"/>
        <v/>
      </c>
      <c r="AC1115" t="str">
        <f t="shared" si="158"/>
        <v/>
      </c>
      <c r="AD1115" t="str">
        <f t="shared" si="159"/>
        <v/>
      </c>
      <c r="AE1115" t="str">
        <f t="shared" si="160"/>
        <v/>
      </c>
      <c r="AF1115" t="str">
        <f t="shared" si="161"/>
        <v/>
      </c>
      <c r="AI1115" t="str">
        <f>IF(ROW($AA1115) - $AA$51 &lt; ($H$16+1)^5, IF(AG1115 &gt;= BaseBonus!$C$16, AG1115*BaseBonus!$E$31, 0), "")</f>
        <v/>
      </c>
    </row>
    <row r="1116" spans="28:35" x14ac:dyDescent="0.3">
      <c r="AB1116" t="str">
        <f t="shared" si="157"/>
        <v/>
      </c>
      <c r="AC1116" t="str">
        <f t="shared" si="158"/>
        <v/>
      </c>
      <c r="AD1116" t="str">
        <f t="shared" si="159"/>
        <v/>
      </c>
      <c r="AE1116" t="str">
        <f t="shared" si="160"/>
        <v/>
      </c>
      <c r="AF1116" t="str">
        <f t="shared" si="161"/>
        <v/>
      </c>
      <c r="AI1116" t="str">
        <f>IF(ROW($AA1116) - $AA$51 &lt; ($H$16+1)^5, IF(AG1116 &gt;= BaseBonus!$C$16, AG1116*BaseBonus!$E$31, 0), "")</f>
        <v/>
      </c>
    </row>
    <row r="1117" spans="28:35" x14ac:dyDescent="0.3">
      <c r="AB1117" t="str">
        <f t="shared" si="157"/>
        <v/>
      </c>
      <c r="AC1117" t="str">
        <f t="shared" si="158"/>
        <v/>
      </c>
      <c r="AD1117" t="str">
        <f t="shared" si="159"/>
        <v/>
      </c>
      <c r="AE1117" t="str">
        <f t="shared" si="160"/>
        <v/>
      </c>
      <c r="AF1117" t="str">
        <f t="shared" si="161"/>
        <v/>
      </c>
      <c r="AI1117" t="str">
        <f>IF(ROW($AA1117) - $AA$51 &lt; ($H$16+1)^5, IF(AG1117 &gt;= BaseBonus!$C$16, AG1117*BaseBonus!$E$31, 0), "")</f>
        <v/>
      </c>
    </row>
    <row r="1118" spans="28:35" x14ac:dyDescent="0.3">
      <c r="AB1118" t="str">
        <f t="shared" si="157"/>
        <v/>
      </c>
      <c r="AC1118" t="str">
        <f t="shared" si="158"/>
        <v/>
      </c>
      <c r="AD1118" t="str">
        <f t="shared" si="159"/>
        <v/>
      </c>
      <c r="AE1118" t="str">
        <f t="shared" si="160"/>
        <v/>
      </c>
      <c r="AF1118" t="str">
        <f t="shared" si="161"/>
        <v/>
      </c>
      <c r="AI1118" t="str">
        <f>IF(ROW($AA1118) - $AA$51 &lt; ($H$16+1)^5, IF(AG1118 &gt;= BaseBonus!$C$16, AG1118*BaseBonus!$E$31, 0), "")</f>
        <v/>
      </c>
    </row>
    <row r="1119" spans="28:35" x14ac:dyDescent="0.3">
      <c r="AB1119" t="str">
        <f t="shared" si="157"/>
        <v/>
      </c>
      <c r="AC1119" t="str">
        <f t="shared" si="158"/>
        <v/>
      </c>
      <c r="AD1119" t="str">
        <f t="shared" si="159"/>
        <v/>
      </c>
      <c r="AE1119" t="str">
        <f t="shared" si="160"/>
        <v/>
      </c>
      <c r="AF1119" t="str">
        <f t="shared" si="161"/>
        <v/>
      </c>
      <c r="AI1119" t="str">
        <f>IF(ROW($AA1119) - $AA$51 &lt; ($H$16+1)^5, IF(AG1119 &gt;= BaseBonus!$C$16, AG1119*BaseBonus!$E$31, 0), "")</f>
        <v/>
      </c>
    </row>
    <row r="1120" spans="28:35" x14ac:dyDescent="0.3">
      <c r="AB1120" t="str">
        <f t="shared" si="157"/>
        <v/>
      </c>
      <c r="AC1120" t="str">
        <f t="shared" si="158"/>
        <v/>
      </c>
      <c r="AD1120" t="str">
        <f t="shared" si="159"/>
        <v/>
      </c>
      <c r="AE1120" t="str">
        <f t="shared" si="160"/>
        <v/>
      </c>
      <c r="AF1120" t="str">
        <f t="shared" si="161"/>
        <v/>
      </c>
      <c r="AI1120" t="str">
        <f>IF(ROW($AA1120) - $AA$51 &lt; ($H$16+1)^5, IF(AG1120 &gt;= BaseBonus!$C$16, AG1120*BaseBonus!$E$31, 0), "")</f>
        <v/>
      </c>
    </row>
    <row r="1121" spans="28:35" x14ac:dyDescent="0.3">
      <c r="AB1121" t="str">
        <f t="shared" si="157"/>
        <v/>
      </c>
      <c r="AC1121" t="str">
        <f t="shared" si="158"/>
        <v/>
      </c>
      <c r="AD1121" t="str">
        <f t="shared" si="159"/>
        <v/>
      </c>
      <c r="AE1121" t="str">
        <f t="shared" si="160"/>
        <v/>
      </c>
      <c r="AF1121" t="str">
        <f t="shared" si="161"/>
        <v/>
      </c>
      <c r="AI1121" t="str">
        <f>IF(ROW($AA1121) - $AA$51 &lt; ($H$16+1)^5, IF(AG1121 &gt;= BaseBonus!$C$16, AG1121*BaseBonus!$E$31, 0), "")</f>
        <v/>
      </c>
    </row>
    <row r="1122" spans="28:35" x14ac:dyDescent="0.3">
      <c r="AB1122" t="str">
        <f t="shared" si="157"/>
        <v/>
      </c>
      <c r="AC1122" t="str">
        <f t="shared" si="158"/>
        <v/>
      </c>
      <c r="AD1122" t="str">
        <f t="shared" si="159"/>
        <v/>
      </c>
      <c r="AE1122" t="str">
        <f t="shared" si="160"/>
        <v/>
      </c>
      <c r="AF1122" t="str">
        <f t="shared" si="161"/>
        <v/>
      </c>
      <c r="AI1122" t="str">
        <f>IF(ROW($AA1122) - $AA$51 &lt; ($H$16+1)^5, IF(AG1122 &gt;= BaseBonus!$C$16, AG1122*BaseBonus!$E$31, 0), "")</f>
        <v/>
      </c>
    </row>
    <row r="1123" spans="28:35" x14ac:dyDescent="0.3">
      <c r="AB1123" t="str">
        <f t="shared" si="157"/>
        <v/>
      </c>
      <c r="AC1123" t="str">
        <f t="shared" si="158"/>
        <v/>
      </c>
      <c r="AD1123" t="str">
        <f t="shared" si="159"/>
        <v/>
      </c>
      <c r="AE1123" t="str">
        <f t="shared" si="160"/>
        <v/>
      </c>
      <c r="AF1123" t="str">
        <f t="shared" si="161"/>
        <v/>
      </c>
      <c r="AI1123" t="str">
        <f>IF(ROW($AA1123) - $AA$51 &lt; ($H$16+1)^5, IF(AG1123 &gt;= BaseBonus!$C$16, AG1123*BaseBonus!$E$31, 0), "")</f>
        <v/>
      </c>
    </row>
    <row r="1124" spans="28:35" x14ac:dyDescent="0.3">
      <c r="AB1124" t="str">
        <f t="shared" si="157"/>
        <v/>
      </c>
      <c r="AC1124" t="str">
        <f t="shared" si="158"/>
        <v/>
      </c>
      <c r="AD1124" t="str">
        <f t="shared" si="159"/>
        <v/>
      </c>
      <c r="AE1124" t="str">
        <f t="shared" si="160"/>
        <v/>
      </c>
      <c r="AF1124" t="str">
        <f t="shared" si="161"/>
        <v/>
      </c>
      <c r="AI1124" t="str">
        <f>IF(ROW($AA1124) - $AA$51 &lt; ($H$16+1)^5, IF(AG1124 &gt;= BaseBonus!$C$16, AG1124*BaseBonus!$E$31, 0), "")</f>
        <v/>
      </c>
    </row>
    <row r="1125" spans="28:35" x14ac:dyDescent="0.3">
      <c r="AB1125" t="str">
        <f t="shared" si="157"/>
        <v/>
      </c>
      <c r="AC1125" t="str">
        <f t="shared" si="158"/>
        <v/>
      </c>
      <c r="AD1125" t="str">
        <f t="shared" si="159"/>
        <v/>
      </c>
      <c r="AE1125" t="str">
        <f t="shared" si="160"/>
        <v/>
      </c>
      <c r="AF1125" t="str">
        <f t="shared" si="161"/>
        <v/>
      </c>
      <c r="AI1125" t="str">
        <f>IF(ROW($AA1125) - $AA$51 &lt; ($H$16+1)^5, IF(AG1125 &gt;= BaseBonus!$C$16, AG1125*BaseBonus!$E$31, 0), "")</f>
        <v/>
      </c>
    </row>
    <row r="1126" spans="28:35" x14ac:dyDescent="0.3">
      <c r="AB1126" t="str">
        <f t="shared" si="157"/>
        <v/>
      </c>
      <c r="AC1126" t="str">
        <f t="shared" si="158"/>
        <v/>
      </c>
      <c r="AD1126" t="str">
        <f t="shared" si="159"/>
        <v/>
      </c>
      <c r="AE1126" t="str">
        <f t="shared" si="160"/>
        <v/>
      </c>
      <c r="AF1126" t="str">
        <f t="shared" si="161"/>
        <v/>
      </c>
      <c r="AI1126" t="str">
        <f>IF(ROW($AA1126) - $AA$51 &lt; ($H$16+1)^5, IF(AG1126 &gt;= BaseBonus!$C$16, AG1126*BaseBonus!$E$31, 0), "")</f>
        <v/>
      </c>
    </row>
    <row r="1127" spans="28:35" x14ac:dyDescent="0.3">
      <c r="AB1127" t="str">
        <f t="shared" si="157"/>
        <v/>
      </c>
      <c r="AC1127" t="str">
        <f t="shared" si="158"/>
        <v/>
      </c>
      <c r="AD1127" t="str">
        <f t="shared" si="159"/>
        <v/>
      </c>
      <c r="AE1127" t="str">
        <f t="shared" si="160"/>
        <v/>
      </c>
      <c r="AF1127" t="str">
        <f t="shared" si="161"/>
        <v/>
      </c>
      <c r="AI1127" t="str">
        <f>IF(ROW($AA1127) - $AA$51 &lt; ($H$16+1)^5, IF(AG1127 &gt;= BaseBonus!$C$16, AG1127*BaseBonus!$E$31, 0), "")</f>
        <v/>
      </c>
    </row>
    <row r="1128" spans="28:35" x14ac:dyDescent="0.3">
      <c r="AB1128" t="str">
        <f t="shared" si="157"/>
        <v/>
      </c>
      <c r="AC1128" t="str">
        <f t="shared" si="158"/>
        <v/>
      </c>
      <c r="AD1128" t="str">
        <f t="shared" si="159"/>
        <v/>
      </c>
      <c r="AE1128" t="str">
        <f t="shared" si="160"/>
        <v/>
      </c>
      <c r="AF1128" t="str">
        <f t="shared" si="161"/>
        <v/>
      </c>
      <c r="AI1128" t="str">
        <f>IF(ROW($AA1128) - $AA$51 &lt; ($H$16+1)^5, IF(AG1128 &gt;= BaseBonus!$C$16, AG1128*BaseBonus!$E$31, 0), "")</f>
        <v/>
      </c>
    </row>
    <row r="1129" spans="28:35" x14ac:dyDescent="0.3">
      <c r="AB1129" t="str">
        <f t="shared" si="157"/>
        <v/>
      </c>
      <c r="AC1129" t="str">
        <f t="shared" si="158"/>
        <v/>
      </c>
      <c r="AD1129" t="str">
        <f t="shared" si="159"/>
        <v/>
      </c>
      <c r="AE1129" t="str">
        <f t="shared" si="160"/>
        <v/>
      </c>
      <c r="AF1129" t="str">
        <f t="shared" si="161"/>
        <v/>
      </c>
      <c r="AI1129" t="str">
        <f>IF(ROW($AA1129) - $AA$51 &lt; ($H$16+1)^5, IF(AG1129 &gt;= BaseBonus!$C$16, AG1129*BaseBonus!$E$31, 0), "")</f>
        <v/>
      </c>
    </row>
    <row r="1130" spans="28:35" x14ac:dyDescent="0.3">
      <c r="AB1130" t="str">
        <f t="shared" si="157"/>
        <v/>
      </c>
      <c r="AC1130" t="str">
        <f t="shared" si="158"/>
        <v/>
      </c>
      <c r="AD1130" t="str">
        <f t="shared" si="159"/>
        <v/>
      </c>
      <c r="AE1130" t="str">
        <f t="shared" si="160"/>
        <v/>
      </c>
      <c r="AF1130" t="str">
        <f t="shared" si="161"/>
        <v/>
      </c>
      <c r="AI1130" t="str">
        <f>IF(ROW($AA1130) - $AA$51 &lt; ($H$16+1)^5, IF(AG1130 &gt;= BaseBonus!$C$16, AG1130*BaseBonus!$E$31, 0), "")</f>
        <v/>
      </c>
    </row>
    <row r="1131" spans="28:35" x14ac:dyDescent="0.3">
      <c r="AB1131" t="str">
        <f t="shared" si="157"/>
        <v/>
      </c>
      <c r="AC1131" t="str">
        <f t="shared" si="158"/>
        <v/>
      </c>
      <c r="AD1131" t="str">
        <f t="shared" si="159"/>
        <v/>
      </c>
      <c r="AE1131" t="str">
        <f t="shared" si="160"/>
        <v/>
      </c>
      <c r="AF1131" t="str">
        <f t="shared" si="161"/>
        <v/>
      </c>
      <c r="AI1131" t="str">
        <f>IF(ROW($AA1131) - $AA$51 &lt; ($H$16+1)^5, IF(AG1131 &gt;= BaseBonus!$C$16, AG1131*BaseBonus!$E$31, 0), "")</f>
        <v/>
      </c>
    </row>
    <row r="1132" spans="28:35" x14ac:dyDescent="0.3">
      <c r="AB1132" t="str">
        <f t="shared" si="157"/>
        <v/>
      </c>
      <c r="AC1132" t="str">
        <f t="shared" si="158"/>
        <v/>
      </c>
      <c r="AD1132" t="str">
        <f t="shared" si="159"/>
        <v/>
      </c>
      <c r="AE1132" t="str">
        <f t="shared" si="160"/>
        <v/>
      </c>
      <c r="AF1132" t="str">
        <f t="shared" si="161"/>
        <v/>
      </c>
      <c r="AI1132" t="str">
        <f>IF(ROW($AA1132) - $AA$51 &lt; ($H$16+1)^5, IF(AG1132 &gt;= BaseBonus!$C$16, AG1132*BaseBonus!$E$31, 0), "")</f>
        <v/>
      </c>
    </row>
    <row r="1133" spans="28:35" x14ac:dyDescent="0.3">
      <c r="AB1133" t="str">
        <f t="shared" si="157"/>
        <v/>
      </c>
      <c r="AC1133" t="str">
        <f t="shared" si="158"/>
        <v/>
      </c>
      <c r="AD1133" t="str">
        <f t="shared" si="159"/>
        <v/>
      </c>
      <c r="AE1133" t="str">
        <f t="shared" si="160"/>
        <v/>
      </c>
      <c r="AF1133" t="str">
        <f t="shared" si="161"/>
        <v/>
      </c>
      <c r="AI1133" t="str">
        <f>IF(ROW($AA1133) - $AA$51 &lt; ($H$16+1)^5, IF(AG1133 &gt;= BaseBonus!$C$16, AG1133*BaseBonus!$E$31, 0), "")</f>
        <v/>
      </c>
    </row>
    <row r="1134" spans="28:35" x14ac:dyDescent="0.3">
      <c r="AB1134" t="str">
        <f t="shared" si="157"/>
        <v/>
      </c>
      <c r="AC1134" t="str">
        <f t="shared" si="158"/>
        <v/>
      </c>
      <c r="AD1134" t="str">
        <f t="shared" si="159"/>
        <v/>
      </c>
      <c r="AE1134" t="str">
        <f t="shared" si="160"/>
        <v/>
      </c>
      <c r="AF1134" t="str">
        <f t="shared" si="161"/>
        <v/>
      </c>
      <c r="AI1134" t="str">
        <f>IF(ROW($AA1134) - $AA$51 &lt; ($H$16+1)^5, IF(AG1134 &gt;= BaseBonus!$C$16, AG1134*BaseBonus!$E$31, 0), "")</f>
        <v/>
      </c>
    </row>
    <row r="1135" spans="28:35" x14ac:dyDescent="0.3">
      <c r="AB1135" t="str">
        <f t="shared" si="157"/>
        <v/>
      </c>
      <c r="AC1135" t="str">
        <f t="shared" si="158"/>
        <v/>
      </c>
      <c r="AD1135" t="str">
        <f t="shared" si="159"/>
        <v/>
      </c>
      <c r="AE1135" t="str">
        <f t="shared" si="160"/>
        <v/>
      </c>
      <c r="AF1135" t="str">
        <f t="shared" si="161"/>
        <v/>
      </c>
      <c r="AI1135" t="str">
        <f>IF(ROW($AA1135) - $AA$51 &lt; ($H$16+1)^5, IF(AG1135 &gt;= BaseBonus!$C$16, AG1135*BaseBonus!$E$31, 0), "")</f>
        <v/>
      </c>
    </row>
    <row r="1136" spans="28:35" x14ac:dyDescent="0.3">
      <c r="AB1136" t="str">
        <f t="shared" si="157"/>
        <v/>
      </c>
      <c r="AC1136" t="str">
        <f t="shared" si="158"/>
        <v/>
      </c>
      <c r="AD1136" t="str">
        <f t="shared" si="159"/>
        <v/>
      </c>
      <c r="AE1136" t="str">
        <f t="shared" si="160"/>
        <v/>
      </c>
      <c r="AF1136" t="str">
        <f t="shared" si="161"/>
        <v/>
      </c>
      <c r="AI1136" t="str">
        <f>IF(ROW($AA1136) - $AA$51 &lt; ($H$16+1)^5, IF(AG1136 &gt;= BaseBonus!$C$16, AG1136*BaseBonus!$E$31, 0), "")</f>
        <v/>
      </c>
    </row>
    <row r="1137" spans="28:35" x14ac:dyDescent="0.3">
      <c r="AB1137" t="str">
        <f t="shared" si="157"/>
        <v/>
      </c>
      <c r="AC1137" t="str">
        <f t="shared" si="158"/>
        <v/>
      </c>
      <c r="AD1137" t="str">
        <f t="shared" si="159"/>
        <v/>
      </c>
      <c r="AE1137" t="str">
        <f t="shared" si="160"/>
        <v/>
      </c>
      <c r="AF1137" t="str">
        <f t="shared" si="161"/>
        <v/>
      </c>
      <c r="AI1137" t="str">
        <f>IF(ROW($AA1137) - $AA$51 &lt; ($H$16+1)^5, IF(AG1137 &gt;= BaseBonus!$C$16, AG1137*BaseBonus!$E$31, 0), "")</f>
        <v/>
      </c>
    </row>
    <row r="1138" spans="28:35" x14ac:dyDescent="0.3">
      <c r="AB1138" t="str">
        <f t="shared" si="157"/>
        <v/>
      </c>
      <c r="AC1138" t="str">
        <f t="shared" si="158"/>
        <v/>
      </c>
      <c r="AD1138" t="str">
        <f t="shared" si="159"/>
        <v/>
      </c>
      <c r="AE1138" t="str">
        <f t="shared" si="160"/>
        <v/>
      </c>
      <c r="AF1138" t="str">
        <f t="shared" si="161"/>
        <v/>
      </c>
      <c r="AI1138" t="str">
        <f>IF(ROW($AA1138) - $AA$51 &lt; ($H$16+1)^5, IF(AG1138 &gt;= BaseBonus!$C$16, AG1138*BaseBonus!$E$31, 0), "")</f>
        <v/>
      </c>
    </row>
    <row r="1139" spans="28:35" x14ac:dyDescent="0.3">
      <c r="AB1139" t="str">
        <f t="shared" si="157"/>
        <v/>
      </c>
      <c r="AC1139" t="str">
        <f t="shared" si="158"/>
        <v/>
      </c>
      <c r="AD1139" t="str">
        <f t="shared" si="159"/>
        <v/>
      </c>
      <c r="AE1139" t="str">
        <f t="shared" si="160"/>
        <v/>
      </c>
      <c r="AF1139" t="str">
        <f t="shared" si="161"/>
        <v/>
      </c>
      <c r="AI1139" t="str">
        <f>IF(ROW($AA1139) - $AA$51 &lt; ($H$16+1)^5, IF(AG1139 &gt;= BaseBonus!$C$16, AG1139*BaseBonus!$E$31, 0), "")</f>
        <v/>
      </c>
    </row>
    <row r="1140" spans="28:35" x14ac:dyDescent="0.3">
      <c r="AB1140" t="str">
        <f t="shared" ref="AB1140:AB1203" si="162">IF(ROW()-$AA$51 &lt; (H$16+1)^5, MOD(_xlfn.FLOOR.MATH((ROW()-$AA$51)/AB$50), H$16+1), "")</f>
        <v/>
      </c>
      <c r="AC1140" t="str">
        <f t="shared" ref="AC1140:AC1203" si="163">IF(ROW()-$AA$51 &lt; (I$16+1)^5, MOD(_xlfn.FLOOR.MATH((ROW()-$AA$51)/AC$50), I$16+1), "")</f>
        <v/>
      </c>
      <c r="AD1140" t="str">
        <f t="shared" ref="AD1140:AD1203" si="164">IF(ROW()-$AA$51 &lt; (J$16+1)^5, MOD(_xlfn.FLOOR.MATH((ROW()-$AA$51)/AD$50), J$16+1), "")</f>
        <v/>
      </c>
      <c r="AE1140" t="str">
        <f t="shared" ref="AE1140:AE1203" si="165">IF(ROW()-$AA$51 &lt; (K$16+1)^5, MOD(_xlfn.FLOOR.MATH((ROW()-$AA$51)/AE$50), K$16+1), "")</f>
        <v/>
      </c>
      <c r="AF1140" t="str">
        <f t="shared" ref="AF1140:AF1203" si="166">IF(ROW()-$AA$51 &lt; (L$16+1)^5, MOD(_xlfn.FLOOR.MATH((ROW()-$AA$51)/AF$50), L$16+1), "")</f>
        <v/>
      </c>
      <c r="AI1140" t="str">
        <f>IF(ROW($AA1140) - $AA$51 &lt; ($H$16+1)^5, IF(AG1140 &gt;= BaseBonus!$C$16, AG1140*BaseBonus!$E$31, 0), "")</f>
        <v/>
      </c>
    </row>
    <row r="1141" spans="28:35" x14ac:dyDescent="0.3">
      <c r="AB1141" t="str">
        <f t="shared" si="162"/>
        <v/>
      </c>
      <c r="AC1141" t="str">
        <f t="shared" si="163"/>
        <v/>
      </c>
      <c r="AD1141" t="str">
        <f t="shared" si="164"/>
        <v/>
      </c>
      <c r="AE1141" t="str">
        <f t="shared" si="165"/>
        <v/>
      </c>
      <c r="AF1141" t="str">
        <f t="shared" si="166"/>
        <v/>
      </c>
      <c r="AI1141" t="str">
        <f>IF(ROW($AA1141) - $AA$51 &lt; ($H$16+1)^5, IF(AG1141 &gt;= BaseBonus!$C$16, AG1141*BaseBonus!$E$31, 0), "")</f>
        <v/>
      </c>
    </row>
    <row r="1142" spans="28:35" x14ac:dyDescent="0.3">
      <c r="AB1142" t="str">
        <f t="shared" si="162"/>
        <v/>
      </c>
      <c r="AC1142" t="str">
        <f t="shared" si="163"/>
        <v/>
      </c>
      <c r="AD1142" t="str">
        <f t="shared" si="164"/>
        <v/>
      </c>
      <c r="AE1142" t="str">
        <f t="shared" si="165"/>
        <v/>
      </c>
      <c r="AF1142" t="str">
        <f t="shared" si="166"/>
        <v/>
      </c>
      <c r="AI1142" t="str">
        <f>IF(ROW($AA1142) - $AA$51 &lt; ($H$16+1)^5, IF(AG1142 &gt;= BaseBonus!$C$16, AG1142*BaseBonus!$E$31, 0), "")</f>
        <v/>
      </c>
    </row>
    <row r="1143" spans="28:35" x14ac:dyDescent="0.3">
      <c r="AB1143" t="str">
        <f t="shared" si="162"/>
        <v/>
      </c>
      <c r="AC1143" t="str">
        <f t="shared" si="163"/>
        <v/>
      </c>
      <c r="AD1143" t="str">
        <f t="shared" si="164"/>
        <v/>
      </c>
      <c r="AE1143" t="str">
        <f t="shared" si="165"/>
        <v/>
      </c>
      <c r="AF1143" t="str">
        <f t="shared" si="166"/>
        <v/>
      </c>
      <c r="AI1143" t="str">
        <f>IF(ROW($AA1143) - $AA$51 &lt; ($H$16+1)^5, IF(AG1143 &gt;= BaseBonus!$C$16, AG1143*BaseBonus!$E$31, 0), "")</f>
        <v/>
      </c>
    </row>
    <row r="1144" spans="28:35" x14ac:dyDescent="0.3">
      <c r="AB1144" t="str">
        <f t="shared" si="162"/>
        <v/>
      </c>
      <c r="AC1144" t="str">
        <f t="shared" si="163"/>
        <v/>
      </c>
      <c r="AD1144" t="str">
        <f t="shared" si="164"/>
        <v/>
      </c>
      <c r="AE1144" t="str">
        <f t="shared" si="165"/>
        <v/>
      </c>
      <c r="AF1144" t="str">
        <f t="shared" si="166"/>
        <v/>
      </c>
      <c r="AI1144" t="str">
        <f>IF(ROW($AA1144) - $AA$51 &lt; ($H$16+1)^5, IF(AG1144 &gt;= BaseBonus!$C$16, AG1144*BaseBonus!$E$31, 0), "")</f>
        <v/>
      </c>
    </row>
    <row r="1145" spans="28:35" x14ac:dyDescent="0.3">
      <c r="AB1145" t="str">
        <f t="shared" si="162"/>
        <v/>
      </c>
      <c r="AC1145" t="str">
        <f t="shared" si="163"/>
        <v/>
      </c>
      <c r="AD1145" t="str">
        <f t="shared" si="164"/>
        <v/>
      </c>
      <c r="AE1145" t="str">
        <f t="shared" si="165"/>
        <v/>
      </c>
      <c r="AF1145" t="str">
        <f t="shared" si="166"/>
        <v/>
      </c>
      <c r="AI1145" t="str">
        <f>IF(ROW($AA1145) - $AA$51 &lt; ($H$16+1)^5, IF(AG1145 &gt;= BaseBonus!$C$16, AG1145*BaseBonus!$E$31, 0), "")</f>
        <v/>
      </c>
    </row>
    <row r="1146" spans="28:35" x14ac:dyDescent="0.3">
      <c r="AB1146" t="str">
        <f t="shared" si="162"/>
        <v/>
      </c>
      <c r="AC1146" t="str">
        <f t="shared" si="163"/>
        <v/>
      </c>
      <c r="AD1146" t="str">
        <f t="shared" si="164"/>
        <v/>
      </c>
      <c r="AE1146" t="str">
        <f t="shared" si="165"/>
        <v/>
      </c>
      <c r="AF1146" t="str">
        <f t="shared" si="166"/>
        <v/>
      </c>
      <c r="AI1146" t="str">
        <f>IF(ROW($AA1146) - $AA$51 &lt; ($H$16+1)^5, IF(AG1146 &gt;= BaseBonus!$C$16, AG1146*BaseBonus!$E$31, 0), "")</f>
        <v/>
      </c>
    </row>
    <row r="1147" spans="28:35" x14ac:dyDescent="0.3">
      <c r="AB1147" t="str">
        <f t="shared" si="162"/>
        <v/>
      </c>
      <c r="AC1147" t="str">
        <f t="shared" si="163"/>
        <v/>
      </c>
      <c r="AD1147" t="str">
        <f t="shared" si="164"/>
        <v/>
      </c>
      <c r="AE1147" t="str">
        <f t="shared" si="165"/>
        <v/>
      </c>
      <c r="AF1147" t="str">
        <f t="shared" si="166"/>
        <v/>
      </c>
      <c r="AI1147" t="str">
        <f>IF(ROW($AA1147) - $AA$51 &lt; ($H$16+1)^5, IF(AG1147 &gt;= BaseBonus!$C$16, AG1147*BaseBonus!$E$31, 0), "")</f>
        <v/>
      </c>
    </row>
    <row r="1148" spans="28:35" x14ac:dyDescent="0.3">
      <c r="AB1148" t="str">
        <f t="shared" si="162"/>
        <v/>
      </c>
      <c r="AC1148" t="str">
        <f t="shared" si="163"/>
        <v/>
      </c>
      <c r="AD1148" t="str">
        <f t="shared" si="164"/>
        <v/>
      </c>
      <c r="AE1148" t="str">
        <f t="shared" si="165"/>
        <v/>
      </c>
      <c r="AF1148" t="str">
        <f t="shared" si="166"/>
        <v/>
      </c>
      <c r="AI1148" t="str">
        <f>IF(ROW($AA1148) - $AA$51 &lt; ($H$16+1)^5, IF(AG1148 &gt;= BaseBonus!$C$16, AG1148*BaseBonus!$E$31, 0), "")</f>
        <v/>
      </c>
    </row>
    <row r="1149" spans="28:35" x14ac:dyDescent="0.3">
      <c r="AB1149" t="str">
        <f t="shared" si="162"/>
        <v/>
      </c>
      <c r="AC1149" t="str">
        <f t="shared" si="163"/>
        <v/>
      </c>
      <c r="AD1149" t="str">
        <f t="shared" si="164"/>
        <v/>
      </c>
      <c r="AE1149" t="str">
        <f t="shared" si="165"/>
        <v/>
      </c>
      <c r="AF1149" t="str">
        <f t="shared" si="166"/>
        <v/>
      </c>
      <c r="AI1149" t="str">
        <f>IF(ROW($AA1149) - $AA$51 &lt; ($H$16+1)^5, IF(AG1149 &gt;= BaseBonus!$C$16, AG1149*BaseBonus!$E$31, 0), "")</f>
        <v/>
      </c>
    </row>
    <row r="1150" spans="28:35" x14ac:dyDescent="0.3">
      <c r="AB1150" t="str">
        <f t="shared" si="162"/>
        <v/>
      </c>
      <c r="AC1150" t="str">
        <f t="shared" si="163"/>
        <v/>
      </c>
      <c r="AD1150" t="str">
        <f t="shared" si="164"/>
        <v/>
      </c>
      <c r="AE1150" t="str">
        <f t="shared" si="165"/>
        <v/>
      </c>
      <c r="AF1150" t="str">
        <f t="shared" si="166"/>
        <v/>
      </c>
      <c r="AI1150" t="str">
        <f>IF(ROW($AA1150) - $AA$51 &lt; ($H$16+1)^5, IF(AG1150 &gt;= BaseBonus!$C$16, AG1150*BaseBonus!$E$31, 0), "")</f>
        <v/>
      </c>
    </row>
    <row r="1151" spans="28:35" x14ac:dyDescent="0.3">
      <c r="AB1151" t="str">
        <f t="shared" si="162"/>
        <v/>
      </c>
      <c r="AC1151" t="str">
        <f t="shared" si="163"/>
        <v/>
      </c>
      <c r="AD1151" t="str">
        <f t="shared" si="164"/>
        <v/>
      </c>
      <c r="AE1151" t="str">
        <f t="shared" si="165"/>
        <v/>
      </c>
      <c r="AF1151" t="str">
        <f t="shared" si="166"/>
        <v/>
      </c>
      <c r="AI1151" t="str">
        <f>IF(ROW($AA1151) - $AA$51 &lt; ($H$16+1)^5, IF(AG1151 &gt;= BaseBonus!$C$16, AG1151*BaseBonus!$E$31, 0), "")</f>
        <v/>
      </c>
    </row>
    <row r="1152" spans="28:35" x14ac:dyDescent="0.3">
      <c r="AB1152" t="str">
        <f t="shared" si="162"/>
        <v/>
      </c>
      <c r="AC1152" t="str">
        <f t="shared" si="163"/>
        <v/>
      </c>
      <c r="AD1152" t="str">
        <f t="shared" si="164"/>
        <v/>
      </c>
      <c r="AE1152" t="str">
        <f t="shared" si="165"/>
        <v/>
      </c>
      <c r="AF1152" t="str">
        <f t="shared" si="166"/>
        <v/>
      </c>
      <c r="AI1152" t="str">
        <f>IF(ROW($AA1152) - $AA$51 &lt; ($H$16+1)^5, IF(AG1152 &gt;= BaseBonus!$C$16, AG1152*BaseBonus!$E$31, 0), "")</f>
        <v/>
      </c>
    </row>
    <row r="1153" spans="28:35" x14ac:dyDescent="0.3">
      <c r="AB1153" t="str">
        <f t="shared" si="162"/>
        <v/>
      </c>
      <c r="AC1153" t="str">
        <f t="shared" si="163"/>
        <v/>
      </c>
      <c r="AD1153" t="str">
        <f t="shared" si="164"/>
        <v/>
      </c>
      <c r="AE1153" t="str">
        <f t="shared" si="165"/>
        <v/>
      </c>
      <c r="AF1153" t="str">
        <f t="shared" si="166"/>
        <v/>
      </c>
      <c r="AI1153" t="str">
        <f>IF(ROW($AA1153) - $AA$51 &lt; ($H$16+1)^5, IF(AG1153 &gt;= BaseBonus!$C$16, AG1153*BaseBonus!$E$31, 0), "")</f>
        <v/>
      </c>
    </row>
    <row r="1154" spans="28:35" x14ac:dyDescent="0.3">
      <c r="AB1154" t="str">
        <f t="shared" si="162"/>
        <v/>
      </c>
      <c r="AC1154" t="str">
        <f t="shared" si="163"/>
        <v/>
      </c>
      <c r="AD1154" t="str">
        <f t="shared" si="164"/>
        <v/>
      </c>
      <c r="AE1154" t="str">
        <f t="shared" si="165"/>
        <v/>
      </c>
      <c r="AF1154" t="str">
        <f t="shared" si="166"/>
        <v/>
      </c>
      <c r="AI1154" t="str">
        <f>IF(ROW($AA1154) - $AA$51 &lt; ($H$16+1)^5, IF(AG1154 &gt;= BaseBonus!$C$16, AG1154*BaseBonus!$E$31, 0), "")</f>
        <v/>
      </c>
    </row>
    <row r="1155" spans="28:35" x14ac:dyDescent="0.3">
      <c r="AB1155" t="str">
        <f t="shared" si="162"/>
        <v/>
      </c>
      <c r="AC1155" t="str">
        <f t="shared" si="163"/>
        <v/>
      </c>
      <c r="AD1155" t="str">
        <f t="shared" si="164"/>
        <v/>
      </c>
      <c r="AE1155" t="str">
        <f t="shared" si="165"/>
        <v/>
      </c>
      <c r="AF1155" t="str">
        <f t="shared" si="166"/>
        <v/>
      </c>
      <c r="AI1155" t="str">
        <f>IF(ROW($AA1155) - $AA$51 &lt; ($H$16+1)^5, IF(AG1155 &gt;= BaseBonus!$C$16, AG1155*BaseBonus!$E$31, 0), "")</f>
        <v/>
      </c>
    </row>
    <row r="1156" spans="28:35" x14ac:dyDescent="0.3">
      <c r="AB1156" t="str">
        <f t="shared" si="162"/>
        <v/>
      </c>
      <c r="AC1156" t="str">
        <f t="shared" si="163"/>
        <v/>
      </c>
      <c r="AD1156" t="str">
        <f t="shared" si="164"/>
        <v/>
      </c>
      <c r="AE1156" t="str">
        <f t="shared" si="165"/>
        <v/>
      </c>
      <c r="AF1156" t="str">
        <f t="shared" si="166"/>
        <v/>
      </c>
      <c r="AI1156" t="str">
        <f>IF(ROW($AA1156) - $AA$51 &lt; ($H$16+1)^5, IF(AG1156 &gt;= BaseBonus!$C$16, AG1156*BaseBonus!$E$31, 0), "")</f>
        <v/>
      </c>
    </row>
    <row r="1157" spans="28:35" x14ac:dyDescent="0.3">
      <c r="AB1157" t="str">
        <f t="shared" si="162"/>
        <v/>
      </c>
      <c r="AC1157" t="str">
        <f t="shared" si="163"/>
        <v/>
      </c>
      <c r="AD1157" t="str">
        <f t="shared" si="164"/>
        <v/>
      </c>
      <c r="AE1157" t="str">
        <f t="shared" si="165"/>
        <v/>
      </c>
      <c r="AF1157" t="str">
        <f t="shared" si="166"/>
        <v/>
      </c>
      <c r="AI1157" t="str">
        <f>IF(ROW($AA1157) - $AA$51 &lt; ($H$16+1)^5, IF(AG1157 &gt;= BaseBonus!$C$16, AG1157*BaseBonus!$E$31, 0), "")</f>
        <v/>
      </c>
    </row>
    <row r="1158" spans="28:35" x14ac:dyDescent="0.3">
      <c r="AB1158" t="str">
        <f t="shared" si="162"/>
        <v/>
      </c>
      <c r="AC1158" t="str">
        <f t="shared" si="163"/>
        <v/>
      </c>
      <c r="AD1158" t="str">
        <f t="shared" si="164"/>
        <v/>
      </c>
      <c r="AE1158" t="str">
        <f t="shared" si="165"/>
        <v/>
      </c>
      <c r="AF1158" t="str">
        <f t="shared" si="166"/>
        <v/>
      </c>
      <c r="AI1158" t="str">
        <f>IF(ROW($AA1158) - $AA$51 &lt; ($H$16+1)^5, IF(AG1158 &gt;= BaseBonus!$C$16, AG1158*BaseBonus!$E$31, 0), "")</f>
        <v/>
      </c>
    </row>
    <row r="1159" spans="28:35" x14ac:dyDescent="0.3">
      <c r="AB1159" t="str">
        <f t="shared" si="162"/>
        <v/>
      </c>
      <c r="AC1159" t="str">
        <f t="shared" si="163"/>
        <v/>
      </c>
      <c r="AD1159" t="str">
        <f t="shared" si="164"/>
        <v/>
      </c>
      <c r="AE1159" t="str">
        <f t="shared" si="165"/>
        <v/>
      </c>
      <c r="AF1159" t="str">
        <f t="shared" si="166"/>
        <v/>
      </c>
      <c r="AI1159" t="str">
        <f>IF(ROW($AA1159) - $AA$51 &lt; ($H$16+1)^5, IF(AG1159 &gt;= BaseBonus!$C$16, AG1159*BaseBonus!$E$31, 0), "")</f>
        <v/>
      </c>
    </row>
    <row r="1160" spans="28:35" x14ac:dyDescent="0.3">
      <c r="AB1160" t="str">
        <f t="shared" si="162"/>
        <v/>
      </c>
      <c r="AC1160" t="str">
        <f t="shared" si="163"/>
        <v/>
      </c>
      <c r="AD1160" t="str">
        <f t="shared" si="164"/>
        <v/>
      </c>
      <c r="AE1160" t="str">
        <f t="shared" si="165"/>
        <v/>
      </c>
      <c r="AF1160" t="str">
        <f t="shared" si="166"/>
        <v/>
      </c>
      <c r="AI1160" t="str">
        <f>IF(ROW($AA1160) - $AA$51 &lt; ($H$16+1)^5, IF(AG1160 &gt;= BaseBonus!$C$16, AG1160*BaseBonus!$E$31, 0), "")</f>
        <v/>
      </c>
    </row>
    <row r="1161" spans="28:35" x14ac:dyDescent="0.3">
      <c r="AB1161" t="str">
        <f t="shared" si="162"/>
        <v/>
      </c>
      <c r="AC1161" t="str">
        <f t="shared" si="163"/>
        <v/>
      </c>
      <c r="AD1161" t="str">
        <f t="shared" si="164"/>
        <v/>
      </c>
      <c r="AE1161" t="str">
        <f t="shared" si="165"/>
        <v/>
      </c>
      <c r="AF1161" t="str">
        <f t="shared" si="166"/>
        <v/>
      </c>
      <c r="AI1161" t="str">
        <f>IF(ROW($AA1161) - $AA$51 &lt; ($H$16+1)^5, IF(AG1161 &gt;= BaseBonus!$C$16, AG1161*BaseBonus!$E$31, 0), "")</f>
        <v/>
      </c>
    </row>
    <row r="1162" spans="28:35" x14ac:dyDescent="0.3">
      <c r="AB1162" t="str">
        <f t="shared" si="162"/>
        <v/>
      </c>
      <c r="AC1162" t="str">
        <f t="shared" si="163"/>
        <v/>
      </c>
      <c r="AD1162" t="str">
        <f t="shared" si="164"/>
        <v/>
      </c>
      <c r="AE1162" t="str">
        <f t="shared" si="165"/>
        <v/>
      </c>
      <c r="AF1162" t="str">
        <f t="shared" si="166"/>
        <v/>
      </c>
      <c r="AI1162" t="str">
        <f>IF(ROW($AA1162) - $AA$51 &lt; ($H$16+1)^5, IF(AG1162 &gt;= BaseBonus!$C$16, AG1162*BaseBonus!$E$31, 0), "")</f>
        <v/>
      </c>
    </row>
    <row r="1163" spans="28:35" x14ac:dyDescent="0.3">
      <c r="AB1163" t="str">
        <f t="shared" si="162"/>
        <v/>
      </c>
      <c r="AC1163" t="str">
        <f t="shared" si="163"/>
        <v/>
      </c>
      <c r="AD1163" t="str">
        <f t="shared" si="164"/>
        <v/>
      </c>
      <c r="AE1163" t="str">
        <f t="shared" si="165"/>
        <v/>
      </c>
      <c r="AF1163" t="str">
        <f t="shared" si="166"/>
        <v/>
      </c>
      <c r="AI1163" t="str">
        <f>IF(ROW($AA1163) - $AA$51 &lt; ($H$16+1)^5, IF(AG1163 &gt;= BaseBonus!$C$16, AG1163*BaseBonus!$E$31, 0), "")</f>
        <v/>
      </c>
    </row>
    <row r="1164" spans="28:35" x14ac:dyDescent="0.3">
      <c r="AB1164" t="str">
        <f t="shared" si="162"/>
        <v/>
      </c>
      <c r="AC1164" t="str">
        <f t="shared" si="163"/>
        <v/>
      </c>
      <c r="AD1164" t="str">
        <f t="shared" si="164"/>
        <v/>
      </c>
      <c r="AE1164" t="str">
        <f t="shared" si="165"/>
        <v/>
      </c>
      <c r="AF1164" t="str">
        <f t="shared" si="166"/>
        <v/>
      </c>
      <c r="AI1164" t="str">
        <f>IF(ROW($AA1164) - $AA$51 &lt; ($H$16+1)^5, IF(AG1164 &gt;= BaseBonus!$C$16, AG1164*BaseBonus!$E$31, 0), "")</f>
        <v/>
      </c>
    </row>
    <row r="1165" spans="28:35" x14ac:dyDescent="0.3">
      <c r="AB1165" t="str">
        <f t="shared" si="162"/>
        <v/>
      </c>
      <c r="AC1165" t="str">
        <f t="shared" si="163"/>
        <v/>
      </c>
      <c r="AD1165" t="str">
        <f t="shared" si="164"/>
        <v/>
      </c>
      <c r="AE1165" t="str">
        <f t="shared" si="165"/>
        <v/>
      </c>
      <c r="AF1165" t="str">
        <f t="shared" si="166"/>
        <v/>
      </c>
      <c r="AI1165" t="str">
        <f>IF(ROW($AA1165) - $AA$51 &lt; ($H$16+1)^5, IF(AG1165 &gt;= BaseBonus!$C$16, AG1165*BaseBonus!$E$31, 0), "")</f>
        <v/>
      </c>
    </row>
    <row r="1166" spans="28:35" x14ac:dyDescent="0.3">
      <c r="AB1166" t="str">
        <f t="shared" si="162"/>
        <v/>
      </c>
      <c r="AC1166" t="str">
        <f t="shared" si="163"/>
        <v/>
      </c>
      <c r="AD1166" t="str">
        <f t="shared" si="164"/>
        <v/>
      </c>
      <c r="AE1166" t="str">
        <f t="shared" si="165"/>
        <v/>
      </c>
      <c r="AF1166" t="str">
        <f t="shared" si="166"/>
        <v/>
      </c>
      <c r="AI1166" t="str">
        <f>IF(ROW($AA1166) - $AA$51 &lt; ($H$16+1)^5, IF(AG1166 &gt;= BaseBonus!$C$16, AG1166*BaseBonus!$E$31, 0), "")</f>
        <v/>
      </c>
    </row>
    <row r="1167" spans="28:35" x14ac:dyDescent="0.3">
      <c r="AB1167" t="str">
        <f t="shared" si="162"/>
        <v/>
      </c>
      <c r="AC1167" t="str">
        <f t="shared" si="163"/>
        <v/>
      </c>
      <c r="AD1167" t="str">
        <f t="shared" si="164"/>
        <v/>
      </c>
      <c r="AE1167" t="str">
        <f t="shared" si="165"/>
        <v/>
      </c>
      <c r="AF1167" t="str">
        <f t="shared" si="166"/>
        <v/>
      </c>
      <c r="AI1167" t="str">
        <f>IF(ROW($AA1167) - $AA$51 &lt; ($H$16+1)^5, IF(AG1167 &gt;= BaseBonus!$C$16, AG1167*BaseBonus!$E$31, 0), "")</f>
        <v/>
      </c>
    </row>
    <row r="1168" spans="28:35" x14ac:dyDescent="0.3">
      <c r="AB1168" t="str">
        <f t="shared" si="162"/>
        <v/>
      </c>
      <c r="AC1168" t="str">
        <f t="shared" si="163"/>
        <v/>
      </c>
      <c r="AD1168" t="str">
        <f t="shared" si="164"/>
        <v/>
      </c>
      <c r="AE1168" t="str">
        <f t="shared" si="165"/>
        <v/>
      </c>
      <c r="AF1168" t="str">
        <f t="shared" si="166"/>
        <v/>
      </c>
      <c r="AI1168" t="str">
        <f>IF(ROW($AA1168) - $AA$51 &lt; ($H$16+1)^5, IF(AG1168 &gt;= BaseBonus!$C$16, AG1168*BaseBonus!$E$31, 0), "")</f>
        <v/>
      </c>
    </row>
    <row r="1169" spans="28:32" x14ac:dyDescent="0.3">
      <c r="AB1169" t="str">
        <f t="shared" si="162"/>
        <v/>
      </c>
      <c r="AC1169" t="str">
        <f t="shared" si="163"/>
        <v/>
      </c>
      <c r="AD1169" t="str">
        <f t="shared" si="164"/>
        <v/>
      </c>
      <c r="AE1169" t="str">
        <f t="shared" si="165"/>
        <v/>
      </c>
      <c r="AF1169" t="str">
        <f t="shared" si="166"/>
        <v/>
      </c>
    </row>
    <row r="1170" spans="28:32" x14ac:dyDescent="0.3">
      <c r="AB1170" t="str">
        <f t="shared" si="162"/>
        <v/>
      </c>
      <c r="AC1170" t="str">
        <f t="shared" si="163"/>
        <v/>
      </c>
      <c r="AD1170" t="str">
        <f t="shared" si="164"/>
        <v/>
      </c>
      <c r="AE1170" t="str">
        <f t="shared" si="165"/>
        <v/>
      </c>
      <c r="AF1170" t="str">
        <f t="shared" si="166"/>
        <v/>
      </c>
    </row>
    <row r="1171" spans="28:32" x14ac:dyDescent="0.3">
      <c r="AB1171" t="str">
        <f t="shared" si="162"/>
        <v/>
      </c>
      <c r="AC1171" t="str">
        <f t="shared" si="163"/>
        <v/>
      </c>
      <c r="AD1171" t="str">
        <f t="shared" si="164"/>
        <v/>
      </c>
      <c r="AE1171" t="str">
        <f t="shared" si="165"/>
        <v/>
      </c>
      <c r="AF1171" t="str">
        <f t="shared" si="166"/>
        <v/>
      </c>
    </row>
    <row r="1172" spans="28:32" x14ac:dyDescent="0.3">
      <c r="AB1172" t="str">
        <f t="shared" si="162"/>
        <v/>
      </c>
      <c r="AC1172" t="str">
        <f t="shared" si="163"/>
        <v/>
      </c>
      <c r="AD1172" t="str">
        <f t="shared" si="164"/>
        <v/>
      </c>
      <c r="AE1172" t="str">
        <f t="shared" si="165"/>
        <v/>
      </c>
      <c r="AF1172" t="str">
        <f t="shared" si="166"/>
        <v/>
      </c>
    </row>
    <row r="1173" spans="28:32" x14ac:dyDescent="0.3">
      <c r="AB1173" t="str">
        <f t="shared" si="162"/>
        <v/>
      </c>
      <c r="AC1173" t="str">
        <f t="shared" si="163"/>
        <v/>
      </c>
      <c r="AD1173" t="str">
        <f t="shared" si="164"/>
        <v/>
      </c>
      <c r="AE1173" t="str">
        <f t="shared" si="165"/>
        <v/>
      </c>
      <c r="AF1173" t="str">
        <f t="shared" si="166"/>
        <v/>
      </c>
    </row>
    <row r="1174" spans="28:32" x14ac:dyDescent="0.3">
      <c r="AB1174" t="str">
        <f t="shared" si="162"/>
        <v/>
      </c>
      <c r="AC1174" t="str">
        <f t="shared" si="163"/>
        <v/>
      </c>
      <c r="AD1174" t="str">
        <f t="shared" si="164"/>
        <v/>
      </c>
      <c r="AE1174" t="str">
        <f t="shared" si="165"/>
        <v/>
      </c>
      <c r="AF1174" t="str">
        <f t="shared" si="166"/>
        <v/>
      </c>
    </row>
    <row r="1175" spans="28:32" x14ac:dyDescent="0.3">
      <c r="AB1175" t="str">
        <f t="shared" si="162"/>
        <v/>
      </c>
      <c r="AC1175" t="str">
        <f t="shared" si="163"/>
        <v/>
      </c>
      <c r="AD1175" t="str">
        <f t="shared" si="164"/>
        <v/>
      </c>
      <c r="AE1175" t="str">
        <f t="shared" si="165"/>
        <v/>
      </c>
      <c r="AF1175" t="str">
        <f t="shared" si="166"/>
        <v/>
      </c>
    </row>
    <row r="1176" spans="28:32" x14ac:dyDescent="0.3">
      <c r="AB1176" t="str">
        <f t="shared" si="162"/>
        <v/>
      </c>
      <c r="AC1176" t="str">
        <f t="shared" si="163"/>
        <v/>
      </c>
      <c r="AD1176" t="str">
        <f t="shared" si="164"/>
        <v/>
      </c>
      <c r="AE1176" t="str">
        <f t="shared" si="165"/>
        <v/>
      </c>
      <c r="AF1176" t="str">
        <f t="shared" si="166"/>
        <v/>
      </c>
    </row>
    <row r="1177" spans="28:32" x14ac:dyDescent="0.3">
      <c r="AB1177" t="str">
        <f t="shared" si="162"/>
        <v/>
      </c>
      <c r="AC1177" t="str">
        <f t="shared" si="163"/>
        <v/>
      </c>
      <c r="AD1177" t="str">
        <f t="shared" si="164"/>
        <v/>
      </c>
      <c r="AE1177" t="str">
        <f t="shared" si="165"/>
        <v/>
      </c>
      <c r="AF1177" t="str">
        <f t="shared" si="166"/>
        <v/>
      </c>
    </row>
    <row r="1178" spans="28:32" x14ac:dyDescent="0.3">
      <c r="AB1178" t="str">
        <f t="shared" si="162"/>
        <v/>
      </c>
      <c r="AC1178" t="str">
        <f t="shared" si="163"/>
        <v/>
      </c>
      <c r="AD1178" t="str">
        <f t="shared" si="164"/>
        <v/>
      </c>
      <c r="AE1178" t="str">
        <f t="shared" si="165"/>
        <v/>
      </c>
      <c r="AF1178" t="str">
        <f t="shared" si="166"/>
        <v/>
      </c>
    </row>
    <row r="1179" spans="28:32" x14ac:dyDescent="0.3">
      <c r="AB1179" t="str">
        <f t="shared" si="162"/>
        <v/>
      </c>
      <c r="AC1179" t="str">
        <f t="shared" si="163"/>
        <v/>
      </c>
      <c r="AD1179" t="str">
        <f t="shared" si="164"/>
        <v/>
      </c>
      <c r="AE1179" t="str">
        <f t="shared" si="165"/>
        <v/>
      </c>
      <c r="AF1179" t="str">
        <f t="shared" si="166"/>
        <v/>
      </c>
    </row>
    <row r="1180" spans="28:32" x14ac:dyDescent="0.3">
      <c r="AB1180" t="str">
        <f t="shared" si="162"/>
        <v/>
      </c>
      <c r="AC1180" t="str">
        <f t="shared" si="163"/>
        <v/>
      </c>
      <c r="AD1180" t="str">
        <f t="shared" si="164"/>
        <v/>
      </c>
      <c r="AE1180" t="str">
        <f t="shared" si="165"/>
        <v/>
      </c>
      <c r="AF1180" t="str">
        <f t="shared" si="166"/>
        <v/>
      </c>
    </row>
    <row r="1181" spans="28:32" x14ac:dyDescent="0.3">
      <c r="AB1181" t="str">
        <f t="shared" si="162"/>
        <v/>
      </c>
      <c r="AC1181" t="str">
        <f t="shared" si="163"/>
        <v/>
      </c>
      <c r="AD1181" t="str">
        <f t="shared" si="164"/>
        <v/>
      </c>
      <c r="AE1181" t="str">
        <f t="shared" si="165"/>
        <v/>
      </c>
      <c r="AF1181" t="str">
        <f t="shared" si="166"/>
        <v/>
      </c>
    </row>
    <row r="1182" spans="28:32" x14ac:dyDescent="0.3">
      <c r="AB1182" t="str">
        <f t="shared" si="162"/>
        <v/>
      </c>
      <c r="AC1182" t="str">
        <f t="shared" si="163"/>
        <v/>
      </c>
      <c r="AD1182" t="str">
        <f t="shared" si="164"/>
        <v/>
      </c>
      <c r="AE1182" t="str">
        <f t="shared" si="165"/>
        <v/>
      </c>
      <c r="AF1182" t="str">
        <f t="shared" si="166"/>
        <v/>
      </c>
    </row>
    <row r="1183" spans="28:32" x14ac:dyDescent="0.3">
      <c r="AB1183" t="str">
        <f t="shared" si="162"/>
        <v/>
      </c>
      <c r="AC1183" t="str">
        <f t="shared" si="163"/>
        <v/>
      </c>
      <c r="AD1183" t="str">
        <f t="shared" si="164"/>
        <v/>
      </c>
      <c r="AE1183" t="str">
        <f t="shared" si="165"/>
        <v/>
      </c>
      <c r="AF1183" t="str">
        <f t="shared" si="166"/>
        <v/>
      </c>
    </row>
    <row r="1184" spans="28:32" x14ac:dyDescent="0.3">
      <c r="AB1184" t="str">
        <f t="shared" si="162"/>
        <v/>
      </c>
      <c r="AC1184" t="str">
        <f t="shared" si="163"/>
        <v/>
      </c>
      <c r="AD1184" t="str">
        <f t="shared" si="164"/>
        <v/>
      </c>
      <c r="AE1184" t="str">
        <f t="shared" si="165"/>
        <v/>
      </c>
      <c r="AF1184" t="str">
        <f t="shared" si="166"/>
        <v/>
      </c>
    </row>
    <row r="1185" spans="28:32" x14ac:dyDescent="0.3">
      <c r="AB1185" t="str">
        <f t="shared" si="162"/>
        <v/>
      </c>
      <c r="AC1185" t="str">
        <f t="shared" si="163"/>
        <v/>
      </c>
      <c r="AD1185" t="str">
        <f t="shared" si="164"/>
        <v/>
      </c>
      <c r="AE1185" t="str">
        <f t="shared" si="165"/>
        <v/>
      </c>
      <c r="AF1185" t="str">
        <f t="shared" si="166"/>
        <v/>
      </c>
    </row>
    <row r="1186" spans="28:32" x14ac:dyDescent="0.3">
      <c r="AB1186" t="str">
        <f t="shared" si="162"/>
        <v/>
      </c>
      <c r="AC1186" t="str">
        <f t="shared" si="163"/>
        <v/>
      </c>
      <c r="AD1186" t="str">
        <f t="shared" si="164"/>
        <v/>
      </c>
      <c r="AE1186" t="str">
        <f t="shared" si="165"/>
        <v/>
      </c>
      <c r="AF1186" t="str">
        <f t="shared" si="166"/>
        <v/>
      </c>
    </row>
    <row r="1187" spans="28:32" x14ac:dyDescent="0.3">
      <c r="AB1187" t="str">
        <f t="shared" si="162"/>
        <v/>
      </c>
      <c r="AC1187" t="str">
        <f t="shared" si="163"/>
        <v/>
      </c>
      <c r="AD1187" t="str">
        <f t="shared" si="164"/>
        <v/>
      </c>
      <c r="AE1187" t="str">
        <f t="shared" si="165"/>
        <v/>
      </c>
      <c r="AF1187" t="str">
        <f t="shared" si="166"/>
        <v/>
      </c>
    </row>
    <row r="1188" spans="28:32" x14ac:dyDescent="0.3">
      <c r="AB1188" t="str">
        <f t="shared" si="162"/>
        <v/>
      </c>
      <c r="AC1188" t="str">
        <f t="shared" si="163"/>
        <v/>
      </c>
      <c r="AD1188" t="str">
        <f t="shared" si="164"/>
        <v/>
      </c>
      <c r="AE1188" t="str">
        <f t="shared" si="165"/>
        <v/>
      </c>
      <c r="AF1188" t="str">
        <f t="shared" si="166"/>
        <v/>
      </c>
    </row>
    <row r="1189" spans="28:32" x14ac:dyDescent="0.3">
      <c r="AB1189" t="str">
        <f t="shared" si="162"/>
        <v/>
      </c>
      <c r="AC1189" t="str">
        <f t="shared" si="163"/>
        <v/>
      </c>
      <c r="AD1189" t="str">
        <f t="shared" si="164"/>
        <v/>
      </c>
      <c r="AE1189" t="str">
        <f t="shared" si="165"/>
        <v/>
      </c>
      <c r="AF1189" t="str">
        <f t="shared" si="166"/>
        <v/>
      </c>
    </row>
    <row r="1190" spans="28:32" x14ac:dyDescent="0.3">
      <c r="AB1190" t="str">
        <f t="shared" si="162"/>
        <v/>
      </c>
      <c r="AC1190" t="str">
        <f t="shared" si="163"/>
        <v/>
      </c>
      <c r="AD1190" t="str">
        <f t="shared" si="164"/>
        <v/>
      </c>
      <c r="AE1190" t="str">
        <f t="shared" si="165"/>
        <v/>
      </c>
      <c r="AF1190" t="str">
        <f t="shared" si="166"/>
        <v/>
      </c>
    </row>
    <row r="1191" spans="28:32" x14ac:dyDescent="0.3">
      <c r="AB1191" t="str">
        <f t="shared" si="162"/>
        <v/>
      </c>
      <c r="AC1191" t="str">
        <f t="shared" si="163"/>
        <v/>
      </c>
      <c r="AD1191" t="str">
        <f t="shared" si="164"/>
        <v/>
      </c>
      <c r="AE1191" t="str">
        <f t="shared" si="165"/>
        <v/>
      </c>
      <c r="AF1191" t="str">
        <f t="shared" si="166"/>
        <v/>
      </c>
    </row>
    <row r="1192" spans="28:32" x14ac:dyDescent="0.3">
      <c r="AB1192" t="str">
        <f t="shared" si="162"/>
        <v/>
      </c>
      <c r="AC1192" t="str">
        <f t="shared" si="163"/>
        <v/>
      </c>
      <c r="AD1192" t="str">
        <f t="shared" si="164"/>
        <v/>
      </c>
      <c r="AE1192" t="str">
        <f t="shared" si="165"/>
        <v/>
      </c>
      <c r="AF1192" t="str">
        <f t="shared" si="166"/>
        <v/>
      </c>
    </row>
    <row r="1193" spans="28:32" x14ac:dyDescent="0.3">
      <c r="AB1193" t="str">
        <f t="shared" si="162"/>
        <v/>
      </c>
      <c r="AC1193" t="str">
        <f t="shared" si="163"/>
        <v/>
      </c>
      <c r="AD1193" t="str">
        <f t="shared" si="164"/>
        <v/>
      </c>
      <c r="AE1193" t="str">
        <f t="shared" si="165"/>
        <v/>
      </c>
      <c r="AF1193" t="str">
        <f t="shared" si="166"/>
        <v/>
      </c>
    </row>
    <row r="1194" spans="28:32" x14ac:dyDescent="0.3">
      <c r="AB1194" t="str">
        <f t="shared" si="162"/>
        <v/>
      </c>
      <c r="AC1194" t="str">
        <f t="shared" si="163"/>
        <v/>
      </c>
      <c r="AD1194" t="str">
        <f t="shared" si="164"/>
        <v/>
      </c>
      <c r="AE1194" t="str">
        <f t="shared" si="165"/>
        <v/>
      </c>
      <c r="AF1194" t="str">
        <f t="shared" si="166"/>
        <v/>
      </c>
    </row>
    <row r="1195" spans="28:32" x14ac:dyDescent="0.3">
      <c r="AB1195" t="str">
        <f t="shared" si="162"/>
        <v/>
      </c>
      <c r="AC1195" t="str">
        <f t="shared" si="163"/>
        <v/>
      </c>
      <c r="AD1195" t="str">
        <f t="shared" si="164"/>
        <v/>
      </c>
      <c r="AE1195" t="str">
        <f t="shared" si="165"/>
        <v/>
      </c>
      <c r="AF1195" t="str">
        <f t="shared" si="166"/>
        <v/>
      </c>
    </row>
    <row r="1196" spans="28:32" x14ac:dyDescent="0.3">
      <c r="AB1196" t="str">
        <f t="shared" si="162"/>
        <v/>
      </c>
      <c r="AC1196" t="str">
        <f t="shared" si="163"/>
        <v/>
      </c>
      <c r="AD1196" t="str">
        <f t="shared" si="164"/>
        <v/>
      </c>
      <c r="AE1196" t="str">
        <f t="shared" si="165"/>
        <v/>
      </c>
      <c r="AF1196" t="str">
        <f t="shared" si="166"/>
        <v/>
      </c>
    </row>
    <row r="1197" spans="28:32" x14ac:dyDescent="0.3">
      <c r="AB1197" t="str">
        <f t="shared" si="162"/>
        <v/>
      </c>
      <c r="AC1197" t="str">
        <f t="shared" si="163"/>
        <v/>
      </c>
      <c r="AD1197" t="str">
        <f t="shared" si="164"/>
        <v/>
      </c>
      <c r="AE1197" t="str">
        <f t="shared" si="165"/>
        <v/>
      </c>
      <c r="AF1197" t="str">
        <f t="shared" si="166"/>
        <v/>
      </c>
    </row>
    <row r="1198" spans="28:32" x14ac:dyDescent="0.3">
      <c r="AB1198" t="str">
        <f t="shared" si="162"/>
        <v/>
      </c>
      <c r="AC1198" t="str">
        <f t="shared" si="163"/>
        <v/>
      </c>
      <c r="AD1198" t="str">
        <f t="shared" si="164"/>
        <v/>
      </c>
      <c r="AE1198" t="str">
        <f t="shared" si="165"/>
        <v/>
      </c>
      <c r="AF1198" t="str">
        <f t="shared" si="166"/>
        <v/>
      </c>
    </row>
    <row r="1199" spans="28:32" x14ac:dyDescent="0.3">
      <c r="AB1199" t="str">
        <f t="shared" si="162"/>
        <v/>
      </c>
      <c r="AC1199" t="str">
        <f t="shared" si="163"/>
        <v/>
      </c>
      <c r="AD1199" t="str">
        <f t="shared" si="164"/>
        <v/>
      </c>
      <c r="AE1199" t="str">
        <f t="shared" si="165"/>
        <v/>
      </c>
      <c r="AF1199" t="str">
        <f t="shared" si="166"/>
        <v/>
      </c>
    </row>
    <row r="1200" spans="28:32" x14ac:dyDescent="0.3">
      <c r="AB1200" t="str">
        <f t="shared" si="162"/>
        <v/>
      </c>
      <c r="AC1200" t="str">
        <f t="shared" si="163"/>
        <v/>
      </c>
      <c r="AD1200" t="str">
        <f t="shared" si="164"/>
        <v/>
      </c>
      <c r="AE1200" t="str">
        <f t="shared" si="165"/>
        <v/>
      </c>
      <c r="AF1200" t="str">
        <f t="shared" si="166"/>
        <v/>
      </c>
    </row>
    <row r="1201" spans="28:32" x14ac:dyDescent="0.3">
      <c r="AB1201" t="str">
        <f t="shared" si="162"/>
        <v/>
      </c>
      <c r="AC1201" t="str">
        <f t="shared" si="163"/>
        <v/>
      </c>
      <c r="AD1201" t="str">
        <f t="shared" si="164"/>
        <v/>
      </c>
      <c r="AE1201" t="str">
        <f t="shared" si="165"/>
        <v/>
      </c>
      <c r="AF1201" t="str">
        <f t="shared" si="166"/>
        <v/>
      </c>
    </row>
    <row r="1202" spans="28:32" x14ac:dyDescent="0.3">
      <c r="AB1202" t="str">
        <f t="shared" si="162"/>
        <v/>
      </c>
      <c r="AC1202" t="str">
        <f t="shared" si="163"/>
        <v/>
      </c>
      <c r="AD1202" t="str">
        <f t="shared" si="164"/>
        <v/>
      </c>
      <c r="AE1202" t="str">
        <f t="shared" si="165"/>
        <v/>
      </c>
      <c r="AF1202" t="str">
        <f t="shared" si="166"/>
        <v/>
      </c>
    </row>
    <row r="1203" spans="28:32" x14ac:dyDescent="0.3">
      <c r="AB1203" t="str">
        <f t="shared" si="162"/>
        <v/>
      </c>
      <c r="AC1203" t="str">
        <f t="shared" si="163"/>
        <v/>
      </c>
      <c r="AD1203" t="str">
        <f t="shared" si="164"/>
        <v/>
      </c>
      <c r="AE1203" t="str">
        <f t="shared" si="165"/>
        <v/>
      </c>
      <c r="AF1203" t="str">
        <f t="shared" si="166"/>
        <v/>
      </c>
    </row>
    <row r="1204" spans="28:32" x14ac:dyDescent="0.3">
      <c r="AB1204" t="str">
        <f t="shared" ref="AB1204:AB1267" si="167">IF(ROW()-$AA$51 &lt; (H$16+1)^5, MOD(_xlfn.FLOOR.MATH((ROW()-$AA$51)/AB$50), H$16+1), "")</f>
        <v/>
      </c>
      <c r="AC1204" t="str">
        <f t="shared" ref="AC1204:AC1267" si="168">IF(ROW()-$AA$51 &lt; (I$16+1)^5, MOD(_xlfn.FLOOR.MATH((ROW()-$AA$51)/AC$50), I$16+1), "")</f>
        <v/>
      </c>
      <c r="AD1204" t="str">
        <f t="shared" ref="AD1204:AD1267" si="169">IF(ROW()-$AA$51 &lt; (J$16+1)^5, MOD(_xlfn.FLOOR.MATH((ROW()-$AA$51)/AD$50), J$16+1), "")</f>
        <v/>
      </c>
      <c r="AE1204" t="str">
        <f t="shared" ref="AE1204:AE1267" si="170">IF(ROW()-$AA$51 &lt; (K$16+1)^5, MOD(_xlfn.FLOOR.MATH((ROW()-$AA$51)/AE$50), K$16+1), "")</f>
        <v/>
      </c>
      <c r="AF1204" t="str">
        <f t="shared" ref="AF1204:AF1267" si="171">IF(ROW()-$AA$51 &lt; (L$16+1)^5, MOD(_xlfn.FLOOR.MATH((ROW()-$AA$51)/AF$50), L$16+1), "")</f>
        <v/>
      </c>
    </row>
    <row r="1205" spans="28:32" x14ac:dyDescent="0.3">
      <c r="AB1205" t="str">
        <f t="shared" si="167"/>
        <v/>
      </c>
      <c r="AC1205" t="str">
        <f t="shared" si="168"/>
        <v/>
      </c>
      <c r="AD1205" t="str">
        <f t="shared" si="169"/>
        <v/>
      </c>
      <c r="AE1205" t="str">
        <f t="shared" si="170"/>
        <v/>
      </c>
      <c r="AF1205" t="str">
        <f t="shared" si="171"/>
        <v/>
      </c>
    </row>
    <row r="1206" spans="28:32" x14ac:dyDescent="0.3">
      <c r="AB1206" t="str">
        <f t="shared" si="167"/>
        <v/>
      </c>
      <c r="AC1206" t="str">
        <f t="shared" si="168"/>
        <v/>
      </c>
      <c r="AD1206" t="str">
        <f t="shared" si="169"/>
        <v/>
      </c>
      <c r="AE1206" t="str">
        <f t="shared" si="170"/>
        <v/>
      </c>
      <c r="AF1206" t="str">
        <f t="shared" si="171"/>
        <v/>
      </c>
    </row>
    <row r="1207" spans="28:32" x14ac:dyDescent="0.3">
      <c r="AB1207" t="str">
        <f t="shared" si="167"/>
        <v/>
      </c>
      <c r="AC1207" t="str">
        <f t="shared" si="168"/>
        <v/>
      </c>
      <c r="AD1207" t="str">
        <f t="shared" si="169"/>
        <v/>
      </c>
      <c r="AE1207" t="str">
        <f t="shared" si="170"/>
        <v/>
      </c>
      <c r="AF1207" t="str">
        <f t="shared" si="171"/>
        <v/>
      </c>
    </row>
    <row r="1208" spans="28:32" x14ac:dyDescent="0.3">
      <c r="AB1208" t="str">
        <f t="shared" si="167"/>
        <v/>
      </c>
      <c r="AC1208" t="str">
        <f t="shared" si="168"/>
        <v/>
      </c>
      <c r="AD1208" t="str">
        <f t="shared" si="169"/>
        <v/>
      </c>
      <c r="AE1208" t="str">
        <f t="shared" si="170"/>
        <v/>
      </c>
      <c r="AF1208" t="str">
        <f t="shared" si="171"/>
        <v/>
      </c>
    </row>
    <row r="1209" spans="28:32" x14ac:dyDescent="0.3">
      <c r="AB1209" t="str">
        <f t="shared" si="167"/>
        <v/>
      </c>
      <c r="AC1209" t="str">
        <f t="shared" si="168"/>
        <v/>
      </c>
      <c r="AD1209" t="str">
        <f t="shared" si="169"/>
        <v/>
      </c>
      <c r="AE1209" t="str">
        <f t="shared" si="170"/>
        <v/>
      </c>
      <c r="AF1209" t="str">
        <f t="shared" si="171"/>
        <v/>
      </c>
    </row>
    <row r="1210" spans="28:32" x14ac:dyDescent="0.3">
      <c r="AB1210" t="str">
        <f t="shared" si="167"/>
        <v/>
      </c>
      <c r="AC1210" t="str">
        <f t="shared" si="168"/>
        <v/>
      </c>
      <c r="AD1210" t="str">
        <f t="shared" si="169"/>
        <v/>
      </c>
      <c r="AE1210" t="str">
        <f t="shared" si="170"/>
        <v/>
      </c>
      <c r="AF1210" t="str">
        <f t="shared" si="171"/>
        <v/>
      </c>
    </row>
    <row r="1211" spans="28:32" x14ac:dyDescent="0.3">
      <c r="AB1211" t="str">
        <f t="shared" si="167"/>
        <v/>
      </c>
      <c r="AC1211" t="str">
        <f t="shared" si="168"/>
        <v/>
      </c>
      <c r="AD1211" t="str">
        <f t="shared" si="169"/>
        <v/>
      </c>
      <c r="AE1211" t="str">
        <f t="shared" si="170"/>
        <v/>
      </c>
      <c r="AF1211" t="str">
        <f t="shared" si="171"/>
        <v/>
      </c>
    </row>
    <row r="1212" spans="28:32" x14ac:dyDescent="0.3">
      <c r="AB1212" t="str">
        <f t="shared" si="167"/>
        <v/>
      </c>
      <c r="AC1212" t="str">
        <f t="shared" si="168"/>
        <v/>
      </c>
      <c r="AD1212" t="str">
        <f t="shared" si="169"/>
        <v/>
      </c>
      <c r="AE1212" t="str">
        <f t="shared" si="170"/>
        <v/>
      </c>
      <c r="AF1212" t="str">
        <f t="shared" si="171"/>
        <v/>
      </c>
    </row>
    <row r="1213" spans="28:32" x14ac:dyDescent="0.3">
      <c r="AB1213" t="str">
        <f t="shared" si="167"/>
        <v/>
      </c>
      <c r="AC1213" t="str">
        <f t="shared" si="168"/>
        <v/>
      </c>
      <c r="AD1213" t="str">
        <f t="shared" si="169"/>
        <v/>
      </c>
      <c r="AE1213" t="str">
        <f t="shared" si="170"/>
        <v/>
      </c>
      <c r="AF1213" t="str">
        <f t="shared" si="171"/>
        <v/>
      </c>
    </row>
    <row r="1214" spans="28:32" x14ac:dyDescent="0.3">
      <c r="AB1214" t="str">
        <f t="shared" si="167"/>
        <v/>
      </c>
      <c r="AC1214" t="str">
        <f t="shared" si="168"/>
        <v/>
      </c>
      <c r="AD1214" t="str">
        <f t="shared" si="169"/>
        <v/>
      </c>
      <c r="AE1214" t="str">
        <f t="shared" si="170"/>
        <v/>
      </c>
      <c r="AF1214" t="str">
        <f t="shared" si="171"/>
        <v/>
      </c>
    </row>
    <row r="1215" spans="28:32" x14ac:dyDescent="0.3">
      <c r="AB1215" t="str">
        <f t="shared" si="167"/>
        <v/>
      </c>
      <c r="AC1215" t="str">
        <f t="shared" si="168"/>
        <v/>
      </c>
      <c r="AD1215" t="str">
        <f t="shared" si="169"/>
        <v/>
      </c>
      <c r="AE1215" t="str">
        <f t="shared" si="170"/>
        <v/>
      </c>
      <c r="AF1215" t="str">
        <f t="shared" si="171"/>
        <v/>
      </c>
    </row>
    <row r="1216" spans="28:32" x14ac:dyDescent="0.3">
      <c r="AB1216" t="str">
        <f t="shared" si="167"/>
        <v/>
      </c>
      <c r="AC1216" t="str">
        <f t="shared" si="168"/>
        <v/>
      </c>
      <c r="AD1216" t="str">
        <f t="shared" si="169"/>
        <v/>
      </c>
      <c r="AE1216" t="str">
        <f t="shared" si="170"/>
        <v/>
      </c>
      <c r="AF1216" t="str">
        <f t="shared" si="171"/>
        <v/>
      </c>
    </row>
    <row r="1217" spans="28:32" x14ac:dyDescent="0.3">
      <c r="AB1217" t="str">
        <f t="shared" si="167"/>
        <v/>
      </c>
      <c r="AC1217" t="str">
        <f t="shared" si="168"/>
        <v/>
      </c>
      <c r="AD1217" t="str">
        <f t="shared" si="169"/>
        <v/>
      </c>
      <c r="AE1217" t="str">
        <f t="shared" si="170"/>
        <v/>
      </c>
      <c r="AF1217" t="str">
        <f t="shared" si="171"/>
        <v/>
      </c>
    </row>
    <row r="1218" spans="28:32" x14ac:dyDescent="0.3">
      <c r="AB1218" t="str">
        <f t="shared" si="167"/>
        <v/>
      </c>
      <c r="AC1218" t="str">
        <f t="shared" si="168"/>
        <v/>
      </c>
      <c r="AD1218" t="str">
        <f t="shared" si="169"/>
        <v/>
      </c>
      <c r="AE1218" t="str">
        <f t="shared" si="170"/>
        <v/>
      </c>
      <c r="AF1218" t="str">
        <f t="shared" si="171"/>
        <v/>
      </c>
    </row>
    <row r="1219" spans="28:32" x14ac:dyDescent="0.3">
      <c r="AB1219" t="str">
        <f t="shared" si="167"/>
        <v/>
      </c>
      <c r="AC1219" t="str">
        <f t="shared" si="168"/>
        <v/>
      </c>
      <c r="AD1219" t="str">
        <f t="shared" si="169"/>
        <v/>
      </c>
      <c r="AE1219" t="str">
        <f t="shared" si="170"/>
        <v/>
      </c>
      <c r="AF1219" t="str">
        <f t="shared" si="171"/>
        <v/>
      </c>
    </row>
    <row r="1220" spans="28:32" x14ac:dyDescent="0.3">
      <c r="AB1220" t="str">
        <f t="shared" si="167"/>
        <v/>
      </c>
      <c r="AC1220" t="str">
        <f t="shared" si="168"/>
        <v/>
      </c>
      <c r="AD1220" t="str">
        <f t="shared" si="169"/>
        <v/>
      </c>
      <c r="AE1220" t="str">
        <f t="shared" si="170"/>
        <v/>
      </c>
      <c r="AF1220" t="str">
        <f t="shared" si="171"/>
        <v/>
      </c>
    </row>
    <row r="1221" spans="28:32" x14ac:dyDescent="0.3">
      <c r="AB1221" t="str">
        <f t="shared" si="167"/>
        <v/>
      </c>
      <c r="AC1221" t="str">
        <f t="shared" si="168"/>
        <v/>
      </c>
      <c r="AD1221" t="str">
        <f t="shared" si="169"/>
        <v/>
      </c>
      <c r="AE1221" t="str">
        <f t="shared" si="170"/>
        <v/>
      </c>
      <c r="AF1221" t="str">
        <f t="shared" si="171"/>
        <v/>
      </c>
    </row>
    <row r="1222" spans="28:32" x14ac:dyDescent="0.3">
      <c r="AB1222" t="str">
        <f t="shared" si="167"/>
        <v/>
      </c>
      <c r="AC1222" t="str">
        <f t="shared" si="168"/>
        <v/>
      </c>
      <c r="AD1222" t="str">
        <f t="shared" si="169"/>
        <v/>
      </c>
      <c r="AE1222" t="str">
        <f t="shared" si="170"/>
        <v/>
      </c>
      <c r="AF1222" t="str">
        <f t="shared" si="171"/>
        <v/>
      </c>
    </row>
    <row r="1223" spans="28:32" x14ac:dyDescent="0.3">
      <c r="AB1223" t="str">
        <f t="shared" si="167"/>
        <v/>
      </c>
      <c r="AC1223" t="str">
        <f t="shared" si="168"/>
        <v/>
      </c>
      <c r="AD1223" t="str">
        <f t="shared" si="169"/>
        <v/>
      </c>
      <c r="AE1223" t="str">
        <f t="shared" si="170"/>
        <v/>
      </c>
      <c r="AF1223" t="str">
        <f t="shared" si="171"/>
        <v/>
      </c>
    </row>
    <row r="1224" spans="28:32" x14ac:dyDescent="0.3">
      <c r="AB1224" t="str">
        <f t="shared" si="167"/>
        <v/>
      </c>
      <c r="AC1224" t="str">
        <f t="shared" si="168"/>
        <v/>
      </c>
      <c r="AD1224" t="str">
        <f t="shared" si="169"/>
        <v/>
      </c>
      <c r="AE1224" t="str">
        <f t="shared" si="170"/>
        <v/>
      </c>
      <c r="AF1224" t="str">
        <f t="shared" si="171"/>
        <v/>
      </c>
    </row>
    <row r="1225" spans="28:32" x14ac:dyDescent="0.3">
      <c r="AB1225" t="str">
        <f t="shared" si="167"/>
        <v/>
      </c>
      <c r="AC1225" t="str">
        <f t="shared" si="168"/>
        <v/>
      </c>
      <c r="AD1225" t="str">
        <f t="shared" si="169"/>
        <v/>
      </c>
      <c r="AE1225" t="str">
        <f t="shared" si="170"/>
        <v/>
      </c>
      <c r="AF1225" t="str">
        <f t="shared" si="171"/>
        <v/>
      </c>
    </row>
    <row r="1226" spans="28:32" x14ac:dyDescent="0.3">
      <c r="AB1226" t="str">
        <f t="shared" si="167"/>
        <v/>
      </c>
      <c r="AC1226" t="str">
        <f t="shared" si="168"/>
        <v/>
      </c>
      <c r="AD1226" t="str">
        <f t="shared" si="169"/>
        <v/>
      </c>
      <c r="AE1226" t="str">
        <f t="shared" si="170"/>
        <v/>
      </c>
      <c r="AF1226" t="str">
        <f t="shared" si="171"/>
        <v/>
      </c>
    </row>
    <row r="1227" spans="28:32" x14ac:dyDescent="0.3">
      <c r="AB1227" t="str">
        <f t="shared" si="167"/>
        <v/>
      </c>
      <c r="AC1227" t="str">
        <f t="shared" si="168"/>
        <v/>
      </c>
      <c r="AD1227" t="str">
        <f t="shared" si="169"/>
        <v/>
      </c>
      <c r="AE1227" t="str">
        <f t="shared" si="170"/>
        <v/>
      </c>
      <c r="AF1227" t="str">
        <f t="shared" si="171"/>
        <v/>
      </c>
    </row>
    <row r="1228" spans="28:32" x14ac:dyDescent="0.3">
      <c r="AB1228" t="str">
        <f t="shared" si="167"/>
        <v/>
      </c>
      <c r="AC1228" t="str">
        <f t="shared" si="168"/>
        <v/>
      </c>
      <c r="AD1228" t="str">
        <f t="shared" si="169"/>
        <v/>
      </c>
      <c r="AE1228" t="str">
        <f t="shared" si="170"/>
        <v/>
      </c>
      <c r="AF1228" t="str">
        <f t="shared" si="171"/>
        <v/>
      </c>
    </row>
    <row r="1229" spans="28:32" x14ac:dyDescent="0.3">
      <c r="AB1229" t="str">
        <f t="shared" si="167"/>
        <v/>
      </c>
      <c r="AC1229" t="str">
        <f t="shared" si="168"/>
        <v/>
      </c>
      <c r="AD1229" t="str">
        <f t="shared" si="169"/>
        <v/>
      </c>
      <c r="AE1229" t="str">
        <f t="shared" si="170"/>
        <v/>
      </c>
      <c r="AF1229" t="str">
        <f t="shared" si="171"/>
        <v/>
      </c>
    </row>
    <row r="1230" spans="28:32" x14ac:dyDescent="0.3">
      <c r="AB1230" t="str">
        <f t="shared" si="167"/>
        <v/>
      </c>
      <c r="AC1230" t="str">
        <f t="shared" si="168"/>
        <v/>
      </c>
      <c r="AD1230" t="str">
        <f t="shared" si="169"/>
        <v/>
      </c>
      <c r="AE1230" t="str">
        <f t="shared" si="170"/>
        <v/>
      </c>
      <c r="AF1230" t="str">
        <f t="shared" si="171"/>
        <v/>
      </c>
    </row>
    <row r="1231" spans="28:32" x14ac:dyDescent="0.3">
      <c r="AB1231" t="str">
        <f t="shared" si="167"/>
        <v/>
      </c>
      <c r="AC1231" t="str">
        <f t="shared" si="168"/>
        <v/>
      </c>
      <c r="AD1231" t="str">
        <f t="shared" si="169"/>
        <v/>
      </c>
      <c r="AE1231" t="str">
        <f t="shared" si="170"/>
        <v/>
      </c>
      <c r="AF1231" t="str">
        <f t="shared" si="171"/>
        <v/>
      </c>
    </row>
    <row r="1232" spans="28:32" x14ac:dyDescent="0.3">
      <c r="AB1232" t="str">
        <f t="shared" si="167"/>
        <v/>
      </c>
      <c r="AC1232" t="str">
        <f t="shared" si="168"/>
        <v/>
      </c>
      <c r="AD1232" t="str">
        <f t="shared" si="169"/>
        <v/>
      </c>
      <c r="AE1232" t="str">
        <f t="shared" si="170"/>
        <v/>
      </c>
      <c r="AF1232" t="str">
        <f t="shared" si="171"/>
        <v/>
      </c>
    </row>
    <row r="1233" spans="28:32" x14ac:dyDescent="0.3">
      <c r="AB1233" t="str">
        <f t="shared" si="167"/>
        <v/>
      </c>
      <c r="AC1233" t="str">
        <f t="shared" si="168"/>
        <v/>
      </c>
      <c r="AD1233" t="str">
        <f t="shared" si="169"/>
        <v/>
      </c>
      <c r="AE1233" t="str">
        <f t="shared" si="170"/>
        <v/>
      </c>
      <c r="AF1233" t="str">
        <f t="shared" si="171"/>
        <v/>
      </c>
    </row>
    <row r="1234" spans="28:32" x14ac:dyDescent="0.3">
      <c r="AB1234" t="str">
        <f t="shared" si="167"/>
        <v/>
      </c>
      <c r="AC1234" t="str">
        <f t="shared" si="168"/>
        <v/>
      </c>
      <c r="AD1234" t="str">
        <f t="shared" si="169"/>
        <v/>
      </c>
      <c r="AE1234" t="str">
        <f t="shared" si="170"/>
        <v/>
      </c>
      <c r="AF1234" t="str">
        <f t="shared" si="171"/>
        <v/>
      </c>
    </row>
    <row r="1235" spans="28:32" x14ac:dyDescent="0.3">
      <c r="AB1235" t="str">
        <f t="shared" si="167"/>
        <v/>
      </c>
      <c r="AC1235" t="str">
        <f t="shared" si="168"/>
        <v/>
      </c>
      <c r="AD1235" t="str">
        <f t="shared" si="169"/>
        <v/>
      </c>
      <c r="AE1235" t="str">
        <f t="shared" si="170"/>
        <v/>
      </c>
      <c r="AF1235" t="str">
        <f t="shared" si="171"/>
        <v/>
      </c>
    </row>
    <row r="1236" spans="28:32" x14ac:dyDescent="0.3">
      <c r="AB1236" t="str">
        <f t="shared" si="167"/>
        <v/>
      </c>
      <c r="AC1236" t="str">
        <f t="shared" si="168"/>
        <v/>
      </c>
      <c r="AD1236" t="str">
        <f t="shared" si="169"/>
        <v/>
      </c>
      <c r="AE1236" t="str">
        <f t="shared" si="170"/>
        <v/>
      </c>
      <c r="AF1236" t="str">
        <f t="shared" si="171"/>
        <v/>
      </c>
    </row>
    <row r="1237" spans="28:32" x14ac:dyDescent="0.3">
      <c r="AB1237" t="str">
        <f t="shared" si="167"/>
        <v/>
      </c>
      <c r="AC1237" t="str">
        <f t="shared" si="168"/>
        <v/>
      </c>
      <c r="AD1237" t="str">
        <f t="shared" si="169"/>
        <v/>
      </c>
      <c r="AE1237" t="str">
        <f t="shared" si="170"/>
        <v/>
      </c>
      <c r="AF1237" t="str">
        <f t="shared" si="171"/>
        <v/>
      </c>
    </row>
    <row r="1238" spans="28:32" x14ac:dyDescent="0.3">
      <c r="AB1238" t="str">
        <f t="shared" si="167"/>
        <v/>
      </c>
      <c r="AC1238" t="str">
        <f t="shared" si="168"/>
        <v/>
      </c>
      <c r="AD1238" t="str">
        <f t="shared" si="169"/>
        <v/>
      </c>
      <c r="AE1238" t="str">
        <f t="shared" si="170"/>
        <v/>
      </c>
      <c r="AF1238" t="str">
        <f t="shared" si="171"/>
        <v/>
      </c>
    </row>
    <row r="1239" spans="28:32" x14ac:dyDescent="0.3">
      <c r="AB1239" t="str">
        <f t="shared" si="167"/>
        <v/>
      </c>
      <c r="AC1239" t="str">
        <f t="shared" si="168"/>
        <v/>
      </c>
      <c r="AD1239" t="str">
        <f t="shared" si="169"/>
        <v/>
      </c>
      <c r="AE1239" t="str">
        <f t="shared" si="170"/>
        <v/>
      </c>
      <c r="AF1239" t="str">
        <f t="shared" si="171"/>
        <v/>
      </c>
    </row>
    <row r="1240" spans="28:32" x14ac:dyDescent="0.3">
      <c r="AB1240" t="str">
        <f t="shared" si="167"/>
        <v/>
      </c>
      <c r="AC1240" t="str">
        <f t="shared" si="168"/>
        <v/>
      </c>
      <c r="AD1240" t="str">
        <f t="shared" si="169"/>
        <v/>
      </c>
      <c r="AE1240" t="str">
        <f t="shared" si="170"/>
        <v/>
      </c>
      <c r="AF1240" t="str">
        <f t="shared" si="171"/>
        <v/>
      </c>
    </row>
    <row r="1241" spans="28:32" x14ac:dyDescent="0.3">
      <c r="AB1241" t="str">
        <f t="shared" si="167"/>
        <v/>
      </c>
      <c r="AC1241" t="str">
        <f t="shared" si="168"/>
        <v/>
      </c>
      <c r="AD1241" t="str">
        <f t="shared" si="169"/>
        <v/>
      </c>
      <c r="AE1241" t="str">
        <f t="shared" si="170"/>
        <v/>
      </c>
      <c r="AF1241" t="str">
        <f t="shared" si="171"/>
        <v/>
      </c>
    </row>
    <row r="1242" spans="28:32" x14ac:dyDescent="0.3">
      <c r="AB1242" t="str">
        <f t="shared" si="167"/>
        <v/>
      </c>
      <c r="AC1242" t="str">
        <f t="shared" si="168"/>
        <v/>
      </c>
      <c r="AD1242" t="str">
        <f t="shared" si="169"/>
        <v/>
      </c>
      <c r="AE1242" t="str">
        <f t="shared" si="170"/>
        <v/>
      </c>
      <c r="AF1242" t="str">
        <f t="shared" si="171"/>
        <v/>
      </c>
    </row>
    <row r="1243" spans="28:32" x14ac:dyDescent="0.3">
      <c r="AB1243" t="str">
        <f t="shared" si="167"/>
        <v/>
      </c>
      <c r="AC1243" t="str">
        <f t="shared" si="168"/>
        <v/>
      </c>
      <c r="AD1243" t="str">
        <f t="shared" si="169"/>
        <v/>
      </c>
      <c r="AE1243" t="str">
        <f t="shared" si="170"/>
        <v/>
      </c>
      <c r="AF1243" t="str">
        <f t="shared" si="171"/>
        <v/>
      </c>
    </row>
    <row r="1244" spans="28:32" x14ac:dyDescent="0.3">
      <c r="AB1244" t="str">
        <f t="shared" si="167"/>
        <v/>
      </c>
      <c r="AC1244" t="str">
        <f t="shared" si="168"/>
        <v/>
      </c>
      <c r="AD1244" t="str">
        <f t="shared" si="169"/>
        <v/>
      </c>
      <c r="AE1244" t="str">
        <f t="shared" si="170"/>
        <v/>
      </c>
      <c r="AF1244" t="str">
        <f t="shared" si="171"/>
        <v/>
      </c>
    </row>
    <row r="1245" spans="28:32" x14ac:dyDescent="0.3">
      <c r="AB1245" t="str">
        <f t="shared" si="167"/>
        <v/>
      </c>
      <c r="AC1245" t="str">
        <f t="shared" si="168"/>
        <v/>
      </c>
      <c r="AD1245" t="str">
        <f t="shared" si="169"/>
        <v/>
      </c>
      <c r="AE1245" t="str">
        <f t="shared" si="170"/>
        <v/>
      </c>
      <c r="AF1245" t="str">
        <f t="shared" si="171"/>
        <v/>
      </c>
    </row>
    <row r="1246" spans="28:32" x14ac:dyDescent="0.3">
      <c r="AB1246" t="str">
        <f t="shared" si="167"/>
        <v/>
      </c>
      <c r="AC1246" t="str">
        <f t="shared" si="168"/>
        <v/>
      </c>
      <c r="AD1246" t="str">
        <f t="shared" si="169"/>
        <v/>
      </c>
      <c r="AE1246" t="str">
        <f t="shared" si="170"/>
        <v/>
      </c>
      <c r="AF1246" t="str">
        <f t="shared" si="171"/>
        <v/>
      </c>
    </row>
    <row r="1247" spans="28:32" x14ac:dyDescent="0.3">
      <c r="AB1247" t="str">
        <f t="shared" si="167"/>
        <v/>
      </c>
      <c r="AC1247" t="str">
        <f t="shared" si="168"/>
        <v/>
      </c>
      <c r="AD1247" t="str">
        <f t="shared" si="169"/>
        <v/>
      </c>
      <c r="AE1247" t="str">
        <f t="shared" si="170"/>
        <v/>
      </c>
      <c r="AF1247" t="str">
        <f t="shared" si="171"/>
        <v/>
      </c>
    </row>
    <row r="1248" spans="28:32" x14ac:dyDescent="0.3">
      <c r="AB1248" t="str">
        <f t="shared" si="167"/>
        <v/>
      </c>
      <c r="AC1248" t="str">
        <f t="shared" si="168"/>
        <v/>
      </c>
      <c r="AD1248" t="str">
        <f t="shared" si="169"/>
        <v/>
      </c>
      <c r="AE1248" t="str">
        <f t="shared" si="170"/>
        <v/>
      </c>
      <c r="AF1248" t="str">
        <f t="shared" si="171"/>
        <v/>
      </c>
    </row>
    <row r="1249" spans="28:32" x14ac:dyDescent="0.3">
      <c r="AB1249" t="str">
        <f t="shared" si="167"/>
        <v/>
      </c>
      <c r="AC1249" t="str">
        <f t="shared" si="168"/>
        <v/>
      </c>
      <c r="AD1249" t="str">
        <f t="shared" si="169"/>
        <v/>
      </c>
      <c r="AE1249" t="str">
        <f t="shared" si="170"/>
        <v/>
      </c>
      <c r="AF1249" t="str">
        <f t="shared" si="171"/>
        <v/>
      </c>
    </row>
    <row r="1250" spans="28:32" x14ac:dyDescent="0.3">
      <c r="AB1250" t="str">
        <f t="shared" si="167"/>
        <v/>
      </c>
      <c r="AC1250" t="str">
        <f t="shared" si="168"/>
        <v/>
      </c>
      <c r="AD1250" t="str">
        <f t="shared" si="169"/>
        <v/>
      </c>
      <c r="AE1250" t="str">
        <f t="shared" si="170"/>
        <v/>
      </c>
      <c r="AF1250" t="str">
        <f t="shared" si="171"/>
        <v/>
      </c>
    </row>
    <row r="1251" spans="28:32" x14ac:dyDescent="0.3">
      <c r="AB1251" t="str">
        <f t="shared" si="167"/>
        <v/>
      </c>
      <c r="AC1251" t="str">
        <f t="shared" si="168"/>
        <v/>
      </c>
      <c r="AD1251" t="str">
        <f t="shared" si="169"/>
        <v/>
      </c>
      <c r="AE1251" t="str">
        <f t="shared" si="170"/>
        <v/>
      </c>
      <c r="AF1251" t="str">
        <f t="shared" si="171"/>
        <v/>
      </c>
    </row>
    <row r="1252" spans="28:32" x14ac:dyDescent="0.3">
      <c r="AB1252" t="str">
        <f t="shared" si="167"/>
        <v/>
      </c>
      <c r="AC1252" t="str">
        <f t="shared" si="168"/>
        <v/>
      </c>
      <c r="AD1252" t="str">
        <f t="shared" si="169"/>
        <v/>
      </c>
      <c r="AE1252" t="str">
        <f t="shared" si="170"/>
        <v/>
      </c>
      <c r="AF1252" t="str">
        <f t="shared" si="171"/>
        <v/>
      </c>
    </row>
    <row r="1253" spans="28:32" x14ac:dyDescent="0.3">
      <c r="AB1253" t="str">
        <f t="shared" si="167"/>
        <v/>
      </c>
      <c r="AC1253" t="str">
        <f t="shared" si="168"/>
        <v/>
      </c>
      <c r="AD1253" t="str">
        <f t="shared" si="169"/>
        <v/>
      </c>
      <c r="AE1253" t="str">
        <f t="shared" si="170"/>
        <v/>
      </c>
      <c r="AF1253" t="str">
        <f t="shared" si="171"/>
        <v/>
      </c>
    </row>
    <row r="1254" spans="28:32" x14ac:dyDescent="0.3">
      <c r="AB1254" t="str">
        <f t="shared" si="167"/>
        <v/>
      </c>
      <c r="AC1254" t="str">
        <f t="shared" si="168"/>
        <v/>
      </c>
      <c r="AD1254" t="str">
        <f t="shared" si="169"/>
        <v/>
      </c>
      <c r="AE1254" t="str">
        <f t="shared" si="170"/>
        <v/>
      </c>
      <c r="AF1254" t="str">
        <f t="shared" si="171"/>
        <v/>
      </c>
    </row>
    <row r="1255" spans="28:32" x14ac:dyDescent="0.3">
      <c r="AB1255" t="str">
        <f t="shared" si="167"/>
        <v/>
      </c>
      <c r="AC1255" t="str">
        <f t="shared" si="168"/>
        <v/>
      </c>
      <c r="AD1255" t="str">
        <f t="shared" si="169"/>
        <v/>
      </c>
      <c r="AE1255" t="str">
        <f t="shared" si="170"/>
        <v/>
      </c>
      <c r="AF1255" t="str">
        <f t="shared" si="171"/>
        <v/>
      </c>
    </row>
    <row r="1256" spans="28:32" x14ac:dyDescent="0.3">
      <c r="AB1256" t="str">
        <f t="shared" si="167"/>
        <v/>
      </c>
      <c r="AC1256" t="str">
        <f t="shared" si="168"/>
        <v/>
      </c>
      <c r="AD1256" t="str">
        <f t="shared" si="169"/>
        <v/>
      </c>
      <c r="AE1256" t="str">
        <f t="shared" si="170"/>
        <v/>
      </c>
      <c r="AF1256" t="str">
        <f t="shared" si="171"/>
        <v/>
      </c>
    </row>
    <row r="1257" spans="28:32" x14ac:dyDescent="0.3">
      <c r="AB1257" t="str">
        <f t="shared" si="167"/>
        <v/>
      </c>
      <c r="AC1257" t="str">
        <f t="shared" si="168"/>
        <v/>
      </c>
      <c r="AD1257" t="str">
        <f t="shared" si="169"/>
        <v/>
      </c>
      <c r="AE1257" t="str">
        <f t="shared" si="170"/>
        <v/>
      </c>
      <c r="AF1257" t="str">
        <f t="shared" si="171"/>
        <v/>
      </c>
    </row>
    <row r="1258" spans="28:32" x14ac:dyDescent="0.3">
      <c r="AB1258" t="str">
        <f t="shared" si="167"/>
        <v/>
      </c>
      <c r="AC1258" t="str">
        <f t="shared" si="168"/>
        <v/>
      </c>
      <c r="AD1258" t="str">
        <f t="shared" si="169"/>
        <v/>
      </c>
      <c r="AE1258" t="str">
        <f t="shared" si="170"/>
        <v/>
      </c>
      <c r="AF1258" t="str">
        <f t="shared" si="171"/>
        <v/>
      </c>
    </row>
    <row r="1259" spans="28:32" x14ac:dyDescent="0.3">
      <c r="AB1259" t="str">
        <f t="shared" si="167"/>
        <v/>
      </c>
      <c r="AC1259" t="str">
        <f t="shared" si="168"/>
        <v/>
      </c>
      <c r="AD1259" t="str">
        <f t="shared" si="169"/>
        <v/>
      </c>
      <c r="AE1259" t="str">
        <f t="shared" si="170"/>
        <v/>
      </c>
      <c r="AF1259" t="str">
        <f t="shared" si="171"/>
        <v/>
      </c>
    </row>
    <row r="1260" spans="28:32" x14ac:dyDescent="0.3">
      <c r="AB1260" t="str">
        <f t="shared" si="167"/>
        <v/>
      </c>
      <c r="AC1260" t="str">
        <f t="shared" si="168"/>
        <v/>
      </c>
      <c r="AD1260" t="str">
        <f t="shared" si="169"/>
        <v/>
      </c>
      <c r="AE1260" t="str">
        <f t="shared" si="170"/>
        <v/>
      </c>
      <c r="AF1260" t="str">
        <f t="shared" si="171"/>
        <v/>
      </c>
    </row>
    <row r="1261" spans="28:32" x14ac:dyDescent="0.3">
      <c r="AB1261" t="str">
        <f t="shared" si="167"/>
        <v/>
      </c>
      <c r="AC1261" t="str">
        <f t="shared" si="168"/>
        <v/>
      </c>
      <c r="AD1261" t="str">
        <f t="shared" si="169"/>
        <v/>
      </c>
      <c r="AE1261" t="str">
        <f t="shared" si="170"/>
        <v/>
      </c>
      <c r="AF1261" t="str">
        <f t="shared" si="171"/>
        <v/>
      </c>
    </row>
    <row r="1262" spans="28:32" x14ac:dyDescent="0.3">
      <c r="AB1262" t="str">
        <f t="shared" si="167"/>
        <v/>
      </c>
      <c r="AC1262" t="str">
        <f t="shared" si="168"/>
        <v/>
      </c>
      <c r="AD1262" t="str">
        <f t="shared" si="169"/>
        <v/>
      </c>
      <c r="AE1262" t="str">
        <f t="shared" si="170"/>
        <v/>
      </c>
      <c r="AF1262" t="str">
        <f t="shared" si="171"/>
        <v/>
      </c>
    </row>
    <row r="1263" spans="28:32" x14ac:dyDescent="0.3">
      <c r="AB1263" t="str">
        <f t="shared" si="167"/>
        <v/>
      </c>
      <c r="AC1263" t="str">
        <f t="shared" si="168"/>
        <v/>
      </c>
      <c r="AD1263" t="str">
        <f t="shared" si="169"/>
        <v/>
      </c>
      <c r="AE1263" t="str">
        <f t="shared" si="170"/>
        <v/>
      </c>
      <c r="AF1263" t="str">
        <f t="shared" si="171"/>
        <v/>
      </c>
    </row>
    <row r="1264" spans="28:32" x14ac:dyDescent="0.3">
      <c r="AB1264" t="str">
        <f t="shared" si="167"/>
        <v/>
      </c>
      <c r="AC1264" t="str">
        <f t="shared" si="168"/>
        <v/>
      </c>
      <c r="AD1264" t="str">
        <f t="shared" si="169"/>
        <v/>
      </c>
      <c r="AE1264" t="str">
        <f t="shared" si="170"/>
        <v/>
      </c>
      <c r="AF1264" t="str">
        <f t="shared" si="171"/>
        <v/>
      </c>
    </row>
    <row r="1265" spans="28:32" x14ac:dyDescent="0.3">
      <c r="AB1265" t="str">
        <f t="shared" si="167"/>
        <v/>
      </c>
      <c r="AC1265" t="str">
        <f t="shared" si="168"/>
        <v/>
      </c>
      <c r="AD1265" t="str">
        <f t="shared" si="169"/>
        <v/>
      </c>
      <c r="AE1265" t="str">
        <f t="shared" si="170"/>
        <v/>
      </c>
      <c r="AF1265" t="str">
        <f t="shared" si="171"/>
        <v/>
      </c>
    </row>
    <row r="1266" spans="28:32" x14ac:dyDescent="0.3">
      <c r="AB1266" t="str">
        <f t="shared" si="167"/>
        <v/>
      </c>
      <c r="AC1266" t="str">
        <f t="shared" si="168"/>
        <v/>
      </c>
      <c r="AD1266" t="str">
        <f t="shared" si="169"/>
        <v/>
      </c>
      <c r="AE1266" t="str">
        <f t="shared" si="170"/>
        <v/>
      </c>
      <c r="AF1266" t="str">
        <f t="shared" si="171"/>
        <v/>
      </c>
    </row>
    <row r="1267" spans="28:32" x14ac:dyDescent="0.3">
      <c r="AB1267" t="str">
        <f t="shared" si="167"/>
        <v/>
      </c>
      <c r="AC1267" t="str">
        <f t="shared" si="168"/>
        <v/>
      </c>
      <c r="AD1267" t="str">
        <f t="shared" si="169"/>
        <v/>
      </c>
      <c r="AE1267" t="str">
        <f t="shared" si="170"/>
        <v/>
      </c>
      <c r="AF1267" t="str">
        <f t="shared" si="171"/>
        <v/>
      </c>
    </row>
    <row r="1268" spans="28:32" x14ac:dyDescent="0.3">
      <c r="AB1268" t="str">
        <f t="shared" ref="AB1268:AB1331" si="172">IF(ROW()-$AA$51 &lt; (H$16+1)^5, MOD(_xlfn.FLOOR.MATH((ROW()-$AA$51)/AB$50), H$16+1), "")</f>
        <v/>
      </c>
      <c r="AC1268" t="str">
        <f t="shared" ref="AC1268:AC1331" si="173">IF(ROW()-$AA$51 &lt; (I$16+1)^5, MOD(_xlfn.FLOOR.MATH((ROW()-$AA$51)/AC$50), I$16+1), "")</f>
        <v/>
      </c>
      <c r="AD1268" t="str">
        <f t="shared" ref="AD1268:AD1331" si="174">IF(ROW()-$AA$51 &lt; (J$16+1)^5, MOD(_xlfn.FLOOR.MATH((ROW()-$AA$51)/AD$50), J$16+1), "")</f>
        <v/>
      </c>
      <c r="AE1268" t="str">
        <f t="shared" ref="AE1268:AE1331" si="175">IF(ROW()-$AA$51 &lt; (K$16+1)^5, MOD(_xlfn.FLOOR.MATH((ROW()-$AA$51)/AE$50), K$16+1), "")</f>
        <v/>
      </c>
      <c r="AF1268" t="str">
        <f t="shared" ref="AF1268:AF1331" si="176">IF(ROW()-$AA$51 &lt; (L$16+1)^5, MOD(_xlfn.FLOOR.MATH((ROW()-$AA$51)/AF$50), L$16+1), "")</f>
        <v/>
      </c>
    </row>
    <row r="1269" spans="28:32" x14ac:dyDescent="0.3">
      <c r="AB1269" t="str">
        <f t="shared" si="172"/>
        <v/>
      </c>
      <c r="AC1269" t="str">
        <f t="shared" si="173"/>
        <v/>
      </c>
      <c r="AD1269" t="str">
        <f t="shared" si="174"/>
        <v/>
      </c>
      <c r="AE1269" t="str">
        <f t="shared" si="175"/>
        <v/>
      </c>
      <c r="AF1269" t="str">
        <f t="shared" si="176"/>
        <v/>
      </c>
    </row>
    <row r="1270" spans="28:32" x14ac:dyDescent="0.3">
      <c r="AB1270" t="str">
        <f t="shared" si="172"/>
        <v/>
      </c>
      <c r="AC1270" t="str">
        <f t="shared" si="173"/>
        <v/>
      </c>
      <c r="AD1270" t="str">
        <f t="shared" si="174"/>
        <v/>
      </c>
      <c r="AE1270" t="str">
        <f t="shared" si="175"/>
        <v/>
      </c>
      <c r="AF1270" t="str">
        <f t="shared" si="176"/>
        <v/>
      </c>
    </row>
    <row r="1271" spans="28:32" x14ac:dyDescent="0.3">
      <c r="AB1271" t="str">
        <f t="shared" si="172"/>
        <v/>
      </c>
      <c r="AC1271" t="str">
        <f t="shared" si="173"/>
        <v/>
      </c>
      <c r="AD1271" t="str">
        <f t="shared" si="174"/>
        <v/>
      </c>
      <c r="AE1271" t="str">
        <f t="shared" si="175"/>
        <v/>
      </c>
      <c r="AF1271" t="str">
        <f t="shared" si="176"/>
        <v/>
      </c>
    </row>
    <row r="1272" spans="28:32" x14ac:dyDescent="0.3">
      <c r="AB1272" t="str">
        <f t="shared" si="172"/>
        <v/>
      </c>
      <c r="AC1272" t="str">
        <f t="shared" si="173"/>
        <v/>
      </c>
      <c r="AD1272" t="str">
        <f t="shared" si="174"/>
        <v/>
      </c>
      <c r="AE1272" t="str">
        <f t="shared" si="175"/>
        <v/>
      </c>
      <c r="AF1272" t="str">
        <f t="shared" si="176"/>
        <v/>
      </c>
    </row>
    <row r="1273" spans="28:32" x14ac:dyDescent="0.3">
      <c r="AB1273" t="str">
        <f t="shared" si="172"/>
        <v/>
      </c>
      <c r="AC1273" t="str">
        <f t="shared" si="173"/>
        <v/>
      </c>
      <c r="AD1273" t="str">
        <f t="shared" si="174"/>
        <v/>
      </c>
      <c r="AE1273" t="str">
        <f t="shared" si="175"/>
        <v/>
      </c>
      <c r="AF1273" t="str">
        <f t="shared" si="176"/>
        <v/>
      </c>
    </row>
    <row r="1274" spans="28:32" x14ac:dyDescent="0.3">
      <c r="AB1274" t="str">
        <f t="shared" si="172"/>
        <v/>
      </c>
      <c r="AC1274" t="str">
        <f t="shared" si="173"/>
        <v/>
      </c>
      <c r="AD1274" t="str">
        <f t="shared" si="174"/>
        <v/>
      </c>
      <c r="AE1274" t="str">
        <f t="shared" si="175"/>
        <v/>
      </c>
      <c r="AF1274" t="str">
        <f t="shared" si="176"/>
        <v/>
      </c>
    </row>
    <row r="1275" spans="28:32" x14ac:dyDescent="0.3">
      <c r="AB1275" t="str">
        <f t="shared" si="172"/>
        <v/>
      </c>
      <c r="AC1275" t="str">
        <f t="shared" si="173"/>
        <v/>
      </c>
      <c r="AD1275" t="str">
        <f t="shared" si="174"/>
        <v/>
      </c>
      <c r="AE1275" t="str">
        <f t="shared" si="175"/>
        <v/>
      </c>
      <c r="AF1275" t="str">
        <f t="shared" si="176"/>
        <v/>
      </c>
    </row>
    <row r="1276" spans="28:32" x14ac:dyDescent="0.3">
      <c r="AB1276" t="str">
        <f t="shared" si="172"/>
        <v/>
      </c>
      <c r="AC1276" t="str">
        <f t="shared" si="173"/>
        <v/>
      </c>
      <c r="AD1276" t="str">
        <f t="shared" si="174"/>
        <v/>
      </c>
      <c r="AE1276" t="str">
        <f t="shared" si="175"/>
        <v/>
      </c>
      <c r="AF1276" t="str">
        <f t="shared" si="176"/>
        <v/>
      </c>
    </row>
    <row r="1277" spans="28:32" x14ac:dyDescent="0.3">
      <c r="AB1277" t="str">
        <f t="shared" si="172"/>
        <v/>
      </c>
      <c r="AC1277" t="str">
        <f t="shared" si="173"/>
        <v/>
      </c>
      <c r="AD1277" t="str">
        <f t="shared" si="174"/>
        <v/>
      </c>
      <c r="AE1277" t="str">
        <f t="shared" si="175"/>
        <v/>
      </c>
      <c r="AF1277" t="str">
        <f t="shared" si="176"/>
        <v/>
      </c>
    </row>
    <row r="1278" spans="28:32" x14ac:dyDescent="0.3">
      <c r="AB1278" t="str">
        <f t="shared" si="172"/>
        <v/>
      </c>
      <c r="AC1278" t="str">
        <f t="shared" si="173"/>
        <v/>
      </c>
      <c r="AD1278" t="str">
        <f t="shared" si="174"/>
        <v/>
      </c>
      <c r="AE1278" t="str">
        <f t="shared" si="175"/>
        <v/>
      </c>
      <c r="AF1278" t="str">
        <f t="shared" si="176"/>
        <v/>
      </c>
    </row>
    <row r="1279" spans="28:32" x14ac:dyDescent="0.3">
      <c r="AB1279" t="str">
        <f t="shared" si="172"/>
        <v/>
      </c>
      <c r="AC1279" t="str">
        <f t="shared" si="173"/>
        <v/>
      </c>
      <c r="AD1279" t="str">
        <f t="shared" si="174"/>
        <v/>
      </c>
      <c r="AE1279" t="str">
        <f t="shared" si="175"/>
        <v/>
      </c>
      <c r="AF1279" t="str">
        <f t="shared" si="176"/>
        <v/>
      </c>
    </row>
    <row r="1280" spans="28:32" x14ac:dyDescent="0.3">
      <c r="AB1280" t="str">
        <f t="shared" si="172"/>
        <v/>
      </c>
      <c r="AC1280" t="str">
        <f t="shared" si="173"/>
        <v/>
      </c>
      <c r="AD1280" t="str">
        <f t="shared" si="174"/>
        <v/>
      </c>
      <c r="AE1280" t="str">
        <f t="shared" si="175"/>
        <v/>
      </c>
      <c r="AF1280" t="str">
        <f t="shared" si="176"/>
        <v/>
      </c>
    </row>
    <row r="1281" spans="28:32" x14ac:dyDescent="0.3">
      <c r="AB1281" t="str">
        <f t="shared" si="172"/>
        <v/>
      </c>
      <c r="AC1281" t="str">
        <f t="shared" si="173"/>
        <v/>
      </c>
      <c r="AD1281" t="str">
        <f t="shared" si="174"/>
        <v/>
      </c>
      <c r="AE1281" t="str">
        <f t="shared" si="175"/>
        <v/>
      </c>
      <c r="AF1281" t="str">
        <f t="shared" si="176"/>
        <v/>
      </c>
    </row>
    <row r="1282" spans="28:32" x14ac:dyDescent="0.3">
      <c r="AB1282" t="str">
        <f t="shared" si="172"/>
        <v/>
      </c>
      <c r="AC1282" t="str">
        <f t="shared" si="173"/>
        <v/>
      </c>
      <c r="AD1282" t="str">
        <f t="shared" si="174"/>
        <v/>
      </c>
      <c r="AE1282" t="str">
        <f t="shared" si="175"/>
        <v/>
      </c>
      <c r="AF1282" t="str">
        <f t="shared" si="176"/>
        <v/>
      </c>
    </row>
    <row r="1283" spans="28:32" x14ac:dyDescent="0.3">
      <c r="AB1283" t="str">
        <f t="shared" si="172"/>
        <v/>
      </c>
      <c r="AC1283" t="str">
        <f t="shared" si="173"/>
        <v/>
      </c>
      <c r="AD1283" t="str">
        <f t="shared" si="174"/>
        <v/>
      </c>
      <c r="AE1283" t="str">
        <f t="shared" si="175"/>
        <v/>
      </c>
      <c r="AF1283" t="str">
        <f t="shared" si="176"/>
        <v/>
      </c>
    </row>
    <row r="1284" spans="28:32" x14ac:dyDescent="0.3">
      <c r="AB1284" t="str">
        <f t="shared" si="172"/>
        <v/>
      </c>
      <c r="AC1284" t="str">
        <f t="shared" si="173"/>
        <v/>
      </c>
      <c r="AD1284" t="str">
        <f t="shared" si="174"/>
        <v/>
      </c>
      <c r="AE1284" t="str">
        <f t="shared" si="175"/>
        <v/>
      </c>
      <c r="AF1284" t="str">
        <f t="shared" si="176"/>
        <v/>
      </c>
    </row>
    <row r="1285" spans="28:32" x14ac:dyDescent="0.3">
      <c r="AB1285" t="str">
        <f t="shared" si="172"/>
        <v/>
      </c>
      <c r="AC1285" t="str">
        <f t="shared" si="173"/>
        <v/>
      </c>
      <c r="AD1285" t="str">
        <f t="shared" si="174"/>
        <v/>
      </c>
      <c r="AE1285" t="str">
        <f t="shared" si="175"/>
        <v/>
      </c>
      <c r="AF1285" t="str">
        <f t="shared" si="176"/>
        <v/>
      </c>
    </row>
    <row r="1286" spans="28:32" x14ac:dyDescent="0.3">
      <c r="AB1286" t="str">
        <f t="shared" si="172"/>
        <v/>
      </c>
      <c r="AC1286" t="str">
        <f t="shared" si="173"/>
        <v/>
      </c>
      <c r="AD1286" t="str">
        <f t="shared" si="174"/>
        <v/>
      </c>
      <c r="AE1286" t="str">
        <f t="shared" si="175"/>
        <v/>
      </c>
      <c r="AF1286" t="str">
        <f t="shared" si="176"/>
        <v/>
      </c>
    </row>
    <row r="1287" spans="28:32" x14ac:dyDescent="0.3">
      <c r="AB1287" t="str">
        <f t="shared" si="172"/>
        <v/>
      </c>
      <c r="AC1287" t="str">
        <f t="shared" si="173"/>
        <v/>
      </c>
      <c r="AD1287" t="str">
        <f t="shared" si="174"/>
        <v/>
      </c>
      <c r="AE1287" t="str">
        <f t="shared" si="175"/>
        <v/>
      </c>
      <c r="AF1287" t="str">
        <f t="shared" si="176"/>
        <v/>
      </c>
    </row>
    <row r="1288" spans="28:32" x14ac:dyDescent="0.3">
      <c r="AB1288" t="str">
        <f t="shared" si="172"/>
        <v/>
      </c>
      <c r="AC1288" t="str">
        <f t="shared" si="173"/>
        <v/>
      </c>
      <c r="AD1288" t="str">
        <f t="shared" si="174"/>
        <v/>
      </c>
      <c r="AE1288" t="str">
        <f t="shared" si="175"/>
        <v/>
      </c>
      <c r="AF1288" t="str">
        <f t="shared" si="176"/>
        <v/>
      </c>
    </row>
    <row r="1289" spans="28:32" x14ac:dyDescent="0.3">
      <c r="AB1289" t="str">
        <f t="shared" si="172"/>
        <v/>
      </c>
      <c r="AC1289" t="str">
        <f t="shared" si="173"/>
        <v/>
      </c>
      <c r="AD1289" t="str">
        <f t="shared" si="174"/>
        <v/>
      </c>
      <c r="AE1289" t="str">
        <f t="shared" si="175"/>
        <v/>
      </c>
      <c r="AF1289" t="str">
        <f t="shared" si="176"/>
        <v/>
      </c>
    </row>
    <row r="1290" spans="28:32" x14ac:dyDescent="0.3">
      <c r="AB1290" t="str">
        <f t="shared" si="172"/>
        <v/>
      </c>
      <c r="AC1290" t="str">
        <f t="shared" si="173"/>
        <v/>
      </c>
      <c r="AD1290" t="str">
        <f t="shared" si="174"/>
        <v/>
      </c>
      <c r="AE1290" t="str">
        <f t="shared" si="175"/>
        <v/>
      </c>
      <c r="AF1290" t="str">
        <f t="shared" si="176"/>
        <v/>
      </c>
    </row>
    <row r="1291" spans="28:32" x14ac:dyDescent="0.3">
      <c r="AB1291" t="str">
        <f t="shared" si="172"/>
        <v/>
      </c>
      <c r="AC1291" t="str">
        <f t="shared" si="173"/>
        <v/>
      </c>
      <c r="AD1291" t="str">
        <f t="shared" si="174"/>
        <v/>
      </c>
      <c r="AE1291" t="str">
        <f t="shared" si="175"/>
        <v/>
      </c>
      <c r="AF1291" t="str">
        <f t="shared" si="176"/>
        <v/>
      </c>
    </row>
    <row r="1292" spans="28:32" x14ac:dyDescent="0.3">
      <c r="AB1292" t="str">
        <f t="shared" si="172"/>
        <v/>
      </c>
      <c r="AC1292" t="str">
        <f t="shared" si="173"/>
        <v/>
      </c>
      <c r="AD1292" t="str">
        <f t="shared" si="174"/>
        <v/>
      </c>
      <c r="AE1292" t="str">
        <f t="shared" si="175"/>
        <v/>
      </c>
      <c r="AF1292" t="str">
        <f t="shared" si="176"/>
        <v/>
      </c>
    </row>
    <row r="1293" spans="28:32" x14ac:dyDescent="0.3">
      <c r="AB1293" t="str">
        <f t="shared" si="172"/>
        <v/>
      </c>
      <c r="AC1293" t="str">
        <f t="shared" si="173"/>
        <v/>
      </c>
      <c r="AD1293" t="str">
        <f t="shared" si="174"/>
        <v/>
      </c>
      <c r="AE1293" t="str">
        <f t="shared" si="175"/>
        <v/>
      </c>
      <c r="AF1293" t="str">
        <f t="shared" si="176"/>
        <v/>
      </c>
    </row>
    <row r="1294" spans="28:32" x14ac:dyDescent="0.3">
      <c r="AB1294" t="str">
        <f t="shared" si="172"/>
        <v/>
      </c>
      <c r="AC1294" t="str">
        <f t="shared" si="173"/>
        <v/>
      </c>
      <c r="AD1294" t="str">
        <f t="shared" si="174"/>
        <v/>
      </c>
      <c r="AE1294" t="str">
        <f t="shared" si="175"/>
        <v/>
      </c>
      <c r="AF1294" t="str">
        <f t="shared" si="176"/>
        <v/>
      </c>
    </row>
    <row r="1295" spans="28:32" x14ac:dyDescent="0.3">
      <c r="AB1295" t="str">
        <f t="shared" si="172"/>
        <v/>
      </c>
      <c r="AC1295" t="str">
        <f t="shared" si="173"/>
        <v/>
      </c>
      <c r="AD1295" t="str">
        <f t="shared" si="174"/>
        <v/>
      </c>
      <c r="AE1295" t="str">
        <f t="shared" si="175"/>
        <v/>
      </c>
      <c r="AF1295" t="str">
        <f t="shared" si="176"/>
        <v/>
      </c>
    </row>
    <row r="1296" spans="28:32" x14ac:dyDescent="0.3">
      <c r="AB1296" t="str">
        <f t="shared" si="172"/>
        <v/>
      </c>
      <c r="AC1296" t="str">
        <f t="shared" si="173"/>
        <v/>
      </c>
      <c r="AD1296" t="str">
        <f t="shared" si="174"/>
        <v/>
      </c>
      <c r="AE1296" t="str">
        <f t="shared" si="175"/>
        <v/>
      </c>
      <c r="AF1296" t="str">
        <f t="shared" si="176"/>
        <v/>
      </c>
    </row>
    <row r="1297" spans="28:32" x14ac:dyDescent="0.3">
      <c r="AB1297" t="str">
        <f t="shared" si="172"/>
        <v/>
      </c>
      <c r="AC1297" t="str">
        <f t="shared" si="173"/>
        <v/>
      </c>
      <c r="AD1297" t="str">
        <f t="shared" si="174"/>
        <v/>
      </c>
      <c r="AE1297" t="str">
        <f t="shared" si="175"/>
        <v/>
      </c>
      <c r="AF1297" t="str">
        <f t="shared" si="176"/>
        <v/>
      </c>
    </row>
    <row r="1298" spans="28:32" x14ac:dyDescent="0.3">
      <c r="AB1298" t="str">
        <f t="shared" si="172"/>
        <v/>
      </c>
      <c r="AC1298" t="str">
        <f t="shared" si="173"/>
        <v/>
      </c>
      <c r="AD1298" t="str">
        <f t="shared" si="174"/>
        <v/>
      </c>
      <c r="AE1298" t="str">
        <f t="shared" si="175"/>
        <v/>
      </c>
      <c r="AF1298" t="str">
        <f t="shared" si="176"/>
        <v/>
      </c>
    </row>
    <row r="1299" spans="28:32" x14ac:dyDescent="0.3">
      <c r="AB1299" t="str">
        <f t="shared" si="172"/>
        <v/>
      </c>
      <c r="AC1299" t="str">
        <f t="shared" si="173"/>
        <v/>
      </c>
      <c r="AD1299" t="str">
        <f t="shared" si="174"/>
        <v/>
      </c>
      <c r="AE1299" t="str">
        <f t="shared" si="175"/>
        <v/>
      </c>
      <c r="AF1299" t="str">
        <f t="shared" si="176"/>
        <v/>
      </c>
    </row>
    <row r="1300" spans="28:32" x14ac:dyDescent="0.3">
      <c r="AB1300" t="str">
        <f t="shared" si="172"/>
        <v/>
      </c>
      <c r="AC1300" t="str">
        <f t="shared" si="173"/>
        <v/>
      </c>
      <c r="AD1300" t="str">
        <f t="shared" si="174"/>
        <v/>
      </c>
      <c r="AE1300" t="str">
        <f t="shared" si="175"/>
        <v/>
      </c>
      <c r="AF1300" t="str">
        <f t="shared" si="176"/>
        <v/>
      </c>
    </row>
    <row r="1301" spans="28:32" x14ac:dyDescent="0.3">
      <c r="AB1301" t="str">
        <f t="shared" si="172"/>
        <v/>
      </c>
      <c r="AC1301" t="str">
        <f t="shared" si="173"/>
        <v/>
      </c>
      <c r="AD1301" t="str">
        <f t="shared" si="174"/>
        <v/>
      </c>
      <c r="AE1301" t="str">
        <f t="shared" si="175"/>
        <v/>
      </c>
      <c r="AF1301" t="str">
        <f t="shared" si="176"/>
        <v/>
      </c>
    </row>
    <row r="1302" spans="28:32" x14ac:dyDescent="0.3">
      <c r="AB1302" t="str">
        <f t="shared" si="172"/>
        <v/>
      </c>
      <c r="AC1302" t="str">
        <f t="shared" si="173"/>
        <v/>
      </c>
      <c r="AD1302" t="str">
        <f t="shared" si="174"/>
        <v/>
      </c>
      <c r="AE1302" t="str">
        <f t="shared" si="175"/>
        <v/>
      </c>
      <c r="AF1302" t="str">
        <f t="shared" si="176"/>
        <v/>
      </c>
    </row>
    <row r="1303" spans="28:32" x14ac:dyDescent="0.3">
      <c r="AB1303" t="str">
        <f t="shared" si="172"/>
        <v/>
      </c>
      <c r="AC1303" t="str">
        <f t="shared" si="173"/>
        <v/>
      </c>
      <c r="AD1303" t="str">
        <f t="shared" si="174"/>
        <v/>
      </c>
      <c r="AE1303" t="str">
        <f t="shared" si="175"/>
        <v/>
      </c>
      <c r="AF1303" t="str">
        <f t="shared" si="176"/>
        <v/>
      </c>
    </row>
    <row r="1304" spans="28:32" x14ac:dyDescent="0.3">
      <c r="AB1304" t="str">
        <f t="shared" si="172"/>
        <v/>
      </c>
      <c r="AC1304" t="str">
        <f t="shared" si="173"/>
        <v/>
      </c>
      <c r="AD1304" t="str">
        <f t="shared" si="174"/>
        <v/>
      </c>
      <c r="AE1304" t="str">
        <f t="shared" si="175"/>
        <v/>
      </c>
      <c r="AF1304" t="str">
        <f t="shared" si="176"/>
        <v/>
      </c>
    </row>
    <row r="1305" spans="28:32" x14ac:dyDescent="0.3">
      <c r="AB1305" t="str">
        <f t="shared" si="172"/>
        <v/>
      </c>
      <c r="AC1305" t="str">
        <f t="shared" si="173"/>
        <v/>
      </c>
      <c r="AD1305" t="str">
        <f t="shared" si="174"/>
        <v/>
      </c>
      <c r="AE1305" t="str">
        <f t="shared" si="175"/>
        <v/>
      </c>
      <c r="AF1305" t="str">
        <f t="shared" si="176"/>
        <v/>
      </c>
    </row>
    <row r="1306" spans="28:32" x14ac:dyDescent="0.3">
      <c r="AB1306" t="str">
        <f t="shared" si="172"/>
        <v/>
      </c>
      <c r="AC1306" t="str">
        <f t="shared" si="173"/>
        <v/>
      </c>
      <c r="AD1306" t="str">
        <f t="shared" si="174"/>
        <v/>
      </c>
      <c r="AE1306" t="str">
        <f t="shared" si="175"/>
        <v/>
      </c>
      <c r="AF1306" t="str">
        <f t="shared" si="176"/>
        <v/>
      </c>
    </row>
    <row r="1307" spans="28:32" x14ac:dyDescent="0.3">
      <c r="AB1307" t="str">
        <f t="shared" si="172"/>
        <v/>
      </c>
      <c r="AC1307" t="str">
        <f t="shared" si="173"/>
        <v/>
      </c>
      <c r="AD1307" t="str">
        <f t="shared" si="174"/>
        <v/>
      </c>
      <c r="AE1307" t="str">
        <f t="shared" si="175"/>
        <v/>
      </c>
      <c r="AF1307" t="str">
        <f t="shared" si="176"/>
        <v/>
      </c>
    </row>
    <row r="1308" spans="28:32" x14ac:dyDescent="0.3">
      <c r="AB1308" t="str">
        <f t="shared" si="172"/>
        <v/>
      </c>
      <c r="AC1308" t="str">
        <f t="shared" si="173"/>
        <v/>
      </c>
      <c r="AD1308" t="str">
        <f t="shared" si="174"/>
        <v/>
      </c>
      <c r="AE1308" t="str">
        <f t="shared" si="175"/>
        <v/>
      </c>
      <c r="AF1308" t="str">
        <f t="shared" si="176"/>
        <v/>
      </c>
    </row>
    <row r="1309" spans="28:32" x14ac:dyDescent="0.3">
      <c r="AB1309" t="str">
        <f t="shared" si="172"/>
        <v/>
      </c>
      <c r="AC1309" t="str">
        <f t="shared" si="173"/>
        <v/>
      </c>
      <c r="AD1309" t="str">
        <f t="shared" si="174"/>
        <v/>
      </c>
      <c r="AE1309" t="str">
        <f t="shared" si="175"/>
        <v/>
      </c>
      <c r="AF1309" t="str">
        <f t="shared" si="176"/>
        <v/>
      </c>
    </row>
    <row r="1310" spans="28:32" x14ac:dyDescent="0.3">
      <c r="AB1310" t="str">
        <f t="shared" si="172"/>
        <v/>
      </c>
      <c r="AC1310" t="str">
        <f t="shared" si="173"/>
        <v/>
      </c>
      <c r="AD1310" t="str">
        <f t="shared" si="174"/>
        <v/>
      </c>
      <c r="AE1310" t="str">
        <f t="shared" si="175"/>
        <v/>
      </c>
      <c r="AF1310" t="str">
        <f t="shared" si="176"/>
        <v/>
      </c>
    </row>
    <row r="1311" spans="28:32" x14ac:dyDescent="0.3">
      <c r="AB1311" t="str">
        <f t="shared" si="172"/>
        <v/>
      </c>
      <c r="AC1311" t="str">
        <f t="shared" si="173"/>
        <v/>
      </c>
      <c r="AD1311" t="str">
        <f t="shared" si="174"/>
        <v/>
      </c>
      <c r="AE1311" t="str">
        <f t="shared" si="175"/>
        <v/>
      </c>
      <c r="AF1311" t="str">
        <f t="shared" si="176"/>
        <v/>
      </c>
    </row>
    <row r="1312" spans="28:32" x14ac:dyDescent="0.3">
      <c r="AB1312" t="str">
        <f t="shared" si="172"/>
        <v/>
      </c>
      <c r="AC1312" t="str">
        <f t="shared" si="173"/>
        <v/>
      </c>
      <c r="AD1312" t="str">
        <f t="shared" si="174"/>
        <v/>
      </c>
      <c r="AE1312" t="str">
        <f t="shared" si="175"/>
        <v/>
      </c>
      <c r="AF1312" t="str">
        <f t="shared" si="176"/>
        <v/>
      </c>
    </row>
    <row r="1313" spans="28:32" x14ac:dyDescent="0.3">
      <c r="AB1313" t="str">
        <f t="shared" si="172"/>
        <v/>
      </c>
      <c r="AC1313" t="str">
        <f t="shared" si="173"/>
        <v/>
      </c>
      <c r="AD1313" t="str">
        <f t="shared" si="174"/>
        <v/>
      </c>
      <c r="AE1313" t="str">
        <f t="shared" si="175"/>
        <v/>
      </c>
      <c r="AF1313" t="str">
        <f t="shared" si="176"/>
        <v/>
      </c>
    </row>
    <row r="1314" spans="28:32" x14ac:dyDescent="0.3">
      <c r="AB1314" t="str">
        <f t="shared" si="172"/>
        <v/>
      </c>
      <c r="AC1314" t="str">
        <f t="shared" si="173"/>
        <v/>
      </c>
      <c r="AD1314" t="str">
        <f t="shared" si="174"/>
        <v/>
      </c>
      <c r="AE1314" t="str">
        <f t="shared" si="175"/>
        <v/>
      </c>
      <c r="AF1314" t="str">
        <f t="shared" si="176"/>
        <v/>
      </c>
    </row>
    <row r="1315" spans="28:32" x14ac:dyDescent="0.3">
      <c r="AB1315" t="str">
        <f t="shared" si="172"/>
        <v/>
      </c>
      <c r="AC1315" t="str">
        <f t="shared" si="173"/>
        <v/>
      </c>
      <c r="AD1315" t="str">
        <f t="shared" si="174"/>
        <v/>
      </c>
      <c r="AE1315" t="str">
        <f t="shared" si="175"/>
        <v/>
      </c>
      <c r="AF1315" t="str">
        <f t="shared" si="176"/>
        <v/>
      </c>
    </row>
    <row r="1316" spans="28:32" x14ac:dyDescent="0.3">
      <c r="AB1316" t="str">
        <f t="shared" si="172"/>
        <v/>
      </c>
      <c r="AC1316" t="str">
        <f t="shared" si="173"/>
        <v/>
      </c>
      <c r="AD1316" t="str">
        <f t="shared" si="174"/>
        <v/>
      </c>
      <c r="AE1316" t="str">
        <f t="shared" si="175"/>
        <v/>
      </c>
      <c r="AF1316" t="str">
        <f t="shared" si="176"/>
        <v/>
      </c>
    </row>
    <row r="1317" spans="28:32" x14ac:dyDescent="0.3">
      <c r="AB1317" t="str">
        <f t="shared" si="172"/>
        <v/>
      </c>
      <c r="AC1317" t="str">
        <f t="shared" si="173"/>
        <v/>
      </c>
      <c r="AD1317" t="str">
        <f t="shared" si="174"/>
        <v/>
      </c>
      <c r="AE1317" t="str">
        <f t="shared" si="175"/>
        <v/>
      </c>
      <c r="AF1317" t="str">
        <f t="shared" si="176"/>
        <v/>
      </c>
    </row>
    <row r="1318" spans="28:32" x14ac:dyDescent="0.3">
      <c r="AB1318" t="str">
        <f t="shared" si="172"/>
        <v/>
      </c>
      <c r="AC1318" t="str">
        <f t="shared" si="173"/>
        <v/>
      </c>
      <c r="AD1318" t="str">
        <f t="shared" si="174"/>
        <v/>
      </c>
      <c r="AE1318" t="str">
        <f t="shared" si="175"/>
        <v/>
      </c>
      <c r="AF1318" t="str">
        <f t="shared" si="176"/>
        <v/>
      </c>
    </row>
    <row r="1319" spans="28:32" x14ac:dyDescent="0.3">
      <c r="AB1319" t="str">
        <f t="shared" si="172"/>
        <v/>
      </c>
      <c r="AC1319" t="str">
        <f t="shared" si="173"/>
        <v/>
      </c>
      <c r="AD1319" t="str">
        <f t="shared" si="174"/>
        <v/>
      </c>
      <c r="AE1319" t="str">
        <f t="shared" si="175"/>
        <v/>
      </c>
      <c r="AF1319" t="str">
        <f t="shared" si="176"/>
        <v/>
      </c>
    </row>
    <row r="1320" spans="28:32" x14ac:dyDescent="0.3">
      <c r="AB1320" t="str">
        <f t="shared" si="172"/>
        <v/>
      </c>
      <c r="AC1320" t="str">
        <f t="shared" si="173"/>
        <v/>
      </c>
      <c r="AD1320" t="str">
        <f t="shared" si="174"/>
        <v/>
      </c>
      <c r="AE1320" t="str">
        <f t="shared" si="175"/>
        <v/>
      </c>
      <c r="AF1320" t="str">
        <f t="shared" si="176"/>
        <v/>
      </c>
    </row>
    <row r="1321" spans="28:32" x14ac:dyDescent="0.3">
      <c r="AB1321" t="str">
        <f t="shared" si="172"/>
        <v/>
      </c>
      <c r="AC1321" t="str">
        <f t="shared" si="173"/>
        <v/>
      </c>
      <c r="AD1321" t="str">
        <f t="shared" si="174"/>
        <v/>
      </c>
      <c r="AE1321" t="str">
        <f t="shared" si="175"/>
        <v/>
      </c>
      <c r="AF1321" t="str">
        <f t="shared" si="176"/>
        <v/>
      </c>
    </row>
    <row r="1322" spans="28:32" x14ac:dyDescent="0.3">
      <c r="AB1322" t="str">
        <f t="shared" si="172"/>
        <v/>
      </c>
      <c r="AC1322" t="str">
        <f t="shared" si="173"/>
        <v/>
      </c>
      <c r="AD1322" t="str">
        <f t="shared" si="174"/>
        <v/>
      </c>
      <c r="AE1322" t="str">
        <f t="shared" si="175"/>
        <v/>
      </c>
      <c r="AF1322" t="str">
        <f t="shared" si="176"/>
        <v/>
      </c>
    </row>
    <row r="1323" spans="28:32" x14ac:dyDescent="0.3">
      <c r="AB1323" t="str">
        <f t="shared" si="172"/>
        <v/>
      </c>
      <c r="AC1323" t="str">
        <f t="shared" si="173"/>
        <v/>
      </c>
      <c r="AD1323" t="str">
        <f t="shared" si="174"/>
        <v/>
      </c>
      <c r="AE1323" t="str">
        <f t="shared" si="175"/>
        <v/>
      </c>
      <c r="AF1323" t="str">
        <f t="shared" si="176"/>
        <v/>
      </c>
    </row>
    <row r="1324" spans="28:32" x14ac:dyDescent="0.3">
      <c r="AB1324" t="str">
        <f t="shared" si="172"/>
        <v/>
      </c>
      <c r="AC1324" t="str">
        <f t="shared" si="173"/>
        <v/>
      </c>
      <c r="AD1324" t="str">
        <f t="shared" si="174"/>
        <v/>
      </c>
      <c r="AE1324" t="str">
        <f t="shared" si="175"/>
        <v/>
      </c>
      <c r="AF1324" t="str">
        <f t="shared" si="176"/>
        <v/>
      </c>
    </row>
    <row r="1325" spans="28:32" x14ac:dyDescent="0.3">
      <c r="AB1325" t="str">
        <f t="shared" si="172"/>
        <v/>
      </c>
      <c r="AC1325" t="str">
        <f t="shared" si="173"/>
        <v/>
      </c>
      <c r="AD1325" t="str">
        <f t="shared" si="174"/>
        <v/>
      </c>
      <c r="AE1325" t="str">
        <f t="shared" si="175"/>
        <v/>
      </c>
      <c r="AF1325" t="str">
        <f t="shared" si="176"/>
        <v/>
      </c>
    </row>
    <row r="1326" spans="28:32" x14ac:dyDescent="0.3">
      <c r="AB1326" t="str">
        <f t="shared" si="172"/>
        <v/>
      </c>
      <c r="AC1326" t="str">
        <f t="shared" si="173"/>
        <v/>
      </c>
      <c r="AD1326" t="str">
        <f t="shared" si="174"/>
        <v/>
      </c>
      <c r="AE1326" t="str">
        <f t="shared" si="175"/>
        <v/>
      </c>
      <c r="AF1326" t="str">
        <f t="shared" si="176"/>
        <v/>
      </c>
    </row>
    <row r="1327" spans="28:32" x14ac:dyDescent="0.3">
      <c r="AB1327" t="str">
        <f t="shared" si="172"/>
        <v/>
      </c>
      <c r="AC1327" t="str">
        <f t="shared" si="173"/>
        <v/>
      </c>
      <c r="AD1327" t="str">
        <f t="shared" si="174"/>
        <v/>
      </c>
      <c r="AE1327" t="str">
        <f t="shared" si="175"/>
        <v/>
      </c>
      <c r="AF1327" t="str">
        <f t="shared" si="176"/>
        <v/>
      </c>
    </row>
    <row r="1328" spans="28:32" x14ac:dyDescent="0.3">
      <c r="AB1328" t="str">
        <f t="shared" si="172"/>
        <v/>
      </c>
      <c r="AC1328" t="str">
        <f t="shared" si="173"/>
        <v/>
      </c>
      <c r="AD1328" t="str">
        <f t="shared" si="174"/>
        <v/>
      </c>
      <c r="AE1328" t="str">
        <f t="shared" si="175"/>
        <v/>
      </c>
      <c r="AF1328" t="str">
        <f t="shared" si="176"/>
        <v/>
      </c>
    </row>
    <row r="1329" spans="28:32" x14ac:dyDescent="0.3">
      <c r="AB1329" t="str">
        <f t="shared" si="172"/>
        <v/>
      </c>
      <c r="AC1329" t="str">
        <f t="shared" si="173"/>
        <v/>
      </c>
      <c r="AD1329" t="str">
        <f t="shared" si="174"/>
        <v/>
      </c>
      <c r="AE1329" t="str">
        <f t="shared" si="175"/>
        <v/>
      </c>
      <c r="AF1329" t="str">
        <f t="shared" si="176"/>
        <v/>
      </c>
    </row>
    <row r="1330" spans="28:32" x14ac:dyDescent="0.3">
      <c r="AB1330" t="str">
        <f t="shared" si="172"/>
        <v/>
      </c>
      <c r="AC1330" t="str">
        <f t="shared" si="173"/>
        <v/>
      </c>
      <c r="AD1330" t="str">
        <f t="shared" si="174"/>
        <v/>
      </c>
      <c r="AE1330" t="str">
        <f t="shared" si="175"/>
        <v/>
      </c>
      <c r="AF1330" t="str">
        <f t="shared" si="176"/>
        <v/>
      </c>
    </row>
    <row r="1331" spans="28:32" x14ac:dyDescent="0.3">
      <c r="AB1331" t="str">
        <f t="shared" si="172"/>
        <v/>
      </c>
      <c r="AC1331" t="str">
        <f t="shared" si="173"/>
        <v/>
      </c>
      <c r="AD1331" t="str">
        <f t="shared" si="174"/>
        <v/>
      </c>
      <c r="AE1331" t="str">
        <f t="shared" si="175"/>
        <v/>
      </c>
      <c r="AF1331" t="str">
        <f t="shared" si="176"/>
        <v/>
      </c>
    </row>
    <row r="1332" spans="28:32" x14ac:dyDescent="0.3">
      <c r="AB1332" t="str">
        <f t="shared" ref="AB1332:AB1346" si="177">IF(ROW()-$AA$51 &lt; (H$16+1)^5, MOD(_xlfn.FLOOR.MATH((ROW()-$AA$51)/AB$50), H$16+1), "")</f>
        <v/>
      </c>
      <c r="AC1332" t="str">
        <f t="shared" ref="AC1332:AC1346" si="178">IF(ROW()-$AA$51 &lt; (I$16+1)^5, MOD(_xlfn.FLOOR.MATH((ROW()-$AA$51)/AC$50), I$16+1), "")</f>
        <v/>
      </c>
      <c r="AD1332" t="str">
        <f t="shared" ref="AD1332:AD1346" si="179">IF(ROW()-$AA$51 &lt; (J$16+1)^5, MOD(_xlfn.FLOOR.MATH((ROW()-$AA$51)/AD$50), J$16+1), "")</f>
        <v/>
      </c>
      <c r="AE1332" t="str">
        <f t="shared" ref="AE1332:AE1346" si="180">IF(ROW()-$AA$51 &lt; (K$16+1)^5, MOD(_xlfn.FLOOR.MATH((ROW()-$AA$51)/AE$50), K$16+1), "")</f>
        <v/>
      </c>
      <c r="AF1332" t="str">
        <f t="shared" ref="AF1332:AF1346" si="181">IF(ROW()-$AA$51 &lt; (L$16+1)^5, MOD(_xlfn.FLOOR.MATH((ROW()-$AA$51)/AF$50), L$16+1), "")</f>
        <v/>
      </c>
    </row>
    <row r="1333" spans="28:32" x14ac:dyDescent="0.3">
      <c r="AB1333" t="str">
        <f t="shared" si="177"/>
        <v/>
      </c>
      <c r="AC1333" t="str">
        <f t="shared" si="178"/>
        <v/>
      </c>
      <c r="AD1333" t="str">
        <f t="shared" si="179"/>
        <v/>
      </c>
      <c r="AE1333" t="str">
        <f t="shared" si="180"/>
        <v/>
      </c>
      <c r="AF1333" t="str">
        <f t="shared" si="181"/>
        <v/>
      </c>
    </row>
    <row r="1334" spans="28:32" x14ac:dyDescent="0.3">
      <c r="AB1334" t="str">
        <f t="shared" si="177"/>
        <v/>
      </c>
      <c r="AC1334" t="str">
        <f t="shared" si="178"/>
        <v/>
      </c>
      <c r="AD1334" t="str">
        <f t="shared" si="179"/>
        <v/>
      </c>
      <c r="AE1334" t="str">
        <f t="shared" si="180"/>
        <v/>
      </c>
      <c r="AF1334" t="str">
        <f t="shared" si="181"/>
        <v/>
      </c>
    </row>
    <row r="1335" spans="28:32" x14ac:dyDescent="0.3">
      <c r="AB1335" t="str">
        <f t="shared" si="177"/>
        <v/>
      </c>
      <c r="AC1335" t="str">
        <f t="shared" si="178"/>
        <v/>
      </c>
      <c r="AD1335" t="str">
        <f t="shared" si="179"/>
        <v/>
      </c>
      <c r="AE1335" t="str">
        <f t="shared" si="180"/>
        <v/>
      </c>
      <c r="AF1335" t="str">
        <f t="shared" si="181"/>
        <v/>
      </c>
    </row>
    <row r="1336" spans="28:32" x14ac:dyDescent="0.3">
      <c r="AB1336" t="str">
        <f t="shared" si="177"/>
        <v/>
      </c>
      <c r="AC1336" t="str">
        <f t="shared" si="178"/>
        <v/>
      </c>
      <c r="AD1336" t="str">
        <f t="shared" si="179"/>
        <v/>
      </c>
      <c r="AE1336" t="str">
        <f t="shared" si="180"/>
        <v/>
      </c>
      <c r="AF1336" t="str">
        <f t="shared" si="181"/>
        <v/>
      </c>
    </row>
    <row r="1337" spans="28:32" x14ac:dyDescent="0.3">
      <c r="AB1337" t="str">
        <f t="shared" si="177"/>
        <v/>
      </c>
      <c r="AC1337" t="str">
        <f t="shared" si="178"/>
        <v/>
      </c>
      <c r="AD1337" t="str">
        <f t="shared" si="179"/>
        <v/>
      </c>
      <c r="AE1337" t="str">
        <f t="shared" si="180"/>
        <v/>
      </c>
      <c r="AF1337" t="str">
        <f t="shared" si="181"/>
        <v/>
      </c>
    </row>
    <row r="1338" spans="28:32" x14ac:dyDescent="0.3">
      <c r="AB1338" t="str">
        <f t="shared" si="177"/>
        <v/>
      </c>
      <c r="AC1338" t="str">
        <f t="shared" si="178"/>
        <v/>
      </c>
      <c r="AD1338" t="str">
        <f t="shared" si="179"/>
        <v/>
      </c>
      <c r="AE1338" t="str">
        <f t="shared" si="180"/>
        <v/>
      </c>
      <c r="AF1338" t="str">
        <f t="shared" si="181"/>
        <v/>
      </c>
    </row>
    <row r="1339" spans="28:32" x14ac:dyDescent="0.3">
      <c r="AB1339" t="str">
        <f t="shared" si="177"/>
        <v/>
      </c>
      <c r="AC1339" t="str">
        <f t="shared" si="178"/>
        <v/>
      </c>
      <c r="AD1339" t="str">
        <f t="shared" si="179"/>
        <v/>
      </c>
      <c r="AE1339" t="str">
        <f t="shared" si="180"/>
        <v/>
      </c>
      <c r="AF1339" t="str">
        <f t="shared" si="181"/>
        <v/>
      </c>
    </row>
    <row r="1340" spans="28:32" x14ac:dyDescent="0.3">
      <c r="AB1340" t="str">
        <f t="shared" si="177"/>
        <v/>
      </c>
      <c r="AC1340" t="str">
        <f t="shared" si="178"/>
        <v/>
      </c>
      <c r="AD1340" t="str">
        <f t="shared" si="179"/>
        <v/>
      </c>
      <c r="AE1340" t="str">
        <f t="shared" si="180"/>
        <v/>
      </c>
      <c r="AF1340" t="str">
        <f t="shared" si="181"/>
        <v/>
      </c>
    </row>
    <row r="1341" spans="28:32" x14ac:dyDescent="0.3">
      <c r="AB1341" t="str">
        <f t="shared" si="177"/>
        <v/>
      </c>
      <c r="AC1341" t="str">
        <f t="shared" si="178"/>
        <v/>
      </c>
      <c r="AD1341" t="str">
        <f t="shared" si="179"/>
        <v/>
      </c>
      <c r="AE1341" t="str">
        <f t="shared" si="180"/>
        <v/>
      </c>
      <c r="AF1341" t="str">
        <f t="shared" si="181"/>
        <v/>
      </c>
    </row>
    <row r="1342" spans="28:32" x14ac:dyDescent="0.3">
      <c r="AB1342" t="str">
        <f t="shared" si="177"/>
        <v/>
      </c>
      <c r="AC1342" t="str">
        <f t="shared" si="178"/>
        <v/>
      </c>
      <c r="AD1342" t="str">
        <f t="shared" si="179"/>
        <v/>
      </c>
      <c r="AE1342" t="str">
        <f t="shared" si="180"/>
        <v/>
      </c>
      <c r="AF1342" t="str">
        <f t="shared" si="181"/>
        <v/>
      </c>
    </row>
    <row r="1343" spans="28:32" x14ac:dyDescent="0.3">
      <c r="AB1343" t="str">
        <f t="shared" si="177"/>
        <v/>
      </c>
      <c r="AC1343" t="str">
        <f t="shared" si="178"/>
        <v/>
      </c>
      <c r="AD1343" t="str">
        <f t="shared" si="179"/>
        <v/>
      </c>
      <c r="AE1343" t="str">
        <f t="shared" si="180"/>
        <v/>
      </c>
      <c r="AF1343" t="str">
        <f t="shared" si="181"/>
        <v/>
      </c>
    </row>
    <row r="1344" spans="28:32" x14ac:dyDescent="0.3">
      <c r="AB1344" t="str">
        <f t="shared" si="177"/>
        <v/>
      </c>
      <c r="AC1344" t="str">
        <f t="shared" si="178"/>
        <v/>
      </c>
      <c r="AD1344" t="str">
        <f t="shared" si="179"/>
        <v/>
      </c>
      <c r="AE1344" t="str">
        <f t="shared" si="180"/>
        <v/>
      </c>
      <c r="AF1344" t="str">
        <f t="shared" si="181"/>
        <v/>
      </c>
    </row>
    <row r="1345" spans="28:32" x14ac:dyDescent="0.3">
      <c r="AB1345" t="str">
        <f t="shared" si="177"/>
        <v/>
      </c>
      <c r="AC1345" t="str">
        <f t="shared" si="178"/>
        <v/>
      </c>
      <c r="AD1345" t="str">
        <f t="shared" si="179"/>
        <v/>
      </c>
      <c r="AE1345" t="str">
        <f t="shared" si="180"/>
        <v/>
      </c>
      <c r="AF1345" t="str">
        <f t="shared" si="181"/>
        <v/>
      </c>
    </row>
    <row r="1346" spans="28:32" x14ac:dyDescent="0.3">
      <c r="AB1346" t="str">
        <f t="shared" si="177"/>
        <v/>
      </c>
      <c r="AC1346" t="str">
        <f t="shared" si="178"/>
        <v/>
      </c>
      <c r="AD1346" t="str">
        <f t="shared" si="179"/>
        <v/>
      </c>
      <c r="AE1346" t="str">
        <f t="shared" si="180"/>
        <v/>
      </c>
      <c r="AF1346" t="str">
        <f t="shared" si="181"/>
        <v/>
      </c>
    </row>
    <row r="1356" spans="28:32" x14ac:dyDescent="0.3">
      <c r="AB1356" t="str">
        <f t="shared" ref="AB1356:AF1361" si="182">IF(ROW()-$AA$51 &lt; (H$16+1)^5, MOD(_xlfn.FLOOR.MATH((ROW()-$AA$51)/AB$50), H$16+1), "")</f>
        <v/>
      </c>
      <c r="AC1356" t="str">
        <f t="shared" si="182"/>
        <v/>
      </c>
      <c r="AD1356" t="str">
        <f t="shared" si="182"/>
        <v/>
      </c>
      <c r="AE1356" t="str">
        <f t="shared" si="182"/>
        <v/>
      </c>
      <c r="AF1356" t="str">
        <f t="shared" si="182"/>
        <v/>
      </c>
    </row>
    <row r="1357" spans="28:32" x14ac:dyDescent="0.3">
      <c r="AB1357" t="str">
        <f t="shared" si="182"/>
        <v/>
      </c>
      <c r="AC1357" t="str">
        <f t="shared" si="182"/>
        <v/>
      </c>
      <c r="AD1357" t="str">
        <f t="shared" si="182"/>
        <v/>
      </c>
      <c r="AE1357" t="str">
        <f t="shared" si="182"/>
        <v/>
      </c>
      <c r="AF1357" t="str">
        <f t="shared" si="182"/>
        <v/>
      </c>
    </row>
    <row r="1358" spans="28:32" x14ac:dyDescent="0.3">
      <c r="AB1358" t="str">
        <f t="shared" si="182"/>
        <v/>
      </c>
      <c r="AC1358" t="str">
        <f t="shared" si="182"/>
        <v/>
      </c>
      <c r="AD1358" t="str">
        <f t="shared" si="182"/>
        <v/>
      </c>
      <c r="AE1358" t="str">
        <f t="shared" si="182"/>
        <v/>
      </c>
      <c r="AF1358" t="str">
        <f t="shared" si="182"/>
        <v/>
      </c>
    </row>
    <row r="1359" spans="28:32" x14ac:dyDescent="0.3">
      <c r="AB1359" t="str">
        <f t="shared" si="182"/>
        <v/>
      </c>
      <c r="AC1359" t="str">
        <f t="shared" si="182"/>
        <v/>
      </c>
      <c r="AD1359" t="str">
        <f t="shared" si="182"/>
        <v/>
      </c>
      <c r="AE1359" t="str">
        <f t="shared" si="182"/>
        <v/>
      </c>
      <c r="AF1359" t="str">
        <f t="shared" si="182"/>
        <v/>
      </c>
    </row>
    <row r="1360" spans="28:32" x14ac:dyDescent="0.3">
      <c r="AB1360" t="str">
        <f t="shared" si="182"/>
        <v/>
      </c>
      <c r="AC1360" t="str">
        <f t="shared" si="182"/>
        <v/>
      </c>
      <c r="AD1360" t="str">
        <f t="shared" si="182"/>
        <v/>
      </c>
      <c r="AE1360" t="str">
        <f t="shared" si="182"/>
        <v/>
      </c>
      <c r="AF1360" t="str">
        <f t="shared" si="182"/>
        <v/>
      </c>
    </row>
    <row r="1361" spans="28:32" x14ac:dyDescent="0.3">
      <c r="AB1361" t="str">
        <f t="shared" si="182"/>
        <v/>
      </c>
      <c r="AC1361" t="str">
        <f t="shared" si="182"/>
        <v/>
      </c>
      <c r="AD1361" t="str">
        <f t="shared" si="182"/>
        <v/>
      </c>
      <c r="AE1361" t="str">
        <f t="shared" si="182"/>
        <v/>
      </c>
      <c r="AF1361" t="str">
        <f t="shared" si="182"/>
        <v/>
      </c>
    </row>
  </sheetData>
  <mergeCells count="23">
    <mergeCell ref="AR17:AW17"/>
    <mergeCell ref="H13:J13"/>
    <mergeCell ref="N15:P15"/>
    <mergeCell ref="U28:Z28"/>
    <mergeCell ref="AB51:AF51"/>
    <mergeCell ref="AM18:AM20"/>
    <mergeCell ref="AM21:AM23"/>
    <mergeCell ref="AM24:AM26"/>
    <mergeCell ref="AM27:AM29"/>
    <mergeCell ref="AM30:AM32"/>
    <mergeCell ref="AM33:AM35"/>
    <mergeCell ref="AN33:AN35"/>
    <mergeCell ref="AO18:AO20"/>
    <mergeCell ref="AO21:AO23"/>
    <mergeCell ref="AO24:AO26"/>
    <mergeCell ref="AO27:AO29"/>
    <mergeCell ref="AO30:AO32"/>
    <mergeCell ref="AO33:AO35"/>
    <mergeCell ref="AN18:AN20"/>
    <mergeCell ref="AN21:AN23"/>
    <mergeCell ref="AN24:AN26"/>
    <mergeCell ref="AN27:AN29"/>
    <mergeCell ref="AN30:AN32"/>
  </mergeCells>
  <phoneticPr fontId="5" type="noConversion"/>
  <conditionalFormatting sqref="U27:Y27 AB27 T18:Y26">
    <cfRule type="cellIs" dxfId="2" priority="1" stopIfTrue="1" operator="equal">
      <formula>0</formula>
    </cfRule>
  </conditionalFormatting>
  <pageMargins left="0.70000000000000007" right="0.70000000000000007" top="0.75" bottom="0.75" header="0.30000000000000004" footer="0.30000000000000004"/>
  <pageSetup paperSize="9" fitToWidth="0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7D13C-4C8D-480B-B16B-E1B1CFB6B377}">
  <dimension ref="A1:AW1361"/>
  <sheetViews>
    <sheetView zoomScale="70" zoomScaleNormal="70" workbookViewId="0">
      <selection activeCell="G37" sqref="G37"/>
    </sheetView>
  </sheetViews>
  <sheetFormatPr defaultRowHeight="15.05" x14ac:dyDescent="0.3"/>
  <cols>
    <col min="1" max="13" width="9.109375" customWidth="1"/>
    <col min="14" max="14" width="6.5546875" bestFit="1" customWidth="1"/>
    <col min="15" max="15" width="9.109375" customWidth="1"/>
    <col min="16" max="16" width="6.5546875" bestFit="1" customWidth="1"/>
    <col min="17" max="18" width="6.5546875" customWidth="1"/>
    <col min="19" max="19" width="9.109375" customWidth="1"/>
    <col min="20" max="20" width="19.33203125" bestFit="1" customWidth="1"/>
    <col min="21" max="29" width="9.109375" customWidth="1"/>
    <col min="30" max="30" width="12.77734375" customWidth="1"/>
    <col min="31" max="31" width="13.109375" bestFit="1" customWidth="1"/>
    <col min="32" max="33" width="12" bestFit="1" customWidth="1"/>
    <col min="34" max="36" width="9.109375" customWidth="1"/>
    <col min="37" max="37" width="12" bestFit="1" customWidth="1"/>
    <col min="38" max="38" width="16.6640625" bestFit="1" customWidth="1"/>
    <col min="39" max="39" width="12" bestFit="1" customWidth="1"/>
  </cols>
  <sheetData>
    <row r="1" spans="1:21" x14ac:dyDescent="0.3">
      <c r="A1" s="57" t="s">
        <v>108</v>
      </c>
    </row>
    <row r="2" spans="1:21" x14ac:dyDescent="0.3">
      <c r="A2" s="57" t="s">
        <v>109</v>
      </c>
    </row>
    <row r="3" spans="1:21" x14ac:dyDescent="0.3">
      <c r="A3" s="57" t="s">
        <v>101</v>
      </c>
    </row>
    <row r="4" spans="1:21" x14ac:dyDescent="0.3">
      <c r="A4" s="57" t="s">
        <v>110</v>
      </c>
    </row>
    <row r="5" spans="1:21" x14ac:dyDescent="0.3">
      <c r="A5" s="57" t="s">
        <v>111</v>
      </c>
    </row>
    <row r="7" spans="1:21" x14ac:dyDescent="0.3">
      <c r="A7" t="str">
        <f>SUBSTITUTE(SUBSTITUTE(SUBSTITUTE(SUBSTITUTE(SUBSTITUTE(A1, " ",""), """", ""), "[", ""), "],",""), "]","")</f>
        <v>P4,P5,SCAT,P6,P3,P1,SCAT,P4,P5,P5,P6,P5,SCAT,P6,P6,P5,P3,P5,P4,SCAT,P6,P3,P6,P3,P4,P5,P2,SCAT,P6,P5,CP,P6,P3,P4,P3,P3,CP,P4,P2,P5,P6,CP,P5,P6,P2,P4,P3,SCAT,P6,P5,P2,P5,P6,P6,P4,P2,P2,P4,P4,P1,P5,P1,P1,SCAT,P5,P1,P4,P6,P4,P2,P1,SCAT,P5,P6,P2,CP,P5,P4,P1</v>
      </c>
    </row>
    <row r="8" spans="1:21" x14ac:dyDescent="0.3">
      <c r="A8" t="str">
        <f>SUBSTITUTE(SUBSTITUTE(SUBSTITUTE(SUBSTITUTE(SUBSTITUTE(A2, " ",""), """", ""), "[", ""), "],",""), "]","")</f>
        <v>P6,P5,P4,P1,P3,P6,P6,P5,P3,P4,P6,WILD,P5,P3,P5,CP,P6,P5,P3,WILD,P4,P5,P2,P5,P1,P4,P4,P5,P3,P3,P5,P2,P4,P6,P6,P4,P2,P5,P2,P6,P2,P3,P5,P3,P3,P1,P6,P3,P4,P6,P2,P1,P3,P2,P3,P6,P4,P3,P2,P1,P5,P2,P4,P2,P5,P1,P4,P4,P1,CP,P6,P4,P6,CP,P4</v>
      </c>
    </row>
    <row r="9" spans="1:21" x14ac:dyDescent="0.3">
      <c r="A9" t="str">
        <f>SUBSTITUTE(SUBSTITUTE(SUBSTITUTE(SUBSTITUTE(SUBSTITUTE(A3, " ",""), """", ""), "[", ""), "],",""), "]","")</f>
        <v>P5,P3,CP,P6,SCAT,P6,P3,WILD,P5,P4,P6,P6,P2,P5,P1,SCAT,P6,P5,P5,P6,P4,SCAT,P3,P5,P2,P6,SCAT,P2,WILD,P4,P6,P5,P1,P4,P5,P6,P6,CP,P3,P2,P5,SCAT,P3,P6,P2,WILD,P3,P2,P6,P6,SCAT,P4,CP,P2,P5,P1,SCAT,P3,P4,P6,P1,P4,SCAT,P6,P4,P1,P6,P5,P2,P4,P4,P5,P1,P3,P4,P5,P1,P3,P4,P3</v>
      </c>
    </row>
    <row r="10" spans="1:21" x14ac:dyDescent="0.3">
      <c r="A10" t="str">
        <f t="shared" ref="A10:A11" si="0">SUBSTITUTE(SUBSTITUTE(SUBSTITUTE(SUBSTITUTE(SUBSTITUTE(A4, " ",""), """", ""), "[", ""), "],",""), "]","")</f>
        <v>P6,P5,P4,WILD,P3,P3,P6,WILD,P2,P5,P6,P6,P3,P4,P6,P5,P1,P5,P2,P5,P3,P4,P5,P6,P5,P3,WILD,P4,P4,P5,P1,P3,P5,P6,P4,P4,P6,P5,P2,P2,P3,P5,P3,P3,P1,CP,CP,P3,P4,P6,P2,P3,P2,P3,P6,P4,P3,P2,P1,P5,P2,P4,P2,P5,P1,P4,P4,P1,CP,P6,P4,P6,CP,P4</v>
      </c>
    </row>
    <row r="11" spans="1:21" x14ac:dyDescent="0.3">
      <c r="A11" t="str">
        <f t="shared" si="0"/>
        <v>P6,P6,P5,P3,WILD,CP,P6,P3,P6,SCAT,P5,P4,P2,P5,WILD,P6,P1,P5,P5,P6,P4,P3,P5,P2,SCAT,P1,P6,P6,P2,P4,P5,P1,P4,P5,CP,WILD,P6,CP,P3,P2,P5,P3,SCAT,P2,P3,P2,WILD,P4,CP,P2,SCAT,P5,P1,P3,P4,P6,P1,CP,SCAT,P4,WILD,P6,P4,SCAT,P1,P6,P5,P2,P4,SCAT,P4,P5,P1,P3,SCAT,P4,CP,P5,P1,P3,P4,P3</v>
      </c>
    </row>
    <row r="13" spans="1:21" x14ac:dyDescent="0.3">
      <c r="H13" s="76" t="s">
        <v>51</v>
      </c>
      <c r="I13" s="76"/>
      <c r="J13" s="76"/>
      <c r="K13" s="48"/>
      <c r="L13" s="48"/>
    </row>
    <row r="14" spans="1:21" x14ac:dyDescent="0.3">
      <c r="G14" s="4" t="s">
        <v>48</v>
      </c>
      <c r="H14">
        <f>ROWS(TRANSPOSE(_xlfn.TEXTSPLIT(A7, ",")))</f>
        <v>79</v>
      </c>
      <c r="I14">
        <f>ROWS(TRANSPOSE(_xlfn.TEXTSPLIT(A8, ",")))</f>
        <v>75</v>
      </c>
      <c r="J14">
        <f>ROWS(TRANSPOSE(_xlfn.TEXTSPLIT(A9, ",")))</f>
        <v>80</v>
      </c>
      <c r="K14">
        <f>ROWS(TRANSPOSE(_xlfn.TEXTSPLIT(A10, ",")))</f>
        <v>74</v>
      </c>
      <c r="L14">
        <f>ROWS(TRANSPOSE(_xlfn.TEXTSPLIT(A11, ",")))</f>
        <v>82</v>
      </c>
      <c r="T14" s="4" t="s">
        <v>55</v>
      </c>
      <c r="U14" s="29" t="e">
        <f ca="1">AM25+AL52+#REF!</f>
        <v>#REF!</v>
      </c>
    </row>
    <row r="15" spans="1:21" x14ac:dyDescent="0.3">
      <c r="G15" s="4" t="s">
        <v>49</v>
      </c>
      <c r="H15">
        <f>ROW(A18)</f>
        <v>18</v>
      </c>
      <c r="I15">
        <f>ROW(B18)</f>
        <v>18</v>
      </c>
      <c r="J15">
        <f>ROW(C18)</f>
        <v>18</v>
      </c>
      <c r="K15">
        <f t="shared" ref="K15:L15" si="1">ROW(D18)</f>
        <v>18</v>
      </c>
      <c r="L15">
        <f t="shared" si="1"/>
        <v>18</v>
      </c>
      <c r="N15" s="77" t="s">
        <v>52</v>
      </c>
      <c r="O15" s="77"/>
      <c r="P15" s="77"/>
    </row>
    <row r="16" spans="1:21" x14ac:dyDescent="0.3">
      <c r="G16" s="4" t="s">
        <v>50</v>
      </c>
      <c r="H16">
        <v>3</v>
      </c>
      <c r="I16">
        <v>3</v>
      </c>
      <c r="J16">
        <v>3</v>
      </c>
      <c r="K16">
        <v>3</v>
      </c>
      <c r="L16">
        <v>3</v>
      </c>
    </row>
    <row r="17" spans="1:49" x14ac:dyDescent="0.3">
      <c r="A17" s="1" t="s">
        <v>18</v>
      </c>
      <c r="B17" s="19" t="s">
        <v>19</v>
      </c>
      <c r="C17" s="1" t="s">
        <v>20</v>
      </c>
      <c r="D17" s="1" t="s">
        <v>56</v>
      </c>
      <c r="E17" s="1" t="s">
        <v>57</v>
      </c>
      <c r="F17" s="4"/>
      <c r="G17" s="4"/>
      <c r="H17" s="45" t="str">
        <f>A17</f>
        <v>Reel 1</v>
      </c>
      <c r="I17" s="45" t="str">
        <f>B17</f>
        <v>Reel 2</v>
      </c>
      <c r="J17" s="45" t="str">
        <f>C17</f>
        <v>Reel 3</v>
      </c>
      <c r="K17" s="45" t="str">
        <f t="shared" ref="K17:L17" si="2">D17</f>
        <v>Reel 4</v>
      </c>
      <c r="L17" s="45" t="str">
        <f t="shared" si="2"/>
        <v>Reel 5</v>
      </c>
      <c r="M17" s="4"/>
      <c r="N17" s="45" t="str">
        <f>H17</f>
        <v>Reel 1</v>
      </c>
      <c r="O17" s="45" t="str">
        <f>I17</f>
        <v>Reel 2</v>
      </c>
      <c r="P17" s="45" t="str">
        <f>J17</f>
        <v>Reel 3</v>
      </c>
      <c r="Q17" s="45" t="str">
        <f t="shared" ref="Q17:R17" si="3">K17</f>
        <v>Reel 4</v>
      </c>
      <c r="R17" s="45" t="str">
        <f t="shared" si="3"/>
        <v>Reel 5</v>
      </c>
      <c r="S17" s="4"/>
      <c r="T17" s="19" t="s">
        <v>38</v>
      </c>
      <c r="U17" s="45" t="s">
        <v>18</v>
      </c>
      <c r="V17" s="45" t="s">
        <v>19</v>
      </c>
      <c r="W17" s="45" t="s">
        <v>20</v>
      </c>
      <c r="X17" s="45" t="s">
        <v>56</v>
      </c>
      <c r="Y17" s="105" t="s">
        <v>57</v>
      </c>
      <c r="Z17" s="90"/>
      <c r="AB17" s="45" t="s">
        <v>38</v>
      </c>
      <c r="AC17" s="45" t="s">
        <v>89</v>
      </c>
      <c r="AD17" s="45" t="s">
        <v>18</v>
      </c>
      <c r="AE17" s="45" t="s">
        <v>19</v>
      </c>
      <c r="AF17" s="45" t="s">
        <v>20</v>
      </c>
      <c r="AG17" s="45" t="s">
        <v>56</v>
      </c>
      <c r="AH17" s="45" t="s">
        <v>57</v>
      </c>
      <c r="AI17" s="45" t="s">
        <v>40</v>
      </c>
      <c r="AJ17" s="45" t="s">
        <v>37</v>
      </c>
      <c r="AK17" s="45" t="s">
        <v>41</v>
      </c>
      <c r="AL17" s="45" t="s">
        <v>34</v>
      </c>
      <c r="AM17" s="45" t="s">
        <v>42</v>
      </c>
      <c r="AN17" s="45" t="s">
        <v>43</v>
      </c>
      <c r="AO17" s="45" t="s">
        <v>44</v>
      </c>
      <c r="AR17" s="110" t="s">
        <v>90</v>
      </c>
      <c r="AS17" s="111"/>
      <c r="AT17" s="111"/>
      <c r="AU17" s="111"/>
      <c r="AV17" s="111"/>
      <c r="AW17" s="112"/>
    </row>
    <row r="18" spans="1:49" x14ac:dyDescent="0.3">
      <c r="A18" t="str" cm="1">
        <f t="array" ref="A18:A96">TRANSPOSE(_xlfn.TEXTSPLIT(A7, ","))</f>
        <v>P4</v>
      </c>
      <c r="B18" t="str" cm="1">
        <f t="array" ref="B18:B92">TRANSPOSE(_xlfn.TEXTSPLIT(A8, ","))</f>
        <v>P6</v>
      </c>
      <c r="C18" t="str" cm="1">
        <f t="array" ref="C18:C97">TRANSPOSE(_xlfn.TEXTSPLIT(A9, ","))</f>
        <v>P5</v>
      </c>
      <c r="D18" t="str" cm="1">
        <f t="array" ref="D18:D91">TRANSPOSE(_xlfn.TEXTSPLIT(A10, ","))</f>
        <v>P6</v>
      </c>
      <c r="E18" t="str" cm="1">
        <f t="array" ref="E18:E99">TRANSPOSE(_xlfn.TEXTSPLIT(A11, ","))</f>
        <v>P6</v>
      </c>
      <c r="H18" t="str" cm="1">
        <f t="array" aca="1" ref="H18" ca="1">IF(ROW(A18)-H$15 &lt; H$14,A18,IF(ROW(A18) - H$15 -H$16 + 1 &lt; H$14,INDIRECT(ADDRESS(MOD(ROW(A18) - H$15, H$14) + H$15, COLUMN(A18))),""))</f>
        <v>P4</v>
      </c>
      <c r="I18" t="str" cm="1">
        <f t="array" aca="1" ref="I18" ca="1">IF(ROW(B18)-I$15 &lt; I$14,B18,IF(ROW(B18) - I$15 -I$16 + 1 &lt; I$14,INDIRECT(ADDRESS(MOD(ROW(B18) - I$15, I$14) + I$15, COLUMN(B18))),""))</f>
        <v>P6</v>
      </c>
      <c r="J18" t="str" cm="1">
        <f t="array" aca="1" ref="J18" ca="1">IF(ROW(C18)-J$15 &lt; J$14,C18,IF(ROW(C18) - J$15 -J$16 + 1 &lt; J$14,INDIRECT(ADDRESS(MOD(ROW(C18) - J$15, J$14) + J$15, COLUMN(C18))),""))</f>
        <v>P5</v>
      </c>
      <c r="K18" t="str" cm="1">
        <f t="array" aca="1" ref="K18" ca="1">IF(ROW(D18)-K$15 &lt; K$14,D18,IF(ROW(D18) - K$15 -K$16 + 1 &lt; K$14,INDIRECT(ADDRESS(MOD(ROW(D18) - K$15, K$14) + K$15, COLUMN(D18))),""))</f>
        <v>P6</v>
      </c>
      <c r="L18" t="str" cm="1">
        <f t="array" aca="1" ref="L18" ca="1">IF(ROW(E18)-L$15 &lt; L$14,E18,IF(ROW(E18) - L$15 -L$16 + 1 &lt; L$14,INDIRECT(ADDRESS(MOD(ROW(E18) - L$15, L$14) + L$15, COLUMN(E18))),""))</f>
        <v>P6</v>
      </c>
      <c r="N18" cm="1">
        <f t="array" aca="1" ref="N18" ca="1">IF(H18&lt;&gt;"", SUMPRODUCT((OFFSET(H18,0,0,H$16,1)=$T$24) +0),"")</f>
        <v>0</v>
      </c>
      <c r="O18" cm="1">
        <f t="array" aca="1" ref="O18" ca="1">IF(I18&lt;&gt;"", SUMPRODUCT((OFFSET(I18,0,0,I$16,1)=$T$24) +0),"")</f>
        <v>0</v>
      </c>
      <c r="P18" cm="1">
        <f t="array" aca="1" ref="P18" ca="1">IF(J18&lt;&gt;"", SUMPRODUCT((OFFSET(J18,0,0,J$16,1)=$T$24) +0),"")</f>
        <v>1</v>
      </c>
      <c r="Q18" cm="1">
        <f t="array" aca="1" ref="Q18" ca="1">IF(K18&lt;&gt;"", SUMPRODUCT((OFFSET(K18,0,0,K$16,1)=$T$24) +0),"")</f>
        <v>0</v>
      </c>
      <c r="R18" cm="1">
        <f t="array" aca="1" ref="R18" ca="1">IF(L18&lt;&gt;"", SUMPRODUCT((OFFSET(L18,0,0,L$16,1)=$T$24) +0),"")</f>
        <v>0</v>
      </c>
      <c r="T18" s="5" t="str">
        <f>Summary!B4</f>
        <v>P1</v>
      </c>
      <c r="U18" s="46">
        <f t="shared" ref="U18:Y26" si="4">COUNTIF(A$18:A$254,$T18)</f>
        <v>7</v>
      </c>
      <c r="V18" s="46">
        <f t="shared" si="4"/>
        <v>7</v>
      </c>
      <c r="W18" s="46">
        <f t="shared" si="4"/>
        <v>7</v>
      </c>
      <c r="X18" s="46">
        <f t="shared" si="4"/>
        <v>6</v>
      </c>
      <c r="Y18" s="65">
        <f t="shared" si="4"/>
        <v>8</v>
      </c>
      <c r="Z18" s="106"/>
      <c r="AB18" s="46" t="str">
        <f t="shared" ref="AB18" si="5">T18</f>
        <v>P1</v>
      </c>
      <c r="AC18" s="46">
        <v>5</v>
      </c>
      <c r="AD18" s="46">
        <f>IF(_xlfn.XLOOKUP($AC18,$AR$18:$AR$22,AS$18:AS$22)=1, _xlfn.XLOOKUP($AB18,$T$18:$T$26,U$18:U$26)+U$25, IF(_xlfn.XLOOKUP($AC18,$AR$18:$AR$22,AS$18:AS$22)=0, U$27-(_xlfn.XLOOKUP($AB18,$T$18:$T$26,U$18:U$26)+U$25), U$27))</f>
        <v>7</v>
      </c>
      <c r="AE18" s="46">
        <f t="shared" ref="AE18:AH33" si="6">IF(_xlfn.XLOOKUP($AC18,$AR$18:$AR$22,AT$18:AT$22)=1, _xlfn.XLOOKUP($AB18,$T$18:$T$26,V$18:V$26)+V$25, IF(_xlfn.XLOOKUP($AC18,$AR$18:$AR$22,AT$18:AT$22)=0, V$27-(_xlfn.XLOOKUP($AB18,$T$18:$T$26,V$18:V$26)+V$25), V$27))</f>
        <v>9</v>
      </c>
      <c r="AF18" s="46">
        <f t="shared" si="6"/>
        <v>10</v>
      </c>
      <c r="AG18" s="46">
        <f t="shared" si="6"/>
        <v>9</v>
      </c>
      <c r="AH18" s="46">
        <f t="shared" si="6"/>
        <v>13</v>
      </c>
      <c r="AI18" s="46">
        <f>PRODUCT(AD18:AH18)</f>
        <v>73710</v>
      </c>
      <c r="AJ18" s="50">
        <f>AI18/$U$28</f>
        <v>2.5627279023388935E-5</v>
      </c>
      <c r="AK18" s="46">
        <f t="shared" ref="AK18:AK35" si="7">1/AJ18</f>
        <v>39020.919820919822</v>
      </c>
      <c r="AL18" s="46">
        <f>IFERROR(INDEX(Summary!$C$4:$E$9, MATCH($AB18, Summary!$B$4:$B$9, 0), MATCH($AC18, Summary!$C$3:$E$3, 0)), 0)</f>
        <v>1000</v>
      </c>
      <c r="AM18" s="73">
        <f>SUM(AJ18*AL18,AJ19*AL19,AJ20*AL20)</f>
        <v>0.11120486803568003</v>
      </c>
      <c r="AN18" s="73">
        <v>4.4904242116968501E-2</v>
      </c>
      <c r="AO18" s="72">
        <f>AM18-AN18</f>
        <v>6.6300625918711525E-2</v>
      </c>
      <c r="AR18" s="46">
        <v>5</v>
      </c>
      <c r="AS18" s="46">
        <v>1</v>
      </c>
      <c r="AT18" s="46">
        <v>1</v>
      </c>
      <c r="AU18" s="46">
        <v>1</v>
      </c>
      <c r="AV18" s="46">
        <v>1</v>
      </c>
      <c r="AW18" s="46">
        <v>1</v>
      </c>
    </row>
    <row r="19" spans="1:49" x14ac:dyDescent="0.3">
      <c r="A19" t="str">
        <v>P5</v>
      </c>
      <c r="B19" t="str">
        <v>P5</v>
      </c>
      <c r="C19" t="str">
        <v>P3</v>
      </c>
      <c r="D19" t="str">
        <v>P5</v>
      </c>
      <c r="E19" t="str">
        <v>P6</v>
      </c>
      <c r="H19" t="str" cm="1">
        <f t="array" aca="1" ref="H19" ca="1">IF(ROW(A19)-H$15 &lt; H$14,A19,IF(ROW(A19) - H$15 -H$16 + 1 &lt; H$14,INDIRECT(ADDRESS(MOD(ROW(A19) - H$15, H$14) + H$15, COLUMN(A19))),""))</f>
        <v>P5</v>
      </c>
      <c r="I19" t="str" cm="1">
        <f t="array" aca="1" ref="I19" ca="1">IF(ROW(B19)-I$15 &lt; I$14,B19,IF(ROW(B19) - I$15 -I$16 + 1 &lt; I$14,INDIRECT(ADDRESS(MOD(ROW(B19) - I$15, I$14) + I$15, COLUMN(B19))),""))</f>
        <v>P5</v>
      </c>
      <c r="J19" t="str" cm="1">
        <f t="array" aca="1" ref="J19" ca="1">IF(ROW(C19)-J$15 &lt; J$14,C19,IF(ROW(C19) - J$15 -J$16 + 1 &lt; J$14,INDIRECT(ADDRESS(MOD(ROW(C19) - J$15, J$14) + J$15, COLUMN(C19))),""))</f>
        <v>P3</v>
      </c>
      <c r="K19" t="str" cm="1">
        <f t="array" aca="1" ref="K19" ca="1">IF(ROW(D19)-K$15 &lt; K$14,D19,IF(ROW(D19) - K$15 -K$16 + 1 &lt; K$14,INDIRECT(ADDRESS(MOD(ROW(D19) - K$15, K$14) + K$15, COLUMN(D19))),""))</f>
        <v>P5</v>
      </c>
      <c r="L19" t="str" cm="1">
        <f t="array" aca="1" ref="L19" ca="1">IF(ROW(E19)-L$15 &lt; L$14,E19,IF(ROW(E19) - L$15 -L$16 + 1 &lt; L$14,INDIRECT(ADDRESS(MOD(ROW(E19) - L$15, L$14) + L$15, COLUMN(E19))),""))</f>
        <v>P6</v>
      </c>
      <c r="N19" cm="1">
        <f t="array" aca="1" ref="N19" ca="1">IF(H19&lt;&gt;"", SUMPRODUCT((OFFSET(H19,0,0,H$16,1)=$T$24) +0),"")</f>
        <v>0</v>
      </c>
      <c r="O19" cm="1">
        <f t="array" aca="1" ref="O19" ca="1">IF(I19&lt;&gt;"", SUMPRODUCT((OFFSET(I19,0,0,I$16,1)=$T$24) +0),"")</f>
        <v>0</v>
      </c>
      <c r="P19" cm="1">
        <f t="array" aca="1" ref="P19" ca="1">IF(J19&lt;&gt;"", SUMPRODUCT((OFFSET(J19,0,0,J$16,1)=$T$24) +0),"")</f>
        <v>1</v>
      </c>
      <c r="Q19" cm="1">
        <f t="array" aca="1" ref="Q19" ca="1">IF(K19&lt;&gt;"", SUMPRODUCT((OFFSET(K19,0,0,K$16,1)=$T$24) +0),"")</f>
        <v>0</v>
      </c>
      <c r="R19" cm="1">
        <f t="array" aca="1" ref="R19" ca="1">IF(L19&lt;&gt;"", SUMPRODUCT((OFFSET(L19,0,0,L$16,1)=$T$24) +0),"")</f>
        <v>0</v>
      </c>
      <c r="T19" s="5" t="str">
        <f>Summary!B5</f>
        <v>P2</v>
      </c>
      <c r="U19" s="46">
        <f t="shared" si="4"/>
        <v>8</v>
      </c>
      <c r="V19" s="46">
        <f t="shared" si="4"/>
        <v>10</v>
      </c>
      <c r="W19" s="46">
        <f t="shared" si="4"/>
        <v>8</v>
      </c>
      <c r="X19" s="46">
        <f t="shared" si="4"/>
        <v>9</v>
      </c>
      <c r="Y19" s="65">
        <f t="shared" si="4"/>
        <v>8</v>
      </c>
      <c r="Z19" s="106"/>
      <c r="AB19" s="46" t="str">
        <f>T18</f>
        <v>P1</v>
      </c>
      <c r="AC19" s="46">
        <v>4</v>
      </c>
      <c r="AD19" s="46">
        <f t="shared" ref="AD19:AH35" si="8">IF(_xlfn.XLOOKUP($AC19,$AR$18:$AR$22,AS$18:AS$22)=1, _xlfn.XLOOKUP($AB19,$T$18:$T$26,U$18:U$26)+U$25, IF(_xlfn.XLOOKUP($AC19,$AR$18:$AR$22,AS$18:AS$22)=0, U$27-(_xlfn.XLOOKUP($AB19,$T$18:$T$26,U$18:U$26)+U$25), U$27))</f>
        <v>7</v>
      </c>
      <c r="AE19" s="46">
        <f t="shared" si="6"/>
        <v>9</v>
      </c>
      <c r="AF19" s="46">
        <f t="shared" si="6"/>
        <v>10</v>
      </c>
      <c r="AG19" s="46">
        <f t="shared" si="6"/>
        <v>9</v>
      </c>
      <c r="AH19" s="46">
        <f t="shared" si="6"/>
        <v>69</v>
      </c>
      <c r="AI19" s="46">
        <f t="shared" ref="AI19:AI35" si="9">PRODUCT(AD19:AH19)</f>
        <v>391230</v>
      </c>
      <c r="AJ19" s="50">
        <f t="shared" ref="AJ19:AJ35" si="10">AI19/$U$28</f>
        <v>1.3602171173952588E-4</v>
      </c>
      <c r="AK19" s="46">
        <f t="shared" si="7"/>
        <v>7351.76750249214</v>
      </c>
      <c r="AL19" s="46">
        <f>IFERROR(INDEX(Summary!$C$4:$E$9, MATCH($AB19, Summary!$B$4:$B$9, 0), MATCH($AC19, Summary!$C$3:$E$3, 0)), 0)</f>
        <v>200</v>
      </c>
      <c r="AM19" s="74"/>
      <c r="AN19" s="74"/>
      <c r="AO19" s="70"/>
      <c r="AR19" s="46">
        <v>4</v>
      </c>
      <c r="AS19" s="46">
        <v>1</v>
      </c>
      <c r="AT19" s="46">
        <v>1</v>
      </c>
      <c r="AU19" s="46">
        <v>1</v>
      </c>
      <c r="AV19" s="46">
        <v>1</v>
      </c>
      <c r="AW19" s="46">
        <v>0</v>
      </c>
    </row>
    <row r="20" spans="1:49" x14ac:dyDescent="0.3">
      <c r="A20" t="str">
        <v>SCAT</v>
      </c>
      <c r="B20" t="str">
        <v>P4</v>
      </c>
      <c r="C20" t="str">
        <v>CP</v>
      </c>
      <c r="D20" t="str">
        <v>P4</v>
      </c>
      <c r="E20" t="str">
        <v>P5</v>
      </c>
      <c r="H20" t="str" cm="1">
        <f t="array" aca="1" ref="H20" ca="1">IF(ROW(A20)-H$15 &lt; H$14,A20,IF(ROW(A20) - H$15 -H$16 + 1 &lt; H$14,INDIRECT(ADDRESS(MOD(ROW(A20) - H$15, H$14) + H$15, COLUMN(A20))),""))</f>
        <v>SCAT</v>
      </c>
      <c r="I20" t="str" cm="1">
        <f t="array" aca="1" ref="I20" ca="1">IF(ROW(B20)-I$15 &lt; I$14,B20,IF(ROW(B20) - I$15 -I$16 + 1 &lt; I$14,INDIRECT(ADDRESS(MOD(ROW(B20) - I$15, I$14) + I$15, COLUMN(B20))),""))</f>
        <v>P4</v>
      </c>
      <c r="J20" t="str" cm="1">
        <f t="array" aca="1" ref="J20" ca="1">IF(ROW(C20)-J$15 &lt; J$14,C20,IF(ROW(C20) - J$15 -J$16 + 1 &lt; J$14,INDIRECT(ADDRESS(MOD(ROW(C20) - J$15, J$14) + J$15, COLUMN(C20))),""))</f>
        <v>CP</v>
      </c>
      <c r="K20" t="str" cm="1">
        <f t="array" aca="1" ref="K20" ca="1">IF(ROW(D20)-K$15 &lt; K$14,D20,IF(ROW(D20) - K$15 -K$16 + 1 &lt; K$14,INDIRECT(ADDRESS(MOD(ROW(D20) - K$15, K$14) + K$15, COLUMN(D20))),""))</f>
        <v>P4</v>
      </c>
      <c r="L20" t="str" cm="1">
        <f t="array" aca="1" ref="L20" ca="1">IF(ROW(E20)-L$15 &lt; L$14,E20,IF(ROW(E20) - L$15 -L$16 + 1 &lt; L$14,INDIRECT(ADDRESS(MOD(ROW(E20) - L$15, L$14) + L$15, COLUMN(E20))),""))</f>
        <v>P5</v>
      </c>
      <c r="N20" cm="1">
        <f t="array" aca="1" ref="N20" ca="1">IF(H20&lt;&gt;"", SUMPRODUCT((OFFSET(H20,0,0,H$16,1)=$T$24) +0),"")</f>
        <v>0</v>
      </c>
      <c r="O20" cm="1">
        <f t="array" aca="1" ref="O20" ca="1">IF(I20&lt;&gt;"", SUMPRODUCT((OFFSET(I20,0,0,I$16,1)=$T$24) +0),"")</f>
        <v>0</v>
      </c>
      <c r="P20" cm="1">
        <f t="array" aca="1" ref="P20" ca="1">IF(J20&lt;&gt;"", SUMPRODUCT((OFFSET(J20,0,0,J$16,1)=$T$24) +0),"")</f>
        <v>1</v>
      </c>
      <c r="Q20" cm="1">
        <f t="array" aca="1" ref="Q20" ca="1">IF(K20&lt;&gt;"", SUMPRODUCT((OFFSET(K20,0,0,K$16,1)=$T$24) +0),"")</f>
        <v>0</v>
      </c>
      <c r="R20" cm="1">
        <f t="array" aca="1" ref="R20" ca="1">IF(L20&lt;&gt;"", SUMPRODUCT((OFFSET(L20,0,0,L$16,1)=$T$24) +0),"")</f>
        <v>0</v>
      </c>
      <c r="T20" s="5" t="str">
        <f>Summary!B6</f>
        <v>P3</v>
      </c>
      <c r="U20" s="46">
        <f t="shared" si="4"/>
        <v>8</v>
      </c>
      <c r="V20" s="46">
        <f t="shared" si="4"/>
        <v>13</v>
      </c>
      <c r="W20" s="46">
        <f t="shared" si="4"/>
        <v>10</v>
      </c>
      <c r="X20" s="46">
        <f t="shared" si="4"/>
        <v>13</v>
      </c>
      <c r="Y20" s="65">
        <f t="shared" si="4"/>
        <v>10</v>
      </c>
      <c r="Z20" s="106"/>
      <c r="AB20" s="46" t="str">
        <f>T18</f>
        <v>P1</v>
      </c>
      <c r="AC20" s="46">
        <v>3</v>
      </c>
      <c r="AD20" s="46">
        <f t="shared" si="8"/>
        <v>7</v>
      </c>
      <c r="AE20" s="46">
        <f t="shared" si="6"/>
        <v>9</v>
      </c>
      <c r="AF20" s="46">
        <f t="shared" si="6"/>
        <v>10</v>
      </c>
      <c r="AG20" s="46">
        <f t="shared" si="6"/>
        <v>65</v>
      </c>
      <c r="AH20" s="46">
        <f t="shared" si="6"/>
        <v>82</v>
      </c>
      <c r="AI20" s="46">
        <f t="shared" si="9"/>
        <v>3357900</v>
      </c>
      <c r="AJ20" s="50">
        <f t="shared" si="10"/>
        <v>1.1674649332877182E-3</v>
      </c>
      <c r="AK20" s="46">
        <f t="shared" si="7"/>
        <v>856.55677655677653</v>
      </c>
      <c r="AL20" s="46">
        <f>IFERROR(INDEX(Summary!$C$4:$E$9, MATCH($AB20, Summary!$B$4:$B$9, 0), MATCH($AC20, Summary!$C$3:$E$3, 0)), 0)</f>
        <v>50</v>
      </c>
      <c r="AM20" s="75"/>
      <c r="AN20" s="75"/>
      <c r="AO20" s="71"/>
      <c r="AR20" s="46">
        <v>3</v>
      </c>
      <c r="AS20" s="46">
        <v>1</v>
      </c>
      <c r="AT20" s="46">
        <v>1</v>
      </c>
      <c r="AU20" s="46">
        <v>1</v>
      </c>
      <c r="AV20" s="46">
        <v>0</v>
      </c>
      <c r="AW20" s="46">
        <v>-1</v>
      </c>
    </row>
    <row r="21" spans="1:49" x14ac:dyDescent="0.3">
      <c r="A21" t="str">
        <v>P6</v>
      </c>
      <c r="B21" t="str">
        <v>P1</v>
      </c>
      <c r="C21" t="str">
        <v>P6</v>
      </c>
      <c r="D21" t="str">
        <v>WILD</v>
      </c>
      <c r="E21" t="str">
        <v>P3</v>
      </c>
      <c r="H21" t="str" cm="1">
        <f t="array" aca="1" ref="H21" ca="1">IF(ROW(A21)-H$15 &lt; H$14,A21,IF(ROW(A21) - H$15 -H$16 + 1 &lt; H$14,INDIRECT(ADDRESS(MOD(ROW(A21) - H$15, H$14) + H$15, COLUMN(A21))),""))</f>
        <v>P6</v>
      </c>
      <c r="I21" t="str" cm="1">
        <f t="array" aca="1" ref="I21" ca="1">IF(ROW(B21)-I$15 &lt; I$14,B21,IF(ROW(B21) - I$15 -I$16 + 1 &lt; I$14,INDIRECT(ADDRESS(MOD(ROW(B21) - I$15, I$14) + I$15, COLUMN(B21))),""))</f>
        <v>P1</v>
      </c>
      <c r="J21" t="str" cm="1">
        <f t="array" aca="1" ref="J21" ca="1">IF(ROW(C21)-J$15 &lt; J$14,C21,IF(ROW(C21) - J$15 -J$16 + 1 &lt; J$14,INDIRECT(ADDRESS(MOD(ROW(C21) - J$15, J$14) + J$15, COLUMN(C21))),""))</f>
        <v>P6</v>
      </c>
      <c r="K21" t="str" cm="1">
        <f t="array" aca="1" ref="K21" ca="1">IF(ROW(D21)-K$15 &lt; K$14,D21,IF(ROW(D21) - K$15 -K$16 + 1 &lt; K$14,INDIRECT(ADDRESS(MOD(ROW(D21) - K$15, K$14) + K$15, COLUMN(D21))),""))</f>
        <v>WILD</v>
      </c>
      <c r="L21" t="str" cm="1">
        <f t="array" aca="1" ref="L21" ca="1">IF(ROW(E21)-L$15 &lt; L$14,E21,IF(ROW(E21) - L$15 -L$16 + 1 &lt; L$14,INDIRECT(ADDRESS(MOD(ROW(E21) - L$15, L$14) + L$15, COLUMN(E21))),""))</f>
        <v>P3</v>
      </c>
      <c r="N21" cm="1">
        <f t="array" aca="1" ref="N21" ca="1">IF(H21&lt;&gt;"", SUMPRODUCT((OFFSET(H21,0,0,H$16,1)=$T$24) +0),"")</f>
        <v>0</v>
      </c>
      <c r="O21" cm="1">
        <f t="array" aca="1" ref="O21" ca="1">IF(I21&lt;&gt;"", SUMPRODUCT((OFFSET(I21,0,0,I$16,1)=$T$24) +0),"")</f>
        <v>0</v>
      </c>
      <c r="P21" cm="1">
        <f t="array" aca="1" ref="P21" ca="1">IF(J21&lt;&gt;"", SUMPRODUCT((OFFSET(J21,0,0,J$16,1)=$T$24) +0),"")</f>
        <v>0</v>
      </c>
      <c r="Q21" cm="1">
        <f t="array" aca="1" ref="Q21" ca="1">IF(K21&lt;&gt;"", SUMPRODUCT((OFFSET(K21,0,0,K$16,1)=$T$24) +0),"")</f>
        <v>0</v>
      </c>
      <c r="R21" cm="1">
        <f t="array" aca="1" ref="R21" ca="1">IF(L21&lt;&gt;"", SUMPRODUCT((OFFSET(L21,0,0,L$16,1)=$T$24) +0),"")</f>
        <v>1</v>
      </c>
      <c r="T21" s="5" t="str">
        <f>Summary!B7</f>
        <v>P4</v>
      </c>
      <c r="U21" s="46">
        <f t="shared" si="4"/>
        <v>13</v>
      </c>
      <c r="V21" s="46">
        <f t="shared" si="4"/>
        <v>14</v>
      </c>
      <c r="W21" s="46">
        <f t="shared" si="4"/>
        <v>12</v>
      </c>
      <c r="X21" s="46">
        <f t="shared" si="4"/>
        <v>14</v>
      </c>
      <c r="Y21" s="65">
        <f t="shared" si="4"/>
        <v>12</v>
      </c>
      <c r="Z21" s="106"/>
      <c r="AB21" s="46" t="str">
        <f>T19</f>
        <v>P2</v>
      </c>
      <c r="AC21" s="46">
        <v>5</v>
      </c>
      <c r="AD21" s="46">
        <f t="shared" si="8"/>
        <v>8</v>
      </c>
      <c r="AE21" s="46">
        <f t="shared" si="6"/>
        <v>12</v>
      </c>
      <c r="AF21" s="46">
        <f t="shared" si="6"/>
        <v>11</v>
      </c>
      <c r="AG21" s="46">
        <f t="shared" si="6"/>
        <v>12</v>
      </c>
      <c r="AH21" s="46">
        <f t="shared" si="6"/>
        <v>13</v>
      </c>
      <c r="AI21" s="46">
        <f t="shared" si="9"/>
        <v>164736</v>
      </c>
      <c r="AJ21" s="50">
        <f t="shared" si="10"/>
        <v>5.7274934706240665E-5</v>
      </c>
      <c r="AK21" s="46">
        <f t="shared" si="7"/>
        <v>17459.644522144521</v>
      </c>
      <c r="AL21" s="46">
        <f>IFERROR(INDEX(Summary!$C$4:$E$9, MATCH($AB21, Summary!$B$4:$B$9, 0), MATCH($AC21, Summary!$C$3:$E$3, 0)), 0)</f>
        <v>500</v>
      </c>
      <c r="AM21" s="82">
        <f t="shared" ref="AM21" si="11">SUM(AJ21*AL21,AJ22*AL22,AJ23*AL23)</f>
        <v>9.6368749113423385E-2</v>
      </c>
      <c r="AN21" s="69">
        <v>9.2205118820475301E-2</v>
      </c>
      <c r="AO21" s="69">
        <v>1.0467551799999999</v>
      </c>
    </row>
    <row r="22" spans="1:49" x14ac:dyDescent="0.3">
      <c r="A22" t="str">
        <v>P3</v>
      </c>
      <c r="B22" t="str">
        <v>P3</v>
      </c>
      <c r="C22" t="str">
        <v>SCAT</v>
      </c>
      <c r="D22" t="str">
        <v>P3</v>
      </c>
      <c r="E22" t="str">
        <v>WILD</v>
      </c>
      <c r="H22" t="str" cm="1">
        <f t="array" aca="1" ref="H22" ca="1">IF(ROW(A22)-H$15 &lt; H$14,A22,IF(ROW(A22) - H$15 -H$16 + 1 &lt; H$14,INDIRECT(ADDRESS(MOD(ROW(A22) - H$15, H$14) + H$15, COLUMN(A22))),""))</f>
        <v>P3</v>
      </c>
      <c r="I22" t="str" cm="1">
        <f t="array" aca="1" ref="I22" ca="1">IF(ROW(B22)-I$15 &lt; I$14,B22,IF(ROW(B22) - I$15 -I$16 + 1 &lt; I$14,INDIRECT(ADDRESS(MOD(ROW(B22) - I$15, I$14) + I$15, COLUMN(B22))),""))</f>
        <v>P3</v>
      </c>
      <c r="J22" t="str" cm="1">
        <f t="array" aca="1" ref="J22" ca="1">IF(ROW(C22)-J$15 &lt; J$14,C22,IF(ROW(C22) - J$15 -J$16 + 1 &lt; J$14,INDIRECT(ADDRESS(MOD(ROW(C22) - J$15, J$14) + J$15, COLUMN(C22))),""))</f>
        <v>SCAT</v>
      </c>
      <c r="K22" t="str" cm="1">
        <f t="array" aca="1" ref="K22" ca="1">IF(ROW(D22)-K$15 &lt; K$14,D22,IF(ROW(D22) - K$15 -K$16 + 1 &lt; K$14,INDIRECT(ADDRESS(MOD(ROW(D22) - K$15, K$14) + K$15, COLUMN(D22))),""))</f>
        <v>P3</v>
      </c>
      <c r="L22" t="str" cm="1">
        <f t="array" aca="1" ref="L22" ca="1">IF(ROW(E22)-L$15 &lt; L$14,E22,IF(ROW(E22) - L$15 -L$16 + 1 &lt; L$14,INDIRECT(ADDRESS(MOD(ROW(E22) - L$15, L$14) + L$15, COLUMN(E22))),""))</f>
        <v>WILD</v>
      </c>
      <c r="N22" cm="1">
        <f t="array" aca="1" ref="N22" ca="1">IF(H22&lt;&gt;"", SUMPRODUCT((OFFSET(H22,0,0,H$16,1)=$T$24) +0),"")</f>
        <v>0</v>
      </c>
      <c r="O22" cm="1">
        <f t="array" aca="1" ref="O22" ca="1">IF(I22&lt;&gt;"", SUMPRODUCT((OFFSET(I22,0,0,I$16,1)=$T$24) +0),"")</f>
        <v>0</v>
      </c>
      <c r="P22" cm="1">
        <f t="array" aca="1" ref="P22" ca="1">IF(J22&lt;&gt;"", SUMPRODUCT((OFFSET(J22,0,0,J$16,1)=$T$24) +0),"")</f>
        <v>0</v>
      </c>
      <c r="Q22" cm="1">
        <f t="array" aca="1" ref="Q22" ca="1">IF(K22&lt;&gt;"", SUMPRODUCT((OFFSET(K22,0,0,K$16,1)=$T$24) +0),"")</f>
        <v>0</v>
      </c>
      <c r="R22" cm="1">
        <f t="array" aca="1" ref="R22" ca="1">IF(L22&lt;&gt;"", SUMPRODUCT((OFFSET(L22,0,0,L$16,1)=$T$24) +0),"")</f>
        <v>1</v>
      </c>
      <c r="T22" s="5" t="str">
        <f>Summary!B8</f>
        <v>P5</v>
      </c>
      <c r="U22" s="46">
        <f t="shared" si="4"/>
        <v>16</v>
      </c>
      <c r="V22" s="46">
        <f t="shared" si="4"/>
        <v>13</v>
      </c>
      <c r="W22" s="46">
        <f t="shared" si="4"/>
        <v>13</v>
      </c>
      <c r="X22" s="46">
        <f t="shared" si="4"/>
        <v>13</v>
      </c>
      <c r="Y22" s="65">
        <f t="shared" si="4"/>
        <v>13</v>
      </c>
      <c r="Z22" s="106"/>
      <c r="AB22" s="46" t="str">
        <f>T19</f>
        <v>P2</v>
      </c>
      <c r="AC22" s="46">
        <v>4</v>
      </c>
      <c r="AD22" s="46">
        <f t="shared" si="8"/>
        <v>8</v>
      </c>
      <c r="AE22" s="46">
        <f t="shared" si="6"/>
        <v>12</v>
      </c>
      <c r="AF22" s="46">
        <f t="shared" si="6"/>
        <v>11</v>
      </c>
      <c r="AG22" s="46">
        <f t="shared" si="6"/>
        <v>12</v>
      </c>
      <c r="AH22" s="46">
        <f t="shared" si="6"/>
        <v>69</v>
      </c>
      <c r="AI22" s="46">
        <f t="shared" si="9"/>
        <v>874368</v>
      </c>
      <c r="AJ22" s="50">
        <f t="shared" si="10"/>
        <v>3.0399773036389276E-4</v>
      </c>
      <c r="AK22" s="46">
        <f t="shared" si="7"/>
        <v>3289.4982433025912</v>
      </c>
      <c r="AL22" s="46">
        <f>IFERROR(INDEX(Summary!$C$4:$E$9, MATCH($AB22, Summary!$B$4:$B$9, 0), MATCH($AC22, Summary!$C$3:$E$3, 0)), 0)</f>
        <v>100</v>
      </c>
      <c r="AM22" s="83"/>
      <c r="AN22" s="70"/>
      <c r="AO22" s="70"/>
    </row>
    <row r="23" spans="1:49" x14ac:dyDescent="0.3">
      <c r="A23" t="str">
        <v>P1</v>
      </c>
      <c r="B23" t="str">
        <v>P6</v>
      </c>
      <c r="C23" t="str">
        <v>P6</v>
      </c>
      <c r="D23" t="str">
        <v>P3</v>
      </c>
      <c r="E23" t="str">
        <v>CP</v>
      </c>
      <c r="H23" t="str" cm="1">
        <f t="array" aca="1" ref="H23" ca="1">IF(ROW(A23)-H$15 &lt; H$14,A23,IF(ROW(A23) - H$15 -H$16 + 1 &lt; H$14,INDIRECT(ADDRESS(MOD(ROW(A23) - H$15, H$14) + H$15, COLUMN(A23))),""))</f>
        <v>P1</v>
      </c>
      <c r="I23" t="str" cm="1">
        <f t="array" aca="1" ref="I23" ca="1">IF(ROW(B23)-I$15 &lt; I$14,B23,IF(ROW(B23) - I$15 -I$16 + 1 &lt; I$14,INDIRECT(ADDRESS(MOD(ROW(B23) - I$15, I$14) + I$15, COLUMN(B23))),""))</f>
        <v>P6</v>
      </c>
      <c r="J23" t="str" cm="1">
        <f t="array" aca="1" ref="J23" ca="1">IF(ROW(C23)-J$15 &lt; J$14,C23,IF(ROW(C23) - J$15 -J$16 + 1 &lt; J$14,INDIRECT(ADDRESS(MOD(ROW(C23) - J$15, J$14) + J$15, COLUMN(C23))),""))</f>
        <v>P6</v>
      </c>
      <c r="K23" t="str" cm="1">
        <f t="array" aca="1" ref="K23" ca="1">IF(ROW(D23)-K$15 &lt; K$14,D23,IF(ROW(D23) - K$15 -K$16 + 1 &lt; K$14,INDIRECT(ADDRESS(MOD(ROW(D23) - K$15, K$14) + K$15, COLUMN(D23))),""))</f>
        <v>P3</v>
      </c>
      <c r="L23" t="str" cm="1">
        <f t="array" aca="1" ref="L23" ca="1">IF(ROW(E23)-L$15 &lt; L$14,E23,IF(ROW(E23) - L$15 -L$16 + 1 &lt; L$14,INDIRECT(ADDRESS(MOD(ROW(E23) - L$15, L$14) + L$15, COLUMN(E23))),""))</f>
        <v>CP</v>
      </c>
      <c r="N23" cm="1">
        <f t="array" aca="1" ref="N23" ca="1">IF(H23&lt;&gt;"", SUMPRODUCT((OFFSET(H23,0,0,H$16,1)=$T$24) +0),"")</f>
        <v>0</v>
      </c>
      <c r="O23" cm="1">
        <f t="array" aca="1" ref="O23" ca="1">IF(I23&lt;&gt;"", SUMPRODUCT((OFFSET(I23,0,0,I$16,1)=$T$24) +0),"")</f>
        <v>0</v>
      </c>
      <c r="P23" cm="1">
        <f t="array" aca="1" ref="P23" ca="1">IF(J23&lt;&gt;"", SUMPRODUCT((OFFSET(J23,0,0,J$16,1)=$T$24) +0),"")</f>
        <v>0</v>
      </c>
      <c r="Q23" cm="1">
        <f t="array" aca="1" ref="Q23" ca="1">IF(K23&lt;&gt;"", SUMPRODUCT((OFFSET(K23,0,0,K$16,1)=$T$24) +0),"")</f>
        <v>0</v>
      </c>
      <c r="R23" cm="1">
        <f t="array" aca="1" ref="R23" ca="1">IF(L23&lt;&gt;"", SUMPRODUCT((OFFSET(L23,0,0,L$16,1)=$T$24) +0),"")</f>
        <v>1</v>
      </c>
      <c r="T23" s="5" t="str">
        <f>Summary!B9</f>
        <v>P6</v>
      </c>
      <c r="U23" s="46">
        <f t="shared" si="4"/>
        <v>15</v>
      </c>
      <c r="V23" s="46">
        <f t="shared" si="4"/>
        <v>13</v>
      </c>
      <c r="W23" s="46">
        <f t="shared" si="4"/>
        <v>16</v>
      </c>
      <c r="X23" s="46">
        <f t="shared" si="4"/>
        <v>12</v>
      </c>
      <c r="Y23" s="65">
        <f t="shared" si="4"/>
        <v>12</v>
      </c>
      <c r="Z23" s="106"/>
      <c r="AB23" s="46" t="str">
        <f>T19</f>
        <v>P2</v>
      </c>
      <c r="AC23" s="46">
        <v>3</v>
      </c>
      <c r="AD23" s="46">
        <f t="shared" si="8"/>
        <v>8</v>
      </c>
      <c r="AE23" s="46">
        <f t="shared" si="6"/>
        <v>12</v>
      </c>
      <c r="AF23" s="46">
        <f t="shared" si="6"/>
        <v>11</v>
      </c>
      <c r="AG23" s="46">
        <f t="shared" si="6"/>
        <v>62</v>
      </c>
      <c r="AH23" s="46">
        <f t="shared" si="6"/>
        <v>82</v>
      </c>
      <c r="AI23" s="46">
        <f t="shared" si="9"/>
        <v>5368704</v>
      </c>
      <c r="AJ23" s="50">
        <f t="shared" si="10"/>
        <v>1.8665754361956893E-3</v>
      </c>
      <c r="AK23" s="46">
        <f t="shared" si="7"/>
        <v>535.74046920821115</v>
      </c>
      <c r="AL23" s="46">
        <f>IFERROR(INDEX(Summary!$C$4:$E$9, MATCH($AB23, Summary!$B$4:$B$9, 0), MATCH($AC23, Summary!$C$3:$E$3, 0)), 0)</f>
        <v>20</v>
      </c>
      <c r="AM23" s="84"/>
      <c r="AN23" s="71"/>
      <c r="AO23" s="71"/>
    </row>
    <row r="24" spans="1:49" x14ac:dyDescent="0.3">
      <c r="A24" t="str">
        <v>SCAT</v>
      </c>
      <c r="B24" t="str">
        <v>P6</v>
      </c>
      <c r="C24" t="str">
        <v>P3</v>
      </c>
      <c r="D24" t="str">
        <v>P6</v>
      </c>
      <c r="E24" t="str">
        <v>P6</v>
      </c>
      <c r="H24" t="str" cm="1">
        <f t="array" aca="1" ref="H24" ca="1">IF(ROW(A24)-H$15 &lt; H$14,A24,IF(ROW(A24) - H$15 -H$16 + 1 &lt; H$14,INDIRECT(ADDRESS(MOD(ROW(A24) - H$15, H$14) + H$15, COLUMN(A24))),""))</f>
        <v>SCAT</v>
      </c>
      <c r="I24" t="str" cm="1">
        <f t="array" aca="1" ref="I24" ca="1">IF(ROW(B24)-I$15 &lt; I$14,B24,IF(ROW(B24) - I$15 -I$16 + 1 &lt; I$14,INDIRECT(ADDRESS(MOD(ROW(B24) - I$15, I$14) + I$15, COLUMN(B24))),""))</f>
        <v>P6</v>
      </c>
      <c r="J24" t="str" cm="1">
        <f t="array" aca="1" ref="J24" ca="1">IF(ROW(C24)-J$15 &lt; J$14,C24,IF(ROW(C24) - J$15 -J$16 + 1 &lt; J$14,INDIRECT(ADDRESS(MOD(ROW(C24) - J$15, J$14) + J$15, COLUMN(C24))),""))</f>
        <v>P3</v>
      </c>
      <c r="K24" t="str" cm="1">
        <f t="array" aca="1" ref="K24" ca="1">IF(ROW(D24)-K$15 &lt; K$14,D24,IF(ROW(D24) - K$15 -K$16 + 1 &lt; K$14,INDIRECT(ADDRESS(MOD(ROW(D24) - K$15, K$14) + K$15, COLUMN(D24))),""))</f>
        <v>P6</v>
      </c>
      <c r="L24" t="str" cm="1">
        <f t="array" aca="1" ref="L24" ca="1">IF(ROW(E24)-L$15 &lt; L$14,E24,IF(ROW(E24) - L$15 -L$16 + 1 &lt; L$14,INDIRECT(ADDRESS(MOD(ROW(E24) - L$15, L$14) + L$15, COLUMN(E24))),""))</f>
        <v>P6</v>
      </c>
      <c r="N24" cm="1">
        <f t="array" aca="1" ref="N24" ca="1">IF(H24&lt;&gt;"", SUMPRODUCT((OFFSET(H24,0,0,H$16,1)=$T$24) +0),"")</f>
        <v>0</v>
      </c>
      <c r="O24" cm="1">
        <f t="array" aca="1" ref="O24" ca="1">IF(I24&lt;&gt;"", SUMPRODUCT((OFFSET(I24,0,0,I$16,1)=$T$24) +0),"")</f>
        <v>0</v>
      </c>
      <c r="P24" cm="1">
        <f t="array" aca="1" ref="P24" ca="1">IF(J24&lt;&gt;"", SUMPRODUCT((OFFSET(J24,0,0,J$16,1)=$T$24) +0),"")</f>
        <v>0</v>
      </c>
      <c r="Q24" cm="1">
        <f t="array" aca="1" ref="Q24" ca="1">IF(K24&lt;&gt;"", SUMPRODUCT((OFFSET(K24,0,0,K$16,1)=$T$24) +0),"")</f>
        <v>0</v>
      </c>
      <c r="R24" cm="1">
        <f t="array" aca="1" ref="R24" ca="1">IF(L24&lt;&gt;"", SUMPRODUCT((OFFSET(L24,0,0,L$16,1)=$T$24) +0),"")</f>
        <v>0</v>
      </c>
      <c r="T24" s="5" t="str">
        <f>Summary!B10</f>
        <v>CP</v>
      </c>
      <c r="U24" s="46">
        <f t="shared" si="4"/>
        <v>4</v>
      </c>
      <c r="V24" s="46">
        <f t="shared" si="4"/>
        <v>3</v>
      </c>
      <c r="W24" s="46">
        <f t="shared" si="4"/>
        <v>3</v>
      </c>
      <c r="X24" s="46">
        <f t="shared" si="4"/>
        <v>4</v>
      </c>
      <c r="Y24" s="65">
        <f t="shared" si="4"/>
        <v>6</v>
      </c>
      <c r="Z24" s="106"/>
      <c r="AB24" s="46" t="str">
        <f>T20</f>
        <v>P3</v>
      </c>
      <c r="AC24" s="46">
        <v>5</v>
      </c>
      <c r="AD24" s="46">
        <f t="shared" si="8"/>
        <v>8</v>
      </c>
      <c r="AE24" s="46">
        <f t="shared" si="6"/>
        <v>15</v>
      </c>
      <c r="AF24" s="46">
        <f t="shared" si="6"/>
        <v>13</v>
      </c>
      <c r="AG24" s="46">
        <f t="shared" si="6"/>
        <v>16</v>
      </c>
      <c r="AH24" s="46">
        <f t="shared" si="6"/>
        <v>15</v>
      </c>
      <c r="AI24" s="46">
        <f t="shared" si="9"/>
        <v>374400</v>
      </c>
      <c r="AJ24" s="50">
        <f t="shared" si="10"/>
        <v>1.3017030615054695E-4</v>
      </c>
      <c r="AK24" s="46">
        <f t="shared" si="7"/>
        <v>7682.2435897435907</v>
      </c>
      <c r="AL24" s="46">
        <f>IFERROR(INDEX(Summary!$C$4:$E$9, MATCH($AB24, Summary!$B$4:$B$9, 0), MATCH($AC24, Summary!$C$3:$E$3, 0)), 0)</f>
        <v>250</v>
      </c>
      <c r="AM24" s="82">
        <f t="shared" ref="AM24" si="12">SUM(AJ24*AL24,AJ25*AL25,AJ26*AL26)</f>
        <v>8.7409360580092285E-2</v>
      </c>
      <c r="AN24" s="69">
        <v>2.36712E-2</v>
      </c>
      <c r="AO24" s="69">
        <v>1.0236711999999999</v>
      </c>
    </row>
    <row r="25" spans="1:49" x14ac:dyDescent="0.3">
      <c r="A25" t="str">
        <v>P4</v>
      </c>
      <c r="B25" t="str">
        <v>P5</v>
      </c>
      <c r="C25" t="str">
        <v>WILD</v>
      </c>
      <c r="D25" t="str">
        <v>WILD</v>
      </c>
      <c r="E25" t="str">
        <v>P3</v>
      </c>
      <c r="H25" t="str" cm="1">
        <f t="array" aca="1" ref="H25" ca="1">IF(ROW(A25)-H$15 &lt; H$14,A25,IF(ROW(A25) - H$15 -H$16 + 1 &lt; H$14,INDIRECT(ADDRESS(MOD(ROW(A25) - H$15, H$14) + H$15, COLUMN(A25))),""))</f>
        <v>P4</v>
      </c>
      <c r="I25" t="str" cm="1">
        <f t="array" aca="1" ref="I25" ca="1">IF(ROW(B25)-I$15 &lt; I$14,B25,IF(ROW(B25) - I$15 -I$16 + 1 &lt; I$14,INDIRECT(ADDRESS(MOD(ROW(B25) - I$15, I$14) + I$15, COLUMN(B25))),""))</f>
        <v>P5</v>
      </c>
      <c r="J25" t="str" cm="1">
        <f t="array" aca="1" ref="J25" ca="1">IF(ROW(C25)-J$15 &lt; J$14,C25,IF(ROW(C25) - J$15 -J$16 + 1 &lt; J$14,INDIRECT(ADDRESS(MOD(ROW(C25) - J$15, J$14) + J$15, COLUMN(C25))),""))</f>
        <v>WILD</v>
      </c>
      <c r="K25" t="str" cm="1">
        <f t="array" aca="1" ref="K25" ca="1">IF(ROW(D25)-K$15 &lt; K$14,D25,IF(ROW(D25) - K$15 -K$16 + 1 &lt; K$14,INDIRECT(ADDRESS(MOD(ROW(D25) - K$15, K$14) + K$15, COLUMN(D25))),""))</f>
        <v>WILD</v>
      </c>
      <c r="L25" t="str" cm="1">
        <f t="array" aca="1" ref="L25" ca="1">IF(ROW(E25)-L$15 &lt; L$14,E25,IF(ROW(E25) - L$15 -L$16 + 1 &lt; L$14,INDIRECT(ADDRESS(MOD(ROW(E25) - L$15, L$14) + L$15, COLUMN(E25))),""))</f>
        <v>P3</v>
      </c>
      <c r="N25" cm="1">
        <f t="array" aca="1" ref="N25" ca="1">IF(H25&lt;&gt;"", SUMPRODUCT((OFFSET(H25,0,0,H$16,1)=$T$24) +0),"")</f>
        <v>0</v>
      </c>
      <c r="O25" cm="1">
        <f t="array" aca="1" ref="O25" ca="1">IF(I25&lt;&gt;"", SUMPRODUCT((OFFSET(I25,0,0,I$16,1)=$T$24) +0),"")</f>
        <v>0</v>
      </c>
      <c r="P25" cm="1">
        <f t="array" aca="1" ref="P25" ca="1">IF(J25&lt;&gt;"", SUMPRODUCT((OFFSET(J25,0,0,J$16,1)=$T$24) +0),"")</f>
        <v>0</v>
      </c>
      <c r="Q25" cm="1">
        <f t="array" aca="1" ref="Q25" ca="1">IF(K25&lt;&gt;"", SUMPRODUCT((OFFSET(K25,0,0,K$16,1)=$T$24) +0),"")</f>
        <v>0</v>
      </c>
      <c r="R25" cm="1">
        <f t="array" aca="1" ref="R25" ca="1">IF(L25&lt;&gt;"", SUMPRODUCT((OFFSET(L25,0,0,L$16,1)=$T$24) +0),"")</f>
        <v>0</v>
      </c>
      <c r="T25" s="5" t="str">
        <f>Summary!B11</f>
        <v>WILD</v>
      </c>
      <c r="U25" s="46">
        <f t="shared" si="4"/>
        <v>0</v>
      </c>
      <c r="V25" s="46">
        <f t="shared" si="4"/>
        <v>2</v>
      </c>
      <c r="W25" s="46">
        <f t="shared" si="4"/>
        <v>3</v>
      </c>
      <c r="X25" s="46">
        <f t="shared" si="4"/>
        <v>3</v>
      </c>
      <c r="Y25" s="65">
        <f t="shared" si="4"/>
        <v>5</v>
      </c>
      <c r="Z25" s="106"/>
      <c r="AB25" s="46" t="str">
        <f>T20</f>
        <v>P3</v>
      </c>
      <c r="AC25" s="46">
        <v>4</v>
      </c>
      <c r="AD25" s="46">
        <f t="shared" si="8"/>
        <v>8</v>
      </c>
      <c r="AE25" s="46">
        <f t="shared" si="6"/>
        <v>15</v>
      </c>
      <c r="AF25" s="46">
        <f t="shared" si="6"/>
        <v>13</v>
      </c>
      <c r="AG25" s="46">
        <f t="shared" si="6"/>
        <v>16</v>
      </c>
      <c r="AH25" s="46">
        <f t="shared" si="6"/>
        <v>67</v>
      </c>
      <c r="AI25" s="46">
        <f t="shared" si="9"/>
        <v>1672320</v>
      </c>
      <c r="AJ25" s="50">
        <f t="shared" si="10"/>
        <v>5.8142736747244313E-4</v>
      </c>
      <c r="AK25" s="46">
        <f t="shared" si="7"/>
        <v>1719.9052812858783</v>
      </c>
      <c r="AL25" s="46">
        <f>IFERROR(INDEX(Summary!$C$4:$E$9, MATCH($AB25, Summary!$B$4:$B$9, 0), MATCH($AC25, Summary!$C$3:$E$3, 0)), 0)</f>
        <v>50</v>
      </c>
      <c r="AM25" s="83"/>
      <c r="AN25" s="70"/>
      <c r="AO25" s="70"/>
    </row>
    <row r="26" spans="1:49" x14ac:dyDescent="0.3">
      <c r="A26" t="str">
        <v>P5</v>
      </c>
      <c r="B26" t="str">
        <v>P3</v>
      </c>
      <c r="C26" t="str">
        <v>P5</v>
      </c>
      <c r="D26" t="str">
        <v>P2</v>
      </c>
      <c r="E26" t="str">
        <v>P6</v>
      </c>
      <c r="H26" t="str" cm="1">
        <f t="array" aca="1" ref="H26" ca="1">IF(ROW(A26)-H$15 &lt; H$14,A26,IF(ROW(A26) - H$15 -H$16 + 1 &lt; H$14,INDIRECT(ADDRESS(MOD(ROW(A26) - H$15, H$14) + H$15, COLUMN(A26))),""))</f>
        <v>P5</v>
      </c>
      <c r="I26" t="str" cm="1">
        <f t="array" aca="1" ref="I26" ca="1">IF(ROW(B26)-I$15 &lt; I$14,B26,IF(ROW(B26) - I$15 -I$16 + 1 &lt; I$14,INDIRECT(ADDRESS(MOD(ROW(B26) - I$15, I$14) + I$15, COLUMN(B26))),""))</f>
        <v>P3</v>
      </c>
      <c r="J26" t="str" cm="1">
        <f t="array" aca="1" ref="J26" ca="1">IF(ROW(C26)-J$15 &lt; J$14,C26,IF(ROW(C26) - J$15 -J$16 + 1 &lt; J$14,INDIRECT(ADDRESS(MOD(ROW(C26) - J$15, J$14) + J$15, COLUMN(C26))),""))</f>
        <v>P5</v>
      </c>
      <c r="K26" t="str" cm="1">
        <f t="array" aca="1" ref="K26" ca="1">IF(ROW(D26)-K$15 &lt; K$14,D26,IF(ROW(D26) - K$15 -K$16 + 1 &lt; K$14,INDIRECT(ADDRESS(MOD(ROW(D26) - K$15, K$14) + K$15, COLUMN(D26))),""))</f>
        <v>P2</v>
      </c>
      <c r="L26" t="str" cm="1">
        <f t="array" aca="1" ref="L26" ca="1">IF(ROW(E26)-L$15 &lt; L$14,E26,IF(ROW(E26) - L$15 -L$16 + 1 &lt; L$14,INDIRECT(ADDRESS(MOD(ROW(E26) - L$15, L$14) + L$15, COLUMN(E26))),""))</f>
        <v>P6</v>
      </c>
      <c r="N26" cm="1">
        <f t="array" aca="1" ref="N26" ca="1">IF(H26&lt;&gt;"", SUMPRODUCT((OFFSET(H26,0,0,H$16,1)=$T$24) +0),"")</f>
        <v>0</v>
      </c>
      <c r="O26" cm="1">
        <f t="array" aca="1" ref="O26" ca="1">IF(I26&lt;&gt;"", SUMPRODUCT((OFFSET(I26,0,0,I$16,1)=$T$24) +0),"")</f>
        <v>0</v>
      </c>
      <c r="P26" cm="1">
        <f t="array" aca="1" ref="P26" ca="1">IF(J26&lt;&gt;"", SUMPRODUCT((OFFSET(J26,0,0,J$16,1)=$T$24) +0),"")</f>
        <v>0</v>
      </c>
      <c r="Q26" cm="1">
        <f t="array" aca="1" ref="Q26" ca="1">IF(K26&lt;&gt;"", SUMPRODUCT((OFFSET(K26,0,0,K$16,1)=$T$24) +0),"")</f>
        <v>0</v>
      </c>
      <c r="R26" cm="1">
        <f t="array" aca="1" ref="R26" ca="1">IF(L26&lt;&gt;"", SUMPRODUCT((OFFSET(L26,0,0,L$16,1)=$T$24) +0),"")</f>
        <v>0</v>
      </c>
      <c r="T26" s="5" t="str">
        <f>Summary!B12</f>
        <v>SCAT</v>
      </c>
      <c r="U26" s="46">
        <f t="shared" si="4"/>
        <v>8</v>
      </c>
      <c r="V26" s="46">
        <f t="shared" si="4"/>
        <v>0</v>
      </c>
      <c r="W26" s="46">
        <f t="shared" si="4"/>
        <v>8</v>
      </c>
      <c r="X26" s="46">
        <f t="shared" si="4"/>
        <v>0</v>
      </c>
      <c r="Y26" s="65">
        <f t="shared" si="4"/>
        <v>8</v>
      </c>
      <c r="Z26" s="106"/>
      <c r="AB26" s="46" t="str">
        <f>T20</f>
        <v>P3</v>
      </c>
      <c r="AC26" s="46">
        <v>3</v>
      </c>
      <c r="AD26" s="46">
        <f t="shared" si="8"/>
        <v>8</v>
      </c>
      <c r="AE26" s="46">
        <f t="shared" si="6"/>
        <v>15</v>
      </c>
      <c r="AF26" s="46">
        <f t="shared" si="6"/>
        <v>13</v>
      </c>
      <c r="AG26" s="46">
        <f t="shared" si="6"/>
        <v>58</v>
      </c>
      <c r="AH26" s="46">
        <f t="shared" si="6"/>
        <v>82</v>
      </c>
      <c r="AI26" s="46">
        <f t="shared" si="9"/>
        <v>7419360</v>
      </c>
      <c r="AJ26" s="50">
        <f t="shared" si="10"/>
        <v>2.5795415668833392E-3</v>
      </c>
      <c r="AK26" s="46">
        <f t="shared" si="7"/>
        <v>387.66578249336868</v>
      </c>
      <c r="AL26" s="46">
        <f>IFERROR(INDEX(Summary!$C$4:$E$9, MATCH($AB26, Summary!$B$4:$B$9, 0), MATCH($AC26, Summary!$C$3:$E$3, 0)), 0)</f>
        <v>10</v>
      </c>
      <c r="AM26" s="84"/>
      <c r="AN26" s="71"/>
      <c r="AO26" s="71"/>
    </row>
    <row r="27" spans="1:49" x14ac:dyDescent="0.3">
      <c r="A27" t="str">
        <v>P5</v>
      </c>
      <c r="B27" t="str">
        <v>P4</v>
      </c>
      <c r="C27" t="str">
        <v>P4</v>
      </c>
      <c r="D27" t="str">
        <v>P5</v>
      </c>
      <c r="E27" t="str">
        <v>SCAT</v>
      </c>
      <c r="H27" t="str" cm="1">
        <f t="array" aca="1" ref="H27" ca="1">IF(ROW(A27)-H$15 &lt; H$14,A27,IF(ROW(A27) - H$15 -H$16 + 1 &lt; H$14,INDIRECT(ADDRESS(MOD(ROW(A27) - H$15, H$14) + H$15, COLUMN(A27))),""))</f>
        <v>P5</v>
      </c>
      <c r="I27" t="str" cm="1">
        <f t="array" aca="1" ref="I27" ca="1">IF(ROW(B27)-I$15 &lt; I$14,B27,IF(ROW(B27) - I$15 -I$16 + 1 &lt; I$14,INDIRECT(ADDRESS(MOD(ROW(B27) - I$15, I$14) + I$15, COLUMN(B27))),""))</f>
        <v>P4</v>
      </c>
      <c r="J27" t="str" cm="1">
        <f t="array" aca="1" ref="J27" ca="1">IF(ROW(C27)-J$15 &lt; J$14,C27,IF(ROW(C27) - J$15 -J$16 + 1 &lt; J$14,INDIRECT(ADDRESS(MOD(ROW(C27) - J$15, J$14) + J$15, COLUMN(C27))),""))</f>
        <v>P4</v>
      </c>
      <c r="K27" t="str" cm="1">
        <f t="array" aca="1" ref="K27" ca="1">IF(ROW(D27)-K$15 &lt; K$14,D27,IF(ROW(D27) - K$15 -K$16 + 1 &lt; K$14,INDIRECT(ADDRESS(MOD(ROW(D27) - K$15, K$14) + K$15, COLUMN(D27))),""))</f>
        <v>P5</v>
      </c>
      <c r="L27" t="str" cm="1">
        <f t="array" aca="1" ref="L27" ca="1">IF(ROW(E27)-L$15 &lt; L$14,E27,IF(ROW(E27) - L$15 -L$16 + 1 &lt; L$14,INDIRECT(ADDRESS(MOD(ROW(E27) - L$15, L$14) + L$15, COLUMN(E27))),""))</f>
        <v>SCAT</v>
      </c>
      <c r="N27" cm="1">
        <f t="array" aca="1" ref="N27" ca="1">IF(H27&lt;&gt;"", SUMPRODUCT((OFFSET(H27,0,0,H$16,1)=$T$24) +0),"")</f>
        <v>0</v>
      </c>
      <c r="O27" cm="1">
        <f t="array" aca="1" ref="O27" ca="1">IF(I27&lt;&gt;"", SUMPRODUCT((OFFSET(I27,0,0,I$16,1)=$T$24) +0),"")</f>
        <v>0</v>
      </c>
      <c r="P27" cm="1">
        <f t="array" aca="1" ref="P27" ca="1">IF(J27&lt;&gt;"", SUMPRODUCT((OFFSET(J27,0,0,J$16,1)=$T$24) +0),"")</f>
        <v>0</v>
      </c>
      <c r="Q27" cm="1">
        <f t="array" aca="1" ref="Q27" ca="1">IF(K27&lt;&gt;"", SUMPRODUCT((OFFSET(K27,0,0,K$16,1)=$T$24) +0),"")</f>
        <v>0</v>
      </c>
      <c r="R27" cm="1">
        <f t="array" aca="1" ref="R27" ca="1">IF(L27&lt;&gt;"", SUMPRODUCT((OFFSET(L27,0,0,L$16,1)=$T$24) +0),"")</f>
        <v>0</v>
      </c>
      <c r="T27" s="1" t="s">
        <v>39</v>
      </c>
      <c r="U27" s="9">
        <f>SUM(U18:U26)</f>
        <v>79</v>
      </c>
      <c r="V27" s="7">
        <f>SUM(V18:V26)</f>
        <v>75</v>
      </c>
      <c r="W27" s="3">
        <f>SUM(W18:W26)</f>
        <v>80</v>
      </c>
      <c r="X27" s="3">
        <f t="shared" ref="X27:Y27" si="13">SUM(X18:X26)</f>
        <v>74</v>
      </c>
      <c r="Y27" s="5">
        <f t="shared" si="13"/>
        <v>82</v>
      </c>
      <c r="Z27" s="106"/>
      <c r="AB27" s="46" t="str">
        <f>T21</f>
        <v>P4</v>
      </c>
      <c r="AC27" s="46">
        <v>5</v>
      </c>
      <c r="AD27" s="46">
        <f t="shared" si="8"/>
        <v>13</v>
      </c>
      <c r="AE27" s="46">
        <f t="shared" si="6"/>
        <v>16</v>
      </c>
      <c r="AF27" s="46">
        <f t="shared" si="6"/>
        <v>15</v>
      </c>
      <c r="AG27" s="46">
        <f t="shared" si="6"/>
        <v>17</v>
      </c>
      <c r="AH27" s="46">
        <f t="shared" si="6"/>
        <v>17</v>
      </c>
      <c r="AI27" s="46">
        <f t="shared" si="9"/>
        <v>901680</v>
      </c>
      <c r="AJ27" s="50">
        <f t="shared" si="10"/>
        <v>3.1349348731256728E-4</v>
      </c>
      <c r="AK27" s="46">
        <f t="shared" si="7"/>
        <v>3189.8589299973382</v>
      </c>
      <c r="AL27" s="46">
        <f>IFERROR(INDEX(Summary!$C$4:$E$9, MATCH($AB27, Summary!$B$4:$B$9, 0), MATCH($AC27, Summary!$C$3:$E$3, 0)), 0)</f>
        <v>100</v>
      </c>
      <c r="AM27" s="82">
        <f t="shared" ref="AM27" si="14">SUM(AJ27*AL27,AJ28*AL28,AJ29*AL29)</f>
        <v>8.6666305082482922E-2</v>
      </c>
      <c r="AN27" s="69"/>
      <c r="AO27" s="69"/>
    </row>
    <row r="28" spans="1:49" x14ac:dyDescent="0.3">
      <c r="A28" t="str">
        <v>P6</v>
      </c>
      <c r="B28" t="str">
        <v>P6</v>
      </c>
      <c r="C28" t="str">
        <v>P6</v>
      </c>
      <c r="D28" t="str">
        <v>P6</v>
      </c>
      <c r="E28" t="str">
        <v>P5</v>
      </c>
      <c r="H28" t="str" cm="1">
        <f t="array" aca="1" ref="H28" ca="1">IF(ROW(A28)-H$15 &lt; H$14,A28,IF(ROW(A28) - H$15 -H$16 + 1 &lt; H$14,INDIRECT(ADDRESS(MOD(ROW(A28) - H$15, H$14) + H$15, COLUMN(A28))),""))</f>
        <v>P6</v>
      </c>
      <c r="I28" t="str" cm="1">
        <f t="array" aca="1" ref="I28" ca="1">IF(ROW(B28)-I$15 &lt; I$14,B28,IF(ROW(B28) - I$15 -I$16 + 1 &lt; I$14,INDIRECT(ADDRESS(MOD(ROW(B28) - I$15, I$14) + I$15, COLUMN(B28))),""))</f>
        <v>P6</v>
      </c>
      <c r="J28" t="str" cm="1">
        <f t="array" aca="1" ref="J28" ca="1">IF(ROW(C28)-J$15 &lt; J$14,C28,IF(ROW(C28) - J$15 -J$16 + 1 &lt; J$14,INDIRECT(ADDRESS(MOD(ROW(C28) - J$15, J$14) + J$15, COLUMN(C28))),""))</f>
        <v>P6</v>
      </c>
      <c r="K28" t="str" cm="1">
        <f t="array" aca="1" ref="K28" ca="1">IF(ROW(D28)-K$15 &lt; K$14,D28,IF(ROW(D28) - K$15 -K$16 + 1 &lt; K$14,INDIRECT(ADDRESS(MOD(ROW(D28) - K$15, K$14) + K$15, COLUMN(D28))),""))</f>
        <v>P6</v>
      </c>
      <c r="L28" t="str" cm="1">
        <f t="array" aca="1" ref="L28" ca="1">IF(ROW(E28)-L$15 &lt; L$14,E28,IF(ROW(E28) - L$15 -L$16 + 1 &lt; L$14,INDIRECT(ADDRESS(MOD(ROW(E28) - L$15, L$14) + L$15, COLUMN(E28))),""))</f>
        <v>P5</v>
      </c>
      <c r="N28" cm="1">
        <f t="array" aca="1" ref="N28" ca="1">IF(H28&lt;&gt;"", SUMPRODUCT((OFFSET(H28,0,0,H$16,1)=$T$24) +0),"")</f>
        <v>0</v>
      </c>
      <c r="O28" cm="1">
        <f t="array" aca="1" ref="O28" ca="1">IF(I28&lt;&gt;"", SUMPRODUCT((OFFSET(I28,0,0,I$16,1)=$T$24) +0),"")</f>
        <v>0</v>
      </c>
      <c r="P28" cm="1">
        <f t="array" aca="1" ref="P28" ca="1">IF(J28&lt;&gt;"", SUMPRODUCT((OFFSET(J28,0,0,J$16,1)=$T$24) +0),"")</f>
        <v>0</v>
      </c>
      <c r="Q28" cm="1">
        <f t="array" aca="1" ref="Q28" ca="1">IF(K28&lt;&gt;"", SUMPRODUCT((OFFSET(K28,0,0,K$16,1)=$T$24) +0),"")</f>
        <v>0</v>
      </c>
      <c r="R28" cm="1">
        <f t="array" aca="1" ref="R28" ca="1">IF(L28&lt;&gt;"", SUMPRODUCT((OFFSET(L28,0,0,L$16,1)=$T$24) +0),"")</f>
        <v>0</v>
      </c>
      <c r="T28" s="19" t="s">
        <v>45</v>
      </c>
      <c r="U28" s="78">
        <f>PRODUCT(U27:Z27)</f>
        <v>2876232000</v>
      </c>
      <c r="V28" s="79"/>
      <c r="W28" s="79"/>
      <c r="X28" s="79"/>
      <c r="Y28" s="79"/>
      <c r="Z28" s="92"/>
      <c r="AB28" s="46" t="str">
        <f>T21</f>
        <v>P4</v>
      </c>
      <c r="AC28" s="46">
        <v>4</v>
      </c>
      <c r="AD28" s="46">
        <f t="shared" si="8"/>
        <v>13</v>
      </c>
      <c r="AE28" s="46">
        <f t="shared" si="6"/>
        <v>16</v>
      </c>
      <c r="AF28" s="46">
        <f t="shared" si="6"/>
        <v>15</v>
      </c>
      <c r="AG28" s="46">
        <f t="shared" si="6"/>
        <v>17</v>
      </c>
      <c r="AH28" s="46">
        <f t="shared" si="6"/>
        <v>65</v>
      </c>
      <c r="AI28" s="46">
        <f t="shared" si="9"/>
        <v>3447600</v>
      </c>
      <c r="AJ28" s="50">
        <f t="shared" si="10"/>
        <v>1.1986515691362867E-3</v>
      </c>
      <c r="AK28" s="46">
        <f t="shared" si="7"/>
        <v>834.27079707622693</v>
      </c>
      <c r="AL28" s="46">
        <f>IFERROR(INDEX(Summary!$C$4:$E$9, MATCH($AB28, Summary!$B$4:$B$9, 0), MATCH($AC28, Summary!$C$3:$E$3, 0)), 0)</f>
        <v>25</v>
      </c>
      <c r="AM28" s="83"/>
      <c r="AN28" s="70"/>
      <c r="AO28" s="70"/>
    </row>
    <row r="29" spans="1:49" x14ac:dyDescent="0.3">
      <c r="A29" t="str">
        <v>P5</v>
      </c>
      <c r="B29" t="str">
        <v>WILD</v>
      </c>
      <c r="C29" t="str">
        <v>P6</v>
      </c>
      <c r="D29" t="str">
        <v>P6</v>
      </c>
      <c r="E29" t="str">
        <v>P4</v>
      </c>
      <c r="H29" t="str" cm="1">
        <f t="array" aca="1" ref="H29" ca="1">IF(ROW(A29)-H$15 &lt; H$14,A29,IF(ROW(A29) - H$15 -H$16 + 1 &lt; H$14,INDIRECT(ADDRESS(MOD(ROW(A29) - H$15, H$14) + H$15, COLUMN(A29))),""))</f>
        <v>P5</v>
      </c>
      <c r="I29" t="str" cm="1">
        <f t="array" aca="1" ref="I29" ca="1">IF(ROW(B29)-I$15 &lt; I$14,B29,IF(ROW(B29) - I$15 -I$16 + 1 &lt; I$14,INDIRECT(ADDRESS(MOD(ROW(B29) - I$15, I$14) + I$15, COLUMN(B29))),""))</f>
        <v>WILD</v>
      </c>
      <c r="J29" t="str" cm="1">
        <f t="array" aca="1" ref="J29" ca="1">IF(ROW(C29)-J$15 &lt; J$14,C29,IF(ROW(C29) - J$15 -J$16 + 1 &lt; J$14,INDIRECT(ADDRESS(MOD(ROW(C29) - J$15, J$14) + J$15, COLUMN(C29))),""))</f>
        <v>P6</v>
      </c>
      <c r="K29" t="str" cm="1">
        <f t="array" aca="1" ref="K29" ca="1">IF(ROW(D29)-K$15 &lt; K$14,D29,IF(ROW(D29) - K$15 -K$16 + 1 &lt; K$14,INDIRECT(ADDRESS(MOD(ROW(D29) - K$15, K$14) + K$15, COLUMN(D29))),""))</f>
        <v>P6</v>
      </c>
      <c r="L29" t="str" cm="1">
        <f t="array" aca="1" ref="L29" ca="1">IF(ROW(E29)-L$15 &lt; L$14,E29,IF(ROW(E29) - L$15 -L$16 + 1 &lt; L$14,INDIRECT(ADDRESS(MOD(ROW(E29) - L$15, L$14) + L$15, COLUMN(E29))),""))</f>
        <v>P4</v>
      </c>
      <c r="N29" cm="1">
        <f t="array" aca="1" ref="N29" ca="1">IF(H29&lt;&gt;"", SUMPRODUCT((OFFSET(H29,0,0,H$16,1)=$T$24) +0),"")</f>
        <v>0</v>
      </c>
      <c r="O29" cm="1">
        <f t="array" aca="1" ref="O29" ca="1">IF(I29&lt;&gt;"", SUMPRODUCT((OFFSET(I29,0,0,I$16,1)=$T$24) +0),"")</f>
        <v>0</v>
      </c>
      <c r="P29" cm="1">
        <f t="array" aca="1" ref="P29" ca="1">IF(J29&lt;&gt;"", SUMPRODUCT((OFFSET(J29,0,0,J$16,1)=$T$24) +0),"")</f>
        <v>0</v>
      </c>
      <c r="Q29" cm="1">
        <f t="array" aca="1" ref="Q29" ca="1">IF(K29&lt;&gt;"", SUMPRODUCT((OFFSET(K29,0,0,K$16,1)=$T$24) +0),"")</f>
        <v>0</v>
      </c>
      <c r="R29" cm="1">
        <f t="array" aca="1" ref="R29" ca="1">IF(L29&lt;&gt;"", SUMPRODUCT((OFFSET(L29,0,0,L$16,1)=$T$24) +0),"")</f>
        <v>0</v>
      </c>
      <c r="AB29" s="46" t="str">
        <f>T21</f>
        <v>P4</v>
      </c>
      <c r="AC29" s="46">
        <v>3</v>
      </c>
      <c r="AD29" s="46">
        <f t="shared" si="8"/>
        <v>13</v>
      </c>
      <c r="AE29" s="46">
        <f t="shared" si="6"/>
        <v>16</v>
      </c>
      <c r="AF29" s="46">
        <f t="shared" si="6"/>
        <v>15</v>
      </c>
      <c r="AG29" s="46">
        <f t="shared" si="6"/>
        <v>57</v>
      </c>
      <c r="AH29" s="46">
        <f t="shared" si="6"/>
        <v>82</v>
      </c>
      <c r="AI29" s="46">
        <f t="shared" si="9"/>
        <v>14582880</v>
      </c>
      <c r="AJ29" s="50">
        <f t="shared" si="10"/>
        <v>5.0701334245638044E-3</v>
      </c>
      <c r="AK29" s="46">
        <f t="shared" si="7"/>
        <v>197.23346828609985</v>
      </c>
      <c r="AL29" s="46">
        <f>IFERROR(INDEX(Summary!$C$4:$E$9, MATCH($AB29, Summary!$B$4:$B$9, 0), MATCH($AC29, Summary!$C$3:$E$3, 0)), 0)</f>
        <v>5</v>
      </c>
      <c r="AM29" s="84"/>
      <c r="AN29" s="71"/>
      <c r="AO29" s="71"/>
    </row>
    <row r="30" spans="1:49" x14ac:dyDescent="0.3">
      <c r="A30" t="str">
        <v>SCAT</v>
      </c>
      <c r="B30" t="str">
        <v>P5</v>
      </c>
      <c r="C30" t="str">
        <v>P2</v>
      </c>
      <c r="D30" t="str">
        <v>P3</v>
      </c>
      <c r="E30" t="str">
        <v>P2</v>
      </c>
      <c r="H30" t="str" cm="1">
        <f t="array" aca="1" ref="H30" ca="1">IF(ROW(A30)-H$15 &lt; H$14,A30,IF(ROW(A30) - H$15 -H$16 + 1 &lt; H$14,INDIRECT(ADDRESS(MOD(ROW(A30) - H$15, H$14) + H$15, COLUMN(A30))),""))</f>
        <v>SCAT</v>
      </c>
      <c r="I30" t="str" cm="1">
        <f t="array" aca="1" ref="I30" ca="1">IF(ROW(B30)-I$15 &lt; I$14,B30,IF(ROW(B30) - I$15 -I$16 + 1 &lt; I$14,INDIRECT(ADDRESS(MOD(ROW(B30) - I$15, I$14) + I$15, COLUMN(B30))),""))</f>
        <v>P5</v>
      </c>
      <c r="J30" t="str" cm="1">
        <f t="array" aca="1" ref="J30" ca="1">IF(ROW(C30)-J$15 &lt; J$14,C30,IF(ROW(C30) - J$15 -J$16 + 1 &lt; J$14,INDIRECT(ADDRESS(MOD(ROW(C30) - J$15, J$14) + J$15, COLUMN(C30))),""))</f>
        <v>P2</v>
      </c>
      <c r="K30" t="str" cm="1">
        <f t="array" aca="1" ref="K30" ca="1">IF(ROW(D30)-K$15 &lt; K$14,D30,IF(ROW(D30) - K$15 -K$16 + 1 &lt; K$14,INDIRECT(ADDRESS(MOD(ROW(D30) - K$15, K$14) + K$15, COLUMN(D30))),""))</f>
        <v>P3</v>
      </c>
      <c r="L30" t="str" cm="1">
        <f t="array" aca="1" ref="L30" ca="1">IF(ROW(E30)-L$15 &lt; L$14,E30,IF(ROW(E30) - L$15 -L$16 + 1 &lt; L$14,INDIRECT(ADDRESS(MOD(ROW(E30) - L$15, L$14) + L$15, COLUMN(E30))),""))</f>
        <v>P2</v>
      </c>
      <c r="N30" cm="1">
        <f t="array" aca="1" ref="N30" ca="1">IF(H30&lt;&gt;"", SUMPRODUCT((OFFSET(H30,0,0,H$16,1)=$T$24) +0),"")</f>
        <v>0</v>
      </c>
      <c r="O30" cm="1">
        <f t="array" aca="1" ref="O30" ca="1">IF(I30&lt;&gt;"", SUMPRODUCT((OFFSET(I30,0,0,I$16,1)=$T$24) +0),"")</f>
        <v>0</v>
      </c>
      <c r="P30" cm="1">
        <f t="array" aca="1" ref="P30" ca="1">IF(J30&lt;&gt;"", SUMPRODUCT((OFFSET(J30,0,0,J$16,1)=$T$24) +0),"")</f>
        <v>0</v>
      </c>
      <c r="Q30" cm="1">
        <f t="array" aca="1" ref="Q30" ca="1">IF(K30&lt;&gt;"", SUMPRODUCT((OFFSET(K30,0,0,K$16,1)=$T$24) +0),"")</f>
        <v>0</v>
      </c>
      <c r="R30" cm="1">
        <f t="array" aca="1" ref="R30" ca="1">IF(L30&lt;&gt;"", SUMPRODUCT((OFFSET(L30,0,0,L$16,1)=$T$24) +0),"")</f>
        <v>0</v>
      </c>
      <c r="T30" s="4"/>
      <c r="AB30" s="46" t="str">
        <f>T22</f>
        <v>P5</v>
      </c>
      <c r="AC30" s="46">
        <v>5</v>
      </c>
      <c r="AD30" s="46">
        <f t="shared" si="8"/>
        <v>16</v>
      </c>
      <c r="AE30" s="46">
        <f t="shared" si="6"/>
        <v>15</v>
      </c>
      <c r="AF30" s="46">
        <f t="shared" si="6"/>
        <v>16</v>
      </c>
      <c r="AG30" s="46">
        <f t="shared" si="6"/>
        <v>16</v>
      </c>
      <c r="AH30" s="46">
        <f t="shared" si="6"/>
        <v>18</v>
      </c>
      <c r="AI30" s="46">
        <f t="shared" si="9"/>
        <v>1105920</v>
      </c>
      <c r="AJ30" s="50">
        <f t="shared" si="10"/>
        <v>3.845030581677695E-4</v>
      </c>
      <c r="AK30" s="46">
        <f t="shared" si="7"/>
        <v>2600.7595486111113</v>
      </c>
      <c r="AL30" s="46">
        <f>IFERROR(INDEX(Summary!$C$4:$E$9, MATCH($AB30, Summary!$B$4:$B$9, 0), MATCH($AC30, Summary!$C$3:$E$3, 0)), 0)</f>
        <v>100</v>
      </c>
      <c r="AM30" s="82">
        <f t="shared" ref="AM30" si="15">SUM(AJ30*AL30,AJ31*AL31,AJ32*AL32)</f>
        <v>0.10437655933179243</v>
      </c>
      <c r="AN30" s="69"/>
      <c r="AO30" s="69"/>
    </row>
    <row r="31" spans="1:49" x14ac:dyDescent="0.3">
      <c r="A31" t="str">
        <v>P6</v>
      </c>
      <c r="B31" t="str">
        <v>P3</v>
      </c>
      <c r="C31" t="str">
        <v>P5</v>
      </c>
      <c r="D31" t="str">
        <v>P4</v>
      </c>
      <c r="E31" t="str">
        <v>P5</v>
      </c>
      <c r="H31" t="str" cm="1">
        <f t="array" aca="1" ref="H31" ca="1">IF(ROW(A31)-H$15 &lt; H$14,A31,IF(ROW(A31) - H$15 -H$16 + 1 &lt; H$14,INDIRECT(ADDRESS(MOD(ROW(A31) - H$15, H$14) + H$15, COLUMN(A31))),""))</f>
        <v>P6</v>
      </c>
      <c r="I31" t="str" cm="1">
        <f t="array" aca="1" ref="I31" ca="1">IF(ROW(B31)-I$15 &lt; I$14,B31,IF(ROW(B31) - I$15 -I$16 + 1 &lt; I$14,INDIRECT(ADDRESS(MOD(ROW(B31) - I$15, I$14) + I$15, COLUMN(B31))),""))</f>
        <v>P3</v>
      </c>
      <c r="J31" t="str" cm="1">
        <f t="array" aca="1" ref="J31" ca="1">IF(ROW(C31)-J$15 &lt; J$14,C31,IF(ROW(C31) - J$15 -J$16 + 1 &lt; J$14,INDIRECT(ADDRESS(MOD(ROW(C31) - J$15, J$14) + J$15, COLUMN(C31))),""))</f>
        <v>P5</v>
      </c>
      <c r="K31" t="str" cm="1">
        <f t="array" aca="1" ref="K31" ca="1">IF(ROW(D31)-K$15 &lt; K$14,D31,IF(ROW(D31) - K$15 -K$16 + 1 &lt; K$14,INDIRECT(ADDRESS(MOD(ROW(D31) - K$15, K$14) + K$15, COLUMN(D31))),""))</f>
        <v>P4</v>
      </c>
      <c r="L31" t="str" cm="1">
        <f t="array" aca="1" ref="L31" ca="1">IF(ROW(E31)-L$15 &lt; L$14,E31,IF(ROW(E31) - L$15 -L$16 + 1 &lt; L$14,INDIRECT(ADDRESS(MOD(ROW(E31) - L$15, L$14) + L$15, COLUMN(E31))),""))</f>
        <v>P5</v>
      </c>
      <c r="N31" cm="1">
        <f t="array" aca="1" ref="N31" ca="1">IF(H31&lt;&gt;"", SUMPRODUCT((OFFSET(H31,0,0,H$16,1)=$T$24) +0),"")</f>
        <v>0</v>
      </c>
      <c r="O31" cm="1">
        <f t="array" aca="1" ref="O31" ca="1">IF(I31&lt;&gt;"", SUMPRODUCT((OFFSET(I31,0,0,I$16,1)=$T$24) +0),"")</f>
        <v>1</v>
      </c>
      <c r="P31" cm="1">
        <f t="array" aca="1" ref="P31" ca="1">IF(J31&lt;&gt;"", SUMPRODUCT((OFFSET(J31,0,0,J$16,1)=$T$24) +0),"")</f>
        <v>0</v>
      </c>
      <c r="Q31" cm="1">
        <f t="array" aca="1" ref="Q31" ca="1">IF(K31&lt;&gt;"", SUMPRODUCT((OFFSET(K31,0,0,K$16,1)=$T$24) +0),"")</f>
        <v>0</v>
      </c>
      <c r="R31" cm="1">
        <f t="array" aca="1" ref="R31" ca="1">IF(L31&lt;&gt;"", SUMPRODUCT((OFFSET(L31,0,0,L$16,1)=$T$24) +0),"")</f>
        <v>0</v>
      </c>
      <c r="AB31" s="46" t="str">
        <f>T22</f>
        <v>P5</v>
      </c>
      <c r="AC31" s="46">
        <v>4</v>
      </c>
      <c r="AD31" s="46">
        <f t="shared" si="8"/>
        <v>16</v>
      </c>
      <c r="AE31" s="46">
        <f t="shared" si="6"/>
        <v>15</v>
      </c>
      <c r="AF31" s="46">
        <f t="shared" si="6"/>
        <v>16</v>
      </c>
      <c r="AG31" s="46">
        <f t="shared" si="6"/>
        <v>16</v>
      </c>
      <c r="AH31" s="46">
        <f t="shared" si="6"/>
        <v>64</v>
      </c>
      <c r="AI31" s="46">
        <f t="shared" si="9"/>
        <v>3932160</v>
      </c>
      <c r="AJ31" s="50">
        <f t="shared" si="10"/>
        <v>1.3671219845965137E-3</v>
      </c>
      <c r="AK31" s="46">
        <f t="shared" si="7"/>
        <v>731.463623046875</v>
      </c>
      <c r="AL31" s="46">
        <f>IFERROR(INDEX(Summary!$C$4:$E$9, MATCH($AB31, Summary!$B$4:$B$9, 0), MATCH($AC31, Summary!$C$3:$E$3, 0)), 0)</f>
        <v>25</v>
      </c>
      <c r="AM31" s="83"/>
      <c r="AN31" s="70"/>
      <c r="AO31" s="70"/>
    </row>
    <row r="32" spans="1:49" x14ac:dyDescent="0.3">
      <c r="A32" t="str">
        <v>P6</v>
      </c>
      <c r="B32" t="str">
        <v>P5</v>
      </c>
      <c r="C32" t="str">
        <v>P1</v>
      </c>
      <c r="D32" t="str">
        <v>P6</v>
      </c>
      <c r="E32" t="str">
        <v>WILD</v>
      </c>
      <c r="H32" t="str" cm="1">
        <f t="array" aca="1" ref="H32" ca="1">IF(ROW(A32)-H$15 &lt; H$14,A32,IF(ROW(A32) - H$15 -H$16 + 1 &lt; H$14,INDIRECT(ADDRESS(MOD(ROW(A32) - H$15, H$14) + H$15, COLUMN(A32))),""))</f>
        <v>P6</v>
      </c>
      <c r="I32" t="str" cm="1">
        <f t="array" aca="1" ref="I32" ca="1">IF(ROW(B32)-I$15 &lt; I$14,B32,IF(ROW(B32) - I$15 -I$16 + 1 &lt; I$14,INDIRECT(ADDRESS(MOD(ROW(B32) - I$15, I$14) + I$15, COLUMN(B32))),""))</f>
        <v>P5</v>
      </c>
      <c r="J32" t="str" cm="1">
        <f t="array" aca="1" ref="J32" ca="1">IF(ROW(C32)-J$15 &lt; J$14,C32,IF(ROW(C32) - J$15 -J$16 + 1 &lt; J$14,INDIRECT(ADDRESS(MOD(ROW(C32) - J$15, J$14) + J$15, COLUMN(C32))),""))</f>
        <v>P1</v>
      </c>
      <c r="K32" t="str" cm="1">
        <f t="array" aca="1" ref="K32" ca="1">IF(ROW(D32)-K$15 &lt; K$14,D32,IF(ROW(D32) - K$15 -K$16 + 1 &lt; K$14,INDIRECT(ADDRESS(MOD(ROW(D32) - K$15, K$14) + K$15, COLUMN(D32))),""))</f>
        <v>P6</v>
      </c>
      <c r="L32" t="str" cm="1">
        <f t="array" aca="1" ref="L32" ca="1">IF(ROW(E32)-L$15 &lt; L$14,E32,IF(ROW(E32) - L$15 -L$16 + 1 &lt; L$14,INDIRECT(ADDRESS(MOD(ROW(E32) - L$15, L$14) + L$15, COLUMN(E32))),""))</f>
        <v>WILD</v>
      </c>
      <c r="N32" cm="1">
        <f t="array" aca="1" ref="N32" ca="1">IF(H32&lt;&gt;"", SUMPRODUCT((OFFSET(H32,0,0,H$16,1)=$T$24) +0),"")</f>
        <v>0</v>
      </c>
      <c r="O32" cm="1">
        <f t="array" aca="1" ref="O32" ca="1">IF(I32&lt;&gt;"", SUMPRODUCT((OFFSET(I32,0,0,I$16,1)=$T$24) +0),"")</f>
        <v>1</v>
      </c>
      <c r="P32" cm="1">
        <f t="array" aca="1" ref="P32" ca="1">IF(J32&lt;&gt;"", SUMPRODUCT((OFFSET(J32,0,0,J$16,1)=$T$24) +0),"")</f>
        <v>0</v>
      </c>
      <c r="Q32" cm="1">
        <f t="array" aca="1" ref="Q32" ca="1">IF(K32&lt;&gt;"", SUMPRODUCT((OFFSET(K32,0,0,K$16,1)=$T$24) +0),"")</f>
        <v>0</v>
      </c>
      <c r="R32" cm="1">
        <f t="array" aca="1" ref="R32" ca="1">IF(L32&lt;&gt;"", SUMPRODUCT((OFFSET(L32,0,0,L$16,1)=$T$24) +0),"")</f>
        <v>0</v>
      </c>
      <c r="AB32" s="46" t="str">
        <f>T22</f>
        <v>P5</v>
      </c>
      <c r="AC32" s="46">
        <v>3</v>
      </c>
      <c r="AD32" s="46">
        <f t="shared" si="8"/>
        <v>16</v>
      </c>
      <c r="AE32" s="46">
        <f t="shared" si="6"/>
        <v>15</v>
      </c>
      <c r="AF32" s="46">
        <f t="shared" si="6"/>
        <v>16</v>
      </c>
      <c r="AG32" s="46">
        <f t="shared" si="6"/>
        <v>58</v>
      </c>
      <c r="AH32" s="46">
        <f t="shared" si="6"/>
        <v>82</v>
      </c>
      <c r="AI32" s="46">
        <f t="shared" si="9"/>
        <v>18263040</v>
      </c>
      <c r="AJ32" s="50">
        <f t="shared" si="10"/>
        <v>6.3496407800205266E-3</v>
      </c>
      <c r="AK32" s="46">
        <f t="shared" si="7"/>
        <v>157.48922413793105</v>
      </c>
      <c r="AL32" s="46">
        <f>IFERROR(INDEX(Summary!$C$4:$E$9, MATCH($AB32, Summary!$B$4:$B$9, 0), MATCH($AC32, Summary!$C$3:$E$3, 0)), 0)</f>
        <v>5</v>
      </c>
      <c r="AM32" s="84"/>
      <c r="AN32" s="71"/>
      <c r="AO32" s="71"/>
    </row>
    <row r="33" spans="1:41" x14ac:dyDescent="0.3">
      <c r="A33" t="str">
        <v>P5</v>
      </c>
      <c r="B33" t="str">
        <v>CP</v>
      </c>
      <c r="C33" t="str">
        <v>SCAT</v>
      </c>
      <c r="D33" t="str">
        <v>P5</v>
      </c>
      <c r="E33" t="str">
        <v>P6</v>
      </c>
      <c r="H33" t="str" cm="1">
        <f t="array" aca="1" ref="H33" ca="1">IF(ROW(A33)-H$15 &lt; H$14,A33,IF(ROW(A33) - H$15 -H$16 + 1 &lt; H$14,INDIRECT(ADDRESS(MOD(ROW(A33) - H$15, H$14) + H$15, COLUMN(A33))),""))</f>
        <v>P5</v>
      </c>
      <c r="I33" t="str" cm="1">
        <f t="array" aca="1" ref="I33" ca="1">IF(ROW(B33)-I$15 &lt; I$14,B33,IF(ROW(B33) - I$15 -I$16 + 1 &lt; I$14,INDIRECT(ADDRESS(MOD(ROW(B33) - I$15, I$14) + I$15, COLUMN(B33))),""))</f>
        <v>CP</v>
      </c>
      <c r="J33" t="str" cm="1">
        <f t="array" aca="1" ref="J33" ca="1">IF(ROW(C33)-J$15 &lt; J$14,C33,IF(ROW(C33) - J$15 -J$16 + 1 &lt; J$14,INDIRECT(ADDRESS(MOD(ROW(C33) - J$15, J$14) + J$15, COLUMN(C33))),""))</f>
        <v>SCAT</v>
      </c>
      <c r="K33" t="str" cm="1">
        <f t="array" aca="1" ref="K33" ca="1">IF(ROW(D33)-K$15 &lt; K$14,D33,IF(ROW(D33) - K$15 -K$16 + 1 &lt; K$14,INDIRECT(ADDRESS(MOD(ROW(D33) - K$15, K$14) + K$15, COLUMN(D33))),""))</f>
        <v>P5</v>
      </c>
      <c r="L33" t="str" cm="1">
        <f t="array" aca="1" ref="L33" ca="1">IF(ROW(E33)-L$15 &lt; L$14,E33,IF(ROW(E33) - L$15 -L$16 + 1 &lt; L$14,INDIRECT(ADDRESS(MOD(ROW(E33) - L$15, L$14) + L$15, COLUMN(E33))),""))</f>
        <v>P6</v>
      </c>
      <c r="N33" cm="1">
        <f t="array" aca="1" ref="N33" ca="1">IF(H33&lt;&gt;"", SUMPRODUCT((OFFSET(H33,0,0,H$16,1)=$T$24) +0),"")</f>
        <v>0</v>
      </c>
      <c r="O33" cm="1">
        <f t="array" aca="1" ref="O33" ca="1">IF(I33&lt;&gt;"", SUMPRODUCT((OFFSET(I33,0,0,I$16,1)=$T$24) +0),"")</f>
        <v>1</v>
      </c>
      <c r="P33" cm="1">
        <f t="array" aca="1" ref="P33" ca="1">IF(J33&lt;&gt;"", SUMPRODUCT((OFFSET(J33,0,0,J$16,1)=$T$24) +0),"")</f>
        <v>0</v>
      </c>
      <c r="Q33" cm="1">
        <f t="array" aca="1" ref="Q33" ca="1">IF(K33&lt;&gt;"", SUMPRODUCT((OFFSET(K33,0,0,K$16,1)=$T$24) +0),"")</f>
        <v>0</v>
      </c>
      <c r="R33" cm="1">
        <f t="array" aca="1" ref="R33" ca="1">IF(L33&lt;&gt;"", SUMPRODUCT((OFFSET(L33,0,0,L$16,1)=$T$24) +0),"")</f>
        <v>0</v>
      </c>
      <c r="AB33" s="46" t="str">
        <f>T23</f>
        <v>P6</v>
      </c>
      <c r="AC33" s="46">
        <v>5</v>
      </c>
      <c r="AD33" s="46">
        <f t="shared" si="8"/>
        <v>15</v>
      </c>
      <c r="AE33" s="46">
        <f t="shared" si="6"/>
        <v>15</v>
      </c>
      <c r="AF33" s="46">
        <f t="shared" si="6"/>
        <v>19</v>
      </c>
      <c r="AG33" s="46">
        <f t="shared" si="6"/>
        <v>15</v>
      </c>
      <c r="AH33" s="46">
        <f t="shared" si="6"/>
        <v>17</v>
      </c>
      <c r="AI33" s="46">
        <f t="shared" si="9"/>
        <v>1090125</v>
      </c>
      <c r="AJ33" s="50">
        <f t="shared" si="10"/>
        <v>3.7901149837704331E-4</v>
      </c>
      <c r="AK33" s="46">
        <f t="shared" si="7"/>
        <v>2638.4423804609564</v>
      </c>
      <c r="AL33" s="46">
        <f>IFERROR(INDEX(Summary!$C$4:$E$9, MATCH($AB33, Summary!$B$4:$B$9, 0), MATCH($AC33, Summary!$C$3:$E$3, 0)), 0)</f>
        <v>100</v>
      </c>
      <c r="AM33" s="82">
        <f t="shared" ref="AM33" si="16">SUM(AJ33*AL33,AJ34*AL34,AJ35*AL35)</f>
        <v>0.11008426128351259</v>
      </c>
      <c r="AN33" s="69"/>
      <c r="AO33" s="69"/>
    </row>
    <row r="34" spans="1:41" x14ac:dyDescent="0.3">
      <c r="A34" t="str">
        <v>P3</v>
      </c>
      <c r="B34" t="str">
        <v>P6</v>
      </c>
      <c r="C34" t="str">
        <v>P6</v>
      </c>
      <c r="D34" t="str">
        <v>P1</v>
      </c>
      <c r="E34" t="str">
        <v>P1</v>
      </c>
      <c r="H34" t="str" cm="1">
        <f t="array" aca="1" ref="H34" ca="1">IF(ROW(A34)-H$15 &lt; H$14,A34,IF(ROW(A34) - H$15 -H$16 + 1 &lt; H$14,INDIRECT(ADDRESS(MOD(ROW(A34) - H$15, H$14) + H$15, COLUMN(A34))),""))</f>
        <v>P3</v>
      </c>
      <c r="I34" t="str" cm="1">
        <f t="array" aca="1" ref="I34" ca="1">IF(ROW(B34)-I$15 &lt; I$14,B34,IF(ROW(B34) - I$15 -I$16 + 1 &lt; I$14,INDIRECT(ADDRESS(MOD(ROW(B34) - I$15, I$14) + I$15, COLUMN(B34))),""))</f>
        <v>P6</v>
      </c>
      <c r="J34" t="str" cm="1">
        <f t="array" aca="1" ref="J34" ca="1">IF(ROW(C34)-J$15 &lt; J$14,C34,IF(ROW(C34) - J$15 -J$16 + 1 &lt; J$14,INDIRECT(ADDRESS(MOD(ROW(C34) - J$15, J$14) + J$15, COLUMN(C34))),""))</f>
        <v>P6</v>
      </c>
      <c r="K34" t="str" cm="1">
        <f t="array" aca="1" ref="K34" ca="1">IF(ROW(D34)-K$15 &lt; K$14,D34,IF(ROW(D34) - K$15 -K$16 + 1 &lt; K$14,INDIRECT(ADDRESS(MOD(ROW(D34) - K$15, K$14) + K$15, COLUMN(D34))),""))</f>
        <v>P1</v>
      </c>
      <c r="L34" t="str" cm="1">
        <f t="array" aca="1" ref="L34" ca="1">IF(ROW(E34)-L$15 &lt; L$14,E34,IF(ROW(E34) - L$15 -L$16 + 1 &lt; L$14,INDIRECT(ADDRESS(MOD(ROW(E34) - L$15, L$14) + L$15, COLUMN(E34))),""))</f>
        <v>P1</v>
      </c>
      <c r="N34" cm="1">
        <f t="array" aca="1" ref="N34" ca="1">IF(H34&lt;&gt;"", SUMPRODUCT((OFFSET(H34,0,0,H$16,1)=$T$24) +0),"")</f>
        <v>0</v>
      </c>
      <c r="O34" cm="1">
        <f t="array" aca="1" ref="O34" ca="1">IF(I34&lt;&gt;"", SUMPRODUCT((OFFSET(I34,0,0,I$16,1)=$T$24) +0),"")</f>
        <v>0</v>
      </c>
      <c r="P34" cm="1">
        <f t="array" aca="1" ref="P34" ca="1">IF(J34&lt;&gt;"", SUMPRODUCT((OFFSET(J34,0,0,J$16,1)=$T$24) +0),"")</f>
        <v>0</v>
      </c>
      <c r="Q34" cm="1">
        <f t="array" aca="1" ref="Q34" ca="1">IF(K34&lt;&gt;"", SUMPRODUCT((OFFSET(K34,0,0,K$16,1)=$T$24) +0),"")</f>
        <v>0</v>
      </c>
      <c r="R34" cm="1">
        <f t="array" aca="1" ref="R34" ca="1">IF(L34&lt;&gt;"", SUMPRODUCT((OFFSET(L34,0,0,L$16,1)=$T$24) +0),"")</f>
        <v>0</v>
      </c>
      <c r="AB34" s="46" t="str">
        <f>T23</f>
        <v>P6</v>
      </c>
      <c r="AC34" s="46">
        <v>4</v>
      </c>
      <c r="AD34" s="46">
        <f t="shared" si="8"/>
        <v>15</v>
      </c>
      <c r="AE34" s="46">
        <f t="shared" si="8"/>
        <v>15</v>
      </c>
      <c r="AF34" s="46">
        <f t="shared" si="8"/>
        <v>19</v>
      </c>
      <c r="AG34" s="46">
        <f t="shared" si="8"/>
        <v>15</v>
      </c>
      <c r="AH34" s="46">
        <f t="shared" si="8"/>
        <v>65</v>
      </c>
      <c r="AI34" s="46">
        <f t="shared" si="9"/>
        <v>4168125</v>
      </c>
      <c r="AJ34" s="50">
        <f t="shared" si="10"/>
        <v>1.4491616114416361E-3</v>
      </c>
      <c r="AK34" s="46">
        <f t="shared" si="7"/>
        <v>690.05416104363474</v>
      </c>
      <c r="AL34" s="46">
        <f>IFERROR(INDEX(Summary!$C$4:$E$9, MATCH($AB34, Summary!$B$4:$B$9, 0), MATCH($AC34, Summary!$C$3:$E$3, 0)), 0)</f>
        <v>25</v>
      </c>
      <c r="AM34" s="83"/>
      <c r="AN34" s="70"/>
      <c r="AO34" s="70"/>
    </row>
    <row r="35" spans="1:41" x14ac:dyDescent="0.3">
      <c r="A35" t="str">
        <v>P5</v>
      </c>
      <c r="B35" t="str">
        <v>P5</v>
      </c>
      <c r="C35" t="str">
        <v>P5</v>
      </c>
      <c r="D35" t="str">
        <v>P5</v>
      </c>
      <c r="E35" t="str">
        <v>P5</v>
      </c>
      <c r="H35" t="str" cm="1">
        <f t="array" aca="1" ref="H35" ca="1">IF(ROW(A35)-H$15 &lt; H$14,A35,IF(ROW(A35) - H$15 -H$16 + 1 &lt; H$14,INDIRECT(ADDRESS(MOD(ROW(A35) - H$15, H$14) + H$15, COLUMN(A35))),""))</f>
        <v>P5</v>
      </c>
      <c r="I35" t="str" cm="1">
        <f t="array" aca="1" ref="I35" ca="1">IF(ROW(B35)-I$15 &lt; I$14,B35,IF(ROW(B35) - I$15 -I$16 + 1 &lt; I$14,INDIRECT(ADDRESS(MOD(ROW(B35) - I$15, I$14) + I$15, COLUMN(B35))),""))</f>
        <v>P5</v>
      </c>
      <c r="J35" t="str" cm="1">
        <f t="array" aca="1" ref="J35" ca="1">IF(ROW(C35)-J$15 &lt; J$14,C35,IF(ROW(C35) - J$15 -J$16 + 1 &lt; J$14,INDIRECT(ADDRESS(MOD(ROW(C35) - J$15, J$14) + J$15, COLUMN(C35))),""))</f>
        <v>P5</v>
      </c>
      <c r="K35" t="str" cm="1">
        <f t="array" aca="1" ref="K35" ca="1">IF(ROW(D35)-K$15 &lt; K$14,D35,IF(ROW(D35) - K$15 -K$16 + 1 &lt; K$14,INDIRECT(ADDRESS(MOD(ROW(D35) - K$15, K$14) + K$15, COLUMN(D35))),""))</f>
        <v>P5</v>
      </c>
      <c r="L35" t="str" cm="1">
        <f t="array" aca="1" ref="L35" ca="1">IF(ROW(E35)-L$15 &lt; L$14,E35,IF(ROW(E35) - L$15 -L$16 + 1 &lt; L$14,INDIRECT(ADDRESS(MOD(ROW(E35) - L$15, L$14) + L$15, COLUMN(E35))),""))</f>
        <v>P5</v>
      </c>
      <c r="N35" cm="1">
        <f t="array" aca="1" ref="N35" ca="1">IF(H35&lt;&gt;"", SUMPRODUCT((OFFSET(H35,0,0,H$16,1)=$T$24) +0),"")</f>
        <v>0</v>
      </c>
      <c r="O35" cm="1">
        <f t="array" aca="1" ref="O35" ca="1">IF(I35&lt;&gt;"", SUMPRODUCT((OFFSET(I35,0,0,I$16,1)=$T$24) +0),"")</f>
        <v>0</v>
      </c>
      <c r="P35" cm="1">
        <f t="array" aca="1" ref="P35" ca="1">IF(J35&lt;&gt;"", SUMPRODUCT((OFFSET(J35,0,0,J$16,1)=$T$24) +0),"")</f>
        <v>0</v>
      </c>
      <c r="Q35" cm="1">
        <f t="array" aca="1" ref="Q35" ca="1">IF(K35&lt;&gt;"", SUMPRODUCT((OFFSET(K35,0,0,K$16,1)=$T$24) +0),"")</f>
        <v>0</v>
      </c>
      <c r="R35" cm="1">
        <f t="array" aca="1" ref="R35" ca="1">IF(L35&lt;&gt;"", SUMPRODUCT((OFFSET(L35,0,0,L$16,1)=$T$24) +0),"")</f>
        <v>0</v>
      </c>
      <c r="AB35" s="46" t="str">
        <f>T23</f>
        <v>P6</v>
      </c>
      <c r="AC35" s="46">
        <v>3</v>
      </c>
      <c r="AD35" s="46">
        <f t="shared" si="8"/>
        <v>15</v>
      </c>
      <c r="AE35" s="46">
        <f t="shared" si="8"/>
        <v>15</v>
      </c>
      <c r="AF35" s="46">
        <f t="shared" si="8"/>
        <v>19</v>
      </c>
      <c r="AG35" s="46">
        <f t="shared" si="8"/>
        <v>59</v>
      </c>
      <c r="AH35" s="46">
        <f t="shared" si="8"/>
        <v>82</v>
      </c>
      <c r="AI35" s="46">
        <f t="shared" si="9"/>
        <v>20682450</v>
      </c>
      <c r="AJ35" s="50">
        <f t="shared" si="10"/>
        <v>7.1908142319534723E-3</v>
      </c>
      <c r="AK35" s="46">
        <f t="shared" si="7"/>
        <v>139.06630984240263</v>
      </c>
      <c r="AL35" s="46">
        <f>IFERROR(INDEX(Summary!$C$4:$E$9, MATCH($AB35, Summary!$B$4:$B$9, 0), MATCH($AC35, Summary!$C$3:$E$3, 0)), 0)</f>
        <v>5</v>
      </c>
      <c r="AM35" s="84"/>
      <c r="AN35" s="71"/>
      <c r="AO35" s="71"/>
    </row>
    <row r="36" spans="1:41" x14ac:dyDescent="0.3">
      <c r="A36" t="str">
        <v>P4</v>
      </c>
      <c r="B36" t="str">
        <v>P3</v>
      </c>
      <c r="C36" t="str">
        <v>P5</v>
      </c>
      <c r="D36" t="str">
        <v>P2</v>
      </c>
      <c r="E36" t="str">
        <v>P5</v>
      </c>
      <c r="H36" t="str" cm="1">
        <f t="array" aca="1" ref="H36" ca="1">IF(ROW(A36)-H$15 &lt; H$14,A36,IF(ROW(A36) - H$15 -H$16 + 1 &lt; H$14,INDIRECT(ADDRESS(MOD(ROW(A36) - H$15, H$14) + H$15, COLUMN(A36))),""))</f>
        <v>P4</v>
      </c>
      <c r="I36" t="str" cm="1">
        <f t="array" aca="1" ref="I36" ca="1">IF(ROW(B36)-I$15 &lt; I$14,B36,IF(ROW(B36) - I$15 -I$16 + 1 &lt; I$14,INDIRECT(ADDRESS(MOD(ROW(B36) - I$15, I$14) + I$15, COLUMN(B36))),""))</f>
        <v>P3</v>
      </c>
      <c r="J36" t="str" cm="1">
        <f t="array" aca="1" ref="J36" ca="1">IF(ROW(C36)-J$15 &lt; J$14,C36,IF(ROW(C36) - J$15 -J$16 + 1 &lt; J$14,INDIRECT(ADDRESS(MOD(ROW(C36) - J$15, J$14) + J$15, COLUMN(C36))),""))</f>
        <v>P5</v>
      </c>
      <c r="K36" t="str" cm="1">
        <f t="array" aca="1" ref="K36" ca="1">IF(ROW(D36)-K$15 &lt; K$14,D36,IF(ROW(D36) - K$15 -K$16 + 1 &lt; K$14,INDIRECT(ADDRESS(MOD(ROW(D36) - K$15, K$14) + K$15, COLUMN(D36))),""))</f>
        <v>P2</v>
      </c>
      <c r="L36" t="str" cm="1">
        <f t="array" aca="1" ref="L36" ca="1">IF(ROW(E36)-L$15 &lt; L$14,E36,IF(ROW(E36) - L$15 -L$16 + 1 &lt; L$14,INDIRECT(ADDRESS(MOD(ROW(E36) - L$15, L$14) + L$15, COLUMN(E36))),""))</f>
        <v>P5</v>
      </c>
      <c r="N36" cm="1">
        <f t="array" aca="1" ref="N36" ca="1">IF(H36&lt;&gt;"", SUMPRODUCT((OFFSET(H36,0,0,H$16,1)=$T$24) +0),"")</f>
        <v>0</v>
      </c>
      <c r="O36" cm="1">
        <f t="array" aca="1" ref="O36" ca="1">IF(I36&lt;&gt;"", SUMPRODUCT((OFFSET(I36,0,0,I$16,1)=$T$24) +0),"")</f>
        <v>0</v>
      </c>
      <c r="P36" cm="1">
        <f t="array" aca="1" ref="P36" ca="1">IF(J36&lt;&gt;"", SUMPRODUCT((OFFSET(J36,0,0,J$16,1)=$T$24) +0),"")</f>
        <v>0</v>
      </c>
      <c r="Q36" cm="1">
        <f t="array" aca="1" ref="Q36" ca="1">IF(K36&lt;&gt;"", SUMPRODUCT((OFFSET(K36,0,0,K$16,1)=$T$24) +0),"")</f>
        <v>0</v>
      </c>
      <c r="R36" cm="1">
        <f t="array" aca="1" ref="R36" ca="1">IF(L36&lt;&gt;"", SUMPRODUCT((OFFSET(L36,0,0,L$16,1)=$T$24) +0),"")</f>
        <v>0</v>
      </c>
      <c r="T36" s="46" t="s">
        <v>24</v>
      </c>
      <c r="U36" s="46">
        <f>SUM(AJ18:AJ35)*Summary!C17</f>
        <v>0.61101265822784812</v>
      </c>
      <c r="AM36" s="29">
        <f>SUM(AM18:AM35)</f>
        <v>0.59611010342698356</v>
      </c>
    </row>
    <row r="37" spans="1:41" x14ac:dyDescent="0.3">
      <c r="A37" t="str">
        <v>SCAT</v>
      </c>
      <c r="B37" t="str">
        <v>WILD</v>
      </c>
      <c r="C37" t="str">
        <v>P6</v>
      </c>
      <c r="D37" t="str">
        <v>P5</v>
      </c>
      <c r="E37" t="str">
        <v>P6</v>
      </c>
      <c r="H37" t="str" cm="1">
        <f t="array" aca="1" ref="H37" ca="1">IF(ROW(A37)-H$15 &lt; H$14,A37,IF(ROW(A37) - H$15 -H$16 + 1 &lt; H$14,INDIRECT(ADDRESS(MOD(ROW(A37) - H$15, H$14) + H$15, COLUMN(A37))),""))</f>
        <v>SCAT</v>
      </c>
      <c r="I37" t="str" cm="1">
        <f t="array" aca="1" ref="I37" ca="1">IF(ROW(B37)-I$15 &lt; I$14,B37,IF(ROW(B37) - I$15 -I$16 + 1 &lt; I$14,INDIRECT(ADDRESS(MOD(ROW(B37) - I$15, I$14) + I$15, COLUMN(B37))),""))</f>
        <v>WILD</v>
      </c>
      <c r="J37" t="str" cm="1">
        <f t="array" aca="1" ref="J37" ca="1">IF(ROW(C37)-J$15 &lt; J$14,C37,IF(ROW(C37) - J$15 -J$16 + 1 &lt; J$14,INDIRECT(ADDRESS(MOD(ROW(C37) - J$15, J$14) + J$15, COLUMN(C37))),""))</f>
        <v>P6</v>
      </c>
      <c r="K37" t="str" cm="1">
        <f t="array" aca="1" ref="K37" ca="1">IF(ROW(D37)-K$15 &lt; K$14,D37,IF(ROW(D37) - K$15 -K$16 + 1 &lt; K$14,INDIRECT(ADDRESS(MOD(ROW(D37) - K$15, K$14) + K$15, COLUMN(D37))),""))</f>
        <v>P5</v>
      </c>
      <c r="L37" t="str" cm="1">
        <f t="array" aca="1" ref="L37" ca="1">IF(ROW(E37)-L$15 &lt; L$14,E37,IF(ROW(E37) - L$15 -L$16 + 1 &lt; L$14,INDIRECT(ADDRESS(MOD(ROW(E37) - L$15, L$14) + L$15, COLUMN(E37))),""))</f>
        <v>P6</v>
      </c>
      <c r="N37" cm="1">
        <f t="array" aca="1" ref="N37" ca="1">IF(H37&lt;&gt;"", SUMPRODUCT((OFFSET(H37,0,0,H$16,1)=$T$24) +0),"")</f>
        <v>0</v>
      </c>
      <c r="O37" cm="1">
        <f t="array" aca="1" ref="O37" ca="1">IF(I37&lt;&gt;"", SUMPRODUCT((OFFSET(I37,0,0,I$16,1)=$T$24) +0),"")</f>
        <v>0</v>
      </c>
      <c r="P37" cm="1">
        <f t="array" aca="1" ref="P37" ca="1">IF(J37&lt;&gt;"", SUMPRODUCT((OFFSET(J37,0,0,J$16,1)=$T$24) +0),"")</f>
        <v>0</v>
      </c>
      <c r="Q37" cm="1">
        <f t="array" aca="1" ref="Q37" ca="1">IF(K37&lt;&gt;"", SUMPRODUCT((OFFSET(K37,0,0,K$16,1)=$T$24) +0),"")</f>
        <v>0</v>
      </c>
      <c r="R37" cm="1">
        <f t="array" aca="1" ref="R37" ca="1">IF(L37&lt;&gt;"", SUMPRODUCT((OFFSET(L37,0,0,L$16,1)=$T$24) +0),"")</f>
        <v>0</v>
      </c>
      <c r="T37" s="46" t="s">
        <v>25</v>
      </c>
      <c r="U37" s="46">
        <f>AE42</f>
        <v>2.6674899660389009E-2</v>
      </c>
    </row>
    <row r="38" spans="1:41" x14ac:dyDescent="0.3">
      <c r="A38" t="str">
        <v>P6</v>
      </c>
      <c r="B38" t="str">
        <v>P4</v>
      </c>
      <c r="C38" t="str">
        <v>P4</v>
      </c>
      <c r="D38" t="str">
        <v>P3</v>
      </c>
      <c r="E38" t="str">
        <v>P4</v>
      </c>
      <c r="H38" t="str" cm="1">
        <f t="array" aca="1" ref="H38" ca="1">IF(ROW(A38)-H$15 &lt; H$14,A38,IF(ROW(A38) - H$15 -H$16 + 1 &lt; H$14,INDIRECT(ADDRESS(MOD(ROW(A38) - H$15, H$14) + H$15, COLUMN(A38))),""))</f>
        <v>P6</v>
      </c>
      <c r="I38" t="str" cm="1">
        <f t="array" aca="1" ref="I38" ca="1">IF(ROW(B38)-I$15 &lt; I$14,B38,IF(ROW(B38) - I$15 -I$16 + 1 &lt; I$14,INDIRECT(ADDRESS(MOD(ROW(B38) - I$15, I$14) + I$15, COLUMN(B38))),""))</f>
        <v>P4</v>
      </c>
      <c r="J38" t="str" cm="1">
        <f t="array" aca="1" ref="J38" ca="1">IF(ROW(C38)-J$15 &lt; J$14,C38,IF(ROW(C38) - J$15 -J$16 + 1 &lt; J$14,INDIRECT(ADDRESS(MOD(ROW(C38) - J$15, J$14) + J$15, COLUMN(C38))),""))</f>
        <v>P4</v>
      </c>
      <c r="K38" t="str" cm="1">
        <f t="array" aca="1" ref="K38" ca="1">IF(ROW(D38)-K$15 &lt; K$14,D38,IF(ROW(D38) - K$15 -K$16 + 1 &lt; K$14,INDIRECT(ADDRESS(MOD(ROW(D38) - K$15, K$14) + K$15, COLUMN(D38))),""))</f>
        <v>P3</v>
      </c>
      <c r="L38" t="str" cm="1">
        <f t="array" aca="1" ref="L38" ca="1">IF(ROW(E38)-L$15 &lt; L$14,E38,IF(ROW(E38) - L$15 -L$16 + 1 &lt; L$14,INDIRECT(ADDRESS(MOD(ROW(E38) - L$15, L$14) + L$15, COLUMN(E38))),""))</f>
        <v>P4</v>
      </c>
      <c r="N38" cm="1">
        <f t="array" aca="1" ref="N38" ca="1">IF(H38&lt;&gt;"", SUMPRODUCT((OFFSET(H38,0,0,H$16,1)=$T$24) +0),"")</f>
        <v>0</v>
      </c>
      <c r="O38" cm="1">
        <f t="array" aca="1" ref="O38" ca="1">IF(I38&lt;&gt;"", SUMPRODUCT((OFFSET(I38,0,0,I$16,1)=$T$24) +0),"")</f>
        <v>0</v>
      </c>
      <c r="P38" cm="1">
        <f t="array" aca="1" ref="P38" ca="1">IF(J38&lt;&gt;"", SUMPRODUCT((OFFSET(J38,0,0,J$16,1)=$T$24) +0),"")</f>
        <v>0</v>
      </c>
      <c r="Q38" cm="1">
        <f t="array" aca="1" ref="Q38" ca="1">IF(K38&lt;&gt;"", SUMPRODUCT((OFFSET(K38,0,0,K$16,1)=$T$24) +0),"")</f>
        <v>0</v>
      </c>
      <c r="R38" cm="1">
        <f t="array" aca="1" ref="R38" ca="1">IF(L38&lt;&gt;"", SUMPRODUCT((OFFSET(L38,0,0,L$16,1)=$T$24) +0),"")</f>
        <v>0</v>
      </c>
      <c r="T38" s="46" t="s">
        <v>16</v>
      </c>
      <c r="U38" s="53">
        <f>AM36</f>
        <v>0.59611010342698356</v>
      </c>
    </row>
    <row r="39" spans="1:41" x14ac:dyDescent="0.3">
      <c r="A39" t="str">
        <v>P3</v>
      </c>
      <c r="B39" t="str">
        <v>P5</v>
      </c>
      <c r="C39" t="str">
        <v>SCAT</v>
      </c>
      <c r="D39" t="str">
        <v>P4</v>
      </c>
      <c r="E39" t="str">
        <v>P3</v>
      </c>
      <c r="H39" t="str" cm="1">
        <f t="array" aca="1" ref="H39" ca="1">IF(ROW(A39)-H$15 &lt; H$14,A39,IF(ROW(A39) - H$15 -H$16 + 1 &lt; H$14,INDIRECT(ADDRESS(MOD(ROW(A39) - H$15, H$14) + H$15, COLUMN(A39))),""))</f>
        <v>P3</v>
      </c>
      <c r="I39" t="str" cm="1">
        <f t="array" aca="1" ref="I39" ca="1">IF(ROW(B39)-I$15 &lt; I$14,B39,IF(ROW(B39) - I$15 -I$16 + 1 &lt; I$14,INDIRECT(ADDRESS(MOD(ROW(B39) - I$15, I$14) + I$15, COLUMN(B39))),""))</f>
        <v>P5</v>
      </c>
      <c r="J39" t="str" cm="1">
        <f t="array" aca="1" ref="J39" ca="1">IF(ROW(C39)-J$15 &lt; J$14,C39,IF(ROW(C39) - J$15 -J$16 + 1 &lt; J$14,INDIRECT(ADDRESS(MOD(ROW(C39) - J$15, J$14) + J$15, COLUMN(C39))),""))</f>
        <v>SCAT</v>
      </c>
      <c r="K39" t="str" cm="1">
        <f t="array" aca="1" ref="K39" ca="1">IF(ROW(D39)-K$15 &lt; K$14,D39,IF(ROW(D39) - K$15 -K$16 + 1 &lt; K$14,INDIRECT(ADDRESS(MOD(ROW(D39) - K$15, K$14) + K$15, COLUMN(D39))),""))</f>
        <v>P4</v>
      </c>
      <c r="L39" t="str" cm="1">
        <f t="array" aca="1" ref="L39" ca="1">IF(ROW(E39)-L$15 &lt; L$14,E39,IF(ROW(E39) - L$15 -L$16 + 1 &lt; L$14,INDIRECT(ADDRESS(MOD(ROW(E39) - L$15, L$14) + L$15, COLUMN(E39))),""))</f>
        <v>P3</v>
      </c>
      <c r="N39" cm="1">
        <f t="array" aca="1" ref="N39" ca="1">IF(H39&lt;&gt;"", SUMPRODUCT((OFFSET(H39,0,0,H$16,1)=$T$24) +0),"")</f>
        <v>0</v>
      </c>
      <c r="O39" cm="1">
        <f t="array" aca="1" ref="O39" ca="1">IF(I39&lt;&gt;"", SUMPRODUCT((OFFSET(I39,0,0,I$16,1)=$T$24) +0),"")</f>
        <v>0</v>
      </c>
      <c r="P39" cm="1">
        <f t="array" aca="1" ref="P39" ca="1">IF(J39&lt;&gt;"", SUMPRODUCT((OFFSET(J39,0,0,J$16,1)=$T$24) +0),"")</f>
        <v>0</v>
      </c>
      <c r="Q39" cm="1">
        <f t="array" aca="1" ref="Q39" ca="1">IF(K39&lt;&gt;"", SUMPRODUCT((OFFSET(K39,0,0,K$16,1)=$T$24) +0),"")</f>
        <v>0</v>
      </c>
      <c r="R39" cm="1">
        <f t="array" aca="1" ref="R39" ca="1">IF(L39&lt;&gt;"", SUMPRODUCT((OFFSET(L39,0,0,L$16,1)=$T$24) +0),"")</f>
        <v>0</v>
      </c>
      <c r="T39" s="46" t="s">
        <v>17</v>
      </c>
      <c r="U39" s="53">
        <f ca="1">AL52</f>
        <v>1.7235049189356076E-3</v>
      </c>
      <c r="V39" s="29">
        <f ca="1">SUM(U38:U39)</f>
        <v>0.59783360834591914</v>
      </c>
      <c r="W39" s="29">
        <f ca="1">U39+U40</f>
        <v>0.79281374804293336</v>
      </c>
      <c r="AG39" t="s">
        <v>91</v>
      </c>
      <c r="AH39" t="s">
        <v>6</v>
      </c>
    </row>
    <row r="40" spans="1:41" x14ac:dyDescent="0.3">
      <c r="A40" t="str">
        <v>P6</v>
      </c>
      <c r="B40" t="str">
        <v>P2</v>
      </c>
      <c r="C40" t="str">
        <v>P3</v>
      </c>
      <c r="D40" t="str">
        <v>P5</v>
      </c>
      <c r="E40" t="str">
        <v>P5</v>
      </c>
      <c r="H40" t="str" cm="1">
        <f t="array" aca="1" ref="H40" ca="1">IF(ROW(A40)-H$15 &lt; H$14,A40,IF(ROW(A40) - H$15 -H$16 + 1 &lt; H$14,INDIRECT(ADDRESS(MOD(ROW(A40) - H$15, H$14) + H$15, COLUMN(A40))),""))</f>
        <v>P6</v>
      </c>
      <c r="I40" t="str" cm="1">
        <f t="array" aca="1" ref="I40" ca="1">IF(ROW(B40)-I$15 &lt; I$14,B40,IF(ROW(B40) - I$15 -I$16 + 1 &lt; I$14,INDIRECT(ADDRESS(MOD(ROW(B40) - I$15, I$14) + I$15, COLUMN(B40))),""))</f>
        <v>P2</v>
      </c>
      <c r="J40" t="str" cm="1">
        <f t="array" aca="1" ref="J40" ca="1">IF(ROW(C40)-J$15 &lt; J$14,C40,IF(ROW(C40) - J$15 -J$16 + 1 &lt; J$14,INDIRECT(ADDRESS(MOD(ROW(C40) - J$15, J$14) + J$15, COLUMN(C40))),""))</f>
        <v>P3</v>
      </c>
      <c r="K40" t="str" cm="1">
        <f t="array" aca="1" ref="K40" ca="1">IF(ROW(D40)-K$15 &lt; K$14,D40,IF(ROW(D40) - K$15 -K$16 + 1 &lt; K$14,INDIRECT(ADDRESS(MOD(ROW(D40) - K$15, K$14) + K$15, COLUMN(D40))),""))</f>
        <v>P5</v>
      </c>
      <c r="L40" t="str" cm="1">
        <f t="array" aca="1" ref="L40" ca="1">IF(ROW(E40)-L$15 &lt; L$14,E40,IF(ROW(E40) - L$15 -L$16 + 1 &lt; L$14,INDIRECT(ADDRESS(MOD(ROW(E40) - L$15, L$14) + L$15, COLUMN(E40))),""))</f>
        <v>P5</v>
      </c>
      <c r="N40" cm="1">
        <f t="array" aca="1" ref="N40" ca="1">IF(H40&lt;&gt;"", SUMPRODUCT((OFFSET(H40,0,0,H$16,1)=$T$24) +0),"")</f>
        <v>0</v>
      </c>
      <c r="O40" cm="1">
        <f t="array" aca="1" ref="O40" ca="1">IF(I40&lt;&gt;"", SUMPRODUCT((OFFSET(I40,0,0,I$16,1)=$T$24) +0),"")</f>
        <v>0</v>
      </c>
      <c r="P40" cm="1">
        <f t="array" aca="1" ref="P40" ca="1">IF(J40&lt;&gt;"", SUMPRODUCT((OFFSET(J40,0,0,J$16,1)=$T$24) +0),"")</f>
        <v>0</v>
      </c>
      <c r="Q40" cm="1">
        <f t="array" aca="1" ref="Q40" ca="1">IF(K40&lt;&gt;"", SUMPRODUCT((OFFSET(K40,0,0,K$16,1)=$T$24) +0),"")</f>
        <v>0</v>
      </c>
      <c r="R40" cm="1">
        <f t="array" aca="1" ref="R40" ca="1">IF(L40&lt;&gt;"", SUMPRODUCT((OFFSET(L40,0,0,L$16,1)=$T$24) +0),"")</f>
        <v>0</v>
      </c>
      <c r="T40" s="46" t="s">
        <v>94</v>
      </c>
      <c r="U40" s="51">
        <f ca="1">AH42</f>
        <v>0.79109024312399778</v>
      </c>
      <c r="AB40" t="s">
        <v>64</v>
      </c>
      <c r="AC40">
        <v>5</v>
      </c>
      <c r="AD40">
        <f>U26*H16*I16*J16*K16*L16*V26*W26*X26*Y26</f>
        <v>0</v>
      </c>
      <c r="AE40">
        <f>AD40/$U$28</f>
        <v>0</v>
      </c>
      <c r="AF40" t="e">
        <f>1/AE40</f>
        <v>#DIV/0!</v>
      </c>
      <c r="AG40">
        <v>7</v>
      </c>
      <c r="AH40">
        <f ca="1">AG40*Freespins!$U$40*AE40</f>
        <v>0</v>
      </c>
    </row>
    <row r="41" spans="1:41" x14ac:dyDescent="0.3">
      <c r="A41" t="str">
        <v>P3</v>
      </c>
      <c r="B41" t="str">
        <v>P5</v>
      </c>
      <c r="C41" t="str">
        <v>P5</v>
      </c>
      <c r="D41" t="str">
        <v>P6</v>
      </c>
      <c r="E41" t="str">
        <v>P2</v>
      </c>
      <c r="H41" t="str" cm="1">
        <f t="array" aca="1" ref="H41" ca="1">IF(ROW(A41)-H$15 &lt; H$14,A41,IF(ROW(A41) - H$15 -H$16 + 1 &lt; H$14,INDIRECT(ADDRESS(MOD(ROW(A41) - H$15, H$14) + H$15, COLUMN(A41))),""))</f>
        <v>P3</v>
      </c>
      <c r="I41" t="str" cm="1">
        <f t="array" aca="1" ref="I41" ca="1">IF(ROW(B41)-I$15 &lt; I$14,B41,IF(ROW(B41) - I$15 -I$16 + 1 &lt; I$14,INDIRECT(ADDRESS(MOD(ROW(B41) - I$15, I$14) + I$15, COLUMN(B41))),""))</f>
        <v>P5</v>
      </c>
      <c r="J41" t="str" cm="1">
        <f t="array" aca="1" ref="J41" ca="1">IF(ROW(C41)-J$15 &lt; J$14,C41,IF(ROW(C41) - J$15 -J$16 + 1 &lt; J$14,INDIRECT(ADDRESS(MOD(ROW(C41) - J$15, J$14) + J$15, COLUMN(C41))),""))</f>
        <v>P5</v>
      </c>
      <c r="K41" t="str" cm="1">
        <f t="array" aca="1" ref="K41" ca="1">IF(ROW(D41)-K$15 &lt; K$14,D41,IF(ROW(D41) - K$15 -K$16 + 1 &lt; K$14,INDIRECT(ADDRESS(MOD(ROW(D41) - K$15, K$14) + K$15, COLUMN(D41))),""))</f>
        <v>P6</v>
      </c>
      <c r="L41" t="str" cm="1">
        <f t="array" aca="1" ref="L41" ca="1">IF(ROW(E41)-L$15 &lt; L$14,E41,IF(ROW(E41) - L$15 -L$16 + 1 &lt; L$14,INDIRECT(ADDRESS(MOD(ROW(E41) - L$15, L$14) + L$15, COLUMN(E41))),""))</f>
        <v>P2</v>
      </c>
      <c r="N41" cm="1">
        <f t="array" aca="1" ref="N41" ca="1">IF(H41&lt;&gt;"", SUMPRODUCT((OFFSET(H41,0,0,H$16,1)=$T$24) +0),"")</f>
        <v>0</v>
      </c>
      <c r="O41" cm="1">
        <f t="array" aca="1" ref="O41" ca="1">IF(I41&lt;&gt;"", SUMPRODUCT((OFFSET(I41,0,0,I$16,1)=$T$24) +0),"")</f>
        <v>0</v>
      </c>
      <c r="P41" cm="1">
        <f t="array" aca="1" ref="P41" ca="1">IF(J41&lt;&gt;"", SUMPRODUCT((OFFSET(J41,0,0,J$16,1)=$T$24) +0),"")</f>
        <v>0</v>
      </c>
      <c r="Q41" cm="1">
        <f t="array" aca="1" ref="Q41" ca="1">IF(K41&lt;&gt;"", SUMPRODUCT((OFFSET(K41,0,0,K$16,1)=$T$24) +0),"")</f>
        <v>0</v>
      </c>
      <c r="R41" cm="1">
        <f t="array" aca="1" ref="R41" ca="1">IF(L41&lt;&gt;"", SUMPRODUCT((OFFSET(L41,0,0,L$16,1)=$T$24) +0),"")</f>
        <v>0</v>
      </c>
      <c r="T41" s="8" t="s">
        <v>26</v>
      </c>
      <c r="U41" s="56">
        <f ca="1">SUM(U38:U40)</f>
        <v>1.3889238514699169</v>
      </c>
      <c r="AB41" t="s">
        <v>64</v>
      </c>
      <c r="AC41">
        <v>4</v>
      </c>
      <c r="AD41">
        <f>(U26*$H$16*V26*$I$16*W26*$J$16*X26*$K$16*(Y27-Y26)*$L$16)+(U26*$H$16*V26*$I$16*W26*$J$16*(X27-X26)*$K$16*Y26*$L$16)+(U26*$H$16*V26*$I$16*(W27-W26)*$J$16*X26*$K$16*Y26*$L$16)+(U26*$H$16*(V27-V26)*$I$16*W26*$J$16*X26*$K$16*Y26*$L$16)+((U27-U26)*$H$16*V26*$I$16*W26*$J$16*X26*$K$16*Y26*$L$16)</f>
        <v>0</v>
      </c>
      <c r="AE41">
        <f t="shared" ref="AE41" si="17">AD41/$U$28</f>
        <v>0</v>
      </c>
      <c r="AF41" t="e">
        <f t="shared" ref="AF41:AF42" si="18">1/AE41</f>
        <v>#DIV/0!</v>
      </c>
      <c r="AG41">
        <v>5</v>
      </c>
      <c r="AH41">
        <f ca="1">AG41*Freespins!$U$40*AE41</f>
        <v>0</v>
      </c>
    </row>
    <row r="42" spans="1:41" x14ac:dyDescent="0.3">
      <c r="A42" t="str">
        <v>P4</v>
      </c>
      <c r="B42" t="str">
        <v>P1</v>
      </c>
      <c r="C42" t="str">
        <v>P2</v>
      </c>
      <c r="D42" t="str">
        <v>P5</v>
      </c>
      <c r="E42" t="str">
        <v>SCAT</v>
      </c>
      <c r="H42" t="str" cm="1">
        <f t="array" aca="1" ref="H42" ca="1">IF(ROW(A42)-H$15 &lt; H$14,A42,IF(ROW(A42) - H$15 -H$16 + 1 &lt; H$14,INDIRECT(ADDRESS(MOD(ROW(A42) - H$15, H$14) + H$15, COLUMN(A42))),""))</f>
        <v>P4</v>
      </c>
      <c r="I42" t="str" cm="1">
        <f t="array" aca="1" ref="I42" ca="1">IF(ROW(B42)-I$15 &lt; I$14,B42,IF(ROW(B42) - I$15 -I$16 + 1 &lt; I$14,INDIRECT(ADDRESS(MOD(ROW(B42) - I$15, I$14) + I$15, COLUMN(B42))),""))</f>
        <v>P1</v>
      </c>
      <c r="J42" t="str" cm="1">
        <f t="array" aca="1" ref="J42" ca="1">IF(ROW(C42)-J$15 &lt; J$14,C42,IF(ROW(C42) - J$15 -J$16 + 1 &lt; J$14,INDIRECT(ADDRESS(MOD(ROW(C42) - J$15, J$14) + J$15, COLUMN(C42))),""))</f>
        <v>P2</v>
      </c>
      <c r="K42" t="str" cm="1">
        <f t="array" aca="1" ref="K42" ca="1">IF(ROW(D42)-K$15 &lt; K$14,D42,IF(ROW(D42) - K$15 -K$16 + 1 &lt; K$14,INDIRECT(ADDRESS(MOD(ROW(D42) - K$15, K$14) + K$15, COLUMN(D42))),""))</f>
        <v>P5</v>
      </c>
      <c r="L42" t="str" cm="1">
        <f t="array" aca="1" ref="L42" ca="1">IF(ROW(E42)-L$15 &lt; L$14,E42,IF(ROW(E42) - L$15 -L$16 + 1 &lt; L$14,INDIRECT(ADDRESS(MOD(ROW(E42) - L$15, L$14) + L$15, COLUMN(E42))),""))</f>
        <v>SCAT</v>
      </c>
      <c r="N42" cm="1">
        <f t="array" aca="1" ref="N42" ca="1">IF(H42&lt;&gt;"", SUMPRODUCT((OFFSET(H42,0,0,H$16,1)=$T$24) +0),"")</f>
        <v>0</v>
      </c>
      <c r="O42" cm="1">
        <f t="array" aca="1" ref="O42" ca="1">IF(I42&lt;&gt;"", SUMPRODUCT((OFFSET(I42,0,0,I$16,1)=$T$24) +0),"")</f>
        <v>0</v>
      </c>
      <c r="P42" cm="1">
        <f t="array" aca="1" ref="P42" ca="1">IF(J42&lt;&gt;"", SUMPRODUCT((OFFSET(J42,0,0,J$16,1)=$T$24) +0),"")</f>
        <v>0</v>
      </c>
      <c r="Q42" cm="1">
        <f t="array" aca="1" ref="Q42" ca="1">IF(K42&lt;&gt;"", SUMPRODUCT((OFFSET(K42,0,0,K$16,1)=$T$24) +0),"")</f>
        <v>0</v>
      </c>
      <c r="R42" cm="1">
        <f t="array" aca="1" ref="R42" ca="1">IF(L42&lt;&gt;"", SUMPRODUCT((OFFSET(L42,0,0,L$16,1)=$T$24) +0),"")</f>
        <v>0</v>
      </c>
      <c r="AB42" t="s">
        <v>64</v>
      </c>
      <c r="AC42">
        <v>3</v>
      </c>
      <c r="AD42">
        <f>U26*H16*V27*X27*W26*Y26*L16*J16</f>
        <v>76723200</v>
      </c>
      <c r="AE42">
        <f>AD42/$U$28</f>
        <v>2.6674899660389009E-2</v>
      </c>
      <c r="AF42">
        <f t="shared" si="18"/>
        <v>37.488425925925924</v>
      </c>
      <c r="AG42">
        <v>5</v>
      </c>
      <c r="AH42">
        <f ca="1">AG42*Freespins!$U$40*AE42</f>
        <v>0.79109024312399778</v>
      </c>
    </row>
    <row r="43" spans="1:41" x14ac:dyDescent="0.3">
      <c r="A43" t="str">
        <v>P5</v>
      </c>
      <c r="B43" t="str">
        <v>P4</v>
      </c>
      <c r="C43" t="str">
        <v>P6</v>
      </c>
      <c r="D43" t="str">
        <v>P3</v>
      </c>
      <c r="E43" t="str">
        <v>P1</v>
      </c>
      <c r="H43" t="str" cm="1">
        <f t="array" aca="1" ref="H43" ca="1">IF(ROW(A43)-H$15 &lt; H$14,A43,IF(ROW(A43) - H$15 -H$16 + 1 &lt; H$14,INDIRECT(ADDRESS(MOD(ROW(A43) - H$15, H$14) + H$15, COLUMN(A43))),""))</f>
        <v>P5</v>
      </c>
      <c r="I43" t="str" cm="1">
        <f t="array" aca="1" ref="I43" ca="1">IF(ROW(B43)-I$15 &lt; I$14,B43,IF(ROW(B43) - I$15 -I$16 + 1 &lt; I$14,INDIRECT(ADDRESS(MOD(ROW(B43) - I$15, I$14) + I$15, COLUMN(B43))),""))</f>
        <v>P4</v>
      </c>
      <c r="J43" t="str" cm="1">
        <f t="array" aca="1" ref="J43" ca="1">IF(ROW(C43)-J$15 &lt; J$14,C43,IF(ROW(C43) - J$15 -J$16 + 1 &lt; J$14,INDIRECT(ADDRESS(MOD(ROW(C43) - J$15, J$14) + J$15, COLUMN(C43))),""))</f>
        <v>P6</v>
      </c>
      <c r="K43" t="str" cm="1">
        <f t="array" aca="1" ref="K43" ca="1">IF(ROW(D43)-K$15 &lt; K$14,D43,IF(ROW(D43) - K$15 -K$16 + 1 &lt; K$14,INDIRECT(ADDRESS(MOD(ROW(D43) - K$15, K$14) + K$15, COLUMN(D43))),""))</f>
        <v>P3</v>
      </c>
      <c r="L43" t="str" cm="1">
        <f t="array" aca="1" ref="L43" ca="1">IF(ROW(E43)-L$15 &lt; L$14,E43,IF(ROW(E43) - L$15 -L$16 + 1 &lt; L$14,INDIRECT(ADDRESS(MOD(ROW(E43) - L$15, L$14) + L$15, COLUMN(E43))),""))</f>
        <v>P1</v>
      </c>
      <c r="N43" cm="1">
        <f t="array" aca="1" ref="N43" ca="1">IF(H43&lt;&gt;"", SUMPRODUCT((OFFSET(H43,0,0,H$16,1)=$T$24) +0),"")</f>
        <v>0</v>
      </c>
      <c r="O43" cm="1">
        <f t="array" aca="1" ref="O43" ca="1">IF(I43&lt;&gt;"", SUMPRODUCT((OFFSET(I43,0,0,I$16,1)=$T$24) +0),"")</f>
        <v>0</v>
      </c>
      <c r="P43" cm="1">
        <f t="array" aca="1" ref="P43" ca="1">IF(J43&lt;&gt;"", SUMPRODUCT((OFFSET(J43,0,0,J$16,1)=$T$24) +0),"")</f>
        <v>0</v>
      </c>
      <c r="Q43" cm="1">
        <f t="array" aca="1" ref="Q43" ca="1">IF(K43&lt;&gt;"", SUMPRODUCT((OFFSET(K43,0,0,K$16,1)=$T$24) +0),"")</f>
        <v>0</v>
      </c>
      <c r="R43" cm="1">
        <f t="array" aca="1" ref="R43" ca="1">IF(L43&lt;&gt;"", SUMPRODUCT((OFFSET(L43,0,0,L$16,1)=$T$24) +0),"")</f>
        <v>0</v>
      </c>
      <c r="U43" s="4"/>
      <c r="V43" s="4"/>
      <c r="W43" s="4"/>
      <c r="AE43" s="58"/>
    </row>
    <row r="44" spans="1:41" x14ac:dyDescent="0.3">
      <c r="A44" t="str">
        <v>P2</v>
      </c>
      <c r="B44" t="str">
        <v>P4</v>
      </c>
      <c r="C44" t="str">
        <v>SCAT</v>
      </c>
      <c r="D44" t="str">
        <v>WILD</v>
      </c>
      <c r="E44" t="str">
        <v>P6</v>
      </c>
      <c r="H44" t="str" cm="1">
        <f t="array" aca="1" ref="H44" ca="1">IF(ROW(A44)-H$15 &lt; H$14,A44,IF(ROW(A44) - H$15 -H$16 + 1 &lt; H$14,INDIRECT(ADDRESS(MOD(ROW(A44) - H$15, H$14) + H$15, COLUMN(A44))),""))</f>
        <v>P2</v>
      </c>
      <c r="I44" t="str" cm="1">
        <f t="array" aca="1" ref="I44" ca="1">IF(ROW(B44)-I$15 &lt; I$14,B44,IF(ROW(B44) - I$15 -I$16 + 1 &lt; I$14,INDIRECT(ADDRESS(MOD(ROW(B44) - I$15, I$14) + I$15, COLUMN(B44))),""))</f>
        <v>P4</v>
      </c>
      <c r="J44" t="str" cm="1">
        <f t="array" aca="1" ref="J44" ca="1">IF(ROW(C44)-J$15 &lt; J$14,C44,IF(ROW(C44) - J$15 -J$16 + 1 &lt; J$14,INDIRECT(ADDRESS(MOD(ROW(C44) - J$15, J$14) + J$15, COLUMN(C44))),""))</f>
        <v>SCAT</v>
      </c>
      <c r="K44" t="str" cm="1">
        <f t="array" aca="1" ref="K44" ca="1">IF(ROW(D44)-K$15 &lt; K$14,D44,IF(ROW(D44) - K$15 -K$16 + 1 &lt; K$14,INDIRECT(ADDRESS(MOD(ROW(D44) - K$15, K$14) + K$15, COLUMN(D44))),""))</f>
        <v>WILD</v>
      </c>
      <c r="L44" t="str" cm="1">
        <f t="array" aca="1" ref="L44" ca="1">IF(ROW(E44)-L$15 &lt; L$14,E44,IF(ROW(E44) - L$15 -L$16 + 1 &lt; L$14,INDIRECT(ADDRESS(MOD(ROW(E44) - L$15, L$14) + L$15, COLUMN(E44))),""))</f>
        <v>P6</v>
      </c>
      <c r="N44" cm="1">
        <f t="array" aca="1" ref="N44" ca="1">IF(H44&lt;&gt;"", SUMPRODUCT((OFFSET(H44,0,0,H$16,1)=$T$24) +0),"")</f>
        <v>0</v>
      </c>
      <c r="O44" cm="1">
        <f t="array" aca="1" ref="O44" ca="1">IF(I44&lt;&gt;"", SUMPRODUCT((OFFSET(I44,0,0,I$16,1)=$T$24) +0),"")</f>
        <v>0</v>
      </c>
      <c r="P44" cm="1">
        <f t="array" aca="1" ref="P44" ca="1">IF(J44&lt;&gt;"", SUMPRODUCT((OFFSET(J44,0,0,J$16,1)=$T$24) +0),"")</f>
        <v>0</v>
      </c>
      <c r="Q44" cm="1">
        <f t="array" aca="1" ref="Q44" ca="1">IF(K44&lt;&gt;"", SUMPRODUCT((OFFSET(K44,0,0,K$16,1)=$T$24) +0),"")</f>
        <v>0</v>
      </c>
      <c r="R44" cm="1">
        <f t="array" aca="1" ref="R44" ca="1">IF(L44&lt;&gt;"", SUMPRODUCT((OFFSET(L44,0,0,L$16,1)=$T$24) +0),"")</f>
        <v>0</v>
      </c>
    </row>
    <row r="45" spans="1:41" x14ac:dyDescent="0.3">
      <c r="A45" t="str">
        <v>SCAT</v>
      </c>
      <c r="B45" t="str">
        <v>P5</v>
      </c>
      <c r="C45" t="str">
        <v>P2</v>
      </c>
      <c r="D45" t="str">
        <v>P4</v>
      </c>
      <c r="E45" t="str">
        <v>P6</v>
      </c>
      <c r="H45" t="str" cm="1">
        <f t="array" aca="1" ref="H45" ca="1">IF(ROW(A45)-H$15 &lt; H$14,A45,IF(ROW(A45) - H$15 -H$16 + 1 &lt; H$14,INDIRECT(ADDRESS(MOD(ROW(A45) - H$15, H$14) + H$15, COLUMN(A45))),""))</f>
        <v>SCAT</v>
      </c>
      <c r="I45" t="str" cm="1">
        <f t="array" aca="1" ref="I45" ca="1">IF(ROW(B45)-I$15 &lt; I$14,B45,IF(ROW(B45) - I$15 -I$16 + 1 &lt; I$14,INDIRECT(ADDRESS(MOD(ROW(B45) - I$15, I$14) + I$15, COLUMN(B45))),""))</f>
        <v>P5</v>
      </c>
      <c r="J45" t="str" cm="1">
        <f t="array" aca="1" ref="J45" ca="1">IF(ROW(C45)-J$15 &lt; J$14,C45,IF(ROW(C45) - J$15 -J$16 + 1 &lt; J$14,INDIRECT(ADDRESS(MOD(ROW(C45) - J$15, J$14) + J$15, COLUMN(C45))),""))</f>
        <v>P2</v>
      </c>
      <c r="K45" t="str" cm="1">
        <f t="array" aca="1" ref="K45" ca="1">IF(ROW(D45)-K$15 &lt; K$14,D45,IF(ROW(D45) - K$15 -K$16 + 1 &lt; K$14,INDIRECT(ADDRESS(MOD(ROW(D45) - K$15, K$14) + K$15, COLUMN(D45))),""))</f>
        <v>P4</v>
      </c>
      <c r="L45" t="str" cm="1">
        <f t="array" aca="1" ref="L45" ca="1">IF(ROW(E45)-L$15 &lt; L$14,E45,IF(ROW(E45) - L$15 -L$16 + 1 &lt; L$14,INDIRECT(ADDRESS(MOD(ROW(E45) - L$15, L$14) + L$15, COLUMN(E45))),""))</f>
        <v>P6</v>
      </c>
      <c r="N45" cm="1">
        <f t="array" aca="1" ref="N45" ca="1">IF(H45&lt;&gt;"", SUMPRODUCT((OFFSET(H45,0,0,H$16,1)=$T$24) +0),"")</f>
        <v>0</v>
      </c>
      <c r="O45" cm="1">
        <f t="array" aca="1" ref="O45" ca="1">IF(I45&lt;&gt;"", SUMPRODUCT((OFFSET(I45,0,0,I$16,1)=$T$24) +0),"")</f>
        <v>0</v>
      </c>
      <c r="P45" cm="1">
        <f t="array" aca="1" ref="P45" ca="1">IF(J45&lt;&gt;"", SUMPRODUCT((OFFSET(J45,0,0,J$16,1)=$T$24) +0),"")</f>
        <v>0</v>
      </c>
      <c r="Q45" cm="1">
        <f t="array" aca="1" ref="Q45" ca="1">IF(K45&lt;&gt;"", SUMPRODUCT((OFFSET(K45,0,0,K$16,1)=$T$24) +0),"")</f>
        <v>0</v>
      </c>
      <c r="R45" cm="1">
        <f t="array" aca="1" ref="R45" ca="1">IF(L45&lt;&gt;"", SUMPRODUCT((OFFSET(L45,0,0,L$16,1)=$T$24) +0),"")</f>
        <v>0</v>
      </c>
      <c r="AL45" s="25"/>
    </row>
    <row r="46" spans="1:41" x14ac:dyDescent="0.3">
      <c r="A46" t="str">
        <v>P6</v>
      </c>
      <c r="B46" t="str">
        <v>P3</v>
      </c>
      <c r="C46" t="str">
        <v>WILD</v>
      </c>
      <c r="D46" t="str">
        <v>P4</v>
      </c>
      <c r="E46" t="str">
        <v>P2</v>
      </c>
      <c r="H46" t="str" cm="1">
        <f t="array" aca="1" ref="H46" ca="1">IF(ROW(A46)-H$15 &lt; H$14,A46,IF(ROW(A46) - H$15 -H$16 + 1 &lt; H$14,INDIRECT(ADDRESS(MOD(ROW(A46) - H$15, H$14) + H$15, COLUMN(A46))),""))</f>
        <v>P6</v>
      </c>
      <c r="I46" t="str" cm="1">
        <f t="array" aca="1" ref="I46" ca="1">IF(ROW(B46)-I$15 &lt; I$14,B46,IF(ROW(B46) - I$15 -I$16 + 1 &lt; I$14,INDIRECT(ADDRESS(MOD(ROW(B46) - I$15, I$14) + I$15, COLUMN(B46))),""))</f>
        <v>P3</v>
      </c>
      <c r="J46" t="str" cm="1">
        <f t="array" aca="1" ref="J46" ca="1">IF(ROW(C46)-J$15 &lt; J$14,C46,IF(ROW(C46) - J$15 -J$16 + 1 &lt; J$14,INDIRECT(ADDRESS(MOD(ROW(C46) - J$15, J$14) + J$15, COLUMN(C46))),""))</f>
        <v>WILD</v>
      </c>
      <c r="K46" t="str" cm="1">
        <f t="array" aca="1" ref="K46" ca="1">IF(ROW(D46)-K$15 &lt; K$14,D46,IF(ROW(D46) - K$15 -K$16 + 1 &lt; K$14,INDIRECT(ADDRESS(MOD(ROW(D46) - K$15, K$14) + K$15, COLUMN(D46))),""))</f>
        <v>P4</v>
      </c>
      <c r="L46" t="str" cm="1">
        <f t="array" aca="1" ref="L46" ca="1">IF(ROW(E46)-L$15 &lt; L$14,E46,IF(ROW(E46) - L$15 -L$16 + 1 &lt; L$14,INDIRECT(ADDRESS(MOD(ROW(E46) - L$15, L$14) + L$15, COLUMN(E46))),""))</f>
        <v>P2</v>
      </c>
      <c r="N46" cm="1">
        <f t="array" aca="1" ref="N46" ca="1">IF(H46&lt;&gt;"", SUMPRODUCT((OFFSET(H46,0,0,H$16,1)=$T$24) +0),"")</f>
        <v>1</v>
      </c>
      <c r="O46" cm="1">
        <f t="array" aca="1" ref="O46" ca="1">IF(I46&lt;&gt;"", SUMPRODUCT((OFFSET(I46,0,0,I$16,1)=$T$24) +0),"")</f>
        <v>0</v>
      </c>
      <c r="P46" cm="1">
        <f t="array" aca="1" ref="P46" ca="1">IF(J46&lt;&gt;"", SUMPRODUCT((OFFSET(J46,0,0,J$16,1)=$T$24) +0),"")</f>
        <v>0</v>
      </c>
      <c r="Q46" cm="1">
        <f t="array" aca="1" ref="Q46" ca="1">IF(K46&lt;&gt;"", SUMPRODUCT((OFFSET(K46,0,0,K$16,1)=$T$24) +0),"")</f>
        <v>0</v>
      </c>
      <c r="R46" cm="1">
        <f t="array" aca="1" ref="R46" ca="1">IF(L46&lt;&gt;"", SUMPRODUCT((OFFSET(L46,0,0,L$16,1)=$T$24) +0),"")</f>
        <v>0</v>
      </c>
    </row>
    <row r="47" spans="1:41" x14ac:dyDescent="0.3">
      <c r="A47" t="str">
        <v>P5</v>
      </c>
      <c r="B47" t="str">
        <v>P3</v>
      </c>
      <c r="C47" t="str">
        <v>P4</v>
      </c>
      <c r="D47" t="str">
        <v>P5</v>
      </c>
      <c r="E47" t="str">
        <v>P4</v>
      </c>
      <c r="H47" t="str" cm="1">
        <f t="array" aca="1" ref="H47" ca="1">IF(ROW(A47)-H$15 &lt; H$14,A47,IF(ROW(A47) - H$15 -H$16 + 1 &lt; H$14,INDIRECT(ADDRESS(MOD(ROW(A47) - H$15, H$14) + H$15, COLUMN(A47))),""))</f>
        <v>P5</v>
      </c>
      <c r="I47" t="str" cm="1">
        <f t="array" aca="1" ref="I47" ca="1">IF(ROW(B47)-I$15 &lt; I$14,B47,IF(ROW(B47) - I$15 -I$16 + 1 &lt; I$14,INDIRECT(ADDRESS(MOD(ROW(B47) - I$15, I$14) + I$15, COLUMN(B47))),""))</f>
        <v>P3</v>
      </c>
      <c r="J47" t="str" cm="1">
        <f t="array" aca="1" ref="J47" ca="1">IF(ROW(C47)-J$15 &lt; J$14,C47,IF(ROW(C47) - J$15 -J$16 + 1 &lt; J$14,INDIRECT(ADDRESS(MOD(ROW(C47) - J$15, J$14) + J$15, COLUMN(C47))),""))</f>
        <v>P4</v>
      </c>
      <c r="K47" t="str" cm="1">
        <f t="array" aca="1" ref="K47" ca="1">IF(ROW(D47)-K$15 &lt; K$14,D47,IF(ROW(D47) - K$15 -K$16 + 1 &lt; K$14,INDIRECT(ADDRESS(MOD(ROW(D47) - K$15, K$14) + K$15, COLUMN(D47))),""))</f>
        <v>P5</v>
      </c>
      <c r="L47" t="str" cm="1">
        <f t="array" aca="1" ref="L47" ca="1">IF(ROW(E47)-L$15 &lt; L$14,E47,IF(ROW(E47) - L$15 -L$16 + 1 &lt; L$14,INDIRECT(ADDRESS(MOD(ROW(E47) - L$15, L$14) + L$15, COLUMN(E47))),""))</f>
        <v>P4</v>
      </c>
      <c r="N47" cm="1">
        <f t="array" aca="1" ref="N47" ca="1">IF(H47&lt;&gt;"", SUMPRODUCT((OFFSET(H47,0,0,H$16,1)=$T$24) +0),"")</f>
        <v>1</v>
      </c>
      <c r="O47" cm="1">
        <f t="array" aca="1" ref="O47" ca="1">IF(I47&lt;&gt;"", SUMPRODUCT((OFFSET(I47,0,0,I$16,1)=$T$24) +0),"")</f>
        <v>0</v>
      </c>
      <c r="P47" cm="1">
        <f t="array" aca="1" ref="P47" ca="1">IF(J47&lt;&gt;"", SUMPRODUCT((OFFSET(J47,0,0,J$16,1)=$T$24) +0),"")</f>
        <v>0</v>
      </c>
      <c r="Q47" cm="1">
        <f t="array" aca="1" ref="Q47" ca="1">IF(K47&lt;&gt;"", SUMPRODUCT((OFFSET(K47,0,0,K$16,1)=$T$24) +0),"")</f>
        <v>0</v>
      </c>
      <c r="R47" cm="1">
        <f t="array" aca="1" ref="R47" ca="1">IF(L47&lt;&gt;"", SUMPRODUCT((OFFSET(L47,0,0,L$16,1)=$T$24) +0),"")</f>
        <v>0</v>
      </c>
    </row>
    <row r="48" spans="1:41" x14ac:dyDescent="0.3">
      <c r="A48" t="str">
        <v>CP</v>
      </c>
      <c r="B48" t="str">
        <v>P5</v>
      </c>
      <c r="C48" t="str">
        <v>P6</v>
      </c>
      <c r="D48" t="str">
        <v>P1</v>
      </c>
      <c r="E48" t="str">
        <v>P5</v>
      </c>
      <c r="H48" t="str" cm="1">
        <f t="array" aca="1" ref="H48" ca="1">IF(ROW(A48)-H$15 &lt; H$14,A48,IF(ROW(A48) - H$15 -H$16 + 1 &lt; H$14,INDIRECT(ADDRESS(MOD(ROW(A48) - H$15, H$14) + H$15, COLUMN(A48))),""))</f>
        <v>CP</v>
      </c>
      <c r="I48" t="str" cm="1">
        <f t="array" aca="1" ref="I48" ca="1">IF(ROW(B48)-I$15 &lt; I$14,B48,IF(ROW(B48) - I$15 -I$16 + 1 &lt; I$14,INDIRECT(ADDRESS(MOD(ROW(B48) - I$15, I$14) + I$15, COLUMN(B48))),""))</f>
        <v>P5</v>
      </c>
      <c r="J48" t="str" cm="1">
        <f t="array" aca="1" ref="J48" ca="1">IF(ROW(C48)-J$15 &lt; J$14,C48,IF(ROW(C48) - J$15 -J$16 + 1 &lt; J$14,INDIRECT(ADDRESS(MOD(ROW(C48) - J$15, J$14) + J$15, COLUMN(C48))),""))</f>
        <v>P6</v>
      </c>
      <c r="K48" t="str" cm="1">
        <f t="array" aca="1" ref="K48" ca="1">IF(ROW(D48)-K$15 &lt; K$14,D48,IF(ROW(D48) - K$15 -K$16 + 1 &lt; K$14,INDIRECT(ADDRESS(MOD(ROW(D48) - K$15, K$14) + K$15, COLUMN(D48))),""))</f>
        <v>P1</v>
      </c>
      <c r="L48" t="str" cm="1">
        <f t="array" aca="1" ref="L48" ca="1">IF(ROW(E48)-L$15 &lt; L$14,E48,IF(ROW(E48) - L$15 -L$16 + 1 &lt; L$14,INDIRECT(ADDRESS(MOD(ROW(E48) - L$15, L$14) + L$15, COLUMN(E48))),""))</f>
        <v>P5</v>
      </c>
      <c r="N48" cm="1">
        <f t="array" aca="1" ref="N48" ca="1">IF(H48&lt;&gt;"", SUMPRODUCT((OFFSET(H48,0,0,H$16,1)=$T$24) +0),"")</f>
        <v>1</v>
      </c>
      <c r="O48" cm="1">
        <f t="array" aca="1" ref="O48" ca="1">IF(I48&lt;&gt;"", SUMPRODUCT((OFFSET(I48,0,0,I$16,1)=$T$24) +0),"")</f>
        <v>0</v>
      </c>
      <c r="P48" cm="1">
        <f t="array" aca="1" ref="P48" ca="1">IF(J48&lt;&gt;"", SUMPRODUCT((OFFSET(J48,0,0,J$16,1)=$T$24) +0),"")</f>
        <v>0</v>
      </c>
      <c r="Q48" cm="1">
        <f t="array" aca="1" ref="Q48" ca="1">IF(K48&lt;&gt;"", SUMPRODUCT((OFFSET(K48,0,0,K$16,1)=$T$24) +0),"")</f>
        <v>0</v>
      </c>
      <c r="R48" cm="1">
        <f t="array" aca="1" ref="R48" ca="1">IF(L48&lt;&gt;"", SUMPRODUCT((OFFSET(L48,0,0,L$16,1)=$T$24) +0),"")</f>
        <v>0</v>
      </c>
    </row>
    <row r="49" spans="1:40" x14ac:dyDescent="0.3">
      <c r="A49" t="str">
        <v>P6</v>
      </c>
      <c r="B49" t="str">
        <v>P2</v>
      </c>
      <c r="C49" t="str">
        <v>P5</v>
      </c>
      <c r="D49" t="str">
        <v>P3</v>
      </c>
      <c r="E49" t="str">
        <v>P1</v>
      </c>
      <c r="H49" t="str" cm="1">
        <f t="array" aca="1" ref="H49" ca="1">IF(ROW(A49)-H$15 &lt; H$14,A49,IF(ROW(A49) - H$15 -H$16 + 1 &lt; H$14,INDIRECT(ADDRESS(MOD(ROW(A49) - H$15, H$14) + H$15, COLUMN(A49))),""))</f>
        <v>P6</v>
      </c>
      <c r="I49" t="str" cm="1">
        <f t="array" aca="1" ref="I49" ca="1">IF(ROW(B49)-I$15 &lt; I$14,B49,IF(ROW(B49) - I$15 -I$16 + 1 &lt; I$14,INDIRECT(ADDRESS(MOD(ROW(B49) - I$15, I$14) + I$15, COLUMN(B49))),""))</f>
        <v>P2</v>
      </c>
      <c r="J49" t="str" cm="1">
        <f t="array" aca="1" ref="J49" ca="1">IF(ROW(C49)-J$15 &lt; J$14,C49,IF(ROW(C49) - J$15 -J$16 + 1 &lt; J$14,INDIRECT(ADDRESS(MOD(ROW(C49) - J$15, J$14) + J$15, COLUMN(C49))),""))</f>
        <v>P5</v>
      </c>
      <c r="K49" t="str" cm="1">
        <f t="array" aca="1" ref="K49" ca="1">IF(ROW(D49)-K$15 &lt; K$14,D49,IF(ROW(D49) - K$15 -K$16 + 1 &lt; K$14,INDIRECT(ADDRESS(MOD(ROW(D49) - K$15, K$14) + K$15, COLUMN(D49))),""))</f>
        <v>P3</v>
      </c>
      <c r="L49" t="str" cm="1">
        <f t="array" aca="1" ref="L49" ca="1">IF(ROW(E49)-L$15 &lt; L$14,E49,IF(ROW(E49) - L$15 -L$16 + 1 &lt; L$14,INDIRECT(ADDRESS(MOD(ROW(E49) - L$15, L$14) + L$15, COLUMN(E49))),""))</f>
        <v>P1</v>
      </c>
      <c r="N49" cm="1">
        <f t="array" aca="1" ref="N49" ca="1">IF(H49&lt;&gt;"", SUMPRODUCT((OFFSET(H49,0,0,H$16,1)=$T$24) +0),"")</f>
        <v>0</v>
      </c>
      <c r="O49" cm="1">
        <f t="array" aca="1" ref="O49" ca="1">IF(I49&lt;&gt;"", SUMPRODUCT((OFFSET(I49,0,0,I$16,1)=$T$24) +0),"")</f>
        <v>0</v>
      </c>
      <c r="P49" cm="1">
        <f t="array" aca="1" ref="P49" ca="1">IF(J49&lt;&gt;"", SUMPRODUCT((OFFSET(J49,0,0,J$16,1)=$T$24) +0),"")</f>
        <v>0</v>
      </c>
      <c r="Q49" cm="1">
        <f t="array" aca="1" ref="Q49" ca="1">IF(K49&lt;&gt;"", SUMPRODUCT((OFFSET(K49,0,0,K$16,1)=$T$24) +0),"")</f>
        <v>0</v>
      </c>
      <c r="R49" cm="1">
        <f t="array" aca="1" ref="R49" ca="1">IF(L49&lt;&gt;"", SUMPRODUCT((OFFSET(L49,0,0,L$16,1)=$T$24) +0),"")</f>
        <v>0</v>
      </c>
    </row>
    <row r="50" spans="1:40" x14ac:dyDescent="0.3">
      <c r="A50" t="str">
        <v>P3</v>
      </c>
      <c r="B50" t="str">
        <v>P4</v>
      </c>
      <c r="C50" t="str">
        <v>P1</v>
      </c>
      <c r="D50" t="str">
        <v>P5</v>
      </c>
      <c r="E50" t="str">
        <v>P4</v>
      </c>
      <c r="H50" t="str" cm="1">
        <f t="array" aca="1" ref="H50" ca="1">IF(ROW(A50)-H$15 &lt; H$14,A50,IF(ROW(A50) - H$15 -H$16 + 1 &lt; H$14,INDIRECT(ADDRESS(MOD(ROW(A50) - H$15, H$14) + H$15, COLUMN(A50))),""))</f>
        <v>P3</v>
      </c>
      <c r="I50" t="str" cm="1">
        <f t="array" aca="1" ref="I50" ca="1">IF(ROW(B50)-I$15 &lt; I$14,B50,IF(ROW(B50) - I$15 -I$16 + 1 &lt; I$14,INDIRECT(ADDRESS(MOD(ROW(B50) - I$15, I$14) + I$15, COLUMN(B50))),""))</f>
        <v>P4</v>
      </c>
      <c r="J50" t="str" cm="1">
        <f t="array" aca="1" ref="J50" ca="1">IF(ROW(C50)-J$15 &lt; J$14,C50,IF(ROW(C50) - J$15 -J$16 + 1 &lt; J$14,INDIRECT(ADDRESS(MOD(ROW(C50) - J$15, J$14) + J$15, COLUMN(C50))),""))</f>
        <v>P1</v>
      </c>
      <c r="K50" t="str" cm="1">
        <f t="array" aca="1" ref="K50" ca="1">IF(ROW(D50)-K$15 &lt; K$14,D50,IF(ROW(D50) - K$15 -K$16 + 1 &lt; K$14,INDIRECT(ADDRESS(MOD(ROW(D50) - K$15, K$14) + K$15, COLUMN(D50))),""))</f>
        <v>P5</v>
      </c>
      <c r="L50" t="str" cm="1">
        <f t="array" aca="1" ref="L50" ca="1">IF(ROW(E50)-L$15 &lt; L$14,E50,IF(ROW(E50) - L$15 -L$16 + 1 &lt; L$14,INDIRECT(ADDRESS(MOD(ROW(E50) - L$15, L$14) + L$15, COLUMN(E50))),""))</f>
        <v>P4</v>
      </c>
      <c r="N50" cm="1">
        <f t="array" aca="1" ref="N50" ca="1">IF(H50&lt;&gt;"", SUMPRODUCT((OFFSET(H50,0,0,H$16,1)=$T$24) +0),"")</f>
        <v>0</v>
      </c>
      <c r="O50" cm="1">
        <f t="array" aca="1" ref="O50" ca="1">IF(I50&lt;&gt;"", SUMPRODUCT((OFFSET(I50,0,0,I$16,1)=$T$24) +0),"")</f>
        <v>0</v>
      </c>
      <c r="P50" cm="1">
        <f t="array" aca="1" ref="P50" ca="1">IF(J50&lt;&gt;"", SUMPRODUCT((OFFSET(J50,0,0,J$16,1)=$T$24) +0),"")</f>
        <v>0</v>
      </c>
      <c r="Q50" cm="1">
        <f t="array" aca="1" ref="Q50" ca="1">IF(K50&lt;&gt;"", SUMPRODUCT((OFFSET(K50,0,0,K$16,1)=$T$24) +0),"")</f>
        <v>0</v>
      </c>
      <c r="R50" cm="1">
        <f t="array" aca="1" ref="R50" ca="1">IF(L50&lt;&gt;"", SUMPRODUCT((OFFSET(L50,0,0,L$16,1)=$T$24) +0),"")</f>
        <v>1</v>
      </c>
      <c r="T50" s="1" t="s">
        <v>46</v>
      </c>
      <c r="U50" s="41" t="s">
        <v>18</v>
      </c>
      <c r="V50" s="16" t="s">
        <v>19</v>
      </c>
      <c r="W50" s="1" t="s">
        <v>20</v>
      </c>
      <c r="X50" s="1" t="s">
        <v>56</v>
      </c>
      <c r="Y50" s="1" t="s">
        <v>57</v>
      </c>
      <c r="AB50">
        <f>1</f>
        <v>1</v>
      </c>
      <c r="AC50">
        <f>AB50*(H16+1)</f>
        <v>4</v>
      </c>
      <c r="AD50">
        <f>AC50*(I16+1)</f>
        <v>16</v>
      </c>
      <c r="AE50">
        <f>AD50*(J16+1)</f>
        <v>64</v>
      </c>
      <c r="AF50">
        <f>AE50*(K16+1)</f>
        <v>256</v>
      </c>
    </row>
    <row r="51" spans="1:40" x14ac:dyDescent="0.3">
      <c r="A51" t="str">
        <v>P4</v>
      </c>
      <c r="B51" t="str">
        <v>P6</v>
      </c>
      <c r="C51" t="str">
        <v>P4</v>
      </c>
      <c r="D51" t="str">
        <v>P6</v>
      </c>
      <c r="E51" t="str">
        <v>P5</v>
      </c>
      <c r="H51" t="str" cm="1">
        <f t="array" aca="1" ref="H51" ca="1">IF(ROW(A51)-H$15 &lt; H$14,A51,IF(ROW(A51) - H$15 -H$16 + 1 &lt; H$14,INDIRECT(ADDRESS(MOD(ROW(A51) - H$15, H$14) + H$15, COLUMN(A51))),""))</f>
        <v>P4</v>
      </c>
      <c r="I51" t="str" cm="1">
        <f t="array" aca="1" ref="I51" ca="1">IF(ROW(B51)-I$15 &lt; I$14,B51,IF(ROW(B51) - I$15 -I$16 + 1 &lt; I$14,INDIRECT(ADDRESS(MOD(ROW(B51) - I$15, I$14) + I$15, COLUMN(B51))),""))</f>
        <v>P6</v>
      </c>
      <c r="J51" t="str" cm="1">
        <f t="array" aca="1" ref="J51" ca="1">IF(ROW(C51)-J$15 &lt; J$14,C51,IF(ROW(C51) - J$15 -J$16 + 1 &lt; J$14,INDIRECT(ADDRESS(MOD(ROW(C51) - J$15, J$14) + J$15, COLUMN(C51))),""))</f>
        <v>P4</v>
      </c>
      <c r="K51" t="str" cm="1">
        <f t="array" aca="1" ref="K51" ca="1">IF(ROW(D51)-K$15 &lt; K$14,D51,IF(ROW(D51) - K$15 -K$16 + 1 &lt; K$14,INDIRECT(ADDRESS(MOD(ROW(D51) - K$15, K$14) + K$15, COLUMN(D51))),""))</f>
        <v>P6</v>
      </c>
      <c r="L51" t="str" cm="1">
        <f t="array" aca="1" ref="L51" ca="1">IF(ROW(E51)-L$15 &lt; L$14,E51,IF(ROW(E51) - L$15 -L$16 + 1 &lt; L$14,INDIRECT(ADDRESS(MOD(ROW(E51) - L$15, L$14) + L$15, COLUMN(E51))),""))</f>
        <v>P5</v>
      </c>
      <c r="N51" cm="1">
        <f t="array" aca="1" ref="N51" ca="1">IF(H51&lt;&gt;"", SUMPRODUCT((OFFSET(H51,0,0,H$16,1)=$T$24) +0),"")</f>
        <v>0</v>
      </c>
      <c r="O51" cm="1">
        <f t="array" aca="1" ref="O51" ca="1">IF(I51&lt;&gt;"", SUMPRODUCT((OFFSET(I51,0,0,I$16,1)=$T$24) +0),"")</f>
        <v>0</v>
      </c>
      <c r="P51" cm="1">
        <f t="array" aca="1" ref="P51" ca="1">IF(J51&lt;&gt;"", SUMPRODUCT((OFFSET(J51,0,0,J$16,1)=$T$24) +0),"")</f>
        <v>0</v>
      </c>
      <c r="Q51" cm="1">
        <f t="array" aca="1" ref="Q51" ca="1">IF(K51&lt;&gt;"", SUMPRODUCT((OFFSET(K51,0,0,K$16,1)=$T$24) +0),"")</f>
        <v>0</v>
      </c>
      <c r="R51" cm="1">
        <f t="array" aca="1" ref="R51" ca="1">IF(L51&lt;&gt;"", SUMPRODUCT((OFFSET(L51,0,0,L$16,1)=$T$24) +0),"")</f>
        <v>1</v>
      </c>
      <c r="T51" s="42">
        <v>0</v>
      </c>
      <c r="U51" s="43">
        <f t="shared" ref="U51:Y55" ca="1" si="19">COUNTIF(N:N,$T51)</f>
        <v>69</v>
      </c>
      <c r="V51" s="43">
        <f t="shared" ca="1" si="19"/>
        <v>68</v>
      </c>
      <c r="W51" s="43">
        <f t="shared" ca="1" si="19"/>
        <v>73</v>
      </c>
      <c r="X51" s="43">
        <f t="shared" ca="1" si="19"/>
        <v>66</v>
      </c>
      <c r="Y51" s="43">
        <f t="shared" ca="1" si="19"/>
        <v>64</v>
      </c>
      <c r="AA51">
        <f>ROW(AA52)</f>
        <v>52</v>
      </c>
      <c r="AB51" s="80" t="s">
        <v>47</v>
      </c>
      <c r="AC51" s="76"/>
      <c r="AD51" s="76"/>
      <c r="AE51" s="76"/>
      <c r="AF51" s="81"/>
      <c r="AG51" s="45" t="s">
        <v>53</v>
      </c>
      <c r="AH51" s="45" t="s">
        <v>37</v>
      </c>
      <c r="AI51" s="45" t="s">
        <v>34</v>
      </c>
      <c r="AJ51" s="45" t="s">
        <v>6</v>
      </c>
      <c r="AL51" s="4" t="s">
        <v>54</v>
      </c>
      <c r="AN51" s="4"/>
    </row>
    <row r="52" spans="1:40" x14ac:dyDescent="0.3">
      <c r="A52" t="str">
        <v>P3</v>
      </c>
      <c r="B52" t="str">
        <v>P6</v>
      </c>
      <c r="C52" t="str">
        <v>P5</v>
      </c>
      <c r="D52" t="str">
        <v>P4</v>
      </c>
      <c r="E52" t="str">
        <v>CP</v>
      </c>
      <c r="H52" t="str" cm="1">
        <f t="array" aca="1" ref="H52" ca="1">IF(ROW(A52)-H$15 &lt; H$14,A52,IF(ROW(A52) - H$15 -H$16 + 1 &lt; H$14,INDIRECT(ADDRESS(MOD(ROW(A52) - H$15, H$14) + H$15, COLUMN(A52))),""))</f>
        <v>P3</v>
      </c>
      <c r="I52" t="str" cm="1">
        <f t="array" aca="1" ref="I52" ca="1">IF(ROW(B52)-I$15 &lt; I$14,B52,IF(ROW(B52) - I$15 -I$16 + 1 &lt; I$14,INDIRECT(ADDRESS(MOD(ROW(B52) - I$15, I$14) + I$15, COLUMN(B52))),""))</f>
        <v>P6</v>
      </c>
      <c r="J52" t="str" cm="1">
        <f t="array" aca="1" ref="J52" ca="1">IF(ROW(C52)-J$15 &lt; J$14,C52,IF(ROW(C52) - J$15 -J$16 + 1 &lt; J$14,INDIRECT(ADDRESS(MOD(ROW(C52) - J$15, J$14) + J$15, COLUMN(C52))),""))</f>
        <v>P5</v>
      </c>
      <c r="K52" t="str" cm="1">
        <f t="array" aca="1" ref="K52" ca="1">IF(ROW(D52)-K$15 &lt; K$14,D52,IF(ROW(D52) - K$15 -K$16 + 1 &lt; K$14,INDIRECT(ADDRESS(MOD(ROW(D52) - K$15, K$14) + K$15, COLUMN(D52))),""))</f>
        <v>P4</v>
      </c>
      <c r="L52" t="str" cm="1">
        <f t="array" aca="1" ref="L52" ca="1">IF(ROW(E52)-L$15 &lt; L$14,E52,IF(ROW(E52) - L$15 -L$16 + 1 &lt; L$14,INDIRECT(ADDRESS(MOD(ROW(E52) - L$15, L$14) + L$15, COLUMN(E52))),""))</f>
        <v>CP</v>
      </c>
      <c r="N52" cm="1">
        <f t="array" aca="1" ref="N52" ca="1">IF(H52&lt;&gt;"", SUMPRODUCT((OFFSET(H52,0,0,H$16,1)=$T$24) +0),"")</f>
        <v>1</v>
      </c>
      <c r="O52" cm="1">
        <f t="array" aca="1" ref="O52" ca="1">IF(I52&lt;&gt;"", SUMPRODUCT((OFFSET(I52,0,0,I$16,1)=$T$24) +0),"")</f>
        <v>0</v>
      </c>
      <c r="P52" cm="1">
        <f t="array" aca="1" ref="P52" ca="1">IF(J52&lt;&gt;"", SUMPRODUCT((OFFSET(J52,0,0,J$16,1)=$T$24) +0),"")</f>
        <v>0</v>
      </c>
      <c r="Q52" cm="1">
        <f t="array" aca="1" ref="Q52" ca="1">IF(K52&lt;&gt;"", SUMPRODUCT((OFFSET(K52,0,0,K$16,1)=$T$24) +0),"")</f>
        <v>0</v>
      </c>
      <c r="R52" cm="1">
        <f t="array" aca="1" ref="R52" ca="1">IF(L52&lt;&gt;"", SUMPRODUCT((OFFSET(L52,0,0,L$16,1)=$T$24) +0),"")</f>
        <v>1</v>
      </c>
      <c r="T52" s="1">
        <v>1</v>
      </c>
      <c r="U52" s="43">
        <f t="shared" ca="1" si="19"/>
        <v>12</v>
      </c>
      <c r="V52" s="43">
        <f t="shared" ca="1" si="19"/>
        <v>9</v>
      </c>
      <c r="W52" s="43">
        <f t="shared" ca="1" si="19"/>
        <v>9</v>
      </c>
      <c r="X52" s="43">
        <f t="shared" ca="1" si="19"/>
        <v>8</v>
      </c>
      <c r="Y52" s="43">
        <f t="shared" ca="1" si="19"/>
        <v>18</v>
      </c>
      <c r="AB52">
        <f t="shared" ref="AB52:AF102" si="20">IF(ROW()-$AA$51 &lt; (H$16+1)^5, MOD(_xlfn.FLOOR.MATH((ROW()-$AA$51)/AB$50), H$16+1), "")</f>
        <v>0</v>
      </c>
      <c r="AC52">
        <f t="shared" si="20"/>
        <v>0</v>
      </c>
      <c r="AD52">
        <f t="shared" si="20"/>
        <v>0</v>
      </c>
      <c r="AE52">
        <f t="shared" si="20"/>
        <v>0</v>
      </c>
      <c r="AF52">
        <f t="shared" si="20"/>
        <v>0</v>
      </c>
      <c r="AG52">
        <f t="shared" ref="AG52:AG115" si="21">IF(ROW($AA52) - $AA$51 &lt; ($H$16+1)^5, SUM(AB52:AF52), "")</f>
        <v>0</v>
      </c>
      <c r="AH52">
        <f t="shared" ref="AH52:AH115" ca="1" si="22">IF(ROW($AA52) - $AA$51 &lt; (4)^5,
    (_xlfn.XLOOKUP(AB52,$T$51:$T$55,U$51:U$55,0)/U$27) * (_xlfn.XLOOKUP(AC52,$T$51:$T$55,V$51:V$55,0)/V$27) * (_xlfn.XLOOKUP(AD52,$T$51:$T$55,W$51:W$55,0)/W$27) * (_xlfn.XLOOKUP(AE52,$T$51:$T$55,X$51:X$55,0)/X$27) * (_xlfn.XLOOKUP(AF52,$T$51:$T$55,Y$51:Y$55,0)/Y$27),
"")</f>
        <v>0.50301491117545449</v>
      </c>
      <c r="AI52">
        <f>IF(ROW($AA52) - $AA$51 &lt; ($H$16+1)^5, IF(AG52 &gt;= BaseBonus!$C$16, AG52*BaseBonus!$E$31, 0), "")</f>
        <v>0</v>
      </c>
      <c r="AJ52">
        <f t="shared" ref="AJ52:AJ115" ca="1" si="23">IF(ROW($AA52) - $AA$51 &lt; ($H$16+1)^5, AH52*AI52, "")</f>
        <v>0</v>
      </c>
      <c r="AL52" s="40">
        <f ca="1">SUM(AJ52:AJ1019)</f>
        <v>1.7235049189356076E-3</v>
      </c>
      <c r="AN52" s="47"/>
    </row>
    <row r="53" spans="1:40" x14ac:dyDescent="0.3">
      <c r="A53" t="str">
        <v>P3</v>
      </c>
      <c r="B53" t="str">
        <v>P4</v>
      </c>
      <c r="C53" t="str">
        <v>P6</v>
      </c>
      <c r="D53" t="str">
        <v>P4</v>
      </c>
      <c r="E53" t="str">
        <v>WILD</v>
      </c>
      <c r="H53" t="str" cm="1">
        <f t="array" aca="1" ref="H53" ca="1">IF(ROW(A53)-H$15 &lt; H$14,A53,IF(ROW(A53) - H$15 -H$16 + 1 &lt; H$14,INDIRECT(ADDRESS(MOD(ROW(A53) - H$15, H$14) + H$15, COLUMN(A53))),""))</f>
        <v>P3</v>
      </c>
      <c r="I53" t="str" cm="1">
        <f t="array" aca="1" ref="I53" ca="1">IF(ROW(B53)-I$15 &lt; I$14,B53,IF(ROW(B53) - I$15 -I$16 + 1 &lt; I$14,INDIRECT(ADDRESS(MOD(ROW(B53) - I$15, I$14) + I$15, COLUMN(B53))),""))</f>
        <v>P4</v>
      </c>
      <c r="J53" t="str" cm="1">
        <f t="array" aca="1" ref="J53" ca="1">IF(ROW(C53)-J$15 &lt; J$14,C53,IF(ROW(C53) - J$15 -J$16 + 1 &lt; J$14,INDIRECT(ADDRESS(MOD(ROW(C53) - J$15, J$14) + J$15, COLUMN(C53))),""))</f>
        <v>P6</v>
      </c>
      <c r="K53" t="str" cm="1">
        <f t="array" aca="1" ref="K53" ca="1">IF(ROW(D53)-K$15 &lt; K$14,D53,IF(ROW(D53) - K$15 -K$16 + 1 &lt; K$14,INDIRECT(ADDRESS(MOD(ROW(D53) - K$15, K$14) + K$15, COLUMN(D53))),""))</f>
        <v>P4</v>
      </c>
      <c r="L53" t="str" cm="1">
        <f t="array" aca="1" ref="L53" ca="1">IF(ROW(E53)-L$15 &lt; L$14,E53,IF(ROW(E53) - L$15 -L$16 + 1 &lt; L$14,INDIRECT(ADDRESS(MOD(ROW(E53) - L$15, L$14) + L$15, COLUMN(E53))),""))</f>
        <v>WILD</v>
      </c>
      <c r="N53" cm="1">
        <f t="array" aca="1" ref="N53" ca="1">IF(H53&lt;&gt;"", SUMPRODUCT((OFFSET(H53,0,0,H$16,1)=$T$24) +0),"")</f>
        <v>1</v>
      </c>
      <c r="O53" cm="1">
        <f t="array" aca="1" ref="O53" ca="1">IF(I53&lt;&gt;"", SUMPRODUCT((OFFSET(I53,0,0,I$16,1)=$T$24) +0),"")</f>
        <v>0</v>
      </c>
      <c r="P53" cm="1">
        <f t="array" aca="1" ref="P53" ca="1">IF(J53&lt;&gt;"", SUMPRODUCT((OFFSET(J53,0,0,J$16,1)=$T$24) +0),"")</f>
        <v>1</v>
      </c>
      <c r="Q53" cm="1">
        <f t="array" aca="1" ref="Q53" ca="1">IF(K53&lt;&gt;"", SUMPRODUCT((OFFSET(K53,0,0,K$16,1)=$T$24) +0),"")</f>
        <v>0</v>
      </c>
      <c r="R53" cm="1">
        <f t="array" aca="1" ref="R53" ca="1">IF(L53&lt;&gt;"", SUMPRODUCT((OFFSET(L53,0,0,L$16,1)=$T$24) +0),"")</f>
        <v>1</v>
      </c>
      <c r="T53" s="1">
        <v>2</v>
      </c>
      <c r="U53" s="43">
        <f t="shared" ca="1" si="19"/>
        <v>0</v>
      </c>
      <c r="V53" s="43">
        <f t="shared" ca="1" si="19"/>
        <v>0</v>
      </c>
      <c r="W53" s="43">
        <f t="shared" ca="1" si="19"/>
        <v>0</v>
      </c>
      <c r="X53" s="43">
        <f t="shared" ca="1" si="19"/>
        <v>2</v>
      </c>
      <c r="Y53" s="43">
        <f t="shared" ca="1" si="19"/>
        <v>0</v>
      </c>
      <c r="AB53">
        <f t="shared" si="20"/>
        <v>1</v>
      </c>
      <c r="AC53">
        <f t="shared" si="20"/>
        <v>0</v>
      </c>
      <c r="AD53">
        <f t="shared" si="20"/>
        <v>0</v>
      </c>
      <c r="AE53">
        <f t="shared" si="20"/>
        <v>0</v>
      </c>
      <c r="AF53">
        <f t="shared" si="20"/>
        <v>0</v>
      </c>
      <c r="AG53">
        <f t="shared" si="21"/>
        <v>1</v>
      </c>
      <c r="AH53">
        <f t="shared" ca="1" si="22"/>
        <v>8.748085411747035E-2</v>
      </c>
      <c r="AI53">
        <f>IF(ROW($AA53) - $AA$51 &lt; ($H$16+1)^5, IF(AG53 &gt;= BaseBonus!$C$16, AG53*BaseBonus!$E$31, 0), "")</f>
        <v>0</v>
      </c>
      <c r="AJ53">
        <f t="shared" ca="1" si="23"/>
        <v>0</v>
      </c>
      <c r="AN53" s="47"/>
    </row>
    <row r="54" spans="1:40" x14ac:dyDescent="0.3">
      <c r="A54" t="str">
        <v>CP</v>
      </c>
      <c r="B54" t="str">
        <v>P2</v>
      </c>
      <c r="C54" t="str">
        <v>P6</v>
      </c>
      <c r="D54" t="str">
        <v>P6</v>
      </c>
      <c r="E54" t="str">
        <v>P6</v>
      </c>
      <c r="H54" t="str" cm="1">
        <f t="array" aca="1" ref="H54" ca="1">IF(ROW(A54)-H$15 &lt; H$14,A54,IF(ROW(A54) - H$15 -H$16 + 1 &lt; H$14,INDIRECT(ADDRESS(MOD(ROW(A54) - H$15, H$14) + H$15, COLUMN(A54))),""))</f>
        <v>CP</v>
      </c>
      <c r="I54" t="str" cm="1">
        <f t="array" aca="1" ref="I54" ca="1">IF(ROW(B54)-I$15 &lt; I$14,B54,IF(ROW(B54) - I$15 -I$16 + 1 &lt; I$14,INDIRECT(ADDRESS(MOD(ROW(B54) - I$15, I$14) + I$15, COLUMN(B54))),""))</f>
        <v>P2</v>
      </c>
      <c r="J54" t="str" cm="1">
        <f t="array" aca="1" ref="J54" ca="1">IF(ROW(C54)-J$15 &lt; J$14,C54,IF(ROW(C54) - J$15 -J$16 + 1 &lt; J$14,INDIRECT(ADDRESS(MOD(ROW(C54) - J$15, J$14) + J$15, COLUMN(C54))),""))</f>
        <v>P6</v>
      </c>
      <c r="K54" t="str" cm="1">
        <f t="array" aca="1" ref="K54" ca="1">IF(ROW(D54)-K$15 &lt; K$14,D54,IF(ROW(D54) - K$15 -K$16 + 1 &lt; K$14,INDIRECT(ADDRESS(MOD(ROW(D54) - K$15, K$14) + K$15, COLUMN(D54))),""))</f>
        <v>P6</v>
      </c>
      <c r="L54" t="str" cm="1">
        <f t="array" aca="1" ref="L54" ca="1">IF(ROW(E54)-L$15 &lt; L$14,E54,IF(ROW(E54) - L$15 -L$16 + 1 &lt; L$14,INDIRECT(ADDRESS(MOD(ROW(E54) - L$15, L$14) + L$15, COLUMN(E54))),""))</f>
        <v>P6</v>
      </c>
      <c r="N54" cm="1">
        <f t="array" aca="1" ref="N54" ca="1">IF(H54&lt;&gt;"", SUMPRODUCT((OFFSET(H54,0,0,H$16,1)=$T$24) +0),"")</f>
        <v>1</v>
      </c>
      <c r="O54" cm="1">
        <f t="array" aca="1" ref="O54" ca="1">IF(I54&lt;&gt;"", SUMPRODUCT((OFFSET(I54,0,0,I$16,1)=$T$24) +0),"")</f>
        <v>0</v>
      </c>
      <c r="P54" cm="1">
        <f t="array" aca="1" ref="P54" ca="1">IF(J54&lt;&gt;"", SUMPRODUCT((OFFSET(J54,0,0,J$16,1)=$T$24) +0),"")</f>
        <v>1</v>
      </c>
      <c r="Q54" cm="1">
        <f t="array" aca="1" ref="Q54" ca="1">IF(K54&lt;&gt;"", SUMPRODUCT((OFFSET(K54,0,0,K$16,1)=$T$24) +0),"")</f>
        <v>0</v>
      </c>
      <c r="R54" cm="1">
        <f t="array" aca="1" ref="R54" ca="1">IF(L54&lt;&gt;"", SUMPRODUCT((OFFSET(L54,0,0,L$16,1)=$T$24) +0),"")</f>
        <v>1</v>
      </c>
      <c r="T54" s="1">
        <v>3</v>
      </c>
      <c r="U54" s="43">
        <f t="shared" ca="1" si="19"/>
        <v>0</v>
      </c>
      <c r="V54" s="43">
        <f t="shared" ca="1" si="19"/>
        <v>0</v>
      </c>
      <c r="W54" s="43">
        <f t="shared" ca="1" si="19"/>
        <v>0</v>
      </c>
      <c r="X54" s="43">
        <f t="shared" ca="1" si="19"/>
        <v>0</v>
      </c>
      <c r="Y54" s="43">
        <f t="shared" ca="1" si="19"/>
        <v>0</v>
      </c>
      <c r="AB54">
        <f t="shared" si="20"/>
        <v>2</v>
      </c>
      <c r="AC54">
        <f t="shared" si="20"/>
        <v>0</v>
      </c>
      <c r="AD54">
        <f t="shared" si="20"/>
        <v>0</v>
      </c>
      <c r="AE54">
        <f t="shared" si="20"/>
        <v>0</v>
      </c>
      <c r="AF54">
        <f t="shared" si="20"/>
        <v>0</v>
      </c>
      <c r="AG54">
        <f t="shared" si="21"/>
        <v>2</v>
      </c>
      <c r="AH54">
        <f t="shared" ca="1" si="22"/>
        <v>0</v>
      </c>
      <c r="AI54">
        <f>IF(ROW($AA54) - $AA$51 &lt; ($H$16+1)^5, IF(AG54 &gt;= BaseBonus!$C$16, AG54*BaseBonus!$E$31, 0), "")</f>
        <v>0</v>
      </c>
      <c r="AJ54">
        <f t="shared" ca="1" si="23"/>
        <v>0</v>
      </c>
      <c r="AN54" s="47"/>
    </row>
    <row r="55" spans="1:40" x14ac:dyDescent="0.3">
      <c r="A55" t="str">
        <v>P4</v>
      </c>
      <c r="B55" t="str">
        <v>P5</v>
      </c>
      <c r="C55" t="str">
        <v>CP</v>
      </c>
      <c r="D55" t="str">
        <v>P5</v>
      </c>
      <c r="E55" t="str">
        <v>CP</v>
      </c>
      <c r="H55" t="str" cm="1">
        <f t="array" aca="1" ref="H55" ca="1">IF(ROW(A55)-H$15 &lt; H$14,A55,IF(ROW(A55) - H$15 -H$16 + 1 &lt; H$14,INDIRECT(ADDRESS(MOD(ROW(A55) - H$15, H$14) + H$15, COLUMN(A55))),""))</f>
        <v>P4</v>
      </c>
      <c r="I55" t="str" cm="1">
        <f t="array" aca="1" ref="I55" ca="1">IF(ROW(B55)-I$15 &lt; I$14,B55,IF(ROW(B55) - I$15 -I$16 + 1 &lt; I$14,INDIRECT(ADDRESS(MOD(ROW(B55) - I$15, I$14) + I$15, COLUMN(B55))),""))</f>
        <v>P5</v>
      </c>
      <c r="J55" t="str" cm="1">
        <f t="array" aca="1" ref="J55" ca="1">IF(ROW(C55)-J$15 &lt; J$14,C55,IF(ROW(C55) - J$15 -J$16 + 1 &lt; J$14,INDIRECT(ADDRESS(MOD(ROW(C55) - J$15, J$14) + J$15, COLUMN(C55))),""))</f>
        <v>CP</v>
      </c>
      <c r="K55" t="str" cm="1">
        <f t="array" aca="1" ref="K55" ca="1">IF(ROW(D55)-K$15 &lt; K$14,D55,IF(ROW(D55) - K$15 -K$16 + 1 &lt; K$14,INDIRECT(ADDRESS(MOD(ROW(D55) - K$15, K$14) + K$15, COLUMN(D55))),""))</f>
        <v>P5</v>
      </c>
      <c r="L55" t="str" cm="1">
        <f t="array" aca="1" ref="L55" ca="1">IF(ROW(E55)-L$15 &lt; L$14,E55,IF(ROW(E55) - L$15 -L$16 + 1 &lt; L$14,INDIRECT(ADDRESS(MOD(ROW(E55) - L$15, L$14) + L$15, COLUMN(E55))),""))</f>
        <v>CP</v>
      </c>
      <c r="N55" cm="1">
        <f t="array" aca="1" ref="N55" ca="1">IF(H55&lt;&gt;"", SUMPRODUCT((OFFSET(H55,0,0,H$16,1)=$T$24) +0),"")</f>
        <v>0</v>
      </c>
      <c r="O55" cm="1">
        <f t="array" aca="1" ref="O55" ca="1">IF(I55&lt;&gt;"", SUMPRODUCT((OFFSET(I55,0,0,I$16,1)=$T$24) +0),"")</f>
        <v>0</v>
      </c>
      <c r="P55" cm="1">
        <f t="array" aca="1" ref="P55" ca="1">IF(J55&lt;&gt;"", SUMPRODUCT((OFFSET(J55,0,0,J$16,1)=$T$24) +0),"")</f>
        <v>1</v>
      </c>
      <c r="Q55" cm="1">
        <f t="array" aca="1" ref="Q55" ca="1">IF(K55&lt;&gt;"", SUMPRODUCT((OFFSET(K55,0,0,K$16,1)=$T$24) +0),"")</f>
        <v>0</v>
      </c>
      <c r="R55" cm="1">
        <f t="array" aca="1" ref="R55" ca="1">IF(L55&lt;&gt;"", SUMPRODUCT((OFFSET(L55,0,0,L$16,1)=$T$24) +0),"")</f>
        <v>1</v>
      </c>
      <c r="T55" s="1">
        <v>4</v>
      </c>
      <c r="U55" s="43">
        <f t="shared" ca="1" si="19"/>
        <v>0</v>
      </c>
      <c r="V55" s="43">
        <f t="shared" ca="1" si="19"/>
        <v>0</v>
      </c>
      <c r="W55" s="43">
        <f t="shared" ca="1" si="19"/>
        <v>0</v>
      </c>
      <c r="X55" s="43">
        <f t="shared" ca="1" si="19"/>
        <v>0</v>
      </c>
      <c r="Y55" s="43">
        <f t="shared" ca="1" si="19"/>
        <v>0</v>
      </c>
      <c r="AB55">
        <f t="shared" si="20"/>
        <v>3</v>
      </c>
      <c r="AC55">
        <f t="shared" si="20"/>
        <v>0</v>
      </c>
      <c r="AD55">
        <f t="shared" si="20"/>
        <v>0</v>
      </c>
      <c r="AE55">
        <f t="shared" si="20"/>
        <v>0</v>
      </c>
      <c r="AF55">
        <f t="shared" si="20"/>
        <v>0</v>
      </c>
      <c r="AG55">
        <f t="shared" si="21"/>
        <v>3</v>
      </c>
      <c r="AH55">
        <f t="shared" ca="1" si="22"/>
        <v>0</v>
      </c>
      <c r="AI55">
        <f>IF(ROW($AA55) - $AA$51 &lt; ($H$16+1)^5, IF(AG55 &gt;= BaseBonus!$C$16, AG55*BaseBonus!$E$31, 0), "")</f>
        <v>0</v>
      </c>
      <c r="AJ55">
        <f t="shared" ca="1" si="23"/>
        <v>0</v>
      </c>
      <c r="AN55" s="47"/>
    </row>
    <row r="56" spans="1:40" x14ac:dyDescent="0.3">
      <c r="A56" t="str">
        <v>P2</v>
      </c>
      <c r="B56" t="str">
        <v>P2</v>
      </c>
      <c r="C56" t="str">
        <v>P3</v>
      </c>
      <c r="D56" t="str">
        <v>P2</v>
      </c>
      <c r="E56" t="str">
        <v>P3</v>
      </c>
      <c r="H56" t="str" cm="1">
        <f t="array" aca="1" ref="H56" ca="1">IF(ROW(A56)-H$15 &lt; H$14,A56,IF(ROW(A56) - H$15 -H$16 + 1 &lt; H$14,INDIRECT(ADDRESS(MOD(ROW(A56) - H$15, H$14) + H$15, COLUMN(A56))),""))</f>
        <v>P2</v>
      </c>
      <c r="I56" t="str" cm="1">
        <f t="array" aca="1" ref="I56" ca="1">IF(ROW(B56)-I$15 &lt; I$14,B56,IF(ROW(B56) - I$15 -I$16 + 1 &lt; I$14,INDIRECT(ADDRESS(MOD(ROW(B56) - I$15, I$14) + I$15, COLUMN(B56))),""))</f>
        <v>P2</v>
      </c>
      <c r="J56" t="str" cm="1">
        <f t="array" aca="1" ref="J56" ca="1">IF(ROW(C56)-J$15 &lt; J$14,C56,IF(ROW(C56) - J$15 -J$16 + 1 &lt; J$14,INDIRECT(ADDRESS(MOD(ROW(C56) - J$15, J$14) + J$15, COLUMN(C56))),""))</f>
        <v>P3</v>
      </c>
      <c r="K56" t="str" cm="1">
        <f t="array" aca="1" ref="K56" ca="1">IF(ROW(D56)-K$15 &lt; K$14,D56,IF(ROW(D56) - K$15 -K$16 + 1 &lt; K$14,INDIRECT(ADDRESS(MOD(ROW(D56) - K$15, K$14) + K$15, COLUMN(D56))),""))</f>
        <v>P2</v>
      </c>
      <c r="L56" t="str" cm="1">
        <f t="array" aca="1" ref="L56" ca="1">IF(ROW(E56)-L$15 &lt; L$14,E56,IF(ROW(E56) - L$15 -L$16 + 1 &lt; L$14,INDIRECT(ADDRESS(MOD(ROW(E56) - L$15, L$14) + L$15, COLUMN(E56))),""))</f>
        <v>P3</v>
      </c>
      <c r="N56" cm="1">
        <f t="array" aca="1" ref="N56" ca="1">IF(H56&lt;&gt;"", SUMPRODUCT((OFFSET(H56,0,0,H$16,1)=$T$24) +0),"")</f>
        <v>0</v>
      </c>
      <c r="O56" cm="1">
        <f t="array" aca="1" ref="O56" ca="1">IF(I56&lt;&gt;"", SUMPRODUCT((OFFSET(I56,0,0,I$16,1)=$T$24) +0),"")</f>
        <v>0</v>
      </c>
      <c r="P56" cm="1">
        <f t="array" aca="1" ref="P56" ca="1">IF(J56&lt;&gt;"", SUMPRODUCT((OFFSET(J56,0,0,J$16,1)=$T$24) +0),"")</f>
        <v>0</v>
      </c>
      <c r="Q56" cm="1">
        <f t="array" aca="1" ref="Q56" ca="1">IF(K56&lt;&gt;"", SUMPRODUCT((OFFSET(K56,0,0,K$16,1)=$T$24) +0),"")</f>
        <v>0</v>
      </c>
      <c r="R56" cm="1">
        <f t="array" aca="1" ref="R56" ca="1">IF(L56&lt;&gt;"", SUMPRODUCT((OFFSET(L56,0,0,L$16,1)=$T$24) +0),"")</f>
        <v>0</v>
      </c>
      <c r="AB56">
        <f t="shared" si="20"/>
        <v>0</v>
      </c>
      <c r="AC56">
        <f t="shared" si="20"/>
        <v>1</v>
      </c>
      <c r="AD56">
        <f t="shared" si="20"/>
        <v>0</v>
      </c>
      <c r="AE56">
        <f t="shared" si="20"/>
        <v>0</v>
      </c>
      <c r="AF56">
        <f t="shared" si="20"/>
        <v>0</v>
      </c>
      <c r="AG56">
        <f t="shared" si="21"/>
        <v>1</v>
      </c>
      <c r="AH56">
        <f t="shared" ca="1" si="22"/>
        <v>6.6575502949692514E-2</v>
      </c>
      <c r="AI56">
        <f>IF(ROW($AA56) - $AA$51 &lt; ($H$16+1)^5, IF(AG56 &gt;= BaseBonus!$C$16, AG56*BaseBonus!$E$31, 0), "")</f>
        <v>0</v>
      </c>
      <c r="AJ56">
        <f t="shared" ca="1" si="23"/>
        <v>0</v>
      </c>
      <c r="AN56" s="47"/>
    </row>
    <row r="57" spans="1:40" x14ac:dyDescent="0.3">
      <c r="A57" t="str">
        <v>P5</v>
      </c>
      <c r="B57" t="str">
        <v>P6</v>
      </c>
      <c r="C57" t="str">
        <v>P2</v>
      </c>
      <c r="D57" t="str">
        <v>P2</v>
      </c>
      <c r="E57" t="str">
        <v>P2</v>
      </c>
      <c r="H57" t="str" cm="1">
        <f t="array" aca="1" ref="H57" ca="1">IF(ROW(A57)-H$15 &lt; H$14,A57,IF(ROW(A57) - H$15 -H$16 + 1 &lt; H$14,INDIRECT(ADDRESS(MOD(ROW(A57) - H$15, H$14) + H$15, COLUMN(A57))),""))</f>
        <v>P5</v>
      </c>
      <c r="I57" t="str" cm="1">
        <f t="array" aca="1" ref="I57" ca="1">IF(ROW(B57)-I$15 &lt; I$14,B57,IF(ROW(B57) - I$15 -I$16 + 1 &lt; I$14,INDIRECT(ADDRESS(MOD(ROW(B57) - I$15, I$14) + I$15, COLUMN(B57))),""))</f>
        <v>P6</v>
      </c>
      <c r="J57" t="str" cm="1">
        <f t="array" aca="1" ref="J57" ca="1">IF(ROW(C57)-J$15 &lt; J$14,C57,IF(ROW(C57) - J$15 -J$16 + 1 &lt; J$14,INDIRECT(ADDRESS(MOD(ROW(C57) - J$15, J$14) + J$15, COLUMN(C57))),""))</f>
        <v>P2</v>
      </c>
      <c r="K57" t="str" cm="1">
        <f t="array" aca="1" ref="K57" ca="1">IF(ROW(D57)-K$15 &lt; K$14,D57,IF(ROW(D57) - K$15 -K$16 + 1 &lt; K$14,INDIRECT(ADDRESS(MOD(ROW(D57) - K$15, K$14) + K$15, COLUMN(D57))),""))</f>
        <v>P2</v>
      </c>
      <c r="L57" t="str" cm="1">
        <f t="array" aca="1" ref="L57" ca="1">IF(ROW(E57)-L$15 &lt; L$14,E57,IF(ROW(E57) - L$15 -L$16 + 1 &lt; L$14,INDIRECT(ADDRESS(MOD(ROW(E57) - L$15, L$14) + L$15, COLUMN(E57))),""))</f>
        <v>P2</v>
      </c>
      <c r="N57" cm="1">
        <f t="array" aca="1" ref="N57" ca="1">IF(H57&lt;&gt;"", SUMPRODUCT((OFFSET(H57,0,0,H$16,1)=$T$24) +0),"")</f>
        <v>1</v>
      </c>
      <c r="O57" cm="1">
        <f t="array" aca="1" ref="O57" ca="1">IF(I57&lt;&gt;"", SUMPRODUCT((OFFSET(I57,0,0,I$16,1)=$T$24) +0),"")</f>
        <v>0</v>
      </c>
      <c r="P57" cm="1">
        <f t="array" aca="1" ref="P57" ca="1">IF(J57&lt;&gt;"", SUMPRODUCT((OFFSET(J57,0,0,J$16,1)=$T$24) +0),"")</f>
        <v>0</v>
      </c>
      <c r="Q57" cm="1">
        <f t="array" aca="1" ref="Q57" ca="1">IF(K57&lt;&gt;"", SUMPRODUCT((OFFSET(K57,0,0,K$16,1)=$T$24) +0),"")</f>
        <v>0</v>
      </c>
      <c r="R57" cm="1">
        <f t="array" aca="1" ref="R57" ca="1">IF(L57&lt;&gt;"", SUMPRODUCT((OFFSET(L57,0,0,L$16,1)=$T$24) +0),"")</f>
        <v>0</v>
      </c>
      <c r="AB57">
        <f t="shared" si="20"/>
        <v>1</v>
      </c>
      <c r="AC57">
        <f t="shared" si="20"/>
        <v>1</v>
      </c>
      <c r="AD57">
        <f t="shared" si="20"/>
        <v>0</v>
      </c>
      <c r="AE57">
        <f t="shared" si="20"/>
        <v>0</v>
      </c>
      <c r="AF57">
        <f t="shared" si="20"/>
        <v>0</v>
      </c>
      <c r="AG57">
        <f t="shared" si="21"/>
        <v>2</v>
      </c>
      <c r="AH57">
        <f t="shared" ca="1" si="22"/>
        <v>1.157834833907696E-2</v>
      </c>
      <c r="AI57">
        <f>IF(ROW($AA57) - $AA$51 &lt; ($H$16+1)^5, IF(AG57 &gt;= BaseBonus!$C$16, AG57*BaseBonus!$E$31, 0), "")</f>
        <v>0</v>
      </c>
      <c r="AJ57">
        <f t="shared" ca="1" si="23"/>
        <v>0</v>
      </c>
      <c r="AL57" s="29"/>
      <c r="AN57" s="47"/>
    </row>
    <row r="58" spans="1:40" x14ac:dyDescent="0.3">
      <c r="A58" t="str">
        <v>P6</v>
      </c>
      <c r="B58" t="str">
        <v>P2</v>
      </c>
      <c r="C58" t="str">
        <v>P5</v>
      </c>
      <c r="D58" t="str">
        <v>P3</v>
      </c>
      <c r="E58" t="str">
        <v>P5</v>
      </c>
      <c r="H58" t="str" cm="1">
        <f t="array" aca="1" ref="H58" ca="1">IF(ROW(A58)-H$15 &lt; H$14,A58,IF(ROW(A58) - H$15 -H$16 + 1 &lt; H$14,INDIRECT(ADDRESS(MOD(ROW(A58) - H$15, H$14) + H$15, COLUMN(A58))),""))</f>
        <v>P6</v>
      </c>
      <c r="I58" t="str" cm="1">
        <f t="array" aca="1" ref="I58" ca="1">IF(ROW(B58)-I$15 &lt; I$14,B58,IF(ROW(B58) - I$15 -I$16 + 1 &lt; I$14,INDIRECT(ADDRESS(MOD(ROW(B58) - I$15, I$14) + I$15, COLUMN(B58))),""))</f>
        <v>P2</v>
      </c>
      <c r="J58" t="str" cm="1">
        <f t="array" aca="1" ref="J58" ca="1">IF(ROW(C58)-J$15 &lt; J$14,C58,IF(ROW(C58) - J$15 -J$16 + 1 &lt; J$14,INDIRECT(ADDRESS(MOD(ROW(C58) - J$15, J$14) + J$15, COLUMN(C58))),""))</f>
        <v>P5</v>
      </c>
      <c r="K58" t="str" cm="1">
        <f t="array" aca="1" ref="K58" ca="1">IF(ROW(D58)-K$15 &lt; K$14,D58,IF(ROW(D58) - K$15 -K$16 + 1 &lt; K$14,INDIRECT(ADDRESS(MOD(ROW(D58) - K$15, K$14) + K$15, COLUMN(D58))),""))</f>
        <v>P3</v>
      </c>
      <c r="L58" t="str" cm="1">
        <f t="array" aca="1" ref="L58" ca="1">IF(ROW(E58)-L$15 &lt; L$14,E58,IF(ROW(E58) - L$15 -L$16 + 1 &lt; L$14,INDIRECT(ADDRESS(MOD(ROW(E58) - L$15, L$14) + L$15, COLUMN(E58))),""))</f>
        <v>P5</v>
      </c>
      <c r="N58" cm="1">
        <f t="array" aca="1" ref="N58" ca="1">IF(H58&lt;&gt;"", SUMPRODUCT((OFFSET(H58,0,0,H$16,1)=$T$24) +0),"")</f>
        <v>1</v>
      </c>
      <c r="O58" cm="1">
        <f t="array" aca="1" ref="O58" ca="1">IF(I58&lt;&gt;"", SUMPRODUCT((OFFSET(I58,0,0,I$16,1)=$T$24) +0),"")</f>
        <v>0</v>
      </c>
      <c r="P58" cm="1">
        <f t="array" aca="1" ref="P58" ca="1">IF(J58&lt;&gt;"", SUMPRODUCT((OFFSET(J58,0,0,J$16,1)=$T$24) +0),"")</f>
        <v>0</v>
      </c>
      <c r="Q58" cm="1">
        <f t="array" aca="1" ref="Q58" ca="1">IF(K58&lt;&gt;"", SUMPRODUCT((OFFSET(K58,0,0,K$16,1)=$T$24) +0),"")</f>
        <v>0</v>
      </c>
      <c r="R58" cm="1">
        <f t="array" aca="1" ref="R58" ca="1">IF(L58&lt;&gt;"", SUMPRODUCT((OFFSET(L58,0,0,L$16,1)=$T$24) +0),"")</f>
        <v>0</v>
      </c>
      <c r="AB58">
        <f t="shared" si="20"/>
        <v>2</v>
      </c>
      <c r="AC58">
        <f t="shared" si="20"/>
        <v>1</v>
      </c>
      <c r="AD58">
        <f t="shared" si="20"/>
        <v>0</v>
      </c>
      <c r="AE58">
        <f t="shared" si="20"/>
        <v>0</v>
      </c>
      <c r="AF58">
        <f t="shared" si="20"/>
        <v>0</v>
      </c>
      <c r="AG58">
        <f t="shared" si="21"/>
        <v>3</v>
      </c>
      <c r="AH58">
        <f t="shared" ca="1" si="22"/>
        <v>0</v>
      </c>
      <c r="AI58">
        <f>IF(ROW($AA58) - $AA$51 &lt; ($H$16+1)^5, IF(AG58 &gt;= BaseBonus!$C$16, AG58*BaseBonus!$E$31, 0), "")</f>
        <v>0</v>
      </c>
      <c r="AJ58">
        <f t="shared" ca="1" si="23"/>
        <v>0</v>
      </c>
      <c r="AN58" s="47"/>
    </row>
    <row r="59" spans="1:40" x14ac:dyDescent="0.3">
      <c r="A59" t="str">
        <v>CP</v>
      </c>
      <c r="B59" t="str">
        <v>P3</v>
      </c>
      <c r="C59" t="str">
        <v>SCAT</v>
      </c>
      <c r="D59" t="str">
        <v>P5</v>
      </c>
      <c r="E59" t="str">
        <v>P3</v>
      </c>
      <c r="H59" t="str" cm="1">
        <f t="array" aca="1" ref="H59" ca="1">IF(ROW(A59)-H$15 &lt; H$14,A59,IF(ROW(A59) - H$15 -H$16 + 1 &lt; H$14,INDIRECT(ADDRESS(MOD(ROW(A59) - H$15, H$14) + H$15, COLUMN(A59))),""))</f>
        <v>CP</v>
      </c>
      <c r="I59" t="str" cm="1">
        <f t="array" aca="1" ref="I59" ca="1">IF(ROW(B59)-I$15 &lt; I$14,B59,IF(ROW(B59) - I$15 -I$16 + 1 &lt; I$14,INDIRECT(ADDRESS(MOD(ROW(B59) - I$15, I$14) + I$15, COLUMN(B59))),""))</f>
        <v>P3</v>
      </c>
      <c r="J59" t="str" cm="1">
        <f t="array" aca="1" ref="J59" ca="1">IF(ROW(C59)-J$15 &lt; J$14,C59,IF(ROW(C59) - J$15 -J$16 + 1 &lt; J$14,INDIRECT(ADDRESS(MOD(ROW(C59) - J$15, J$14) + J$15, COLUMN(C59))),""))</f>
        <v>SCAT</v>
      </c>
      <c r="K59" t="str" cm="1">
        <f t="array" aca="1" ref="K59" ca="1">IF(ROW(D59)-K$15 &lt; K$14,D59,IF(ROW(D59) - K$15 -K$16 + 1 &lt; K$14,INDIRECT(ADDRESS(MOD(ROW(D59) - K$15, K$14) + K$15, COLUMN(D59))),""))</f>
        <v>P5</v>
      </c>
      <c r="L59" t="str" cm="1">
        <f t="array" aca="1" ref="L59" ca="1">IF(ROW(E59)-L$15 &lt; L$14,E59,IF(ROW(E59) - L$15 -L$16 + 1 &lt; L$14,INDIRECT(ADDRESS(MOD(ROW(E59) - L$15, L$14) + L$15, COLUMN(E59))),""))</f>
        <v>P3</v>
      </c>
      <c r="N59" cm="1">
        <f t="array" aca="1" ref="N59" ca="1">IF(H59&lt;&gt;"", SUMPRODUCT((OFFSET(H59,0,0,H$16,1)=$T$24) +0),"")</f>
        <v>1</v>
      </c>
      <c r="O59" cm="1">
        <f t="array" aca="1" ref="O59" ca="1">IF(I59&lt;&gt;"", SUMPRODUCT((OFFSET(I59,0,0,I$16,1)=$T$24) +0),"")</f>
        <v>0</v>
      </c>
      <c r="P59" cm="1">
        <f t="array" aca="1" ref="P59" ca="1">IF(J59&lt;&gt;"", SUMPRODUCT((OFFSET(J59,0,0,J$16,1)=$T$24) +0),"")</f>
        <v>0</v>
      </c>
      <c r="Q59" cm="1">
        <f t="array" aca="1" ref="Q59" ca="1">IF(K59&lt;&gt;"", SUMPRODUCT((OFFSET(K59,0,0,K$16,1)=$T$24) +0),"")</f>
        <v>0</v>
      </c>
      <c r="R59" cm="1">
        <f t="array" aca="1" ref="R59" ca="1">IF(L59&lt;&gt;"", SUMPRODUCT((OFFSET(L59,0,0,L$16,1)=$T$24) +0),"")</f>
        <v>0</v>
      </c>
      <c r="AB59">
        <f t="shared" si="20"/>
        <v>3</v>
      </c>
      <c r="AC59">
        <f t="shared" si="20"/>
        <v>1</v>
      </c>
      <c r="AD59">
        <f t="shared" si="20"/>
        <v>0</v>
      </c>
      <c r="AE59">
        <f t="shared" si="20"/>
        <v>0</v>
      </c>
      <c r="AF59">
        <f t="shared" si="20"/>
        <v>0</v>
      </c>
      <c r="AG59">
        <f t="shared" si="21"/>
        <v>4</v>
      </c>
      <c r="AH59">
        <f t="shared" ca="1" si="22"/>
        <v>0</v>
      </c>
      <c r="AI59">
        <f>IF(ROW($AA59) - $AA$51 &lt; ($H$16+1)^5, IF(AG59 &gt;= BaseBonus!$C$16, AG59*BaseBonus!$E$31, 0), "")</f>
        <v>0</v>
      </c>
      <c r="AJ59">
        <f t="shared" ca="1" si="23"/>
        <v>0</v>
      </c>
      <c r="AN59" s="47"/>
    </row>
    <row r="60" spans="1:40" x14ac:dyDescent="0.3">
      <c r="A60" t="str">
        <v>P5</v>
      </c>
      <c r="B60" t="str">
        <v>P5</v>
      </c>
      <c r="C60" t="str">
        <v>P3</v>
      </c>
      <c r="D60" t="str">
        <v>P3</v>
      </c>
      <c r="E60" t="str">
        <v>SCAT</v>
      </c>
      <c r="H60" t="str" cm="1">
        <f t="array" aca="1" ref="H60" ca="1">IF(ROW(A60)-H$15 &lt; H$14,A60,IF(ROW(A60) - H$15 -H$16 + 1 &lt; H$14,INDIRECT(ADDRESS(MOD(ROW(A60) - H$15, H$14) + H$15, COLUMN(A60))),""))</f>
        <v>P5</v>
      </c>
      <c r="I60" t="str" cm="1">
        <f t="array" aca="1" ref="I60" ca="1">IF(ROW(B60)-I$15 &lt; I$14,B60,IF(ROW(B60) - I$15 -I$16 + 1 &lt; I$14,INDIRECT(ADDRESS(MOD(ROW(B60) - I$15, I$14) + I$15, COLUMN(B60))),""))</f>
        <v>P5</v>
      </c>
      <c r="J60" t="str" cm="1">
        <f t="array" aca="1" ref="J60" ca="1">IF(ROW(C60)-J$15 &lt; J$14,C60,IF(ROW(C60) - J$15 -J$16 + 1 &lt; J$14,INDIRECT(ADDRESS(MOD(ROW(C60) - J$15, J$14) + J$15, COLUMN(C60))),""))</f>
        <v>P3</v>
      </c>
      <c r="K60" t="str" cm="1">
        <f t="array" aca="1" ref="K60" ca="1">IF(ROW(D60)-K$15 &lt; K$14,D60,IF(ROW(D60) - K$15 -K$16 + 1 &lt; K$14,INDIRECT(ADDRESS(MOD(ROW(D60) - K$15, K$14) + K$15, COLUMN(D60))),""))</f>
        <v>P3</v>
      </c>
      <c r="L60" t="str" cm="1">
        <f t="array" aca="1" ref="L60" ca="1">IF(ROW(E60)-L$15 &lt; L$14,E60,IF(ROW(E60) - L$15 -L$16 + 1 &lt; L$14,INDIRECT(ADDRESS(MOD(ROW(E60) - L$15, L$14) + L$15, COLUMN(E60))),""))</f>
        <v>SCAT</v>
      </c>
      <c r="N60" cm="1">
        <f t="array" aca="1" ref="N60" ca="1">IF(H60&lt;&gt;"", SUMPRODUCT((OFFSET(H60,0,0,H$16,1)=$T$24) +0),"")</f>
        <v>0</v>
      </c>
      <c r="O60" cm="1">
        <f t="array" aca="1" ref="O60" ca="1">IF(I60&lt;&gt;"", SUMPRODUCT((OFFSET(I60,0,0,I$16,1)=$T$24) +0),"")</f>
        <v>0</v>
      </c>
      <c r="P60" cm="1">
        <f t="array" aca="1" ref="P60" ca="1">IF(J60&lt;&gt;"", SUMPRODUCT((OFFSET(J60,0,0,J$16,1)=$T$24) +0),"")</f>
        <v>0</v>
      </c>
      <c r="Q60" cm="1">
        <f t="array" aca="1" ref="Q60" ca="1">IF(K60&lt;&gt;"", SUMPRODUCT((OFFSET(K60,0,0,K$16,1)=$T$24) +0),"")</f>
        <v>0</v>
      </c>
      <c r="R60" cm="1">
        <f t="array" aca="1" ref="R60" ca="1">IF(L60&lt;&gt;"", SUMPRODUCT((OFFSET(L60,0,0,L$16,1)=$T$24) +0),"")</f>
        <v>0</v>
      </c>
      <c r="AB60">
        <f t="shared" si="20"/>
        <v>0</v>
      </c>
      <c r="AC60">
        <f t="shared" si="20"/>
        <v>2</v>
      </c>
      <c r="AD60">
        <f t="shared" si="20"/>
        <v>0</v>
      </c>
      <c r="AE60">
        <f t="shared" si="20"/>
        <v>0</v>
      </c>
      <c r="AF60">
        <f t="shared" si="20"/>
        <v>0</v>
      </c>
      <c r="AG60">
        <f t="shared" si="21"/>
        <v>2</v>
      </c>
      <c r="AH60">
        <f t="shared" ca="1" si="22"/>
        <v>0</v>
      </c>
      <c r="AI60">
        <f>IF(ROW($AA60) - $AA$51 &lt; ($H$16+1)^5, IF(AG60 &gt;= BaseBonus!$C$16, AG60*BaseBonus!$E$31, 0), "")</f>
        <v>0</v>
      </c>
      <c r="AJ60">
        <f t="shared" ca="1" si="23"/>
        <v>0</v>
      </c>
      <c r="AN60" s="47"/>
    </row>
    <row r="61" spans="1:40" x14ac:dyDescent="0.3">
      <c r="A61" t="str">
        <v>P6</v>
      </c>
      <c r="B61" t="str">
        <v>P3</v>
      </c>
      <c r="C61" t="str">
        <v>P6</v>
      </c>
      <c r="D61" t="str">
        <v>P3</v>
      </c>
      <c r="E61" t="str">
        <v>P2</v>
      </c>
      <c r="H61" t="str" cm="1">
        <f t="array" aca="1" ref="H61" ca="1">IF(ROW(A61)-H$15 &lt; H$14,A61,IF(ROW(A61) - H$15 -H$16 + 1 &lt; H$14,INDIRECT(ADDRESS(MOD(ROW(A61) - H$15, H$14) + H$15, COLUMN(A61))),""))</f>
        <v>P6</v>
      </c>
      <c r="I61" t="str" cm="1">
        <f t="array" aca="1" ref="I61" ca="1">IF(ROW(B61)-I$15 &lt; I$14,B61,IF(ROW(B61) - I$15 -I$16 + 1 &lt; I$14,INDIRECT(ADDRESS(MOD(ROW(B61) - I$15, I$14) + I$15, COLUMN(B61))),""))</f>
        <v>P3</v>
      </c>
      <c r="J61" t="str" cm="1">
        <f t="array" aca="1" ref="J61" ca="1">IF(ROW(C61)-J$15 &lt; J$14,C61,IF(ROW(C61) - J$15 -J$16 + 1 &lt; J$14,INDIRECT(ADDRESS(MOD(ROW(C61) - J$15, J$14) + J$15, COLUMN(C61))),""))</f>
        <v>P6</v>
      </c>
      <c r="K61" t="str" cm="1">
        <f t="array" aca="1" ref="K61" ca="1">IF(ROW(D61)-K$15 &lt; K$14,D61,IF(ROW(D61) - K$15 -K$16 + 1 &lt; K$14,INDIRECT(ADDRESS(MOD(ROW(D61) - K$15, K$14) + K$15, COLUMN(D61))),""))</f>
        <v>P3</v>
      </c>
      <c r="L61" t="str" cm="1">
        <f t="array" aca="1" ref="L61" ca="1">IF(ROW(E61)-L$15 &lt; L$14,E61,IF(ROW(E61) - L$15 -L$16 + 1 &lt; L$14,INDIRECT(ADDRESS(MOD(ROW(E61) - L$15, L$14) + L$15, COLUMN(E61))),""))</f>
        <v>P2</v>
      </c>
      <c r="N61" cm="1">
        <f t="array" aca="1" ref="N61" ca="1">IF(H61&lt;&gt;"", SUMPRODUCT((OFFSET(H61,0,0,H$16,1)=$T$24) +0),"")</f>
        <v>0</v>
      </c>
      <c r="O61" cm="1">
        <f t="array" aca="1" ref="O61" ca="1">IF(I61&lt;&gt;"", SUMPRODUCT((OFFSET(I61,0,0,I$16,1)=$T$24) +0),"")</f>
        <v>0</v>
      </c>
      <c r="P61" cm="1">
        <f t="array" aca="1" ref="P61" ca="1">IF(J61&lt;&gt;"", SUMPRODUCT((OFFSET(J61,0,0,J$16,1)=$T$24) +0),"")</f>
        <v>0</v>
      </c>
      <c r="Q61" cm="1">
        <f t="array" aca="1" ref="Q61" ca="1">IF(K61&lt;&gt;"", SUMPRODUCT((OFFSET(K61,0,0,K$16,1)=$T$24) +0),"")</f>
        <v>1</v>
      </c>
      <c r="R61" cm="1">
        <f t="array" aca="1" ref="R61" ca="1">IF(L61&lt;&gt;"", SUMPRODUCT((OFFSET(L61,0,0,L$16,1)=$T$24) +0),"")</f>
        <v>0</v>
      </c>
      <c r="AB61">
        <f t="shared" si="20"/>
        <v>1</v>
      </c>
      <c r="AC61">
        <f t="shared" si="20"/>
        <v>2</v>
      </c>
      <c r="AD61">
        <f t="shared" si="20"/>
        <v>0</v>
      </c>
      <c r="AE61">
        <f t="shared" si="20"/>
        <v>0</v>
      </c>
      <c r="AF61">
        <f t="shared" si="20"/>
        <v>0</v>
      </c>
      <c r="AG61">
        <f t="shared" si="21"/>
        <v>3</v>
      </c>
      <c r="AH61">
        <f t="shared" ca="1" si="22"/>
        <v>0</v>
      </c>
      <c r="AI61">
        <f>IF(ROW($AA61) - $AA$51 &lt; ($H$16+1)^5, IF(AG61 &gt;= BaseBonus!$C$16, AG61*BaseBonus!$E$31, 0), "")</f>
        <v>0</v>
      </c>
      <c r="AJ61">
        <f t="shared" ca="1" si="23"/>
        <v>0</v>
      </c>
      <c r="AN61" s="47"/>
    </row>
    <row r="62" spans="1:40" x14ac:dyDescent="0.3">
      <c r="A62" t="str">
        <v>P2</v>
      </c>
      <c r="B62" t="str">
        <v>P3</v>
      </c>
      <c r="C62" t="str">
        <v>P2</v>
      </c>
      <c r="D62" t="str">
        <v>P1</v>
      </c>
      <c r="E62" t="str">
        <v>P3</v>
      </c>
      <c r="H62" t="str" cm="1">
        <f t="array" aca="1" ref="H62" ca="1">IF(ROW(A62)-H$15 &lt; H$14,A62,IF(ROW(A62) - H$15 -H$16 + 1 &lt; H$14,INDIRECT(ADDRESS(MOD(ROW(A62) - H$15, H$14) + H$15, COLUMN(A62))),""))</f>
        <v>P2</v>
      </c>
      <c r="I62" t="str" cm="1">
        <f t="array" aca="1" ref="I62" ca="1">IF(ROW(B62)-I$15 &lt; I$14,B62,IF(ROW(B62) - I$15 -I$16 + 1 &lt; I$14,INDIRECT(ADDRESS(MOD(ROW(B62) - I$15, I$14) + I$15, COLUMN(B62))),""))</f>
        <v>P3</v>
      </c>
      <c r="J62" t="str" cm="1">
        <f t="array" aca="1" ref="J62" ca="1">IF(ROW(C62)-J$15 &lt; J$14,C62,IF(ROW(C62) - J$15 -J$16 + 1 &lt; J$14,INDIRECT(ADDRESS(MOD(ROW(C62) - J$15, J$14) + J$15, COLUMN(C62))),""))</f>
        <v>P2</v>
      </c>
      <c r="K62" t="str" cm="1">
        <f t="array" aca="1" ref="K62" ca="1">IF(ROW(D62)-K$15 &lt; K$14,D62,IF(ROW(D62) - K$15 -K$16 + 1 &lt; K$14,INDIRECT(ADDRESS(MOD(ROW(D62) - K$15, K$14) + K$15, COLUMN(D62))),""))</f>
        <v>P1</v>
      </c>
      <c r="L62" t="str" cm="1">
        <f t="array" aca="1" ref="L62" ca="1">IF(ROW(E62)-L$15 &lt; L$14,E62,IF(ROW(E62) - L$15 -L$16 + 1 &lt; L$14,INDIRECT(ADDRESS(MOD(ROW(E62) - L$15, L$14) + L$15, COLUMN(E62))),""))</f>
        <v>P3</v>
      </c>
      <c r="N62" cm="1">
        <f t="array" aca="1" ref="N62" ca="1">IF(H62&lt;&gt;"", SUMPRODUCT((OFFSET(H62,0,0,H$16,1)=$T$24) +0),"")</f>
        <v>0</v>
      </c>
      <c r="O62" cm="1">
        <f t="array" aca="1" ref="O62" ca="1">IF(I62&lt;&gt;"", SUMPRODUCT((OFFSET(I62,0,0,I$16,1)=$T$24) +0),"")</f>
        <v>0</v>
      </c>
      <c r="P62" cm="1">
        <f t="array" aca="1" ref="P62" ca="1">IF(J62&lt;&gt;"", SUMPRODUCT((OFFSET(J62,0,0,J$16,1)=$T$24) +0),"")</f>
        <v>0</v>
      </c>
      <c r="Q62" cm="1">
        <f t="array" aca="1" ref="Q62" ca="1">IF(K62&lt;&gt;"", SUMPRODUCT((OFFSET(K62,0,0,K$16,1)=$T$24) +0),"")</f>
        <v>2</v>
      </c>
      <c r="R62" cm="1">
        <f t="array" aca="1" ref="R62" ca="1">IF(L62&lt;&gt;"", SUMPRODUCT((OFFSET(L62,0,0,L$16,1)=$T$24) +0),"")</f>
        <v>0</v>
      </c>
      <c r="AB62">
        <f t="shared" si="20"/>
        <v>2</v>
      </c>
      <c r="AC62">
        <f t="shared" si="20"/>
        <v>2</v>
      </c>
      <c r="AD62">
        <f t="shared" si="20"/>
        <v>0</v>
      </c>
      <c r="AE62">
        <f t="shared" si="20"/>
        <v>0</v>
      </c>
      <c r="AF62">
        <f t="shared" si="20"/>
        <v>0</v>
      </c>
      <c r="AG62">
        <f t="shared" si="21"/>
        <v>4</v>
      </c>
      <c r="AH62">
        <f t="shared" ca="1" si="22"/>
        <v>0</v>
      </c>
      <c r="AI62">
        <f>IF(ROW($AA62) - $AA$51 &lt; ($H$16+1)^5, IF(AG62 &gt;= BaseBonus!$C$16, AG62*BaseBonus!$E$31, 0), "")</f>
        <v>0</v>
      </c>
      <c r="AJ62">
        <f t="shared" ca="1" si="23"/>
        <v>0</v>
      </c>
      <c r="AN62" s="47"/>
    </row>
    <row r="63" spans="1:40" x14ac:dyDescent="0.3">
      <c r="A63" t="str">
        <v>P4</v>
      </c>
      <c r="B63" t="str">
        <v>P1</v>
      </c>
      <c r="C63" t="str">
        <v>WILD</v>
      </c>
      <c r="D63" t="str">
        <v>CP</v>
      </c>
      <c r="E63" t="str">
        <v>P2</v>
      </c>
      <c r="H63" t="str" cm="1">
        <f t="array" aca="1" ref="H63" ca="1">IF(ROW(A63)-H$15 &lt; H$14,A63,IF(ROW(A63) - H$15 -H$16 + 1 &lt; H$14,INDIRECT(ADDRESS(MOD(ROW(A63) - H$15, H$14) + H$15, COLUMN(A63))),""))</f>
        <v>P4</v>
      </c>
      <c r="I63" t="str" cm="1">
        <f t="array" aca="1" ref="I63" ca="1">IF(ROW(B63)-I$15 &lt; I$14,B63,IF(ROW(B63) - I$15 -I$16 + 1 &lt; I$14,INDIRECT(ADDRESS(MOD(ROW(B63) - I$15, I$14) + I$15, COLUMN(B63))),""))</f>
        <v>P1</v>
      </c>
      <c r="J63" t="str" cm="1">
        <f t="array" aca="1" ref="J63" ca="1">IF(ROW(C63)-J$15 &lt; J$14,C63,IF(ROW(C63) - J$15 -J$16 + 1 &lt; J$14,INDIRECT(ADDRESS(MOD(ROW(C63) - J$15, J$14) + J$15, COLUMN(C63))),""))</f>
        <v>WILD</v>
      </c>
      <c r="K63" t="str" cm="1">
        <f t="array" aca="1" ref="K63" ca="1">IF(ROW(D63)-K$15 &lt; K$14,D63,IF(ROW(D63) - K$15 -K$16 + 1 &lt; K$14,INDIRECT(ADDRESS(MOD(ROW(D63) - K$15, K$14) + K$15, COLUMN(D63))),""))</f>
        <v>CP</v>
      </c>
      <c r="L63" t="str" cm="1">
        <f t="array" aca="1" ref="L63" ca="1">IF(ROW(E63)-L$15 &lt; L$14,E63,IF(ROW(E63) - L$15 -L$16 + 1 &lt; L$14,INDIRECT(ADDRESS(MOD(ROW(E63) - L$15, L$14) + L$15, COLUMN(E63))),""))</f>
        <v>P2</v>
      </c>
      <c r="N63" cm="1">
        <f t="array" aca="1" ref="N63" ca="1">IF(H63&lt;&gt;"", SUMPRODUCT((OFFSET(H63,0,0,H$16,1)=$T$24) +0),"")</f>
        <v>0</v>
      </c>
      <c r="O63" cm="1">
        <f t="array" aca="1" ref="O63" ca="1">IF(I63&lt;&gt;"", SUMPRODUCT((OFFSET(I63,0,0,I$16,1)=$T$24) +0),"")</f>
        <v>0</v>
      </c>
      <c r="P63" cm="1">
        <f t="array" aca="1" ref="P63" ca="1">IF(J63&lt;&gt;"", SUMPRODUCT((OFFSET(J63,0,0,J$16,1)=$T$24) +0),"")</f>
        <v>0</v>
      </c>
      <c r="Q63" cm="1">
        <f t="array" aca="1" ref="Q63" ca="1">IF(K63&lt;&gt;"", SUMPRODUCT((OFFSET(K63,0,0,K$16,1)=$T$24) +0),"")</f>
        <v>2</v>
      </c>
      <c r="R63" cm="1">
        <f t="array" aca="1" ref="R63" ca="1">IF(L63&lt;&gt;"", SUMPRODUCT((OFFSET(L63,0,0,L$16,1)=$T$24) +0),"")</f>
        <v>0</v>
      </c>
      <c r="AB63">
        <f t="shared" si="20"/>
        <v>3</v>
      </c>
      <c r="AC63">
        <f t="shared" si="20"/>
        <v>2</v>
      </c>
      <c r="AD63">
        <f t="shared" si="20"/>
        <v>0</v>
      </c>
      <c r="AE63">
        <f t="shared" si="20"/>
        <v>0</v>
      </c>
      <c r="AF63">
        <f t="shared" si="20"/>
        <v>0</v>
      </c>
      <c r="AG63">
        <f t="shared" si="21"/>
        <v>5</v>
      </c>
      <c r="AH63">
        <f t="shared" ca="1" si="22"/>
        <v>0</v>
      </c>
      <c r="AI63">
        <f>IF(ROW($AA63) - $AA$51 &lt; ($H$16+1)^5, IF(AG63 &gt;= BaseBonus!$C$16, AG63*BaseBonus!$E$31, 0), "")</f>
        <v>4.6952679064628979</v>
      </c>
      <c r="AJ63">
        <f t="shared" ca="1" si="23"/>
        <v>0</v>
      </c>
      <c r="AM63" t="str">
        <f>IF(AN62&lt;&gt;"",IF(SUM($H$16:$J$16)&gt;=AN62+1,AN62+1,""),"")</f>
        <v/>
      </c>
    </row>
    <row r="64" spans="1:40" x14ac:dyDescent="0.3">
      <c r="A64" t="str">
        <v>P3</v>
      </c>
      <c r="B64" t="str">
        <v>P6</v>
      </c>
      <c r="C64" t="str">
        <v>P3</v>
      </c>
      <c r="D64" t="str">
        <v>CP</v>
      </c>
      <c r="E64" t="str">
        <v>WILD</v>
      </c>
      <c r="H64" t="str" cm="1">
        <f t="array" aca="1" ref="H64" ca="1">IF(ROW(A64)-H$15 &lt; H$14,A64,IF(ROW(A64) - H$15 -H$16 + 1 &lt; H$14,INDIRECT(ADDRESS(MOD(ROW(A64) - H$15, H$14) + H$15, COLUMN(A64))),""))</f>
        <v>P3</v>
      </c>
      <c r="I64" t="str" cm="1">
        <f t="array" aca="1" ref="I64" ca="1">IF(ROW(B64)-I$15 &lt; I$14,B64,IF(ROW(B64) - I$15 -I$16 + 1 &lt; I$14,INDIRECT(ADDRESS(MOD(ROW(B64) - I$15, I$14) + I$15, COLUMN(B64))),""))</f>
        <v>P6</v>
      </c>
      <c r="J64" t="str" cm="1">
        <f t="array" aca="1" ref="J64" ca="1">IF(ROW(C64)-J$15 &lt; J$14,C64,IF(ROW(C64) - J$15 -J$16 + 1 &lt; J$14,INDIRECT(ADDRESS(MOD(ROW(C64) - J$15, J$14) + J$15, COLUMN(C64))),""))</f>
        <v>P3</v>
      </c>
      <c r="K64" t="str" cm="1">
        <f t="array" aca="1" ref="K64" ca="1">IF(ROW(D64)-K$15 &lt; K$14,D64,IF(ROW(D64) - K$15 -K$16 + 1 &lt; K$14,INDIRECT(ADDRESS(MOD(ROW(D64) - K$15, K$14) + K$15, COLUMN(D64))),""))</f>
        <v>CP</v>
      </c>
      <c r="L64" t="str" cm="1">
        <f t="array" aca="1" ref="L64" ca="1">IF(ROW(E64)-L$15 &lt; L$14,E64,IF(ROW(E64) - L$15 -L$16 + 1 &lt; L$14,INDIRECT(ADDRESS(MOD(ROW(E64) - L$15, L$14) + L$15, COLUMN(E64))),""))</f>
        <v>WILD</v>
      </c>
      <c r="N64" cm="1">
        <f t="array" aca="1" ref="N64" ca="1">IF(H64&lt;&gt;"", SUMPRODUCT((OFFSET(H64,0,0,H$16,1)=$T$24) +0),"")</f>
        <v>0</v>
      </c>
      <c r="O64" cm="1">
        <f t="array" aca="1" ref="O64" ca="1">IF(I64&lt;&gt;"", SUMPRODUCT((OFFSET(I64,0,0,I$16,1)=$T$24) +0),"")</f>
        <v>0</v>
      </c>
      <c r="P64" cm="1">
        <f t="array" aca="1" ref="P64" ca="1">IF(J64&lt;&gt;"", SUMPRODUCT((OFFSET(J64,0,0,J$16,1)=$T$24) +0),"")</f>
        <v>0</v>
      </c>
      <c r="Q64" cm="1">
        <f t="array" aca="1" ref="Q64" ca="1">IF(K64&lt;&gt;"", SUMPRODUCT((OFFSET(K64,0,0,K$16,1)=$T$24) +0),"")</f>
        <v>1</v>
      </c>
      <c r="R64" cm="1">
        <f t="array" aca="1" ref="R64" ca="1">IF(L64&lt;&gt;"", SUMPRODUCT((OFFSET(L64,0,0,L$16,1)=$T$24) +0),"")</f>
        <v>1</v>
      </c>
      <c r="AB64">
        <f t="shared" si="20"/>
        <v>0</v>
      </c>
      <c r="AC64">
        <f t="shared" si="20"/>
        <v>3</v>
      </c>
      <c r="AD64">
        <f t="shared" si="20"/>
        <v>0</v>
      </c>
      <c r="AE64">
        <f t="shared" si="20"/>
        <v>0</v>
      </c>
      <c r="AF64">
        <f t="shared" si="20"/>
        <v>0</v>
      </c>
      <c r="AG64">
        <f t="shared" si="21"/>
        <v>3</v>
      </c>
      <c r="AH64">
        <f t="shared" ca="1" si="22"/>
        <v>0</v>
      </c>
      <c r="AI64">
        <f>IF(ROW($AA64) - $AA$51 &lt; ($H$16+1)^5, IF(AG64 &gt;= BaseBonus!$C$16, AG64*BaseBonus!$E$31, 0), "")</f>
        <v>0</v>
      </c>
      <c r="AJ64">
        <f t="shared" ca="1" si="23"/>
        <v>0</v>
      </c>
      <c r="AM64" t="str">
        <f>IF(AM63&lt;&gt;"",IF(SUM($H$16:$J$16)&gt;=AM63+1,AM63+1,""),"")</f>
        <v/>
      </c>
    </row>
    <row r="65" spans="1:39" x14ac:dyDescent="0.3">
      <c r="A65" t="str">
        <v>SCAT</v>
      </c>
      <c r="B65" t="str">
        <v>P3</v>
      </c>
      <c r="C65" t="str">
        <v>P2</v>
      </c>
      <c r="D65" t="str">
        <v>P3</v>
      </c>
      <c r="E65" t="str">
        <v>P4</v>
      </c>
      <c r="H65" t="str" cm="1">
        <f t="array" aca="1" ref="H65" ca="1">IF(ROW(A65)-H$15 &lt; H$14,A65,IF(ROW(A65) - H$15 -H$16 + 1 &lt; H$14,INDIRECT(ADDRESS(MOD(ROW(A65) - H$15, H$14) + H$15, COLUMN(A65))),""))</f>
        <v>SCAT</v>
      </c>
      <c r="I65" t="str" cm="1">
        <f t="array" aca="1" ref="I65" ca="1">IF(ROW(B65)-I$15 &lt; I$14,B65,IF(ROW(B65) - I$15 -I$16 + 1 &lt; I$14,INDIRECT(ADDRESS(MOD(ROW(B65) - I$15, I$14) + I$15, COLUMN(B65))),""))</f>
        <v>P3</v>
      </c>
      <c r="J65" t="str" cm="1">
        <f t="array" aca="1" ref="J65" ca="1">IF(ROW(C65)-J$15 &lt; J$14,C65,IF(ROW(C65) - J$15 -J$16 + 1 &lt; J$14,INDIRECT(ADDRESS(MOD(ROW(C65) - J$15, J$14) + J$15, COLUMN(C65))),""))</f>
        <v>P2</v>
      </c>
      <c r="K65" t="str" cm="1">
        <f t="array" aca="1" ref="K65" ca="1">IF(ROW(D65)-K$15 &lt; K$14,D65,IF(ROW(D65) - K$15 -K$16 + 1 &lt; K$14,INDIRECT(ADDRESS(MOD(ROW(D65) - K$15, K$14) + K$15, COLUMN(D65))),""))</f>
        <v>P3</v>
      </c>
      <c r="L65" t="str" cm="1">
        <f t="array" aca="1" ref="L65" ca="1">IF(ROW(E65)-L$15 &lt; L$14,E65,IF(ROW(E65) - L$15 -L$16 + 1 &lt; L$14,INDIRECT(ADDRESS(MOD(ROW(E65) - L$15, L$14) + L$15, COLUMN(E65))),""))</f>
        <v>P4</v>
      </c>
      <c r="N65" cm="1">
        <f t="array" aca="1" ref="N65" ca="1">IF(H65&lt;&gt;"", SUMPRODUCT((OFFSET(H65,0,0,H$16,1)=$T$24) +0),"")</f>
        <v>0</v>
      </c>
      <c r="O65" cm="1">
        <f t="array" aca="1" ref="O65" ca="1">IF(I65&lt;&gt;"", SUMPRODUCT((OFFSET(I65,0,0,I$16,1)=$T$24) +0),"")</f>
        <v>0</v>
      </c>
      <c r="P65" cm="1">
        <f t="array" aca="1" ref="P65" ca="1">IF(J65&lt;&gt;"", SUMPRODUCT((OFFSET(J65,0,0,J$16,1)=$T$24) +0),"")</f>
        <v>0</v>
      </c>
      <c r="Q65" cm="1">
        <f t="array" aca="1" ref="Q65" ca="1">IF(K65&lt;&gt;"", SUMPRODUCT((OFFSET(K65,0,0,K$16,1)=$T$24) +0),"")</f>
        <v>0</v>
      </c>
      <c r="R65" cm="1">
        <f t="array" aca="1" ref="R65" ca="1">IF(L65&lt;&gt;"", SUMPRODUCT((OFFSET(L65,0,0,L$16,1)=$T$24) +0),"")</f>
        <v>1</v>
      </c>
      <c r="AB65">
        <f t="shared" si="20"/>
        <v>1</v>
      </c>
      <c r="AC65">
        <f t="shared" si="20"/>
        <v>3</v>
      </c>
      <c r="AD65">
        <f t="shared" si="20"/>
        <v>0</v>
      </c>
      <c r="AE65">
        <f t="shared" si="20"/>
        <v>0</v>
      </c>
      <c r="AF65">
        <f t="shared" si="20"/>
        <v>0</v>
      </c>
      <c r="AG65">
        <f t="shared" si="21"/>
        <v>4</v>
      </c>
      <c r="AH65">
        <f t="shared" ca="1" si="22"/>
        <v>0</v>
      </c>
      <c r="AI65">
        <f>IF(ROW($AA65) - $AA$51 &lt; ($H$16+1)^5, IF(AG65 &gt;= BaseBonus!$C$16, AG65*BaseBonus!$E$31, 0), "")</f>
        <v>0</v>
      </c>
      <c r="AJ65">
        <f t="shared" ca="1" si="23"/>
        <v>0</v>
      </c>
      <c r="AM65" t="str">
        <f t="shared" ref="AM65:AM72" si="24">IF(AM64&lt;&gt;"",IF(SUM($H$16:$J$16)&gt;=AM64+1,AM64+1,""),"")</f>
        <v/>
      </c>
    </row>
    <row r="66" spans="1:39" x14ac:dyDescent="0.3">
      <c r="A66" t="str">
        <v>P6</v>
      </c>
      <c r="B66" t="str">
        <v>P4</v>
      </c>
      <c r="C66" t="str">
        <v>P6</v>
      </c>
      <c r="D66" t="str">
        <v>P4</v>
      </c>
      <c r="E66" t="str">
        <v>CP</v>
      </c>
      <c r="H66" t="str" cm="1">
        <f t="array" aca="1" ref="H66" ca="1">IF(ROW(A66)-H$15 &lt; H$14,A66,IF(ROW(A66) - H$15 -H$16 + 1 &lt; H$14,INDIRECT(ADDRESS(MOD(ROW(A66) - H$15, H$14) + H$15, COLUMN(A66))),""))</f>
        <v>P6</v>
      </c>
      <c r="I66" t="str" cm="1">
        <f t="array" aca="1" ref="I66" ca="1">IF(ROW(B66)-I$15 &lt; I$14,B66,IF(ROW(B66) - I$15 -I$16 + 1 &lt; I$14,INDIRECT(ADDRESS(MOD(ROW(B66) - I$15, I$14) + I$15, COLUMN(B66))),""))</f>
        <v>P4</v>
      </c>
      <c r="J66" t="str" cm="1">
        <f t="array" aca="1" ref="J66" ca="1">IF(ROW(C66)-J$15 &lt; J$14,C66,IF(ROW(C66) - J$15 -J$16 + 1 &lt; J$14,INDIRECT(ADDRESS(MOD(ROW(C66) - J$15, J$14) + J$15, COLUMN(C66))),""))</f>
        <v>P6</v>
      </c>
      <c r="K66" t="str" cm="1">
        <f t="array" aca="1" ref="K66" ca="1">IF(ROW(D66)-K$15 &lt; K$14,D66,IF(ROW(D66) - K$15 -K$16 + 1 &lt; K$14,INDIRECT(ADDRESS(MOD(ROW(D66) - K$15, K$14) + K$15, COLUMN(D66))),""))</f>
        <v>P4</v>
      </c>
      <c r="L66" t="str" cm="1">
        <f t="array" aca="1" ref="L66" ca="1">IF(ROW(E66)-L$15 &lt; L$14,E66,IF(ROW(E66) - L$15 -L$16 + 1 &lt; L$14,INDIRECT(ADDRESS(MOD(ROW(E66) - L$15, L$14) + L$15, COLUMN(E66))),""))</f>
        <v>CP</v>
      </c>
      <c r="N66" cm="1">
        <f t="array" aca="1" ref="N66" ca="1">IF(H66&lt;&gt;"", SUMPRODUCT((OFFSET(H66,0,0,H$16,1)=$T$24) +0),"")</f>
        <v>0</v>
      </c>
      <c r="O66" cm="1">
        <f t="array" aca="1" ref="O66" ca="1">IF(I66&lt;&gt;"", SUMPRODUCT((OFFSET(I66,0,0,I$16,1)=$T$24) +0),"")</f>
        <v>0</v>
      </c>
      <c r="P66" cm="1">
        <f t="array" aca="1" ref="P66" ca="1">IF(J66&lt;&gt;"", SUMPRODUCT((OFFSET(J66,0,0,J$16,1)=$T$24) +0),"")</f>
        <v>0</v>
      </c>
      <c r="Q66" cm="1">
        <f t="array" aca="1" ref="Q66" ca="1">IF(K66&lt;&gt;"", SUMPRODUCT((OFFSET(K66,0,0,K$16,1)=$T$24) +0),"")</f>
        <v>0</v>
      </c>
      <c r="R66" cm="1">
        <f t="array" aca="1" ref="R66" ca="1">IF(L66&lt;&gt;"", SUMPRODUCT((OFFSET(L66,0,0,L$16,1)=$T$24) +0),"")</f>
        <v>1</v>
      </c>
      <c r="AB66">
        <f t="shared" si="20"/>
        <v>2</v>
      </c>
      <c r="AC66">
        <f t="shared" si="20"/>
        <v>3</v>
      </c>
      <c r="AD66">
        <f t="shared" si="20"/>
        <v>0</v>
      </c>
      <c r="AE66">
        <f t="shared" si="20"/>
        <v>0</v>
      </c>
      <c r="AF66">
        <f t="shared" si="20"/>
        <v>0</v>
      </c>
      <c r="AG66">
        <f t="shared" si="21"/>
        <v>5</v>
      </c>
      <c r="AH66">
        <f t="shared" ca="1" si="22"/>
        <v>0</v>
      </c>
      <c r="AI66">
        <f>IF(ROW($AA66) - $AA$51 &lt; ($H$16+1)^5, IF(AG66 &gt;= BaseBonus!$C$16, AG66*BaseBonus!$E$31, 0), "")</f>
        <v>4.6952679064628979</v>
      </c>
      <c r="AJ66">
        <f t="shared" ca="1" si="23"/>
        <v>0</v>
      </c>
      <c r="AM66" t="str">
        <f t="shared" si="24"/>
        <v/>
      </c>
    </row>
    <row r="67" spans="1:39" x14ac:dyDescent="0.3">
      <c r="A67" t="str">
        <v>P5</v>
      </c>
      <c r="B67" t="str">
        <v>P6</v>
      </c>
      <c r="C67" t="str">
        <v>P6</v>
      </c>
      <c r="D67" t="str">
        <v>P6</v>
      </c>
      <c r="E67" t="str">
        <v>P2</v>
      </c>
      <c r="H67" t="str" cm="1">
        <f t="array" aca="1" ref="H67" ca="1">IF(ROW(A67)-H$15 &lt; H$14,A67,IF(ROW(A67) - H$15 -H$16 + 1 &lt; H$14,INDIRECT(ADDRESS(MOD(ROW(A67) - H$15, H$14) + H$15, COLUMN(A67))),""))</f>
        <v>P5</v>
      </c>
      <c r="I67" t="str" cm="1">
        <f t="array" aca="1" ref="I67" ca="1">IF(ROW(B67)-I$15 &lt; I$14,B67,IF(ROW(B67) - I$15 -I$16 + 1 &lt; I$14,INDIRECT(ADDRESS(MOD(ROW(B67) - I$15, I$14) + I$15, COLUMN(B67))),""))</f>
        <v>P6</v>
      </c>
      <c r="J67" t="str" cm="1">
        <f t="array" aca="1" ref="J67" ca="1">IF(ROW(C67)-J$15 &lt; J$14,C67,IF(ROW(C67) - J$15 -J$16 + 1 &lt; J$14,INDIRECT(ADDRESS(MOD(ROW(C67) - J$15, J$14) + J$15, COLUMN(C67))),""))</f>
        <v>P6</v>
      </c>
      <c r="K67" t="str" cm="1">
        <f t="array" aca="1" ref="K67" ca="1">IF(ROW(D67)-K$15 &lt; K$14,D67,IF(ROW(D67) - K$15 -K$16 + 1 &lt; K$14,INDIRECT(ADDRESS(MOD(ROW(D67) - K$15, K$14) + K$15, COLUMN(D67))),""))</f>
        <v>P6</v>
      </c>
      <c r="L67" t="str" cm="1">
        <f t="array" aca="1" ref="L67" ca="1">IF(ROW(E67)-L$15 &lt; L$14,E67,IF(ROW(E67) - L$15 -L$16 + 1 &lt; L$14,INDIRECT(ADDRESS(MOD(ROW(E67) - L$15, L$14) + L$15, COLUMN(E67))),""))</f>
        <v>P2</v>
      </c>
      <c r="N67" cm="1">
        <f t="array" aca="1" ref="N67" ca="1">IF(H67&lt;&gt;"", SUMPRODUCT((OFFSET(H67,0,0,H$16,1)=$T$24) +0),"")</f>
        <v>0</v>
      </c>
      <c r="O67" cm="1">
        <f t="array" aca="1" ref="O67" ca="1">IF(I67&lt;&gt;"", SUMPRODUCT((OFFSET(I67,0,0,I$16,1)=$T$24) +0),"")</f>
        <v>0</v>
      </c>
      <c r="P67" cm="1">
        <f t="array" aca="1" ref="P67" ca="1">IF(J67&lt;&gt;"", SUMPRODUCT((OFFSET(J67,0,0,J$16,1)=$T$24) +0),"")</f>
        <v>0</v>
      </c>
      <c r="Q67" cm="1">
        <f t="array" aca="1" ref="Q67" ca="1">IF(K67&lt;&gt;"", SUMPRODUCT((OFFSET(K67,0,0,K$16,1)=$T$24) +0),"")</f>
        <v>0</v>
      </c>
      <c r="R67" cm="1">
        <f t="array" aca="1" ref="R67" ca="1">IF(L67&lt;&gt;"", SUMPRODUCT((OFFSET(L67,0,0,L$16,1)=$T$24) +0),"")</f>
        <v>0</v>
      </c>
      <c r="AB67">
        <f t="shared" si="20"/>
        <v>3</v>
      </c>
      <c r="AC67">
        <f t="shared" si="20"/>
        <v>3</v>
      </c>
      <c r="AD67">
        <f t="shared" si="20"/>
        <v>0</v>
      </c>
      <c r="AE67">
        <f t="shared" si="20"/>
        <v>0</v>
      </c>
      <c r="AF67">
        <f t="shared" si="20"/>
        <v>0</v>
      </c>
      <c r="AG67">
        <f t="shared" si="21"/>
        <v>6</v>
      </c>
      <c r="AH67">
        <f t="shared" ca="1" si="22"/>
        <v>0</v>
      </c>
      <c r="AI67">
        <f>IF(ROW($AA67) - $AA$51 &lt; ($H$16+1)^5, IF(AG67 &gt;= BaseBonus!$C$16, AG67*BaseBonus!$E$31, 0), "")</f>
        <v>5.6343214877554777</v>
      </c>
      <c r="AJ67">
        <f t="shared" ca="1" si="23"/>
        <v>0</v>
      </c>
      <c r="AM67" t="str">
        <f t="shared" si="24"/>
        <v/>
      </c>
    </row>
    <row r="68" spans="1:39" x14ac:dyDescent="0.3">
      <c r="A68" t="str">
        <v>P2</v>
      </c>
      <c r="B68" t="str">
        <v>P2</v>
      </c>
      <c r="C68" t="str">
        <v>SCAT</v>
      </c>
      <c r="D68" t="str">
        <v>P2</v>
      </c>
      <c r="E68" t="str">
        <v>SCAT</v>
      </c>
      <c r="H68" t="str" cm="1">
        <f t="array" aca="1" ref="H68" ca="1">IF(ROW(A68)-H$15 &lt; H$14,A68,IF(ROW(A68) - H$15 -H$16 + 1 &lt; H$14,INDIRECT(ADDRESS(MOD(ROW(A68) - H$15, H$14) + H$15, COLUMN(A68))),""))</f>
        <v>P2</v>
      </c>
      <c r="I68" t="str" cm="1">
        <f t="array" aca="1" ref="I68" ca="1">IF(ROW(B68)-I$15 &lt; I$14,B68,IF(ROW(B68) - I$15 -I$16 + 1 &lt; I$14,INDIRECT(ADDRESS(MOD(ROW(B68) - I$15, I$14) + I$15, COLUMN(B68))),""))</f>
        <v>P2</v>
      </c>
      <c r="J68" t="str" cm="1">
        <f t="array" aca="1" ref="J68" ca="1">IF(ROW(C68)-J$15 &lt; J$14,C68,IF(ROW(C68) - J$15 -J$16 + 1 &lt; J$14,INDIRECT(ADDRESS(MOD(ROW(C68) - J$15, J$14) + J$15, COLUMN(C68))),""))</f>
        <v>SCAT</v>
      </c>
      <c r="K68" t="str" cm="1">
        <f t="array" aca="1" ref="K68" ca="1">IF(ROW(D68)-K$15 &lt; K$14,D68,IF(ROW(D68) - K$15 -K$16 + 1 &lt; K$14,INDIRECT(ADDRESS(MOD(ROW(D68) - K$15, K$14) + K$15, COLUMN(D68))),""))</f>
        <v>P2</v>
      </c>
      <c r="L68" t="str" cm="1">
        <f t="array" aca="1" ref="L68" ca="1">IF(ROW(E68)-L$15 &lt; L$14,E68,IF(ROW(E68) - L$15 -L$16 + 1 &lt; L$14,INDIRECT(ADDRESS(MOD(ROW(E68) - L$15, L$14) + L$15, COLUMN(E68))),""))</f>
        <v>SCAT</v>
      </c>
      <c r="N68" cm="1">
        <f t="array" aca="1" ref="N68" ca="1">IF(H68&lt;&gt;"", SUMPRODUCT((OFFSET(H68,0,0,H$16,1)=$T$24) +0),"")</f>
        <v>0</v>
      </c>
      <c r="O68" cm="1">
        <f t="array" aca="1" ref="O68" ca="1">IF(I68&lt;&gt;"", SUMPRODUCT((OFFSET(I68,0,0,I$16,1)=$T$24) +0),"")</f>
        <v>0</v>
      </c>
      <c r="P68" cm="1">
        <f t="array" aca="1" ref="P68" ca="1">IF(J68&lt;&gt;"", SUMPRODUCT((OFFSET(J68,0,0,J$16,1)=$T$24) +0),"")</f>
        <v>1</v>
      </c>
      <c r="Q68" cm="1">
        <f t="array" aca="1" ref="Q68" ca="1">IF(K68&lt;&gt;"", SUMPRODUCT((OFFSET(K68,0,0,K$16,1)=$T$24) +0),"")</f>
        <v>0</v>
      </c>
      <c r="R68" cm="1">
        <f t="array" aca="1" ref="R68" ca="1">IF(L68&lt;&gt;"", SUMPRODUCT((OFFSET(L68,0,0,L$16,1)=$T$24) +0),"")</f>
        <v>0</v>
      </c>
      <c r="AB68">
        <f t="shared" si="20"/>
        <v>0</v>
      </c>
      <c r="AC68">
        <f t="shared" si="20"/>
        <v>0</v>
      </c>
      <c r="AD68">
        <f t="shared" si="20"/>
        <v>1</v>
      </c>
      <c r="AE68">
        <f t="shared" si="20"/>
        <v>0</v>
      </c>
      <c r="AF68">
        <f t="shared" si="20"/>
        <v>0</v>
      </c>
      <c r="AG68">
        <f t="shared" si="21"/>
        <v>1</v>
      </c>
      <c r="AH68">
        <f t="shared" ca="1" si="22"/>
        <v>6.2015536994234115E-2</v>
      </c>
      <c r="AI68">
        <f>IF(ROW($AA68) - $AA$51 &lt; ($H$16+1)^5, IF(AG68 &gt;= BaseBonus!$C$16, AG68*BaseBonus!$E$31, 0), "")</f>
        <v>0</v>
      </c>
      <c r="AJ68">
        <f t="shared" ca="1" si="23"/>
        <v>0</v>
      </c>
      <c r="AM68" t="str">
        <f t="shared" si="24"/>
        <v/>
      </c>
    </row>
    <row r="69" spans="1:39" x14ac:dyDescent="0.3">
      <c r="A69" t="str">
        <v>P5</v>
      </c>
      <c r="B69" t="str">
        <v>P1</v>
      </c>
      <c r="C69" t="str">
        <v>P4</v>
      </c>
      <c r="D69" t="str">
        <v>P3</v>
      </c>
      <c r="E69" t="str">
        <v>P5</v>
      </c>
      <c r="H69" t="str" cm="1">
        <f t="array" aca="1" ref="H69" ca="1">IF(ROW(A69)-H$15 &lt; H$14,A69,IF(ROW(A69) - H$15 -H$16 + 1 &lt; H$14,INDIRECT(ADDRESS(MOD(ROW(A69) - H$15, H$14) + H$15, COLUMN(A69))),""))</f>
        <v>P5</v>
      </c>
      <c r="I69" t="str" cm="1">
        <f t="array" aca="1" ref="I69" ca="1">IF(ROW(B69)-I$15 &lt; I$14,B69,IF(ROW(B69) - I$15 -I$16 + 1 &lt; I$14,INDIRECT(ADDRESS(MOD(ROW(B69) - I$15, I$14) + I$15, COLUMN(B69))),""))</f>
        <v>P1</v>
      </c>
      <c r="J69" t="str" cm="1">
        <f t="array" aca="1" ref="J69" ca="1">IF(ROW(C69)-J$15 &lt; J$14,C69,IF(ROW(C69) - J$15 -J$16 + 1 &lt; J$14,INDIRECT(ADDRESS(MOD(ROW(C69) - J$15, J$14) + J$15, COLUMN(C69))),""))</f>
        <v>P4</v>
      </c>
      <c r="K69" t="str" cm="1">
        <f t="array" aca="1" ref="K69" ca="1">IF(ROW(D69)-K$15 &lt; K$14,D69,IF(ROW(D69) - K$15 -K$16 + 1 &lt; K$14,INDIRECT(ADDRESS(MOD(ROW(D69) - K$15, K$14) + K$15, COLUMN(D69))),""))</f>
        <v>P3</v>
      </c>
      <c r="L69" t="str" cm="1">
        <f t="array" aca="1" ref="L69" ca="1">IF(ROW(E69)-L$15 &lt; L$14,E69,IF(ROW(E69) - L$15 -L$16 + 1 &lt; L$14,INDIRECT(ADDRESS(MOD(ROW(E69) - L$15, L$14) + L$15, COLUMN(E69))),""))</f>
        <v>P5</v>
      </c>
      <c r="N69" cm="1">
        <f t="array" aca="1" ref="N69" ca="1">IF(H69&lt;&gt;"", SUMPRODUCT((OFFSET(H69,0,0,H$16,1)=$T$24) +0),"")</f>
        <v>0</v>
      </c>
      <c r="O69" cm="1">
        <f t="array" aca="1" ref="O69" ca="1">IF(I69&lt;&gt;"", SUMPRODUCT((OFFSET(I69,0,0,I$16,1)=$T$24) +0),"")</f>
        <v>0</v>
      </c>
      <c r="P69" cm="1">
        <f t="array" aca="1" ref="P69" ca="1">IF(J69&lt;&gt;"", SUMPRODUCT((OFFSET(J69,0,0,J$16,1)=$T$24) +0),"")</f>
        <v>1</v>
      </c>
      <c r="Q69" cm="1">
        <f t="array" aca="1" ref="Q69" ca="1">IF(K69&lt;&gt;"", SUMPRODUCT((OFFSET(K69,0,0,K$16,1)=$T$24) +0),"")</f>
        <v>0</v>
      </c>
      <c r="R69" cm="1">
        <f t="array" aca="1" ref="R69" ca="1">IF(L69&lt;&gt;"", SUMPRODUCT((OFFSET(L69,0,0,L$16,1)=$T$24) +0),"")</f>
        <v>0</v>
      </c>
      <c r="AB69">
        <f t="shared" si="20"/>
        <v>1</v>
      </c>
      <c r="AC69">
        <f t="shared" si="20"/>
        <v>0</v>
      </c>
      <c r="AD69">
        <f t="shared" si="20"/>
        <v>1</v>
      </c>
      <c r="AE69">
        <f t="shared" si="20"/>
        <v>0</v>
      </c>
      <c r="AF69">
        <f t="shared" si="20"/>
        <v>0</v>
      </c>
      <c r="AG69">
        <f t="shared" si="21"/>
        <v>2</v>
      </c>
      <c r="AH69">
        <f t="shared" ca="1" si="22"/>
        <v>1.0785310781605936E-2</v>
      </c>
      <c r="AI69">
        <f>IF(ROW($AA69) - $AA$51 &lt; ($H$16+1)^5, IF(AG69 &gt;= BaseBonus!$C$16, AG69*BaseBonus!$E$31, 0), "")</f>
        <v>0</v>
      </c>
      <c r="AJ69">
        <f t="shared" ca="1" si="23"/>
        <v>0</v>
      </c>
      <c r="AM69" t="str">
        <f t="shared" si="24"/>
        <v/>
      </c>
    </row>
    <row r="70" spans="1:39" x14ac:dyDescent="0.3">
      <c r="A70" t="str">
        <v>P6</v>
      </c>
      <c r="B70" t="str">
        <v>P3</v>
      </c>
      <c r="C70" t="str">
        <v>CP</v>
      </c>
      <c r="D70" t="str">
        <v>P2</v>
      </c>
      <c r="E70" t="str">
        <v>P1</v>
      </c>
      <c r="H70" t="str" cm="1">
        <f t="array" aca="1" ref="H70" ca="1">IF(ROW(A70)-H$15 &lt; H$14,A70,IF(ROW(A70) - H$15 -H$16 + 1 &lt; H$14,INDIRECT(ADDRESS(MOD(ROW(A70) - H$15, H$14) + H$15, COLUMN(A70))),""))</f>
        <v>P6</v>
      </c>
      <c r="I70" t="str" cm="1">
        <f t="array" aca="1" ref="I70" ca="1">IF(ROW(B70)-I$15 &lt; I$14,B70,IF(ROW(B70) - I$15 -I$16 + 1 &lt; I$14,INDIRECT(ADDRESS(MOD(ROW(B70) - I$15, I$14) + I$15, COLUMN(B70))),""))</f>
        <v>P3</v>
      </c>
      <c r="J70" t="str" cm="1">
        <f t="array" aca="1" ref="J70" ca="1">IF(ROW(C70)-J$15 &lt; J$14,C70,IF(ROW(C70) - J$15 -J$16 + 1 &lt; J$14,INDIRECT(ADDRESS(MOD(ROW(C70) - J$15, J$14) + J$15, COLUMN(C70))),""))</f>
        <v>CP</v>
      </c>
      <c r="K70" t="str" cm="1">
        <f t="array" aca="1" ref="K70" ca="1">IF(ROW(D70)-K$15 &lt; K$14,D70,IF(ROW(D70) - K$15 -K$16 + 1 &lt; K$14,INDIRECT(ADDRESS(MOD(ROW(D70) - K$15, K$14) + K$15, COLUMN(D70))),""))</f>
        <v>P2</v>
      </c>
      <c r="L70" t="str" cm="1">
        <f t="array" aca="1" ref="L70" ca="1">IF(ROW(E70)-L$15 &lt; L$14,E70,IF(ROW(E70) - L$15 -L$16 + 1 &lt; L$14,INDIRECT(ADDRESS(MOD(ROW(E70) - L$15, L$14) + L$15, COLUMN(E70))),""))</f>
        <v>P1</v>
      </c>
      <c r="N70" cm="1">
        <f t="array" aca="1" ref="N70" ca="1">IF(H70&lt;&gt;"", SUMPRODUCT((OFFSET(H70,0,0,H$16,1)=$T$24) +0),"")</f>
        <v>0</v>
      </c>
      <c r="O70" cm="1">
        <f t="array" aca="1" ref="O70" ca="1">IF(I70&lt;&gt;"", SUMPRODUCT((OFFSET(I70,0,0,I$16,1)=$T$24) +0),"")</f>
        <v>0</v>
      </c>
      <c r="P70" cm="1">
        <f t="array" aca="1" ref="P70" ca="1">IF(J70&lt;&gt;"", SUMPRODUCT((OFFSET(J70,0,0,J$16,1)=$T$24) +0),"")</f>
        <v>1</v>
      </c>
      <c r="Q70" cm="1">
        <f t="array" aca="1" ref="Q70" ca="1">IF(K70&lt;&gt;"", SUMPRODUCT((OFFSET(K70,0,0,K$16,1)=$T$24) +0),"")</f>
        <v>0</v>
      </c>
      <c r="R70" cm="1">
        <f t="array" aca="1" ref="R70" ca="1">IF(L70&lt;&gt;"", SUMPRODUCT((OFFSET(L70,0,0,L$16,1)=$T$24) +0),"")</f>
        <v>0</v>
      </c>
      <c r="AB70">
        <f t="shared" si="20"/>
        <v>2</v>
      </c>
      <c r="AC70">
        <f t="shared" si="20"/>
        <v>0</v>
      </c>
      <c r="AD70">
        <f t="shared" si="20"/>
        <v>1</v>
      </c>
      <c r="AE70">
        <f t="shared" si="20"/>
        <v>0</v>
      </c>
      <c r="AF70">
        <f t="shared" si="20"/>
        <v>0</v>
      </c>
      <c r="AG70">
        <f t="shared" si="21"/>
        <v>3</v>
      </c>
      <c r="AH70">
        <f t="shared" ca="1" si="22"/>
        <v>0</v>
      </c>
      <c r="AI70">
        <f>IF(ROW($AA70) - $AA$51 &lt; ($H$16+1)^5, IF(AG70 &gt;= BaseBonus!$C$16, AG70*BaseBonus!$E$31, 0), "")</f>
        <v>0</v>
      </c>
      <c r="AJ70">
        <f t="shared" ca="1" si="23"/>
        <v>0</v>
      </c>
      <c r="AK70" s="28"/>
      <c r="AM70" t="str">
        <f t="shared" si="24"/>
        <v/>
      </c>
    </row>
    <row r="71" spans="1:39" x14ac:dyDescent="0.3">
      <c r="A71" t="str">
        <v>P6</v>
      </c>
      <c r="B71" t="str">
        <v>P2</v>
      </c>
      <c r="C71" t="str">
        <v>P2</v>
      </c>
      <c r="D71" t="str">
        <v>P3</v>
      </c>
      <c r="E71" t="str">
        <v>P3</v>
      </c>
      <c r="H71" t="str" cm="1">
        <f t="array" aca="1" ref="H71" ca="1">IF(ROW(A71)-H$15 &lt; H$14,A71,IF(ROW(A71) - H$15 -H$16 + 1 &lt; H$14,INDIRECT(ADDRESS(MOD(ROW(A71) - H$15, H$14) + H$15, COLUMN(A71))),""))</f>
        <v>P6</v>
      </c>
      <c r="I71" t="str" cm="1">
        <f t="array" aca="1" ref="I71" ca="1">IF(ROW(B71)-I$15 &lt; I$14,B71,IF(ROW(B71) - I$15 -I$16 + 1 &lt; I$14,INDIRECT(ADDRESS(MOD(ROW(B71) - I$15, I$14) + I$15, COLUMN(B71))),""))</f>
        <v>P2</v>
      </c>
      <c r="J71" t="str" cm="1">
        <f t="array" aca="1" ref="J71" ca="1">IF(ROW(C71)-J$15 &lt; J$14,C71,IF(ROW(C71) - J$15 -J$16 + 1 &lt; J$14,INDIRECT(ADDRESS(MOD(ROW(C71) - J$15, J$14) + J$15, COLUMN(C71))),""))</f>
        <v>P2</v>
      </c>
      <c r="K71" t="str" cm="1">
        <f t="array" aca="1" ref="K71" ca="1">IF(ROW(D71)-K$15 &lt; K$14,D71,IF(ROW(D71) - K$15 -K$16 + 1 &lt; K$14,INDIRECT(ADDRESS(MOD(ROW(D71) - K$15, K$14) + K$15, COLUMN(D71))),""))</f>
        <v>P3</v>
      </c>
      <c r="L71" t="str" cm="1">
        <f t="array" aca="1" ref="L71" ca="1">IF(ROW(E71)-L$15 &lt; L$14,E71,IF(ROW(E71) - L$15 -L$16 + 1 &lt; L$14,INDIRECT(ADDRESS(MOD(ROW(E71) - L$15, L$14) + L$15, COLUMN(E71))),""))</f>
        <v>P3</v>
      </c>
      <c r="N71" cm="1">
        <f t="array" aca="1" ref="N71" ca="1">IF(H71&lt;&gt;"", SUMPRODUCT((OFFSET(H71,0,0,H$16,1)=$T$24) +0),"")</f>
        <v>0</v>
      </c>
      <c r="O71" cm="1">
        <f t="array" aca="1" ref="O71" ca="1">IF(I71&lt;&gt;"", SUMPRODUCT((OFFSET(I71,0,0,I$16,1)=$T$24) +0),"")</f>
        <v>0</v>
      </c>
      <c r="P71" cm="1">
        <f t="array" aca="1" ref="P71" ca="1">IF(J71&lt;&gt;"", SUMPRODUCT((OFFSET(J71,0,0,J$16,1)=$T$24) +0),"")</f>
        <v>0</v>
      </c>
      <c r="Q71" cm="1">
        <f t="array" aca="1" ref="Q71" ca="1">IF(K71&lt;&gt;"", SUMPRODUCT((OFFSET(K71,0,0,K$16,1)=$T$24) +0),"")</f>
        <v>0</v>
      </c>
      <c r="R71" cm="1">
        <f t="array" aca="1" ref="R71" ca="1">IF(L71&lt;&gt;"", SUMPRODUCT((OFFSET(L71,0,0,L$16,1)=$T$24) +0),"")</f>
        <v>0</v>
      </c>
      <c r="AB71">
        <f t="shared" si="20"/>
        <v>3</v>
      </c>
      <c r="AC71">
        <f t="shared" si="20"/>
        <v>0</v>
      </c>
      <c r="AD71">
        <f t="shared" si="20"/>
        <v>1</v>
      </c>
      <c r="AE71">
        <f t="shared" si="20"/>
        <v>0</v>
      </c>
      <c r="AF71">
        <f t="shared" si="20"/>
        <v>0</v>
      </c>
      <c r="AG71">
        <f t="shared" si="21"/>
        <v>4</v>
      </c>
      <c r="AH71">
        <f t="shared" ca="1" si="22"/>
        <v>0</v>
      </c>
      <c r="AI71">
        <f>IF(ROW($AA71) - $AA$51 &lt; ($H$16+1)^5, IF(AG71 &gt;= BaseBonus!$C$16, AG71*BaseBonus!$E$31, 0), "")</f>
        <v>0</v>
      </c>
      <c r="AJ71">
        <f t="shared" ca="1" si="23"/>
        <v>0</v>
      </c>
      <c r="AM71" t="str">
        <f t="shared" si="24"/>
        <v/>
      </c>
    </row>
    <row r="72" spans="1:39" x14ac:dyDescent="0.3">
      <c r="A72" t="str">
        <v>P4</v>
      </c>
      <c r="B72" t="str">
        <v>P3</v>
      </c>
      <c r="C72" t="str">
        <v>P5</v>
      </c>
      <c r="D72" t="str">
        <v>P6</v>
      </c>
      <c r="E72" t="str">
        <v>P4</v>
      </c>
      <c r="H72" t="str" cm="1">
        <f t="array" aca="1" ref="H72" ca="1">IF(ROW(A72)-H$15 &lt; H$14,A72,IF(ROW(A72) - H$15 -H$16 + 1 &lt; H$14,INDIRECT(ADDRESS(MOD(ROW(A72) - H$15, H$14) + H$15, COLUMN(A72))),""))</f>
        <v>P4</v>
      </c>
      <c r="I72" t="str" cm="1">
        <f t="array" aca="1" ref="I72" ca="1">IF(ROW(B72)-I$15 &lt; I$14,B72,IF(ROW(B72) - I$15 -I$16 + 1 &lt; I$14,INDIRECT(ADDRESS(MOD(ROW(B72) - I$15, I$14) + I$15, COLUMN(B72))),""))</f>
        <v>P3</v>
      </c>
      <c r="J72" t="str" cm="1">
        <f t="array" aca="1" ref="J72" ca="1">IF(ROW(C72)-J$15 &lt; J$14,C72,IF(ROW(C72) - J$15 -J$16 + 1 &lt; J$14,INDIRECT(ADDRESS(MOD(ROW(C72) - J$15, J$14) + J$15, COLUMN(C72))),""))</f>
        <v>P5</v>
      </c>
      <c r="K72" t="str" cm="1">
        <f t="array" aca="1" ref="K72" ca="1">IF(ROW(D72)-K$15 &lt; K$14,D72,IF(ROW(D72) - K$15 -K$16 + 1 &lt; K$14,INDIRECT(ADDRESS(MOD(ROW(D72) - K$15, K$14) + K$15, COLUMN(D72))),""))</f>
        <v>P6</v>
      </c>
      <c r="L72" t="str" cm="1">
        <f t="array" aca="1" ref="L72" ca="1">IF(ROW(E72)-L$15 &lt; L$14,E72,IF(ROW(E72) - L$15 -L$16 + 1 &lt; L$14,INDIRECT(ADDRESS(MOD(ROW(E72) - L$15, L$14) + L$15, COLUMN(E72))),""))</f>
        <v>P4</v>
      </c>
      <c r="N72" cm="1">
        <f t="array" aca="1" ref="N72" ca="1">IF(H72&lt;&gt;"", SUMPRODUCT((OFFSET(H72,0,0,H$16,1)=$T$24) +0),"")</f>
        <v>0</v>
      </c>
      <c r="O72" cm="1">
        <f t="array" aca="1" ref="O72" ca="1">IF(I72&lt;&gt;"", SUMPRODUCT((OFFSET(I72,0,0,I$16,1)=$T$24) +0),"")</f>
        <v>0</v>
      </c>
      <c r="P72" cm="1">
        <f t="array" aca="1" ref="P72" ca="1">IF(J72&lt;&gt;"", SUMPRODUCT((OFFSET(J72,0,0,J$16,1)=$T$24) +0),"")</f>
        <v>0</v>
      </c>
      <c r="Q72" cm="1">
        <f t="array" aca="1" ref="Q72" ca="1">IF(K72&lt;&gt;"", SUMPRODUCT((OFFSET(K72,0,0,K$16,1)=$T$24) +0),"")</f>
        <v>0</v>
      </c>
      <c r="R72" cm="1">
        <f t="array" aca="1" ref="R72" ca="1">IF(L72&lt;&gt;"", SUMPRODUCT((OFFSET(L72,0,0,L$16,1)=$T$24) +0),"")</f>
        <v>0</v>
      </c>
      <c r="AB72">
        <f t="shared" si="20"/>
        <v>0</v>
      </c>
      <c r="AC72">
        <f t="shared" si="20"/>
        <v>1</v>
      </c>
      <c r="AD72">
        <f t="shared" si="20"/>
        <v>1</v>
      </c>
      <c r="AE72">
        <f t="shared" si="20"/>
        <v>0</v>
      </c>
      <c r="AF72">
        <f t="shared" si="20"/>
        <v>0</v>
      </c>
      <c r="AG72">
        <f t="shared" si="21"/>
        <v>2</v>
      </c>
      <c r="AH72">
        <f t="shared" ca="1" si="22"/>
        <v>8.2079387198251055E-3</v>
      </c>
      <c r="AI72">
        <f>IF(ROW($AA72) - $AA$51 &lt; ($H$16+1)^5, IF(AG72 &gt;= BaseBonus!$C$16, AG72*BaseBonus!$E$31, 0), "")</f>
        <v>0</v>
      </c>
      <c r="AJ72">
        <f t="shared" ca="1" si="23"/>
        <v>0</v>
      </c>
      <c r="AK72" s="44"/>
      <c r="AM72" t="str">
        <f t="shared" si="24"/>
        <v/>
      </c>
    </row>
    <row r="73" spans="1:39" x14ac:dyDescent="0.3">
      <c r="A73" t="str">
        <v>P2</v>
      </c>
      <c r="B73" t="str">
        <v>P6</v>
      </c>
      <c r="C73" t="str">
        <v>P1</v>
      </c>
      <c r="D73" t="str">
        <v>P4</v>
      </c>
      <c r="E73" t="str">
        <v>P6</v>
      </c>
      <c r="H73" t="str" cm="1">
        <f t="array" aca="1" ref="H73" ca="1">IF(ROW(A73)-H$15 &lt; H$14,A73,IF(ROW(A73) - H$15 -H$16 + 1 &lt; H$14,INDIRECT(ADDRESS(MOD(ROW(A73) - H$15, H$14) + H$15, COLUMN(A73))),""))</f>
        <v>P2</v>
      </c>
      <c r="I73" t="str" cm="1">
        <f t="array" aca="1" ref="I73" ca="1">IF(ROW(B73)-I$15 &lt; I$14,B73,IF(ROW(B73) - I$15 -I$16 + 1 &lt; I$14,INDIRECT(ADDRESS(MOD(ROW(B73) - I$15, I$14) + I$15, COLUMN(B73))),""))</f>
        <v>P6</v>
      </c>
      <c r="J73" t="str" cm="1">
        <f t="array" aca="1" ref="J73" ca="1">IF(ROW(C73)-J$15 &lt; J$14,C73,IF(ROW(C73) - J$15 -J$16 + 1 &lt; J$14,INDIRECT(ADDRESS(MOD(ROW(C73) - J$15, J$14) + J$15, COLUMN(C73))),""))</f>
        <v>P1</v>
      </c>
      <c r="K73" t="str" cm="1">
        <f t="array" aca="1" ref="K73" ca="1">IF(ROW(D73)-K$15 &lt; K$14,D73,IF(ROW(D73) - K$15 -K$16 + 1 &lt; K$14,INDIRECT(ADDRESS(MOD(ROW(D73) - K$15, K$14) + K$15, COLUMN(D73))),""))</f>
        <v>P4</v>
      </c>
      <c r="L73" t="str" cm="1">
        <f t="array" aca="1" ref="L73" ca="1">IF(ROW(E73)-L$15 &lt; L$14,E73,IF(ROW(E73) - L$15 -L$16 + 1 &lt; L$14,INDIRECT(ADDRESS(MOD(ROW(E73) - L$15, L$14) + L$15, COLUMN(E73))),""))</f>
        <v>P6</v>
      </c>
      <c r="N73" cm="1">
        <f t="array" aca="1" ref="N73" ca="1">IF(H73&lt;&gt;"", SUMPRODUCT((OFFSET(H73,0,0,H$16,1)=$T$24) +0),"")</f>
        <v>0</v>
      </c>
      <c r="O73" cm="1">
        <f t="array" aca="1" ref="O73" ca="1">IF(I73&lt;&gt;"", SUMPRODUCT((OFFSET(I73,0,0,I$16,1)=$T$24) +0),"")</f>
        <v>0</v>
      </c>
      <c r="P73" cm="1">
        <f t="array" aca="1" ref="P73" ca="1">IF(J73&lt;&gt;"", SUMPRODUCT((OFFSET(J73,0,0,J$16,1)=$T$24) +0),"")</f>
        <v>0</v>
      </c>
      <c r="Q73" cm="1">
        <f t="array" aca="1" ref="Q73" ca="1">IF(K73&lt;&gt;"", SUMPRODUCT((OFFSET(K73,0,0,K$16,1)=$T$24) +0),"")</f>
        <v>0</v>
      </c>
      <c r="R73" cm="1">
        <f t="array" aca="1" ref="R73" ca="1">IF(L73&lt;&gt;"", SUMPRODUCT((OFFSET(L73,0,0,L$16,1)=$T$24) +0),"")</f>
        <v>1</v>
      </c>
      <c r="AB73">
        <f t="shared" si="20"/>
        <v>1</v>
      </c>
      <c r="AC73">
        <f t="shared" si="20"/>
        <v>1</v>
      </c>
      <c r="AD73">
        <f t="shared" si="20"/>
        <v>1</v>
      </c>
      <c r="AE73">
        <f t="shared" si="20"/>
        <v>0</v>
      </c>
      <c r="AF73">
        <f t="shared" si="20"/>
        <v>0</v>
      </c>
      <c r="AG73">
        <f t="shared" si="21"/>
        <v>3</v>
      </c>
      <c r="AH73">
        <f t="shared" ca="1" si="22"/>
        <v>1.4274676034478444E-3</v>
      </c>
      <c r="AI73">
        <f>IF(ROW($AA73) - $AA$51 &lt; ($H$16+1)^5, IF(AG73 &gt;= BaseBonus!$C$16, AG73*BaseBonus!$E$31, 0), "")</f>
        <v>0</v>
      </c>
      <c r="AJ73">
        <f t="shared" ca="1" si="23"/>
        <v>0</v>
      </c>
      <c r="AK73" s="44"/>
    </row>
    <row r="74" spans="1:39" x14ac:dyDescent="0.3">
      <c r="A74" t="str">
        <v>P2</v>
      </c>
      <c r="B74" t="str">
        <v>P4</v>
      </c>
      <c r="C74" t="str">
        <v>SCAT</v>
      </c>
      <c r="D74" t="str">
        <v>P3</v>
      </c>
      <c r="E74" t="str">
        <v>P1</v>
      </c>
      <c r="H74" t="str" cm="1">
        <f t="array" aca="1" ref="H74" ca="1">IF(ROW(A74)-H$15 &lt; H$14,A74,IF(ROW(A74) - H$15 -H$16 + 1 &lt; H$14,INDIRECT(ADDRESS(MOD(ROW(A74) - H$15, H$14) + H$15, COLUMN(A74))),""))</f>
        <v>P2</v>
      </c>
      <c r="I74" t="str" cm="1">
        <f t="array" aca="1" ref="I74" ca="1">IF(ROW(B74)-I$15 &lt; I$14,B74,IF(ROW(B74) - I$15 -I$16 + 1 &lt; I$14,INDIRECT(ADDRESS(MOD(ROW(B74) - I$15, I$14) + I$15, COLUMN(B74))),""))</f>
        <v>P4</v>
      </c>
      <c r="J74" t="str" cm="1">
        <f t="array" aca="1" ref="J74" ca="1">IF(ROW(C74)-J$15 &lt; J$14,C74,IF(ROW(C74) - J$15 -J$16 + 1 &lt; J$14,INDIRECT(ADDRESS(MOD(ROW(C74) - J$15, J$14) + J$15, COLUMN(C74))),""))</f>
        <v>SCAT</v>
      </c>
      <c r="K74" t="str" cm="1">
        <f t="array" aca="1" ref="K74" ca="1">IF(ROW(D74)-K$15 &lt; K$14,D74,IF(ROW(D74) - K$15 -K$16 + 1 &lt; K$14,INDIRECT(ADDRESS(MOD(ROW(D74) - K$15, K$14) + K$15, COLUMN(D74))),""))</f>
        <v>P3</v>
      </c>
      <c r="L74" t="str" cm="1">
        <f t="array" aca="1" ref="L74" ca="1">IF(ROW(E74)-L$15 &lt; L$14,E74,IF(ROW(E74) - L$15 -L$16 + 1 &lt; L$14,INDIRECT(ADDRESS(MOD(ROW(E74) - L$15, L$14) + L$15, COLUMN(E74))),""))</f>
        <v>P1</v>
      </c>
      <c r="N74" cm="1">
        <f t="array" aca="1" ref="N74" ca="1">IF(H74&lt;&gt;"", SUMPRODUCT((OFFSET(H74,0,0,H$16,1)=$T$24) +0),"")</f>
        <v>0</v>
      </c>
      <c r="O74" cm="1">
        <f t="array" aca="1" ref="O74" ca="1">IF(I74&lt;&gt;"", SUMPRODUCT((OFFSET(I74,0,0,I$16,1)=$T$24) +0),"")</f>
        <v>0</v>
      </c>
      <c r="P74" cm="1">
        <f t="array" aca="1" ref="P74" ca="1">IF(J74&lt;&gt;"", SUMPRODUCT((OFFSET(J74,0,0,J$16,1)=$T$24) +0),"")</f>
        <v>0</v>
      </c>
      <c r="Q74" cm="1">
        <f t="array" aca="1" ref="Q74" ca="1">IF(K74&lt;&gt;"", SUMPRODUCT((OFFSET(K74,0,0,K$16,1)=$T$24) +0),"")</f>
        <v>0</v>
      </c>
      <c r="R74" cm="1">
        <f t="array" aca="1" ref="R74" ca="1">IF(L74&lt;&gt;"", SUMPRODUCT((OFFSET(L74,0,0,L$16,1)=$T$24) +0),"")</f>
        <v>1</v>
      </c>
      <c r="AB74">
        <f t="shared" si="20"/>
        <v>2</v>
      </c>
      <c r="AC74">
        <f t="shared" si="20"/>
        <v>1</v>
      </c>
      <c r="AD74">
        <f t="shared" si="20"/>
        <v>1</v>
      </c>
      <c r="AE74">
        <f t="shared" si="20"/>
        <v>0</v>
      </c>
      <c r="AF74">
        <f t="shared" si="20"/>
        <v>0</v>
      </c>
      <c r="AG74">
        <f t="shared" si="21"/>
        <v>4</v>
      </c>
      <c r="AH74">
        <f t="shared" ca="1" si="22"/>
        <v>0</v>
      </c>
      <c r="AI74">
        <f>IF(ROW($AA74) - $AA$51 &lt; ($H$16+1)^5, IF(AG74 &gt;= BaseBonus!$C$16, AG74*BaseBonus!$E$31, 0), "")</f>
        <v>0</v>
      </c>
      <c r="AJ74">
        <f t="shared" ca="1" si="23"/>
        <v>0</v>
      </c>
      <c r="AK74" s="44"/>
    </row>
    <row r="75" spans="1:39" x14ac:dyDescent="0.3">
      <c r="A75" t="str">
        <v>P4</v>
      </c>
      <c r="B75" t="str">
        <v>P3</v>
      </c>
      <c r="C75" t="str">
        <v>P3</v>
      </c>
      <c r="D75" t="str">
        <v>P2</v>
      </c>
      <c r="E75" t="str">
        <v>CP</v>
      </c>
      <c r="H75" t="str" cm="1">
        <f t="array" aca="1" ref="H75" ca="1">IF(ROW(A75)-H$15 &lt; H$14,A75,IF(ROW(A75) - H$15 -H$16 + 1 &lt; H$14,INDIRECT(ADDRESS(MOD(ROW(A75) - H$15, H$14) + H$15, COLUMN(A75))),""))</f>
        <v>P4</v>
      </c>
      <c r="I75" t="str" cm="1">
        <f t="array" aca="1" ref="I75" ca="1">IF(ROW(B75)-I$15 &lt; I$14,B75,IF(ROW(B75) - I$15 -I$16 + 1 &lt; I$14,INDIRECT(ADDRESS(MOD(ROW(B75) - I$15, I$14) + I$15, COLUMN(B75))),""))</f>
        <v>P3</v>
      </c>
      <c r="J75" t="str" cm="1">
        <f t="array" aca="1" ref="J75" ca="1">IF(ROW(C75)-J$15 &lt; J$14,C75,IF(ROW(C75) - J$15 -J$16 + 1 &lt; J$14,INDIRECT(ADDRESS(MOD(ROW(C75) - J$15, J$14) + J$15, COLUMN(C75))),""))</f>
        <v>P3</v>
      </c>
      <c r="K75" t="str" cm="1">
        <f t="array" aca="1" ref="K75" ca="1">IF(ROW(D75)-K$15 &lt; K$14,D75,IF(ROW(D75) - K$15 -K$16 + 1 &lt; K$14,INDIRECT(ADDRESS(MOD(ROW(D75) - K$15, K$14) + K$15, COLUMN(D75))),""))</f>
        <v>P2</v>
      </c>
      <c r="L75" t="str" cm="1">
        <f t="array" aca="1" ref="L75" ca="1">IF(ROW(E75)-L$15 &lt; L$14,E75,IF(ROW(E75) - L$15 -L$16 + 1 &lt; L$14,INDIRECT(ADDRESS(MOD(ROW(E75) - L$15, L$14) + L$15, COLUMN(E75))),""))</f>
        <v>CP</v>
      </c>
      <c r="N75" cm="1">
        <f t="array" aca="1" ref="N75" ca="1">IF(H75&lt;&gt;"", SUMPRODUCT((OFFSET(H75,0,0,H$16,1)=$T$24) +0),"")</f>
        <v>0</v>
      </c>
      <c r="O75" cm="1">
        <f t="array" aca="1" ref="O75" ca="1">IF(I75&lt;&gt;"", SUMPRODUCT((OFFSET(I75,0,0,I$16,1)=$T$24) +0),"")</f>
        <v>0</v>
      </c>
      <c r="P75" cm="1">
        <f t="array" aca="1" ref="P75" ca="1">IF(J75&lt;&gt;"", SUMPRODUCT((OFFSET(J75,0,0,J$16,1)=$T$24) +0),"")</f>
        <v>0</v>
      </c>
      <c r="Q75" cm="1">
        <f t="array" aca="1" ref="Q75" ca="1">IF(K75&lt;&gt;"", SUMPRODUCT((OFFSET(K75,0,0,K$16,1)=$T$24) +0),"")</f>
        <v>0</v>
      </c>
      <c r="R75" cm="1">
        <f t="array" aca="1" ref="R75" ca="1">IF(L75&lt;&gt;"", SUMPRODUCT((OFFSET(L75,0,0,L$16,1)=$T$24) +0),"")</f>
        <v>1</v>
      </c>
      <c r="AB75">
        <f t="shared" si="20"/>
        <v>3</v>
      </c>
      <c r="AC75">
        <f t="shared" si="20"/>
        <v>1</v>
      </c>
      <c r="AD75">
        <f t="shared" si="20"/>
        <v>1</v>
      </c>
      <c r="AE75">
        <f t="shared" si="20"/>
        <v>0</v>
      </c>
      <c r="AF75">
        <f t="shared" si="20"/>
        <v>0</v>
      </c>
      <c r="AG75">
        <f t="shared" si="21"/>
        <v>5</v>
      </c>
      <c r="AH75">
        <f t="shared" ca="1" si="22"/>
        <v>0</v>
      </c>
      <c r="AI75">
        <f>IF(ROW($AA75) - $AA$51 &lt; ($H$16+1)^5, IF(AG75 &gt;= BaseBonus!$C$16, AG75*BaseBonus!$E$31, 0), "")</f>
        <v>4.6952679064628979</v>
      </c>
      <c r="AJ75">
        <f t="shared" ca="1" si="23"/>
        <v>0</v>
      </c>
      <c r="AK75" s="44"/>
    </row>
    <row r="76" spans="1:39" x14ac:dyDescent="0.3">
      <c r="A76" t="str">
        <v>P4</v>
      </c>
      <c r="B76" t="str">
        <v>P2</v>
      </c>
      <c r="C76" t="str">
        <v>P4</v>
      </c>
      <c r="D76" t="str">
        <v>P1</v>
      </c>
      <c r="E76" t="str">
        <v>SCAT</v>
      </c>
      <c r="H76" t="str" cm="1">
        <f t="array" aca="1" ref="H76" ca="1">IF(ROW(A76)-H$15 &lt; H$14,A76,IF(ROW(A76) - H$15 -H$16 + 1 &lt; H$14,INDIRECT(ADDRESS(MOD(ROW(A76) - H$15, H$14) + H$15, COLUMN(A76))),""))</f>
        <v>P4</v>
      </c>
      <c r="I76" t="str" cm="1">
        <f t="array" aca="1" ref="I76" ca="1">IF(ROW(B76)-I$15 &lt; I$14,B76,IF(ROW(B76) - I$15 -I$16 + 1 &lt; I$14,INDIRECT(ADDRESS(MOD(ROW(B76) - I$15, I$14) + I$15, COLUMN(B76))),""))</f>
        <v>P2</v>
      </c>
      <c r="J76" t="str" cm="1">
        <f t="array" aca="1" ref="J76" ca="1">IF(ROW(C76)-J$15 &lt; J$14,C76,IF(ROW(C76) - J$15 -J$16 + 1 &lt; J$14,INDIRECT(ADDRESS(MOD(ROW(C76) - J$15, J$14) + J$15, COLUMN(C76))),""))</f>
        <v>P4</v>
      </c>
      <c r="K76" t="str" cm="1">
        <f t="array" aca="1" ref="K76" ca="1">IF(ROW(D76)-K$15 &lt; K$14,D76,IF(ROW(D76) - K$15 -K$16 + 1 &lt; K$14,INDIRECT(ADDRESS(MOD(ROW(D76) - K$15, K$14) + K$15, COLUMN(D76))),""))</f>
        <v>P1</v>
      </c>
      <c r="L76" t="str" cm="1">
        <f t="array" aca="1" ref="L76" ca="1">IF(ROW(E76)-L$15 &lt; L$14,E76,IF(ROW(E76) - L$15 -L$16 + 1 &lt; L$14,INDIRECT(ADDRESS(MOD(ROW(E76) - L$15, L$14) + L$15, COLUMN(E76))),""))</f>
        <v>SCAT</v>
      </c>
      <c r="N76" cm="1">
        <f t="array" aca="1" ref="N76" ca="1">IF(H76&lt;&gt;"", SUMPRODUCT((OFFSET(H76,0,0,H$16,1)=$T$24) +0),"")</f>
        <v>0</v>
      </c>
      <c r="O76" cm="1">
        <f t="array" aca="1" ref="O76" ca="1">IF(I76&lt;&gt;"", SUMPRODUCT((OFFSET(I76,0,0,I$16,1)=$T$24) +0),"")</f>
        <v>0</v>
      </c>
      <c r="P76" cm="1">
        <f t="array" aca="1" ref="P76" ca="1">IF(J76&lt;&gt;"", SUMPRODUCT((OFFSET(J76,0,0,J$16,1)=$T$24) +0),"")</f>
        <v>0</v>
      </c>
      <c r="Q76" cm="1">
        <f t="array" aca="1" ref="Q76" ca="1">IF(K76&lt;&gt;"", SUMPRODUCT((OFFSET(K76,0,0,K$16,1)=$T$24) +0),"")</f>
        <v>0</v>
      </c>
      <c r="R76" cm="1">
        <f t="array" aca="1" ref="R76" ca="1">IF(L76&lt;&gt;"", SUMPRODUCT((OFFSET(L76,0,0,L$16,1)=$T$24) +0),"")</f>
        <v>0</v>
      </c>
      <c r="AB76">
        <f t="shared" si="20"/>
        <v>0</v>
      </c>
      <c r="AC76">
        <f t="shared" si="20"/>
        <v>2</v>
      </c>
      <c r="AD76">
        <f t="shared" si="20"/>
        <v>1</v>
      </c>
      <c r="AE76">
        <f t="shared" si="20"/>
        <v>0</v>
      </c>
      <c r="AF76">
        <f t="shared" si="20"/>
        <v>0</v>
      </c>
      <c r="AG76">
        <f t="shared" si="21"/>
        <v>3</v>
      </c>
      <c r="AH76">
        <f t="shared" ca="1" si="22"/>
        <v>0</v>
      </c>
      <c r="AI76">
        <f>IF(ROW($AA76) - $AA$51 &lt; ($H$16+1)^5, IF(AG76 &gt;= BaseBonus!$C$16, AG76*BaseBonus!$E$31, 0), "")</f>
        <v>0</v>
      </c>
      <c r="AJ76">
        <f t="shared" ca="1" si="23"/>
        <v>0</v>
      </c>
      <c r="AK76" s="44"/>
    </row>
    <row r="77" spans="1:39" x14ac:dyDescent="0.3">
      <c r="A77" t="str">
        <v>P1</v>
      </c>
      <c r="B77" t="str">
        <v>P1</v>
      </c>
      <c r="C77" t="str">
        <v>P6</v>
      </c>
      <c r="D77" t="str">
        <v>P5</v>
      </c>
      <c r="E77" t="str">
        <v>P4</v>
      </c>
      <c r="H77" t="str" cm="1">
        <f t="array" aca="1" ref="H77" ca="1">IF(ROW(A77)-H$15 &lt; H$14,A77,IF(ROW(A77) - H$15 -H$16 + 1 &lt; H$14,INDIRECT(ADDRESS(MOD(ROW(A77) - H$15, H$14) + H$15, COLUMN(A77))),""))</f>
        <v>P1</v>
      </c>
      <c r="I77" t="str" cm="1">
        <f t="array" aca="1" ref="I77" ca="1">IF(ROW(B77)-I$15 &lt; I$14,B77,IF(ROW(B77) - I$15 -I$16 + 1 &lt; I$14,INDIRECT(ADDRESS(MOD(ROW(B77) - I$15, I$14) + I$15, COLUMN(B77))),""))</f>
        <v>P1</v>
      </c>
      <c r="J77" t="str" cm="1">
        <f t="array" aca="1" ref="J77" ca="1">IF(ROW(C77)-J$15 &lt; J$14,C77,IF(ROW(C77) - J$15 -J$16 + 1 &lt; J$14,INDIRECT(ADDRESS(MOD(ROW(C77) - J$15, J$14) + J$15, COLUMN(C77))),""))</f>
        <v>P6</v>
      </c>
      <c r="K77" t="str" cm="1">
        <f t="array" aca="1" ref="K77" ca="1">IF(ROW(D77)-K$15 &lt; K$14,D77,IF(ROW(D77) - K$15 -K$16 + 1 &lt; K$14,INDIRECT(ADDRESS(MOD(ROW(D77) - K$15, K$14) + K$15, COLUMN(D77))),""))</f>
        <v>P5</v>
      </c>
      <c r="L77" t="str" cm="1">
        <f t="array" aca="1" ref="L77" ca="1">IF(ROW(E77)-L$15 &lt; L$14,E77,IF(ROW(E77) - L$15 -L$16 + 1 &lt; L$14,INDIRECT(ADDRESS(MOD(ROW(E77) - L$15, L$14) + L$15, COLUMN(E77))),""))</f>
        <v>P4</v>
      </c>
      <c r="N77" cm="1">
        <f t="array" aca="1" ref="N77" ca="1">IF(H77&lt;&gt;"", SUMPRODUCT((OFFSET(H77,0,0,H$16,1)=$T$24) +0),"")</f>
        <v>0</v>
      </c>
      <c r="O77" cm="1">
        <f t="array" aca="1" ref="O77" ca="1">IF(I77&lt;&gt;"", SUMPRODUCT((OFFSET(I77,0,0,I$16,1)=$T$24) +0),"")</f>
        <v>0</v>
      </c>
      <c r="P77" cm="1">
        <f t="array" aca="1" ref="P77" ca="1">IF(J77&lt;&gt;"", SUMPRODUCT((OFFSET(J77,0,0,J$16,1)=$T$24) +0),"")</f>
        <v>0</v>
      </c>
      <c r="Q77" cm="1">
        <f t="array" aca="1" ref="Q77" ca="1">IF(K77&lt;&gt;"", SUMPRODUCT((OFFSET(K77,0,0,K$16,1)=$T$24) +0),"")</f>
        <v>0</v>
      </c>
      <c r="R77" cm="1">
        <f t="array" aca="1" ref="R77" ca="1">IF(L77&lt;&gt;"", SUMPRODUCT((OFFSET(L77,0,0,L$16,1)=$T$24) +0),"")</f>
        <v>0</v>
      </c>
      <c r="AB77">
        <f t="shared" si="20"/>
        <v>1</v>
      </c>
      <c r="AC77">
        <f t="shared" si="20"/>
        <v>2</v>
      </c>
      <c r="AD77">
        <f t="shared" si="20"/>
        <v>1</v>
      </c>
      <c r="AE77">
        <f t="shared" si="20"/>
        <v>0</v>
      </c>
      <c r="AF77">
        <f t="shared" si="20"/>
        <v>0</v>
      </c>
      <c r="AG77">
        <f t="shared" si="21"/>
        <v>4</v>
      </c>
      <c r="AH77">
        <f t="shared" ca="1" si="22"/>
        <v>0</v>
      </c>
      <c r="AI77">
        <f>IF(ROW($AA77) - $AA$51 &lt; ($H$16+1)^5, IF(AG77 &gt;= BaseBonus!$C$16, AG77*BaseBonus!$E$31, 0), "")</f>
        <v>0</v>
      </c>
      <c r="AJ77">
        <f t="shared" ca="1" si="23"/>
        <v>0</v>
      </c>
      <c r="AK77" s="44"/>
    </row>
    <row r="78" spans="1:39" x14ac:dyDescent="0.3">
      <c r="A78" t="str">
        <v>P5</v>
      </c>
      <c r="B78" t="str">
        <v>P5</v>
      </c>
      <c r="C78" t="str">
        <v>P1</v>
      </c>
      <c r="D78" t="str">
        <v>P2</v>
      </c>
      <c r="E78" t="str">
        <v>WILD</v>
      </c>
      <c r="H78" t="str" cm="1">
        <f t="array" aca="1" ref="H78" ca="1">IF(ROW(A78)-H$15 &lt; H$14,A78,IF(ROW(A78) - H$15 -H$16 + 1 &lt; H$14,INDIRECT(ADDRESS(MOD(ROW(A78) - H$15, H$14) + H$15, COLUMN(A78))),""))</f>
        <v>P5</v>
      </c>
      <c r="I78" t="str" cm="1">
        <f t="array" aca="1" ref="I78" ca="1">IF(ROW(B78)-I$15 &lt; I$14,B78,IF(ROW(B78) - I$15 -I$16 + 1 &lt; I$14,INDIRECT(ADDRESS(MOD(ROW(B78) - I$15, I$14) + I$15, COLUMN(B78))),""))</f>
        <v>P5</v>
      </c>
      <c r="J78" t="str" cm="1">
        <f t="array" aca="1" ref="J78" ca="1">IF(ROW(C78)-J$15 &lt; J$14,C78,IF(ROW(C78) - J$15 -J$16 + 1 &lt; J$14,INDIRECT(ADDRESS(MOD(ROW(C78) - J$15, J$14) + J$15, COLUMN(C78))),""))</f>
        <v>P1</v>
      </c>
      <c r="K78" t="str" cm="1">
        <f t="array" aca="1" ref="K78" ca="1">IF(ROW(D78)-K$15 &lt; K$14,D78,IF(ROW(D78) - K$15 -K$16 + 1 &lt; K$14,INDIRECT(ADDRESS(MOD(ROW(D78) - K$15, K$14) + K$15, COLUMN(D78))),""))</f>
        <v>P2</v>
      </c>
      <c r="L78" t="str" cm="1">
        <f t="array" aca="1" ref="L78" ca="1">IF(ROW(E78)-L$15 &lt; L$14,E78,IF(ROW(E78) - L$15 -L$16 + 1 &lt; L$14,INDIRECT(ADDRESS(MOD(ROW(E78) - L$15, L$14) + L$15, COLUMN(E78))),""))</f>
        <v>WILD</v>
      </c>
      <c r="N78" cm="1">
        <f t="array" aca="1" ref="N78" ca="1">IF(H78&lt;&gt;"", SUMPRODUCT((OFFSET(H78,0,0,H$16,1)=$T$24) +0),"")</f>
        <v>0</v>
      </c>
      <c r="O78" cm="1">
        <f t="array" aca="1" ref="O78" ca="1">IF(I78&lt;&gt;"", SUMPRODUCT((OFFSET(I78,0,0,I$16,1)=$T$24) +0),"")</f>
        <v>0</v>
      </c>
      <c r="P78" cm="1">
        <f t="array" aca="1" ref="P78" ca="1">IF(J78&lt;&gt;"", SUMPRODUCT((OFFSET(J78,0,0,J$16,1)=$T$24) +0),"")</f>
        <v>0</v>
      </c>
      <c r="Q78" cm="1">
        <f t="array" aca="1" ref="Q78" ca="1">IF(K78&lt;&gt;"", SUMPRODUCT((OFFSET(K78,0,0,K$16,1)=$T$24) +0),"")</f>
        <v>0</v>
      </c>
      <c r="R78" cm="1">
        <f t="array" aca="1" ref="R78" ca="1">IF(L78&lt;&gt;"", SUMPRODUCT((OFFSET(L78,0,0,L$16,1)=$T$24) +0),"")</f>
        <v>0</v>
      </c>
      <c r="AB78">
        <f t="shared" si="20"/>
        <v>2</v>
      </c>
      <c r="AC78">
        <f t="shared" si="20"/>
        <v>2</v>
      </c>
      <c r="AD78">
        <f t="shared" si="20"/>
        <v>1</v>
      </c>
      <c r="AE78">
        <f t="shared" si="20"/>
        <v>0</v>
      </c>
      <c r="AF78">
        <f t="shared" si="20"/>
        <v>0</v>
      </c>
      <c r="AG78">
        <f t="shared" si="21"/>
        <v>5</v>
      </c>
      <c r="AH78">
        <f t="shared" ca="1" si="22"/>
        <v>0</v>
      </c>
      <c r="AI78">
        <f>IF(ROW($AA78) - $AA$51 &lt; ($H$16+1)^5, IF(AG78 &gt;= BaseBonus!$C$16, AG78*BaseBonus!$E$31, 0), "")</f>
        <v>4.6952679064628979</v>
      </c>
      <c r="AJ78">
        <f t="shared" ca="1" si="23"/>
        <v>0</v>
      </c>
      <c r="AK78" s="44"/>
    </row>
    <row r="79" spans="1:39" x14ac:dyDescent="0.3">
      <c r="A79" t="str">
        <v>P1</v>
      </c>
      <c r="B79" t="str">
        <v>P2</v>
      </c>
      <c r="C79" t="str">
        <v>P4</v>
      </c>
      <c r="D79" t="str">
        <v>P4</v>
      </c>
      <c r="E79" t="str">
        <v>P6</v>
      </c>
      <c r="H79" t="str" cm="1">
        <f t="array" aca="1" ref="H79" ca="1">IF(ROW(A79)-H$15 &lt; H$14,A79,IF(ROW(A79) - H$15 -H$16 + 1 &lt; H$14,INDIRECT(ADDRESS(MOD(ROW(A79) - H$15, H$14) + H$15, COLUMN(A79))),""))</f>
        <v>P1</v>
      </c>
      <c r="I79" t="str" cm="1">
        <f t="array" aca="1" ref="I79" ca="1">IF(ROW(B79)-I$15 &lt; I$14,B79,IF(ROW(B79) - I$15 -I$16 + 1 &lt; I$14,INDIRECT(ADDRESS(MOD(ROW(B79) - I$15, I$14) + I$15, COLUMN(B79))),""))</f>
        <v>P2</v>
      </c>
      <c r="J79" t="str" cm="1">
        <f t="array" aca="1" ref="J79" ca="1">IF(ROW(C79)-J$15 &lt; J$14,C79,IF(ROW(C79) - J$15 -J$16 + 1 &lt; J$14,INDIRECT(ADDRESS(MOD(ROW(C79) - J$15, J$14) + J$15, COLUMN(C79))),""))</f>
        <v>P4</v>
      </c>
      <c r="K79" t="str" cm="1">
        <f t="array" aca="1" ref="K79" ca="1">IF(ROW(D79)-K$15 &lt; K$14,D79,IF(ROW(D79) - K$15 -K$16 + 1 &lt; K$14,INDIRECT(ADDRESS(MOD(ROW(D79) - K$15, K$14) + K$15, COLUMN(D79))),""))</f>
        <v>P4</v>
      </c>
      <c r="L79" t="str" cm="1">
        <f t="array" aca="1" ref="L79" ca="1">IF(ROW(E79)-L$15 &lt; L$14,E79,IF(ROW(E79) - L$15 -L$16 + 1 &lt; L$14,INDIRECT(ADDRESS(MOD(ROW(E79) - L$15, L$14) + L$15, COLUMN(E79))),""))</f>
        <v>P6</v>
      </c>
      <c r="N79" cm="1">
        <f t="array" aca="1" ref="N79" ca="1">IF(H79&lt;&gt;"", SUMPRODUCT((OFFSET(H79,0,0,H$16,1)=$T$24) +0),"")</f>
        <v>0</v>
      </c>
      <c r="O79" cm="1">
        <f t="array" aca="1" ref="O79" ca="1">IF(I79&lt;&gt;"", SUMPRODUCT((OFFSET(I79,0,0,I$16,1)=$T$24) +0),"")</f>
        <v>0</v>
      </c>
      <c r="P79" cm="1">
        <f t="array" aca="1" ref="P79" ca="1">IF(J79&lt;&gt;"", SUMPRODUCT((OFFSET(J79,0,0,J$16,1)=$T$24) +0),"")</f>
        <v>0</v>
      </c>
      <c r="Q79" cm="1">
        <f t="array" aca="1" ref="Q79" ca="1">IF(K79&lt;&gt;"", SUMPRODUCT((OFFSET(K79,0,0,K$16,1)=$T$24) +0),"")</f>
        <v>0</v>
      </c>
      <c r="R79" cm="1">
        <f t="array" aca="1" ref="R79" ca="1">IF(L79&lt;&gt;"", SUMPRODUCT((OFFSET(L79,0,0,L$16,1)=$T$24) +0),"")</f>
        <v>0</v>
      </c>
      <c r="AB79">
        <f t="shared" si="20"/>
        <v>3</v>
      </c>
      <c r="AC79">
        <f t="shared" si="20"/>
        <v>2</v>
      </c>
      <c r="AD79">
        <f t="shared" si="20"/>
        <v>1</v>
      </c>
      <c r="AE79">
        <f t="shared" si="20"/>
        <v>0</v>
      </c>
      <c r="AF79">
        <f t="shared" si="20"/>
        <v>0</v>
      </c>
      <c r="AG79">
        <f t="shared" si="21"/>
        <v>6</v>
      </c>
      <c r="AH79">
        <f t="shared" ca="1" si="22"/>
        <v>0</v>
      </c>
      <c r="AI79">
        <f>IF(ROW($AA79) - $AA$51 &lt; ($H$16+1)^5, IF(AG79 &gt;= BaseBonus!$C$16, AG79*BaseBonus!$E$31, 0), "")</f>
        <v>5.6343214877554777</v>
      </c>
      <c r="AJ79">
        <f t="shared" ca="1" si="23"/>
        <v>0</v>
      </c>
      <c r="AK79" s="44"/>
    </row>
    <row r="80" spans="1:39" x14ac:dyDescent="0.3">
      <c r="A80" t="str">
        <v>P1</v>
      </c>
      <c r="B80" t="str">
        <v>P4</v>
      </c>
      <c r="C80" t="str">
        <v>SCAT</v>
      </c>
      <c r="D80" t="str">
        <v>P2</v>
      </c>
      <c r="E80" t="str">
        <v>P4</v>
      </c>
      <c r="H80" t="str" cm="1">
        <f t="array" aca="1" ref="H80" ca="1">IF(ROW(A80)-H$15 &lt; H$14,A80,IF(ROW(A80) - H$15 -H$16 + 1 &lt; H$14,INDIRECT(ADDRESS(MOD(ROW(A80) - H$15, H$14) + H$15, COLUMN(A80))),""))</f>
        <v>P1</v>
      </c>
      <c r="I80" t="str" cm="1">
        <f t="array" aca="1" ref="I80" ca="1">IF(ROW(B80)-I$15 &lt; I$14,B80,IF(ROW(B80) - I$15 -I$16 + 1 &lt; I$14,INDIRECT(ADDRESS(MOD(ROW(B80) - I$15, I$14) + I$15, COLUMN(B80))),""))</f>
        <v>P4</v>
      </c>
      <c r="J80" t="str" cm="1">
        <f t="array" aca="1" ref="J80" ca="1">IF(ROW(C80)-J$15 &lt; J$14,C80,IF(ROW(C80) - J$15 -J$16 + 1 &lt; J$14,INDIRECT(ADDRESS(MOD(ROW(C80) - J$15, J$14) + J$15, COLUMN(C80))),""))</f>
        <v>SCAT</v>
      </c>
      <c r="K80" t="str" cm="1">
        <f t="array" aca="1" ref="K80" ca="1">IF(ROW(D80)-K$15 &lt; K$14,D80,IF(ROW(D80) - K$15 -K$16 + 1 &lt; K$14,INDIRECT(ADDRESS(MOD(ROW(D80) - K$15, K$14) + K$15, COLUMN(D80))),""))</f>
        <v>P2</v>
      </c>
      <c r="L80" t="str" cm="1">
        <f t="array" aca="1" ref="L80" ca="1">IF(ROW(E80)-L$15 &lt; L$14,E80,IF(ROW(E80) - L$15 -L$16 + 1 &lt; L$14,INDIRECT(ADDRESS(MOD(ROW(E80) - L$15, L$14) + L$15, COLUMN(E80))),""))</f>
        <v>P4</v>
      </c>
      <c r="N80" cm="1">
        <f t="array" aca="1" ref="N80" ca="1">IF(H80&lt;&gt;"", SUMPRODUCT((OFFSET(H80,0,0,H$16,1)=$T$24) +0),"")</f>
        <v>0</v>
      </c>
      <c r="O80" cm="1">
        <f t="array" aca="1" ref="O80" ca="1">IF(I80&lt;&gt;"", SUMPRODUCT((OFFSET(I80,0,0,I$16,1)=$T$24) +0),"")</f>
        <v>0</v>
      </c>
      <c r="P80" cm="1">
        <f t="array" aca="1" ref="P80" ca="1">IF(J80&lt;&gt;"", SUMPRODUCT((OFFSET(J80,0,0,J$16,1)=$T$24) +0),"")</f>
        <v>0</v>
      </c>
      <c r="Q80" cm="1">
        <f t="array" aca="1" ref="Q80" ca="1">IF(K80&lt;&gt;"", SUMPRODUCT((OFFSET(K80,0,0,K$16,1)=$T$24) +0),"")</f>
        <v>0</v>
      </c>
      <c r="R80" cm="1">
        <f t="array" aca="1" ref="R80" ca="1">IF(L80&lt;&gt;"", SUMPRODUCT((OFFSET(L80,0,0,L$16,1)=$T$24) +0),"")</f>
        <v>0</v>
      </c>
      <c r="AB80">
        <f t="shared" si="20"/>
        <v>0</v>
      </c>
      <c r="AC80">
        <f t="shared" si="20"/>
        <v>3</v>
      </c>
      <c r="AD80">
        <f t="shared" si="20"/>
        <v>1</v>
      </c>
      <c r="AE80">
        <f t="shared" si="20"/>
        <v>0</v>
      </c>
      <c r="AF80">
        <f t="shared" si="20"/>
        <v>0</v>
      </c>
      <c r="AG80">
        <f t="shared" si="21"/>
        <v>4</v>
      </c>
      <c r="AH80">
        <f t="shared" ca="1" si="22"/>
        <v>0</v>
      </c>
      <c r="AI80">
        <f>IF(ROW($AA80) - $AA$51 &lt; ($H$16+1)^5, IF(AG80 &gt;= BaseBonus!$C$16, AG80*BaseBonus!$E$31, 0), "")</f>
        <v>0</v>
      </c>
      <c r="AJ80">
        <f t="shared" ca="1" si="23"/>
        <v>0</v>
      </c>
      <c r="AK80" s="44"/>
    </row>
    <row r="81" spans="1:37" x14ac:dyDescent="0.3">
      <c r="A81" t="str">
        <v>SCAT</v>
      </c>
      <c r="B81" t="str">
        <v>P2</v>
      </c>
      <c r="C81" t="str">
        <v>P6</v>
      </c>
      <c r="D81" t="str">
        <v>P5</v>
      </c>
      <c r="E81" t="str">
        <v>SCAT</v>
      </c>
      <c r="H81" t="str" cm="1">
        <f t="array" aca="1" ref="H81" ca="1">IF(ROW(A81)-H$15 &lt; H$14,A81,IF(ROW(A81) - H$15 -H$16 + 1 &lt; H$14,INDIRECT(ADDRESS(MOD(ROW(A81) - H$15, H$14) + H$15, COLUMN(A81))),""))</f>
        <v>SCAT</v>
      </c>
      <c r="I81" t="str" cm="1">
        <f t="array" aca="1" ref="I81" ca="1">IF(ROW(B81)-I$15 &lt; I$14,B81,IF(ROW(B81) - I$15 -I$16 + 1 &lt; I$14,INDIRECT(ADDRESS(MOD(ROW(B81) - I$15, I$14) + I$15, COLUMN(B81))),""))</f>
        <v>P2</v>
      </c>
      <c r="J81" t="str" cm="1">
        <f t="array" aca="1" ref="J81" ca="1">IF(ROW(C81)-J$15 &lt; J$14,C81,IF(ROW(C81) - J$15 -J$16 + 1 &lt; J$14,INDIRECT(ADDRESS(MOD(ROW(C81) - J$15, J$14) + J$15, COLUMN(C81))),""))</f>
        <v>P6</v>
      </c>
      <c r="K81" t="str" cm="1">
        <f t="array" aca="1" ref="K81" ca="1">IF(ROW(D81)-K$15 &lt; K$14,D81,IF(ROW(D81) - K$15 -K$16 + 1 &lt; K$14,INDIRECT(ADDRESS(MOD(ROW(D81) - K$15, K$14) + K$15, COLUMN(D81))),""))</f>
        <v>P5</v>
      </c>
      <c r="L81" t="str" cm="1">
        <f t="array" aca="1" ref="L81" ca="1">IF(ROW(E81)-L$15 &lt; L$14,E81,IF(ROW(E81) - L$15 -L$16 + 1 &lt; L$14,INDIRECT(ADDRESS(MOD(ROW(E81) - L$15, L$14) + L$15, COLUMN(E81))),""))</f>
        <v>SCAT</v>
      </c>
      <c r="N81" cm="1">
        <f t="array" aca="1" ref="N81" ca="1">IF(H81&lt;&gt;"", SUMPRODUCT((OFFSET(H81,0,0,H$16,1)=$T$24) +0),"")</f>
        <v>0</v>
      </c>
      <c r="O81" cm="1">
        <f t="array" aca="1" ref="O81" ca="1">IF(I81&lt;&gt;"", SUMPRODUCT((OFFSET(I81,0,0,I$16,1)=$T$24) +0),"")</f>
        <v>0</v>
      </c>
      <c r="P81" cm="1">
        <f t="array" aca="1" ref="P81" ca="1">IF(J81&lt;&gt;"", SUMPRODUCT((OFFSET(J81,0,0,J$16,1)=$T$24) +0),"")</f>
        <v>0</v>
      </c>
      <c r="Q81" cm="1">
        <f t="array" aca="1" ref="Q81" ca="1">IF(K81&lt;&gt;"", SUMPRODUCT((OFFSET(K81,0,0,K$16,1)=$T$24) +0),"")</f>
        <v>0</v>
      </c>
      <c r="R81" cm="1">
        <f t="array" aca="1" ref="R81" ca="1">IF(L81&lt;&gt;"", SUMPRODUCT((OFFSET(L81,0,0,L$16,1)=$T$24) +0),"")</f>
        <v>0</v>
      </c>
      <c r="AB81">
        <f t="shared" si="20"/>
        <v>1</v>
      </c>
      <c r="AC81">
        <f t="shared" si="20"/>
        <v>3</v>
      </c>
      <c r="AD81">
        <f t="shared" si="20"/>
        <v>1</v>
      </c>
      <c r="AE81">
        <f t="shared" si="20"/>
        <v>0</v>
      </c>
      <c r="AF81">
        <f t="shared" si="20"/>
        <v>0</v>
      </c>
      <c r="AG81">
        <f t="shared" si="21"/>
        <v>5</v>
      </c>
      <c r="AH81">
        <f t="shared" ca="1" si="22"/>
        <v>0</v>
      </c>
      <c r="AI81">
        <f>IF(ROW($AA81) - $AA$51 &lt; ($H$16+1)^5, IF(AG81 &gt;= BaseBonus!$C$16, AG81*BaseBonus!$E$31, 0), "")</f>
        <v>4.6952679064628979</v>
      </c>
      <c r="AJ81">
        <f t="shared" ca="1" si="23"/>
        <v>0</v>
      </c>
      <c r="AK81" s="44"/>
    </row>
    <row r="82" spans="1:37" x14ac:dyDescent="0.3">
      <c r="A82" t="str">
        <v>P5</v>
      </c>
      <c r="B82" t="str">
        <v>P5</v>
      </c>
      <c r="C82" t="str">
        <v>P4</v>
      </c>
      <c r="D82" t="str">
        <v>P1</v>
      </c>
      <c r="E82" t="str">
        <v>P1</v>
      </c>
      <c r="H82" t="str" cm="1">
        <f t="array" aca="1" ref="H82" ca="1">IF(ROW(A82)-H$15 &lt; H$14,A82,IF(ROW(A82) - H$15 -H$16 + 1 &lt; H$14,INDIRECT(ADDRESS(MOD(ROW(A82) - H$15, H$14) + H$15, COLUMN(A82))),""))</f>
        <v>P5</v>
      </c>
      <c r="I82" t="str" cm="1">
        <f t="array" aca="1" ref="I82" ca="1">IF(ROW(B82)-I$15 &lt; I$14,B82,IF(ROW(B82) - I$15 -I$16 + 1 &lt; I$14,INDIRECT(ADDRESS(MOD(ROW(B82) - I$15, I$14) + I$15, COLUMN(B82))),""))</f>
        <v>P5</v>
      </c>
      <c r="J82" t="str" cm="1">
        <f t="array" aca="1" ref="J82" ca="1">IF(ROW(C82)-J$15 &lt; J$14,C82,IF(ROW(C82) - J$15 -J$16 + 1 &lt; J$14,INDIRECT(ADDRESS(MOD(ROW(C82) - J$15, J$14) + J$15, COLUMN(C82))),""))</f>
        <v>P4</v>
      </c>
      <c r="K82" t="str" cm="1">
        <f t="array" aca="1" ref="K82" ca="1">IF(ROW(D82)-K$15 &lt; K$14,D82,IF(ROW(D82) - K$15 -K$16 + 1 &lt; K$14,INDIRECT(ADDRESS(MOD(ROW(D82) - K$15, K$14) + K$15, COLUMN(D82))),""))</f>
        <v>P1</v>
      </c>
      <c r="L82" t="str" cm="1">
        <f t="array" aca="1" ref="L82" ca="1">IF(ROW(E82)-L$15 &lt; L$14,E82,IF(ROW(E82) - L$15 -L$16 + 1 &lt; L$14,INDIRECT(ADDRESS(MOD(ROW(E82) - L$15, L$14) + L$15, COLUMN(E82))),""))</f>
        <v>P1</v>
      </c>
      <c r="N82" cm="1">
        <f t="array" aca="1" ref="N82" ca="1">IF(H82&lt;&gt;"", SUMPRODUCT((OFFSET(H82,0,0,H$16,1)=$T$24) +0),"")</f>
        <v>0</v>
      </c>
      <c r="O82" cm="1">
        <f t="array" aca="1" ref="O82" ca="1">IF(I82&lt;&gt;"", SUMPRODUCT((OFFSET(I82,0,0,I$16,1)=$T$24) +0),"")</f>
        <v>0</v>
      </c>
      <c r="P82" cm="1">
        <f t="array" aca="1" ref="P82" ca="1">IF(J82&lt;&gt;"", SUMPRODUCT((OFFSET(J82,0,0,J$16,1)=$T$24) +0),"")</f>
        <v>0</v>
      </c>
      <c r="Q82" cm="1">
        <f t="array" aca="1" ref="Q82" ca="1">IF(K82&lt;&gt;"", SUMPRODUCT((OFFSET(K82,0,0,K$16,1)=$T$24) +0),"")</f>
        <v>0</v>
      </c>
      <c r="R82" cm="1">
        <f t="array" aca="1" ref="R82" ca="1">IF(L82&lt;&gt;"", SUMPRODUCT((OFFSET(L82,0,0,L$16,1)=$T$24) +0),"")</f>
        <v>0</v>
      </c>
      <c r="AB82">
        <f t="shared" si="20"/>
        <v>2</v>
      </c>
      <c r="AC82">
        <f t="shared" si="20"/>
        <v>3</v>
      </c>
      <c r="AD82">
        <f t="shared" si="20"/>
        <v>1</v>
      </c>
      <c r="AE82">
        <f t="shared" si="20"/>
        <v>0</v>
      </c>
      <c r="AF82">
        <f t="shared" si="20"/>
        <v>0</v>
      </c>
      <c r="AG82">
        <f t="shared" si="21"/>
        <v>6</v>
      </c>
      <c r="AH82">
        <f t="shared" ca="1" si="22"/>
        <v>0</v>
      </c>
      <c r="AI82">
        <f>IF(ROW($AA82) - $AA$51 &lt; ($H$16+1)^5, IF(AG82 &gt;= BaseBonus!$C$16, AG82*BaseBonus!$E$31, 0), "")</f>
        <v>5.6343214877554777</v>
      </c>
      <c r="AJ82">
        <f t="shared" ca="1" si="23"/>
        <v>0</v>
      </c>
      <c r="AK82" s="44"/>
    </row>
    <row r="83" spans="1:37" x14ac:dyDescent="0.3">
      <c r="A83" t="str">
        <v>P1</v>
      </c>
      <c r="B83" t="str">
        <v>P1</v>
      </c>
      <c r="C83" t="str">
        <v>P1</v>
      </c>
      <c r="D83" t="str">
        <v>P4</v>
      </c>
      <c r="E83" t="str">
        <v>P6</v>
      </c>
      <c r="H83" t="str" cm="1">
        <f t="array" aca="1" ref="H83" ca="1">IF(ROW(A83)-H$15 &lt; H$14,A83,IF(ROW(A83) - H$15 -H$16 + 1 &lt; H$14,INDIRECT(ADDRESS(MOD(ROW(A83) - H$15, H$14) + H$15, COLUMN(A83))),""))</f>
        <v>P1</v>
      </c>
      <c r="I83" t="str" cm="1">
        <f t="array" aca="1" ref="I83" ca="1">IF(ROW(B83)-I$15 &lt; I$14,B83,IF(ROW(B83) - I$15 -I$16 + 1 &lt; I$14,INDIRECT(ADDRESS(MOD(ROW(B83) - I$15, I$14) + I$15, COLUMN(B83))),""))</f>
        <v>P1</v>
      </c>
      <c r="J83" t="str" cm="1">
        <f t="array" aca="1" ref="J83" ca="1">IF(ROW(C83)-J$15 &lt; J$14,C83,IF(ROW(C83) - J$15 -J$16 + 1 &lt; J$14,INDIRECT(ADDRESS(MOD(ROW(C83) - J$15, J$14) + J$15, COLUMN(C83))),""))</f>
        <v>P1</v>
      </c>
      <c r="K83" t="str" cm="1">
        <f t="array" aca="1" ref="K83" ca="1">IF(ROW(D83)-K$15 &lt; K$14,D83,IF(ROW(D83) - K$15 -K$16 + 1 &lt; K$14,INDIRECT(ADDRESS(MOD(ROW(D83) - K$15, K$14) + K$15, COLUMN(D83))),""))</f>
        <v>P4</v>
      </c>
      <c r="L83" t="str" cm="1">
        <f t="array" aca="1" ref="L83" ca="1">IF(ROW(E83)-L$15 &lt; L$14,E83,IF(ROW(E83) - L$15 -L$16 + 1 &lt; L$14,INDIRECT(ADDRESS(MOD(ROW(E83) - L$15, L$14) + L$15, COLUMN(E83))),""))</f>
        <v>P6</v>
      </c>
      <c r="N83" cm="1">
        <f t="array" aca="1" ref="N83" ca="1">IF(H83&lt;&gt;"", SUMPRODUCT((OFFSET(H83,0,0,H$16,1)=$T$24) +0),"")</f>
        <v>0</v>
      </c>
      <c r="O83" cm="1">
        <f t="array" aca="1" ref="O83" ca="1">IF(I83&lt;&gt;"", SUMPRODUCT((OFFSET(I83,0,0,I$16,1)=$T$24) +0),"")</f>
        <v>0</v>
      </c>
      <c r="P83" cm="1">
        <f t="array" aca="1" ref="P83" ca="1">IF(J83&lt;&gt;"", SUMPRODUCT((OFFSET(J83,0,0,J$16,1)=$T$24) +0),"")</f>
        <v>0</v>
      </c>
      <c r="Q83" cm="1">
        <f t="array" aca="1" ref="Q83" ca="1">IF(K83&lt;&gt;"", SUMPRODUCT((OFFSET(K83,0,0,K$16,1)=$T$24) +0),"")</f>
        <v>0</v>
      </c>
      <c r="R83" cm="1">
        <f t="array" aca="1" ref="R83" ca="1">IF(L83&lt;&gt;"", SUMPRODUCT((OFFSET(L83,0,0,L$16,1)=$T$24) +0),"")</f>
        <v>0</v>
      </c>
      <c r="AB83">
        <f t="shared" si="20"/>
        <v>3</v>
      </c>
      <c r="AC83">
        <f t="shared" si="20"/>
        <v>3</v>
      </c>
      <c r="AD83">
        <f t="shared" si="20"/>
        <v>1</v>
      </c>
      <c r="AE83">
        <f t="shared" si="20"/>
        <v>0</v>
      </c>
      <c r="AF83">
        <f t="shared" si="20"/>
        <v>0</v>
      </c>
      <c r="AG83">
        <f t="shared" si="21"/>
        <v>7</v>
      </c>
      <c r="AH83">
        <f t="shared" ca="1" si="22"/>
        <v>0</v>
      </c>
      <c r="AI83">
        <f>IF(ROW($AA83) - $AA$51 &lt; ($H$16+1)^5, IF(AG83 &gt;= BaseBonus!$C$16, AG83*BaseBonus!$E$31, 0), "")</f>
        <v>6.5733750690480575</v>
      </c>
      <c r="AJ83">
        <f t="shared" ca="1" si="23"/>
        <v>0</v>
      </c>
      <c r="AK83" s="44"/>
    </row>
    <row r="84" spans="1:37" x14ac:dyDescent="0.3">
      <c r="A84" t="str">
        <v>P4</v>
      </c>
      <c r="B84" t="str">
        <v>P4</v>
      </c>
      <c r="C84" t="str">
        <v>P6</v>
      </c>
      <c r="D84" t="str">
        <v>P4</v>
      </c>
      <c r="E84" t="str">
        <v>P5</v>
      </c>
      <c r="H84" t="str" cm="1">
        <f t="array" aca="1" ref="H84" ca="1">IF(ROW(A84)-H$15 &lt; H$14,A84,IF(ROW(A84) - H$15 -H$16 + 1 &lt; H$14,INDIRECT(ADDRESS(MOD(ROW(A84) - H$15, H$14) + H$15, COLUMN(A84))),""))</f>
        <v>P4</v>
      </c>
      <c r="I84" t="str" cm="1">
        <f t="array" aca="1" ref="I84" ca="1">IF(ROW(B84)-I$15 &lt; I$14,B84,IF(ROW(B84) - I$15 -I$16 + 1 &lt; I$14,INDIRECT(ADDRESS(MOD(ROW(B84) - I$15, I$14) + I$15, COLUMN(B84))),""))</f>
        <v>P4</v>
      </c>
      <c r="J84" t="str" cm="1">
        <f t="array" aca="1" ref="J84" ca="1">IF(ROW(C84)-J$15 &lt; J$14,C84,IF(ROW(C84) - J$15 -J$16 + 1 &lt; J$14,INDIRECT(ADDRESS(MOD(ROW(C84) - J$15, J$14) + J$15, COLUMN(C84))),""))</f>
        <v>P6</v>
      </c>
      <c r="K84" t="str" cm="1">
        <f t="array" aca="1" ref="K84" ca="1">IF(ROW(D84)-K$15 &lt; K$14,D84,IF(ROW(D84) - K$15 -K$16 + 1 &lt; K$14,INDIRECT(ADDRESS(MOD(ROW(D84) - K$15, K$14) + K$15, COLUMN(D84))),""))</f>
        <v>P4</v>
      </c>
      <c r="L84" t="str" cm="1">
        <f t="array" aca="1" ref="L84" ca="1">IF(ROW(E84)-L$15 &lt; L$14,E84,IF(ROW(E84) - L$15 -L$16 + 1 &lt; L$14,INDIRECT(ADDRESS(MOD(ROW(E84) - L$15, L$14) + L$15, COLUMN(E84))),""))</f>
        <v>P5</v>
      </c>
      <c r="N84" cm="1">
        <f t="array" aca="1" ref="N84" ca="1">IF(H84&lt;&gt;"", SUMPRODUCT((OFFSET(H84,0,0,H$16,1)=$T$24) +0),"")</f>
        <v>0</v>
      </c>
      <c r="O84" cm="1">
        <f t="array" aca="1" ref="O84" ca="1">IF(I84&lt;&gt;"", SUMPRODUCT((OFFSET(I84,0,0,I$16,1)=$T$24) +0),"")</f>
        <v>0</v>
      </c>
      <c r="P84" cm="1">
        <f t="array" aca="1" ref="P84" ca="1">IF(J84&lt;&gt;"", SUMPRODUCT((OFFSET(J84,0,0,J$16,1)=$T$24) +0),"")</f>
        <v>0</v>
      </c>
      <c r="Q84" cm="1">
        <f t="array" aca="1" ref="Q84" ca="1">IF(K84&lt;&gt;"", SUMPRODUCT((OFFSET(K84,0,0,K$16,1)=$T$24) +0),"")</f>
        <v>1</v>
      </c>
      <c r="R84" cm="1">
        <f t="array" aca="1" ref="R84" ca="1">IF(L84&lt;&gt;"", SUMPRODUCT((OFFSET(L84,0,0,L$16,1)=$T$24) +0),"")</f>
        <v>0</v>
      </c>
      <c r="AB84">
        <f t="shared" si="20"/>
        <v>0</v>
      </c>
      <c r="AC84">
        <f t="shared" si="20"/>
        <v>0</v>
      </c>
      <c r="AD84">
        <f t="shared" si="20"/>
        <v>2</v>
      </c>
      <c r="AE84">
        <f t="shared" si="20"/>
        <v>0</v>
      </c>
      <c r="AF84">
        <f t="shared" si="20"/>
        <v>0</v>
      </c>
      <c r="AG84">
        <f t="shared" si="21"/>
        <v>2</v>
      </c>
      <c r="AH84">
        <f t="shared" ca="1" si="22"/>
        <v>0</v>
      </c>
      <c r="AI84">
        <f>IF(ROW($AA84) - $AA$51 &lt; ($H$16+1)^5, IF(AG84 &gt;= BaseBonus!$C$16, AG84*BaseBonus!$E$31, 0), "")</f>
        <v>0</v>
      </c>
      <c r="AJ84">
        <f t="shared" ca="1" si="23"/>
        <v>0</v>
      </c>
      <c r="AK84" s="44"/>
    </row>
    <row r="85" spans="1:37" x14ac:dyDescent="0.3">
      <c r="A85" t="str">
        <v>P6</v>
      </c>
      <c r="B85" t="str">
        <v>P4</v>
      </c>
      <c r="C85" t="str">
        <v>P5</v>
      </c>
      <c r="D85" t="str">
        <v>P1</v>
      </c>
      <c r="E85" t="str">
        <v>P2</v>
      </c>
      <c r="H85" t="str" cm="1">
        <f t="array" aca="1" ref="H85" ca="1">IF(ROW(A85)-H$15 &lt; H$14,A85,IF(ROW(A85) - H$15 -H$16 + 1 &lt; H$14,INDIRECT(ADDRESS(MOD(ROW(A85) - H$15, H$14) + H$15, COLUMN(A85))),""))</f>
        <v>P6</v>
      </c>
      <c r="I85" t="str" cm="1">
        <f t="array" aca="1" ref="I85" ca="1">IF(ROW(B85)-I$15 &lt; I$14,B85,IF(ROW(B85) - I$15 -I$16 + 1 &lt; I$14,INDIRECT(ADDRESS(MOD(ROW(B85) - I$15, I$14) + I$15, COLUMN(B85))),""))</f>
        <v>P4</v>
      </c>
      <c r="J85" t="str" cm="1">
        <f t="array" aca="1" ref="J85" ca="1">IF(ROW(C85)-J$15 &lt; J$14,C85,IF(ROW(C85) - J$15 -J$16 + 1 &lt; J$14,INDIRECT(ADDRESS(MOD(ROW(C85) - J$15, J$14) + J$15, COLUMN(C85))),""))</f>
        <v>P5</v>
      </c>
      <c r="K85" t="str" cm="1">
        <f t="array" aca="1" ref="K85" ca="1">IF(ROW(D85)-K$15 &lt; K$14,D85,IF(ROW(D85) - K$15 -K$16 + 1 &lt; K$14,INDIRECT(ADDRESS(MOD(ROW(D85) - K$15, K$14) + K$15, COLUMN(D85))),""))</f>
        <v>P1</v>
      </c>
      <c r="L85" t="str" cm="1">
        <f t="array" aca="1" ref="L85" ca="1">IF(ROW(E85)-L$15 &lt; L$14,E85,IF(ROW(E85) - L$15 -L$16 + 1 &lt; L$14,INDIRECT(ADDRESS(MOD(ROW(E85) - L$15, L$14) + L$15, COLUMN(E85))),""))</f>
        <v>P2</v>
      </c>
      <c r="N85" cm="1">
        <f t="array" aca="1" ref="N85" ca="1">IF(H85&lt;&gt;"", SUMPRODUCT((OFFSET(H85,0,0,H$16,1)=$T$24) +0),"")</f>
        <v>0</v>
      </c>
      <c r="O85" cm="1">
        <f t="array" aca="1" ref="O85" ca="1">IF(I85&lt;&gt;"", SUMPRODUCT((OFFSET(I85,0,0,I$16,1)=$T$24) +0),"")</f>
        <v>1</v>
      </c>
      <c r="P85" cm="1">
        <f t="array" aca="1" ref="P85" ca="1">IF(J85&lt;&gt;"", SUMPRODUCT((OFFSET(J85,0,0,J$16,1)=$T$24) +0),"")</f>
        <v>0</v>
      </c>
      <c r="Q85" cm="1">
        <f t="array" aca="1" ref="Q85" ca="1">IF(K85&lt;&gt;"", SUMPRODUCT((OFFSET(K85,0,0,K$16,1)=$T$24) +0),"")</f>
        <v>1</v>
      </c>
      <c r="R85" cm="1">
        <f t="array" aca="1" ref="R85" ca="1">IF(L85&lt;&gt;"", SUMPRODUCT((OFFSET(L85,0,0,L$16,1)=$T$24) +0),"")</f>
        <v>0</v>
      </c>
      <c r="AB85">
        <f t="shared" si="20"/>
        <v>1</v>
      </c>
      <c r="AC85">
        <f t="shared" si="20"/>
        <v>0</v>
      </c>
      <c r="AD85">
        <f t="shared" si="20"/>
        <v>2</v>
      </c>
      <c r="AE85">
        <f t="shared" si="20"/>
        <v>0</v>
      </c>
      <c r="AF85">
        <f t="shared" si="20"/>
        <v>0</v>
      </c>
      <c r="AG85">
        <f t="shared" si="21"/>
        <v>3</v>
      </c>
      <c r="AH85">
        <f t="shared" ca="1" si="22"/>
        <v>0</v>
      </c>
      <c r="AI85">
        <f>IF(ROW($AA85) - $AA$51 &lt; ($H$16+1)^5, IF(AG85 &gt;= BaseBonus!$C$16, AG85*BaseBonus!$E$31, 0), "")</f>
        <v>0</v>
      </c>
      <c r="AJ85">
        <f t="shared" ca="1" si="23"/>
        <v>0</v>
      </c>
      <c r="AK85" s="44"/>
    </row>
    <row r="86" spans="1:37" x14ac:dyDescent="0.3">
      <c r="A86" t="str">
        <v>P4</v>
      </c>
      <c r="B86" t="str">
        <v>P1</v>
      </c>
      <c r="C86" t="str">
        <v>P2</v>
      </c>
      <c r="D86" t="str">
        <v>CP</v>
      </c>
      <c r="E86" t="str">
        <v>P4</v>
      </c>
      <c r="H86" t="str" cm="1">
        <f t="array" aca="1" ref="H86" ca="1">IF(ROW(A86)-H$15 &lt; H$14,A86,IF(ROW(A86) - H$15 -H$16 + 1 &lt; H$14,INDIRECT(ADDRESS(MOD(ROW(A86) - H$15, H$14) + H$15, COLUMN(A86))),""))</f>
        <v>P4</v>
      </c>
      <c r="I86" t="str" cm="1">
        <f t="array" aca="1" ref="I86" ca="1">IF(ROW(B86)-I$15 &lt; I$14,B86,IF(ROW(B86) - I$15 -I$16 + 1 &lt; I$14,INDIRECT(ADDRESS(MOD(ROW(B86) - I$15, I$14) + I$15, COLUMN(B86))),""))</f>
        <v>P1</v>
      </c>
      <c r="J86" t="str" cm="1">
        <f t="array" aca="1" ref="J86" ca="1">IF(ROW(C86)-J$15 &lt; J$14,C86,IF(ROW(C86) - J$15 -J$16 + 1 &lt; J$14,INDIRECT(ADDRESS(MOD(ROW(C86) - J$15, J$14) + J$15, COLUMN(C86))),""))</f>
        <v>P2</v>
      </c>
      <c r="K86" t="str" cm="1">
        <f t="array" aca="1" ref="K86" ca="1">IF(ROW(D86)-K$15 &lt; K$14,D86,IF(ROW(D86) - K$15 -K$16 + 1 &lt; K$14,INDIRECT(ADDRESS(MOD(ROW(D86) - K$15, K$14) + K$15, COLUMN(D86))),""))</f>
        <v>CP</v>
      </c>
      <c r="L86" t="str" cm="1">
        <f t="array" aca="1" ref="L86" ca="1">IF(ROW(E86)-L$15 &lt; L$14,E86,IF(ROW(E86) - L$15 -L$16 + 1 &lt; L$14,INDIRECT(ADDRESS(MOD(ROW(E86) - L$15, L$14) + L$15, COLUMN(E86))),""))</f>
        <v>P4</v>
      </c>
      <c r="N86" cm="1">
        <f t="array" aca="1" ref="N86" ca="1">IF(H86&lt;&gt;"", SUMPRODUCT((OFFSET(H86,0,0,H$16,1)=$T$24) +0),"")</f>
        <v>0</v>
      </c>
      <c r="O86" cm="1">
        <f t="array" aca="1" ref="O86" ca="1">IF(I86&lt;&gt;"", SUMPRODUCT((OFFSET(I86,0,0,I$16,1)=$T$24) +0),"")</f>
        <v>1</v>
      </c>
      <c r="P86" cm="1">
        <f t="array" aca="1" ref="P86" ca="1">IF(J86&lt;&gt;"", SUMPRODUCT((OFFSET(J86,0,0,J$16,1)=$T$24) +0),"")</f>
        <v>0</v>
      </c>
      <c r="Q86" cm="1">
        <f t="array" aca="1" ref="Q86" ca="1">IF(K86&lt;&gt;"", SUMPRODUCT((OFFSET(K86,0,0,K$16,1)=$T$24) +0),"")</f>
        <v>1</v>
      </c>
      <c r="R86" cm="1">
        <f t="array" aca="1" ref="R86" ca="1">IF(L86&lt;&gt;"", SUMPRODUCT((OFFSET(L86,0,0,L$16,1)=$T$24) +0),"")</f>
        <v>0</v>
      </c>
      <c r="AB86">
        <f t="shared" si="20"/>
        <v>2</v>
      </c>
      <c r="AC86">
        <f t="shared" si="20"/>
        <v>0</v>
      </c>
      <c r="AD86">
        <f t="shared" si="20"/>
        <v>2</v>
      </c>
      <c r="AE86">
        <f t="shared" si="20"/>
        <v>0</v>
      </c>
      <c r="AF86">
        <f t="shared" si="20"/>
        <v>0</v>
      </c>
      <c r="AG86">
        <f t="shared" si="21"/>
        <v>4</v>
      </c>
      <c r="AH86">
        <f t="shared" ca="1" si="22"/>
        <v>0</v>
      </c>
      <c r="AI86">
        <f>IF(ROW($AA86) - $AA$51 &lt; ($H$16+1)^5, IF(AG86 &gt;= BaseBonus!$C$16, AG86*BaseBonus!$E$31, 0), "")</f>
        <v>0</v>
      </c>
      <c r="AJ86">
        <f t="shared" ca="1" si="23"/>
        <v>0</v>
      </c>
      <c r="AK86" s="44"/>
    </row>
    <row r="87" spans="1:37" x14ac:dyDescent="0.3">
      <c r="A87" t="str">
        <v>P2</v>
      </c>
      <c r="B87" t="str">
        <v>CP</v>
      </c>
      <c r="C87" t="str">
        <v>P4</v>
      </c>
      <c r="D87" t="str">
        <v>P6</v>
      </c>
      <c r="E87" t="str">
        <v>SCAT</v>
      </c>
      <c r="H87" t="str" cm="1">
        <f t="array" aca="1" ref="H87" ca="1">IF(ROW(A87)-H$15 &lt; H$14,A87,IF(ROW(A87) - H$15 -H$16 + 1 &lt; H$14,INDIRECT(ADDRESS(MOD(ROW(A87) - H$15, H$14) + H$15, COLUMN(A87))),""))</f>
        <v>P2</v>
      </c>
      <c r="I87" t="str" cm="1">
        <f t="array" aca="1" ref="I87" ca="1">IF(ROW(B87)-I$15 &lt; I$14,B87,IF(ROW(B87) - I$15 -I$16 + 1 &lt; I$14,INDIRECT(ADDRESS(MOD(ROW(B87) - I$15, I$14) + I$15, COLUMN(B87))),""))</f>
        <v>CP</v>
      </c>
      <c r="J87" t="str" cm="1">
        <f t="array" aca="1" ref="J87" ca="1">IF(ROW(C87)-J$15 &lt; J$14,C87,IF(ROW(C87) - J$15 -J$16 + 1 &lt; J$14,INDIRECT(ADDRESS(MOD(ROW(C87) - J$15, J$14) + J$15, COLUMN(C87))),""))</f>
        <v>P4</v>
      </c>
      <c r="K87" t="str" cm="1">
        <f t="array" aca="1" ref="K87" ca="1">IF(ROW(D87)-K$15 &lt; K$14,D87,IF(ROW(D87) - K$15 -K$16 + 1 &lt; K$14,INDIRECT(ADDRESS(MOD(ROW(D87) - K$15, K$14) + K$15, COLUMN(D87))),""))</f>
        <v>P6</v>
      </c>
      <c r="L87" t="str" cm="1">
        <f t="array" aca="1" ref="L87" ca="1">IF(ROW(E87)-L$15 &lt; L$14,E87,IF(ROW(E87) - L$15 -L$16 + 1 &lt; L$14,INDIRECT(ADDRESS(MOD(ROW(E87) - L$15, L$14) + L$15, COLUMN(E87))),""))</f>
        <v>SCAT</v>
      </c>
      <c r="N87" cm="1">
        <f t="array" aca="1" ref="N87" ca="1">IF(H87&lt;&gt;"", SUMPRODUCT((OFFSET(H87,0,0,H$16,1)=$T$24) +0),"")</f>
        <v>0</v>
      </c>
      <c r="O87" cm="1">
        <f t="array" aca="1" ref="O87" ca="1">IF(I87&lt;&gt;"", SUMPRODUCT((OFFSET(I87,0,0,I$16,1)=$T$24) +0),"")</f>
        <v>1</v>
      </c>
      <c r="P87" cm="1">
        <f t="array" aca="1" ref="P87" ca="1">IF(J87&lt;&gt;"", SUMPRODUCT((OFFSET(J87,0,0,J$16,1)=$T$24) +0),"")</f>
        <v>0</v>
      </c>
      <c r="Q87" cm="1">
        <f t="array" aca="1" ref="Q87" ca="1">IF(K87&lt;&gt;"", SUMPRODUCT((OFFSET(K87,0,0,K$16,1)=$T$24) +0),"")</f>
        <v>0</v>
      </c>
      <c r="R87" cm="1">
        <f t="array" aca="1" ref="R87" ca="1">IF(L87&lt;&gt;"", SUMPRODUCT((OFFSET(L87,0,0,L$16,1)=$T$24) +0),"")</f>
        <v>0</v>
      </c>
      <c r="AB87">
        <f t="shared" si="20"/>
        <v>3</v>
      </c>
      <c r="AC87">
        <f t="shared" si="20"/>
        <v>0</v>
      </c>
      <c r="AD87">
        <f t="shared" si="20"/>
        <v>2</v>
      </c>
      <c r="AE87">
        <f t="shared" si="20"/>
        <v>0</v>
      </c>
      <c r="AF87">
        <f t="shared" si="20"/>
        <v>0</v>
      </c>
      <c r="AG87">
        <f t="shared" si="21"/>
        <v>5</v>
      </c>
      <c r="AH87">
        <f t="shared" ca="1" si="22"/>
        <v>0</v>
      </c>
      <c r="AI87">
        <f>IF(ROW($AA87) - $AA$51 &lt; ($H$16+1)^5, IF(AG87 &gt;= BaseBonus!$C$16, AG87*BaseBonus!$E$31, 0), "")</f>
        <v>4.6952679064628979</v>
      </c>
      <c r="AJ87">
        <f t="shared" ca="1" si="23"/>
        <v>0</v>
      </c>
      <c r="AK87" s="44"/>
    </row>
    <row r="88" spans="1:37" x14ac:dyDescent="0.3">
      <c r="A88" t="str">
        <v>P1</v>
      </c>
      <c r="B88" t="str">
        <v>P6</v>
      </c>
      <c r="C88" t="str">
        <v>P4</v>
      </c>
      <c r="D88" t="str">
        <v>P4</v>
      </c>
      <c r="E88" t="str">
        <v>P4</v>
      </c>
      <c r="H88" t="str" cm="1">
        <f t="array" aca="1" ref="H88" ca="1">IF(ROW(A88)-H$15 &lt; H$14,A88,IF(ROW(A88) - H$15 -H$16 + 1 &lt; H$14,INDIRECT(ADDRESS(MOD(ROW(A88) - H$15, H$14) + H$15, COLUMN(A88))),""))</f>
        <v>P1</v>
      </c>
      <c r="I88" t="str" cm="1">
        <f t="array" aca="1" ref="I88" ca="1">IF(ROW(B88)-I$15 &lt; I$14,B88,IF(ROW(B88) - I$15 -I$16 + 1 &lt; I$14,INDIRECT(ADDRESS(MOD(ROW(B88) - I$15, I$14) + I$15, COLUMN(B88))),""))</f>
        <v>P6</v>
      </c>
      <c r="J88" t="str" cm="1">
        <f t="array" aca="1" ref="J88" ca="1">IF(ROW(C88)-J$15 &lt; J$14,C88,IF(ROW(C88) - J$15 -J$16 + 1 &lt; J$14,INDIRECT(ADDRESS(MOD(ROW(C88) - J$15, J$14) + J$15, COLUMN(C88))),""))</f>
        <v>P4</v>
      </c>
      <c r="K88" t="str" cm="1">
        <f t="array" aca="1" ref="K88" ca="1">IF(ROW(D88)-K$15 &lt; K$14,D88,IF(ROW(D88) - K$15 -K$16 + 1 &lt; K$14,INDIRECT(ADDRESS(MOD(ROW(D88) - K$15, K$14) + K$15, COLUMN(D88))),""))</f>
        <v>P4</v>
      </c>
      <c r="L88" t="str" cm="1">
        <f t="array" aca="1" ref="L88" ca="1">IF(ROW(E88)-L$15 &lt; L$14,E88,IF(ROW(E88) - L$15 -L$16 + 1 &lt; L$14,INDIRECT(ADDRESS(MOD(ROW(E88) - L$15, L$14) + L$15, COLUMN(E88))),""))</f>
        <v>P4</v>
      </c>
      <c r="N88" cm="1">
        <f t="array" aca="1" ref="N88" ca="1">IF(H88&lt;&gt;"", SUMPRODUCT((OFFSET(H88,0,0,H$16,1)=$T$24) +0),"")</f>
        <v>0</v>
      </c>
      <c r="O88" cm="1">
        <f t="array" aca="1" ref="O88" ca="1">IF(I88&lt;&gt;"", SUMPRODUCT((OFFSET(I88,0,0,I$16,1)=$T$24) +0),"")</f>
        <v>0</v>
      </c>
      <c r="P88" cm="1">
        <f t="array" aca="1" ref="P88" ca="1">IF(J88&lt;&gt;"", SUMPRODUCT((OFFSET(J88,0,0,J$16,1)=$T$24) +0),"")</f>
        <v>0</v>
      </c>
      <c r="Q88" cm="1">
        <f t="array" aca="1" ref="Q88" ca="1">IF(K88&lt;&gt;"", SUMPRODUCT((OFFSET(K88,0,0,K$16,1)=$T$24) +0),"")</f>
        <v>1</v>
      </c>
      <c r="R88" cm="1">
        <f t="array" aca="1" ref="R88" ca="1">IF(L88&lt;&gt;"", SUMPRODUCT((OFFSET(L88,0,0,L$16,1)=$T$24) +0),"")</f>
        <v>0</v>
      </c>
      <c r="AB88">
        <f t="shared" si="20"/>
        <v>0</v>
      </c>
      <c r="AC88">
        <f t="shared" si="20"/>
        <v>1</v>
      </c>
      <c r="AD88">
        <f t="shared" si="20"/>
        <v>2</v>
      </c>
      <c r="AE88">
        <f t="shared" si="20"/>
        <v>0</v>
      </c>
      <c r="AF88">
        <f t="shared" si="20"/>
        <v>0</v>
      </c>
      <c r="AG88">
        <f t="shared" si="21"/>
        <v>3</v>
      </c>
      <c r="AH88">
        <f t="shared" ca="1" si="22"/>
        <v>0</v>
      </c>
      <c r="AI88">
        <f>IF(ROW($AA88) - $AA$51 &lt; ($H$16+1)^5, IF(AG88 &gt;= BaseBonus!$C$16, AG88*BaseBonus!$E$31, 0), "")</f>
        <v>0</v>
      </c>
      <c r="AJ88">
        <f t="shared" ca="1" si="23"/>
        <v>0</v>
      </c>
      <c r="AK88" s="44"/>
    </row>
    <row r="89" spans="1:37" x14ac:dyDescent="0.3">
      <c r="A89" t="str">
        <v>SCAT</v>
      </c>
      <c r="B89" t="str">
        <v>P4</v>
      </c>
      <c r="C89" t="str">
        <v>P5</v>
      </c>
      <c r="D89" t="str">
        <v>P6</v>
      </c>
      <c r="E89" t="str">
        <v>P5</v>
      </c>
      <c r="H89" t="str" cm="1">
        <f t="array" aca="1" ref="H89" ca="1">IF(ROW(A89)-H$15 &lt; H$14,A89,IF(ROW(A89) - H$15 -H$16 + 1 &lt; H$14,INDIRECT(ADDRESS(MOD(ROW(A89) - H$15, H$14) + H$15, COLUMN(A89))),""))</f>
        <v>SCAT</v>
      </c>
      <c r="I89" t="str" cm="1">
        <f t="array" aca="1" ref="I89" ca="1">IF(ROW(B89)-I$15 &lt; I$14,B89,IF(ROW(B89) - I$15 -I$16 + 1 &lt; I$14,INDIRECT(ADDRESS(MOD(ROW(B89) - I$15, I$14) + I$15, COLUMN(B89))),""))</f>
        <v>P4</v>
      </c>
      <c r="J89" t="str" cm="1">
        <f t="array" aca="1" ref="J89" ca="1">IF(ROW(C89)-J$15 &lt; J$14,C89,IF(ROW(C89) - J$15 -J$16 + 1 &lt; J$14,INDIRECT(ADDRESS(MOD(ROW(C89) - J$15, J$14) + J$15, COLUMN(C89))),""))</f>
        <v>P5</v>
      </c>
      <c r="K89" t="str" cm="1">
        <f t="array" aca="1" ref="K89" ca="1">IF(ROW(D89)-K$15 &lt; K$14,D89,IF(ROW(D89) - K$15 -K$16 + 1 &lt; K$14,INDIRECT(ADDRESS(MOD(ROW(D89) - K$15, K$14) + K$15, COLUMN(D89))),""))</f>
        <v>P6</v>
      </c>
      <c r="L89" t="str" cm="1">
        <f t="array" aca="1" ref="L89" ca="1">IF(ROW(E89)-L$15 &lt; L$14,E89,IF(ROW(E89) - L$15 -L$16 + 1 &lt; L$14,INDIRECT(ADDRESS(MOD(ROW(E89) - L$15, L$14) + L$15, COLUMN(E89))),""))</f>
        <v>P5</v>
      </c>
      <c r="N89" cm="1">
        <f t="array" aca="1" ref="N89" ca="1">IF(H89&lt;&gt;"", SUMPRODUCT((OFFSET(H89,0,0,H$16,1)=$T$24) +0),"")</f>
        <v>0</v>
      </c>
      <c r="O89" cm="1">
        <f t="array" aca="1" ref="O89" ca="1">IF(I89&lt;&gt;"", SUMPRODUCT((OFFSET(I89,0,0,I$16,1)=$T$24) +0),"")</f>
        <v>1</v>
      </c>
      <c r="P89" cm="1">
        <f t="array" aca="1" ref="P89" ca="1">IF(J89&lt;&gt;"", SUMPRODUCT((OFFSET(J89,0,0,J$16,1)=$T$24) +0),"")</f>
        <v>0</v>
      </c>
      <c r="Q89" cm="1">
        <f t="array" aca="1" ref="Q89" ca="1">IF(K89&lt;&gt;"", SUMPRODUCT((OFFSET(K89,0,0,K$16,1)=$T$24) +0),"")</f>
        <v>1</v>
      </c>
      <c r="R89" cm="1">
        <f t="array" aca="1" ref="R89" ca="1">IF(L89&lt;&gt;"", SUMPRODUCT((OFFSET(L89,0,0,L$16,1)=$T$24) +0),"")</f>
        <v>0</v>
      </c>
      <c r="AB89">
        <f t="shared" si="20"/>
        <v>1</v>
      </c>
      <c r="AC89">
        <f t="shared" si="20"/>
        <v>1</v>
      </c>
      <c r="AD89">
        <f t="shared" si="20"/>
        <v>2</v>
      </c>
      <c r="AE89">
        <f t="shared" si="20"/>
        <v>0</v>
      </c>
      <c r="AF89">
        <f t="shared" si="20"/>
        <v>0</v>
      </c>
      <c r="AG89">
        <f t="shared" si="21"/>
        <v>4</v>
      </c>
      <c r="AH89">
        <f t="shared" ca="1" si="22"/>
        <v>0</v>
      </c>
      <c r="AI89">
        <f>IF(ROW($AA89) - $AA$51 &lt; ($H$16+1)^5, IF(AG89 &gt;= BaseBonus!$C$16, AG89*BaseBonus!$E$31, 0), "")</f>
        <v>0</v>
      </c>
      <c r="AJ89">
        <f t="shared" ca="1" si="23"/>
        <v>0</v>
      </c>
      <c r="AK89" s="44"/>
    </row>
    <row r="90" spans="1:37" x14ac:dyDescent="0.3">
      <c r="A90" t="str">
        <v>P5</v>
      </c>
      <c r="B90" t="str">
        <v>P6</v>
      </c>
      <c r="C90" t="str">
        <v>P1</v>
      </c>
      <c r="D90" t="str">
        <v>CP</v>
      </c>
      <c r="E90" t="str">
        <v>P1</v>
      </c>
      <c r="H90" t="str" cm="1">
        <f t="array" aca="1" ref="H90" ca="1">IF(ROW(A90)-H$15 &lt; H$14,A90,IF(ROW(A90) - H$15 -H$16 + 1 &lt; H$14,INDIRECT(ADDRESS(MOD(ROW(A90) - H$15, H$14) + H$15, COLUMN(A90))),""))</f>
        <v>P5</v>
      </c>
      <c r="I90" t="str" cm="1">
        <f t="array" aca="1" ref="I90" ca="1">IF(ROW(B90)-I$15 &lt; I$14,B90,IF(ROW(B90) - I$15 -I$16 + 1 &lt; I$14,INDIRECT(ADDRESS(MOD(ROW(B90) - I$15, I$14) + I$15, COLUMN(B90))),""))</f>
        <v>P6</v>
      </c>
      <c r="J90" t="str" cm="1">
        <f t="array" aca="1" ref="J90" ca="1">IF(ROW(C90)-J$15 &lt; J$14,C90,IF(ROW(C90) - J$15 -J$16 + 1 &lt; J$14,INDIRECT(ADDRESS(MOD(ROW(C90) - J$15, J$14) + J$15, COLUMN(C90))),""))</f>
        <v>P1</v>
      </c>
      <c r="K90" t="str" cm="1">
        <f t="array" aca="1" ref="K90" ca="1">IF(ROW(D90)-K$15 &lt; K$14,D90,IF(ROW(D90) - K$15 -K$16 + 1 &lt; K$14,INDIRECT(ADDRESS(MOD(ROW(D90) - K$15, K$14) + K$15, COLUMN(D90))),""))</f>
        <v>CP</v>
      </c>
      <c r="L90" t="str" cm="1">
        <f t="array" aca="1" ref="L90" ca="1">IF(ROW(E90)-L$15 &lt; L$14,E90,IF(ROW(E90) - L$15 -L$16 + 1 &lt; L$14,INDIRECT(ADDRESS(MOD(ROW(E90) - L$15, L$14) + L$15, COLUMN(E90))),""))</f>
        <v>P1</v>
      </c>
      <c r="N90" cm="1">
        <f t="array" aca="1" ref="N90" ca="1">IF(H90&lt;&gt;"", SUMPRODUCT((OFFSET(H90,0,0,H$16,1)=$T$24) +0),"")</f>
        <v>0</v>
      </c>
      <c r="O90" cm="1">
        <f t="array" aca="1" ref="O90" ca="1">IF(I90&lt;&gt;"", SUMPRODUCT((OFFSET(I90,0,0,I$16,1)=$T$24) +0),"")</f>
        <v>1</v>
      </c>
      <c r="P90" cm="1">
        <f t="array" aca="1" ref="P90" ca="1">IF(J90&lt;&gt;"", SUMPRODUCT((OFFSET(J90,0,0,J$16,1)=$T$24) +0),"")</f>
        <v>0</v>
      </c>
      <c r="Q90" cm="1">
        <f t="array" aca="1" ref="Q90" ca="1">IF(K90&lt;&gt;"", SUMPRODUCT((OFFSET(K90,0,0,K$16,1)=$T$24) +0),"")</f>
        <v>1</v>
      </c>
      <c r="R90" cm="1">
        <f t="array" aca="1" ref="R90" ca="1">IF(L90&lt;&gt;"", SUMPRODUCT((OFFSET(L90,0,0,L$16,1)=$T$24) +0),"")</f>
        <v>0</v>
      </c>
      <c r="AB90">
        <f t="shared" si="20"/>
        <v>2</v>
      </c>
      <c r="AC90">
        <f t="shared" si="20"/>
        <v>1</v>
      </c>
      <c r="AD90">
        <f t="shared" si="20"/>
        <v>2</v>
      </c>
      <c r="AE90">
        <f t="shared" si="20"/>
        <v>0</v>
      </c>
      <c r="AF90">
        <f t="shared" si="20"/>
        <v>0</v>
      </c>
      <c r="AG90">
        <f t="shared" si="21"/>
        <v>5</v>
      </c>
      <c r="AH90">
        <f t="shared" ca="1" si="22"/>
        <v>0</v>
      </c>
      <c r="AI90">
        <f>IF(ROW($AA90) - $AA$51 &lt; ($H$16+1)^5, IF(AG90 &gt;= BaseBonus!$C$16, AG90*BaseBonus!$E$31, 0), "")</f>
        <v>4.6952679064628979</v>
      </c>
      <c r="AJ90">
        <f t="shared" ca="1" si="23"/>
        <v>0</v>
      </c>
      <c r="AK90" s="44"/>
    </row>
    <row r="91" spans="1:37" x14ac:dyDescent="0.3">
      <c r="A91" t="str">
        <v>P6</v>
      </c>
      <c r="B91" t="str">
        <v>CP</v>
      </c>
      <c r="C91" t="str">
        <v>P3</v>
      </c>
      <c r="D91" t="str">
        <v>P4</v>
      </c>
      <c r="E91" t="str">
        <v>P3</v>
      </c>
      <c r="H91" t="str" cm="1">
        <f t="array" aca="1" ref="H91" ca="1">IF(ROW(A91)-H$15 &lt; H$14,A91,IF(ROW(A91) - H$15 -H$16 + 1 &lt; H$14,INDIRECT(ADDRESS(MOD(ROW(A91) - H$15, H$14) + H$15, COLUMN(A91))),""))</f>
        <v>P6</v>
      </c>
      <c r="I91" t="str" cm="1">
        <f t="array" aca="1" ref="I91" ca="1">IF(ROW(B91)-I$15 &lt; I$14,B91,IF(ROW(B91) - I$15 -I$16 + 1 &lt; I$14,INDIRECT(ADDRESS(MOD(ROW(B91) - I$15, I$14) + I$15, COLUMN(B91))),""))</f>
        <v>CP</v>
      </c>
      <c r="J91" t="str" cm="1">
        <f t="array" aca="1" ref="J91" ca="1">IF(ROW(C91)-J$15 &lt; J$14,C91,IF(ROW(C91) - J$15 -J$16 + 1 &lt; J$14,INDIRECT(ADDRESS(MOD(ROW(C91) - J$15, J$14) + J$15, COLUMN(C91))),""))</f>
        <v>P3</v>
      </c>
      <c r="K91" t="str" cm="1">
        <f t="array" aca="1" ref="K91" ca="1">IF(ROW(D91)-K$15 &lt; K$14,D91,IF(ROW(D91) - K$15 -K$16 + 1 &lt; K$14,INDIRECT(ADDRESS(MOD(ROW(D91) - K$15, K$14) + K$15, COLUMN(D91))),""))</f>
        <v>P4</v>
      </c>
      <c r="L91" t="str" cm="1">
        <f t="array" aca="1" ref="L91" ca="1">IF(ROW(E91)-L$15 &lt; L$14,E91,IF(ROW(E91) - L$15 -L$16 + 1 &lt; L$14,INDIRECT(ADDRESS(MOD(ROW(E91) - L$15, L$14) + L$15, COLUMN(E91))),""))</f>
        <v>P3</v>
      </c>
      <c r="N91" cm="1">
        <f t="array" aca="1" ref="N91" ca="1">IF(H91&lt;&gt;"", SUMPRODUCT((OFFSET(H91,0,0,H$16,1)=$T$24) +0),"")</f>
        <v>1</v>
      </c>
      <c r="O91" cm="1">
        <f t="array" aca="1" ref="O91" ca="1">IF(I91&lt;&gt;"", SUMPRODUCT((OFFSET(I91,0,0,I$16,1)=$T$24) +0),"")</f>
        <v>1</v>
      </c>
      <c r="P91" cm="1">
        <f t="array" aca="1" ref="P91" ca="1">IF(J91&lt;&gt;"", SUMPRODUCT((OFFSET(J91,0,0,J$16,1)=$T$24) +0),"")</f>
        <v>0</v>
      </c>
      <c r="Q91" cm="1">
        <f t="array" aca="1" ref="Q91" ca="1">IF(K91&lt;&gt;"", SUMPRODUCT((OFFSET(K91,0,0,K$16,1)=$T$24) +0),"")</f>
        <v>0</v>
      </c>
      <c r="R91" cm="1">
        <f t="array" aca="1" ref="R91" ca="1">IF(L91&lt;&gt;"", SUMPRODUCT((OFFSET(L91,0,0,L$16,1)=$T$24) +0),"")</f>
        <v>0</v>
      </c>
      <c r="AB91">
        <f t="shared" si="20"/>
        <v>3</v>
      </c>
      <c r="AC91">
        <f t="shared" si="20"/>
        <v>1</v>
      </c>
      <c r="AD91">
        <f t="shared" si="20"/>
        <v>2</v>
      </c>
      <c r="AE91">
        <f t="shared" si="20"/>
        <v>0</v>
      </c>
      <c r="AF91">
        <f t="shared" si="20"/>
        <v>0</v>
      </c>
      <c r="AG91">
        <f t="shared" si="21"/>
        <v>6</v>
      </c>
      <c r="AH91">
        <f t="shared" ca="1" si="22"/>
        <v>0</v>
      </c>
      <c r="AI91">
        <f>IF(ROW($AA91) - $AA$51 &lt; ($H$16+1)^5, IF(AG91 &gt;= BaseBonus!$C$16, AG91*BaseBonus!$E$31, 0), "")</f>
        <v>5.6343214877554777</v>
      </c>
      <c r="AJ91">
        <f t="shared" ca="1" si="23"/>
        <v>0</v>
      </c>
      <c r="AK91" s="44"/>
    </row>
    <row r="92" spans="1:37" x14ac:dyDescent="0.3">
      <c r="A92" t="str">
        <v>P2</v>
      </c>
      <c r="B92" t="str">
        <v>P4</v>
      </c>
      <c r="C92" t="str">
        <v>P4</v>
      </c>
      <c r="E92" t="str">
        <v>SCAT</v>
      </c>
      <c r="H92" t="str" cm="1">
        <f t="array" aca="1" ref="H92" ca="1">IF(ROW(A92)-H$15 &lt; H$14,A92,IF(ROW(A92) - H$15 -H$16 + 1 &lt; H$14,INDIRECT(ADDRESS(MOD(ROW(A92) - H$15, H$14) + H$15, COLUMN(A92))),""))</f>
        <v>P2</v>
      </c>
      <c r="I92" t="str" cm="1">
        <f t="array" aca="1" ref="I92" ca="1">IF(ROW(B92)-I$15 &lt; I$14,B92,IF(ROW(B92) - I$15 -I$16 + 1 &lt; I$14,INDIRECT(ADDRESS(MOD(ROW(B92) - I$15, I$14) + I$15, COLUMN(B92))),""))</f>
        <v>P4</v>
      </c>
      <c r="J92" t="str" cm="1">
        <f t="array" aca="1" ref="J92" ca="1">IF(ROW(C92)-J$15 &lt; J$14,C92,IF(ROW(C92) - J$15 -J$16 + 1 &lt; J$14,INDIRECT(ADDRESS(MOD(ROW(C92) - J$15, J$14) + J$15, COLUMN(C92))),""))</f>
        <v>P4</v>
      </c>
      <c r="K92" t="str" cm="1">
        <f t="array" aca="1" ref="K92" ca="1">IF(ROW(D92)-K$15 &lt; K$14,D92,IF(ROW(D92) - K$15 -K$16 + 1 &lt; K$14,INDIRECT(ADDRESS(MOD(ROW(D92) - K$15, K$14) + K$15, COLUMN(D92))),""))</f>
        <v>P6</v>
      </c>
      <c r="L92" t="str" cm="1">
        <f t="array" aca="1" ref="L92" ca="1">IF(ROW(E92)-L$15 &lt; L$14,E92,IF(ROW(E92) - L$15 -L$16 + 1 &lt; L$14,INDIRECT(ADDRESS(MOD(ROW(E92) - L$15, L$14) + L$15, COLUMN(E92))),""))</f>
        <v>SCAT</v>
      </c>
      <c r="N92" cm="1">
        <f t="array" aca="1" ref="N92" ca="1">IF(H92&lt;&gt;"", SUMPRODUCT((OFFSET(H92,0,0,H$16,1)=$T$24) +0),"")</f>
        <v>1</v>
      </c>
      <c r="O92" cm="1">
        <f t="array" aca="1" ref="O92" ca="1">IF(I92&lt;&gt;"", SUMPRODUCT((OFFSET(I92,0,0,I$16,1)=$T$24) +0),"")</f>
        <v>0</v>
      </c>
      <c r="P92" cm="1">
        <f t="array" aca="1" ref="P92" ca="1">IF(J92&lt;&gt;"", SUMPRODUCT((OFFSET(J92,0,0,J$16,1)=$T$24) +0),"")</f>
        <v>0</v>
      </c>
      <c r="Q92" cm="1">
        <f t="array" aca="1" ref="Q92" ca="1">IF(K92&lt;&gt;"", SUMPRODUCT((OFFSET(K92,0,0,K$16,1)=$T$24) +0),"")</f>
        <v>0</v>
      </c>
      <c r="R92" cm="1">
        <f t="array" aca="1" ref="R92" ca="1">IF(L92&lt;&gt;"", SUMPRODUCT((OFFSET(L92,0,0,L$16,1)=$T$24) +0),"")</f>
        <v>1</v>
      </c>
      <c r="AB92">
        <f t="shared" si="20"/>
        <v>0</v>
      </c>
      <c r="AC92">
        <f t="shared" si="20"/>
        <v>2</v>
      </c>
      <c r="AD92">
        <f t="shared" si="20"/>
        <v>2</v>
      </c>
      <c r="AE92">
        <f t="shared" si="20"/>
        <v>0</v>
      </c>
      <c r="AF92">
        <f t="shared" si="20"/>
        <v>0</v>
      </c>
      <c r="AG92">
        <f t="shared" si="21"/>
        <v>4</v>
      </c>
      <c r="AH92">
        <f t="shared" ca="1" si="22"/>
        <v>0</v>
      </c>
      <c r="AI92">
        <f>IF(ROW($AA92) - $AA$51 &lt; ($H$16+1)^5, IF(AG92 &gt;= BaseBonus!$C$16, AG92*BaseBonus!$E$31, 0), "")</f>
        <v>0</v>
      </c>
      <c r="AJ92">
        <f t="shared" ca="1" si="23"/>
        <v>0</v>
      </c>
      <c r="AK92" s="44"/>
    </row>
    <row r="93" spans="1:37" x14ac:dyDescent="0.3">
      <c r="A93" t="str">
        <v>CP</v>
      </c>
      <c r="C93" t="str">
        <v>P5</v>
      </c>
      <c r="E93" t="str">
        <v>P4</v>
      </c>
      <c r="H93" t="str" cm="1">
        <f t="array" aca="1" ref="H93" ca="1">IF(ROW(A93)-H$15 &lt; H$14,A93,IF(ROW(A93) - H$15 -H$16 + 1 &lt; H$14,INDIRECT(ADDRESS(MOD(ROW(A93) - H$15, H$14) + H$15, COLUMN(A93))),""))</f>
        <v>CP</v>
      </c>
      <c r="I93" t="str" cm="1">
        <f t="array" aca="1" ref="I93" ca="1">IF(ROW(B93)-I$15 &lt; I$14,B93,IF(ROW(B93) - I$15 -I$16 + 1 &lt; I$14,INDIRECT(ADDRESS(MOD(ROW(B93) - I$15, I$14) + I$15, COLUMN(B93))),""))</f>
        <v>P6</v>
      </c>
      <c r="J93" t="str" cm="1">
        <f t="array" aca="1" ref="J93" ca="1">IF(ROW(C93)-J$15 &lt; J$14,C93,IF(ROW(C93) - J$15 -J$16 + 1 &lt; J$14,INDIRECT(ADDRESS(MOD(ROW(C93) - J$15, J$14) + J$15, COLUMN(C93))),""))</f>
        <v>P5</v>
      </c>
      <c r="K93" t="str" cm="1">
        <f t="array" aca="1" ref="K93" ca="1">IF(ROW(D93)-K$15 &lt; K$14,D93,IF(ROW(D93) - K$15 -K$16 + 1 &lt; K$14,INDIRECT(ADDRESS(MOD(ROW(D93) - K$15, K$14) + K$15, COLUMN(D93))),""))</f>
        <v>P5</v>
      </c>
      <c r="L93" t="str" cm="1">
        <f t="array" aca="1" ref="L93" ca="1">IF(ROW(E93)-L$15 &lt; L$14,E93,IF(ROW(E93) - L$15 -L$16 + 1 &lt; L$14,INDIRECT(ADDRESS(MOD(ROW(E93) - L$15, L$14) + L$15, COLUMN(E93))),""))</f>
        <v>P4</v>
      </c>
      <c r="N93" cm="1">
        <f t="array" aca="1" ref="N93" ca="1">IF(H93&lt;&gt;"", SUMPRODUCT((OFFSET(H93,0,0,H$16,1)=$T$24) +0),"")</f>
        <v>1</v>
      </c>
      <c r="O93" cm="1">
        <f t="array" aca="1" ref="O93" ca="1">IF(I93&lt;&gt;"", SUMPRODUCT((OFFSET(I93,0,0,I$16,1)=$T$24) +0),"")</f>
        <v>0</v>
      </c>
      <c r="P93" cm="1">
        <f t="array" aca="1" ref="P93" ca="1">IF(J93&lt;&gt;"", SUMPRODUCT((OFFSET(J93,0,0,J$16,1)=$T$24) +0),"")</f>
        <v>0</v>
      </c>
      <c r="Q93" cm="1">
        <f t="array" aca="1" ref="Q93" ca="1">IF(K93&lt;&gt;"", SUMPRODUCT((OFFSET(K93,0,0,K$16,1)=$T$24) +0),"")</f>
        <v>0</v>
      </c>
      <c r="R93" cm="1">
        <f t="array" aca="1" ref="R93" ca="1">IF(L93&lt;&gt;"", SUMPRODUCT((OFFSET(L93,0,0,L$16,1)=$T$24) +0),"")</f>
        <v>1</v>
      </c>
      <c r="AB93">
        <f t="shared" si="20"/>
        <v>1</v>
      </c>
      <c r="AC93">
        <f t="shared" si="20"/>
        <v>2</v>
      </c>
      <c r="AD93">
        <f t="shared" si="20"/>
        <v>2</v>
      </c>
      <c r="AE93">
        <f t="shared" si="20"/>
        <v>0</v>
      </c>
      <c r="AF93">
        <f t="shared" si="20"/>
        <v>0</v>
      </c>
      <c r="AG93">
        <f t="shared" si="21"/>
        <v>5</v>
      </c>
      <c r="AH93">
        <f t="shared" ca="1" si="22"/>
        <v>0</v>
      </c>
      <c r="AI93">
        <f>IF(ROW($AA93) - $AA$51 &lt; ($H$16+1)^5, IF(AG93 &gt;= BaseBonus!$C$16, AG93*BaseBonus!$E$31, 0), "")</f>
        <v>4.6952679064628979</v>
      </c>
      <c r="AJ93">
        <f t="shared" ca="1" si="23"/>
        <v>0</v>
      </c>
      <c r="AK93" s="44"/>
    </row>
    <row r="94" spans="1:37" x14ac:dyDescent="0.3">
      <c r="A94" t="str">
        <v>P5</v>
      </c>
      <c r="C94" t="str">
        <v>P1</v>
      </c>
      <c r="E94" t="str">
        <v>CP</v>
      </c>
      <c r="H94" t="str" cm="1">
        <f t="array" aca="1" ref="H94" ca="1">IF(ROW(A94)-H$15 &lt; H$14,A94,IF(ROW(A94) - H$15 -H$16 + 1 &lt; H$14,INDIRECT(ADDRESS(MOD(ROW(A94) - H$15, H$14) + H$15, COLUMN(A94))),""))</f>
        <v>P5</v>
      </c>
      <c r="I94" t="str" cm="1">
        <f t="array" aca="1" ref="I94" ca="1">IF(ROW(B94)-I$15 &lt; I$14,B94,IF(ROW(B94) - I$15 -I$16 + 1 &lt; I$14,INDIRECT(ADDRESS(MOD(ROW(B94) - I$15, I$14) + I$15, COLUMN(B94))),""))</f>
        <v>P5</v>
      </c>
      <c r="J94" t="str" cm="1">
        <f t="array" aca="1" ref="J94" ca="1">IF(ROW(C94)-J$15 &lt; J$14,C94,IF(ROW(C94) - J$15 -J$16 + 1 &lt; J$14,INDIRECT(ADDRESS(MOD(ROW(C94) - J$15, J$14) + J$15, COLUMN(C94))),""))</f>
        <v>P1</v>
      </c>
      <c r="K94" t="str" cm="1">
        <f t="array" aca="1" ref="K94" ca="1">IF(ROW(D94)-K$15 &lt; K$14,D94,IF(ROW(D94) - K$15 -K$16 + 1 &lt; K$14,INDIRECT(ADDRESS(MOD(ROW(D94) - K$15, K$14) + K$15, COLUMN(D94))),""))</f>
        <v/>
      </c>
      <c r="L94" t="str" cm="1">
        <f t="array" aca="1" ref="L94" ca="1">IF(ROW(E94)-L$15 &lt; L$14,E94,IF(ROW(E94) - L$15 -L$16 + 1 &lt; L$14,INDIRECT(ADDRESS(MOD(ROW(E94) - L$15, L$14) + L$15, COLUMN(E94))),""))</f>
        <v>CP</v>
      </c>
      <c r="N94" cm="1">
        <f t="array" aca="1" ref="N94" ca="1">IF(H94&lt;&gt;"", SUMPRODUCT((OFFSET(H94,0,0,H$16,1)=$T$24) +0),"")</f>
        <v>0</v>
      </c>
      <c r="O94" cm="1">
        <f t="array" aca="1" ref="O94" ca="1">IF(I94&lt;&gt;"", SUMPRODUCT((OFFSET(I94,0,0,I$16,1)=$T$24) +0),"")</f>
        <v>0</v>
      </c>
      <c r="P94" cm="1">
        <f t="array" aca="1" ref="P94" ca="1">IF(J94&lt;&gt;"", SUMPRODUCT((OFFSET(J94,0,0,J$16,1)=$T$24) +0),"")</f>
        <v>0</v>
      </c>
      <c r="Q94" t="str" cm="1">
        <f t="array" aca="1" ref="Q94" ca="1">IF(K94&lt;&gt;"", SUMPRODUCT((OFFSET(K94,0,0,K$16,1)=$T$24) +0),"")</f>
        <v/>
      </c>
      <c r="R94" cm="1">
        <f t="array" aca="1" ref="R94" ca="1">IF(L94&lt;&gt;"", SUMPRODUCT((OFFSET(L94,0,0,L$16,1)=$T$24) +0),"")</f>
        <v>1</v>
      </c>
      <c r="AB94">
        <f t="shared" si="20"/>
        <v>2</v>
      </c>
      <c r="AC94">
        <f t="shared" si="20"/>
        <v>2</v>
      </c>
      <c r="AD94">
        <f t="shared" si="20"/>
        <v>2</v>
      </c>
      <c r="AE94">
        <f t="shared" si="20"/>
        <v>0</v>
      </c>
      <c r="AF94">
        <f t="shared" si="20"/>
        <v>0</v>
      </c>
      <c r="AG94">
        <f t="shared" si="21"/>
        <v>6</v>
      </c>
      <c r="AH94">
        <f t="shared" ca="1" si="22"/>
        <v>0</v>
      </c>
      <c r="AI94">
        <f>IF(ROW($AA94) - $AA$51 &lt; ($H$16+1)^5, IF(AG94 &gt;= BaseBonus!$C$16, AG94*BaseBonus!$E$31, 0), "")</f>
        <v>5.6343214877554777</v>
      </c>
      <c r="AJ94">
        <f t="shared" ca="1" si="23"/>
        <v>0</v>
      </c>
      <c r="AK94" s="44"/>
    </row>
    <row r="95" spans="1:37" x14ac:dyDescent="0.3">
      <c r="A95" t="str">
        <v>P4</v>
      </c>
      <c r="C95" t="str">
        <v>P3</v>
      </c>
      <c r="E95" t="str">
        <v>P5</v>
      </c>
      <c r="H95" t="str" cm="1">
        <f t="array" aca="1" ref="H95" ca="1">IF(ROW(A95)-H$15 &lt; H$14,A95,IF(ROW(A95) - H$15 -H$16 + 1 &lt; H$14,INDIRECT(ADDRESS(MOD(ROW(A95) - H$15, H$14) + H$15, COLUMN(A95))),""))</f>
        <v>P4</v>
      </c>
      <c r="I95" t="str" cm="1">
        <f t="array" aca="1" ref="I95" ca="1">IF(ROW(B95)-I$15 &lt; I$14,B95,IF(ROW(B95) - I$15 -I$16 + 1 &lt; I$14,INDIRECT(ADDRESS(MOD(ROW(B95) - I$15, I$14) + I$15, COLUMN(B95))),""))</f>
        <v/>
      </c>
      <c r="J95" t="str" cm="1">
        <f t="array" aca="1" ref="J95" ca="1">IF(ROW(C95)-J$15 &lt; J$14,C95,IF(ROW(C95) - J$15 -J$16 + 1 &lt; J$14,INDIRECT(ADDRESS(MOD(ROW(C95) - J$15, J$14) + J$15, COLUMN(C95))),""))</f>
        <v>P3</v>
      </c>
      <c r="K95" t="str" cm="1">
        <f t="array" aca="1" ref="K95" ca="1">IF(ROW(D95)-K$15 &lt; K$14,D95,IF(ROW(D95) - K$15 -K$16 + 1 &lt; K$14,INDIRECT(ADDRESS(MOD(ROW(D95) - K$15, K$14) + K$15, COLUMN(D95))),""))</f>
        <v/>
      </c>
      <c r="L95" t="str" cm="1">
        <f t="array" aca="1" ref="L95" ca="1">IF(ROW(E95)-L$15 &lt; L$14,E95,IF(ROW(E95) - L$15 -L$16 + 1 &lt; L$14,INDIRECT(ADDRESS(MOD(ROW(E95) - L$15, L$14) + L$15, COLUMN(E95))),""))</f>
        <v>P5</v>
      </c>
      <c r="N95" cm="1">
        <f t="array" aca="1" ref="N95" ca="1">IF(H95&lt;&gt;"", SUMPRODUCT((OFFSET(H95,0,0,H$16,1)=$T$24) +0),"")</f>
        <v>0</v>
      </c>
      <c r="O95" t="str" cm="1">
        <f t="array" aca="1" ref="O95" ca="1">IF(I95&lt;&gt;"", SUMPRODUCT((OFFSET(I95,0,0,I$16,1)=$T$24) +0),"")</f>
        <v/>
      </c>
      <c r="P95" cm="1">
        <f t="array" aca="1" ref="P95" ca="1">IF(J95&lt;&gt;"", SUMPRODUCT((OFFSET(J95,0,0,J$16,1)=$T$24) +0),"")</f>
        <v>0</v>
      </c>
      <c r="Q95" t="str" cm="1">
        <f t="array" aca="1" ref="Q95" ca="1">IF(K95&lt;&gt;"", SUMPRODUCT((OFFSET(K95,0,0,K$16,1)=$T$24) +0),"")</f>
        <v/>
      </c>
      <c r="R95" cm="1">
        <f t="array" aca="1" ref="R95" ca="1">IF(L95&lt;&gt;"", SUMPRODUCT((OFFSET(L95,0,0,L$16,1)=$T$24) +0),"")</f>
        <v>0</v>
      </c>
      <c r="AB95">
        <f t="shared" si="20"/>
        <v>3</v>
      </c>
      <c r="AC95">
        <f t="shared" si="20"/>
        <v>2</v>
      </c>
      <c r="AD95">
        <f t="shared" si="20"/>
        <v>2</v>
      </c>
      <c r="AE95">
        <f t="shared" si="20"/>
        <v>0</v>
      </c>
      <c r="AF95">
        <f t="shared" si="20"/>
        <v>0</v>
      </c>
      <c r="AG95">
        <f t="shared" si="21"/>
        <v>7</v>
      </c>
      <c r="AH95">
        <f t="shared" ca="1" si="22"/>
        <v>0</v>
      </c>
      <c r="AI95">
        <f>IF(ROW($AA95) - $AA$51 &lt; ($H$16+1)^5, IF(AG95 &gt;= BaseBonus!$C$16, AG95*BaseBonus!$E$31, 0), "")</f>
        <v>6.5733750690480575</v>
      </c>
      <c r="AJ95">
        <f t="shared" ca="1" si="23"/>
        <v>0</v>
      </c>
      <c r="AK95" s="44"/>
    </row>
    <row r="96" spans="1:37" x14ac:dyDescent="0.3">
      <c r="A96" t="str">
        <v>P1</v>
      </c>
      <c r="C96" t="str">
        <v>P4</v>
      </c>
      <c r="E96" t="str">
        <v>P1</v>
      </c>
      <c r="H96" t="str" cm="1">
        <f t="array" aca="1" ref="H96" ca="1">IF(ROW(A96)-H$15 &lt; H$14,A96,IF(ROW(A96) - H$15 -H$16 + 1 &lt; H$14,INDIRECT(ADDRESS(MOD(ROW(A96) - H$15, H$14) + H$15, COLUMN(A96))),""))</f>
        <v>P1</v>
      </c>
      <c r="I96" t="str" cm="1">
        <f t="array" aca="1" ref="I96" ca="1">IF(ROW(B96)-I$15 &lt; I$14,B96,IF(ROW(B96) - I$15 -I$16 + 1 &lt; I$14,INDIRECT(ADDRESS(MOD(ROW(B96) - I$15, I$14) + I$15, COLUMN(B96))),""))</f>
        <v/>
      </c>
      <c r="J96" t="str" cm="1">
        <f t="array" aca="1" ref="J96" ca="1">IF(ROW(C96)-J$15 &lt; J$14,C96,IF(ROW(C96) - J$15 -J$16 + 1 &lt; J$14,INDIRECT(ADDRESS(MOD(ROW(C96) - J$15, J$14) + J$15, COLUMN(C96))),""))</f>
        <v>P4</v>
      </c>
      <c r="K96" t="str" cm="1">
        <f t="array" aca="1" ref="K96" ca="1">IF(ROW(D96)-K$15 &lt; K$14,D96,IF(ROW(D96) - K$15 -K$16 + 1 &lt; K$14,INDIRECT(ADDRESS(MOD(ROW(D96) - K$15, K$14) + K$15, COLUMN(D96))),""))</f>
        <v/>
      </c>
      <c r="L96" t="str" cm="1">
        <f t="array" aca="1" ref="L96" ca="1">IF(ROW(E96)-L$15 &lt; L$14,E96,IF(ROW(E96) - L$15 -L$16 + 1 &lt; L$14,INDIRECT(ADDRESS(MOD(ROW(E96) - L$15, L$14) + L$15, COLUMN(E96))),""))</f>
        <v>P1</v>
      </c>
      <c r="N96" cm="1">
        <f t="array" aca="1" ref="N96" ca="1">IF(H96&lt;&gt;"", SUMPRODUCT((OFFSET(H96,0,0,H$16,1)=$T$24) +0),"")</f>
        <v>0</v>
      </c>
      <c r="O96" t="str" cm="1">
        <f t="array" aca="1" ref="O96" ca="1">IF(I96&lt;&gt;"", SUMPRODUCT((OFFSET(I96,0,0,I$16,1)=$T$24) +0),"")</f>
        <v/>
      </c>
      <c r="P96" cm="1">
        <f t="array" aca="1" ref="P96" ca="1">IF(J96&lt;&gt;"", SUMPRODUCT((OFFSET(J96,0,0,J$16,1)=$T$24) +0),"")</f>
        <v>0</v>
      </c>
      <c r="Q96" t="str" cm="1">
        <f t="array" aca="1" ref="Q96" ca="1">IF(K96&lt;&gt;"", SUMPRODUCT((OFFSET(K96,0,0,K$16,1)=$T$24) +0),"")</f>
        <v/>
      </c>
      <c r="R96" cm="1">
        <f t="array" aca="1" ref="R96" ca="1">IF(L96&lt;&gt;"", SUMPRODUCT((OFFSET(L96,0,0,L$16,1)=$T$24) +0),"")</f>
        <v>0</v>
      </c>
      <c r="AB96">
        <f t="shared" si="20"/>
        <v>0</v>
      </c>
      <c r="AC96">
        <f t="shared" si="20"/>
        <v>3</v>
      </c>
      <c r="AD96">
        <f t="shared" si="20"/>
        <v>2</v>
      </c>
      <c r="AE96">
        <f t="shared" si="20"/>
        <v>0</v>
      </c>
      <c r="AF96">
        <f t="shared" si="20"/>
        <v>0</v>
      </c>
      <c r="AG96">
        <f t="shared" si="21"/>
        <v>5</v>
      </c>
      <c r="AH96">
        <f t="shared" ca="1" si="22"/>
        <v>0</v>
      </c>
      <c r="AI96">
        <f>IF(ROW($AA96) - $AA$51 &lt; ($H$16+1)^5, IF(AG96 &gt;= BaseBonus!$C$16, AG96*BaseBonus!$E$31, 0), "")</f>
        <v>4.6952679064628979</v>
      </c>
      <c r="AJ96">
        <f t="shared" ca="1" si="23"/>
        <v>0</v>
      </c>
      <c r="AK96" s="44"/>
    </row>
    <row r="97" spans="3:37" x14ac:dyDescent="0.3">
      <c r="C97" t="str">
        <v>P3</v>
      </c>
      <c r="E97" t="str">
        <v>P3</v>
      </c>
      <c r="H97" t="str" cm="1">
        <f t="array" aca="1" ref="H97" ca="1">IF(ROW(A97)-H$15 &lt; H$14,A97,IF(ROW(A97) - H$15 -H$16 + 1 &lt; H$14,INDIRECT(ADDRESS(MOD(ROW(A97) - H$15, H$14) + H$15, COLUMN(A97))),""))</f>
        <v>P4</v>
      </c>
      <c r="I97" t="str" cm="1">
        <f t="array" aca="1" ref="I97" ca="1">IF(ROW(B97)-I$15 &lt; I$14,B97,IF(ROW(B97) - I$15 -I$16 + 1 &lt; I$14,INDIRECT(ADDRESS(MOD(ROW(B97) - I$15, I$14) + I$15, COLUMN(B97))),""))</f>
        <v/>
      </c>
      <c r="J97" t="str" cm="1">
        <f t="array" aca="1" ref="J97" ca="1">IF(ROW(C97)-J$15 &lt; J$14,C97,IF(ROW(C97) - J$15 -J$16 + 1 &lt; J$14,INDIRECT(ADDRESS(MOD(ROW(C97) - J$15, J$14) + J$15, COLUMN(C97))),""))</f>
        <v>P3</v>
      </c>
      <c r="K97" t="str" cm="1">
        <f t="array" aca="1" ref="K97" ca="1">IF(ROW(D97)-K$15 &lt; K$14,D97,IF(ROW(D97) - K$15 -K$16 + 1 &lt; K$14,INDIRECT(ADDRESS(MOD(ROW(D97) - K$15, K$14) + K$15, COLUMN(D97))),""))</f>
        <v/>
      </c>
      <c r="L97" t="str" cm="1">
        <f t="array" aca="1" ref="L97" ca="1">IF(ROW(E97)-L$15 &lt; L$14,E97,IF(ROW(E97) - L$15 -L$16 + 1 &lt; L$14,INDIRECT(ADDRESS(MOD(ROW(E97) - L$15, L$14) + L$15, COLUMN(E97))),""))</f>
        <v>P3</v>
      </c>
      <c r="N97" cm="1">
        <f t="array" aca="1" ref="N97" ca="1">IF(H97&lt;&gt;"", SUMPRODUCT((OFFSET(H97,0,0,H$16,1)=$T$24) +0),"")</f>
        <v>0</v>
      </c>
      <c r="O97" t="str" cm="1">
        <f t="array" aca="1" ref="O97" ca="1">IF(I97&lt;&gt;"", SUMPRODUCT((OFFSET(I97,0,0,I$16,1)=$T$24) +0),"")</f>
        <v/>
      </c>
      <c r="P97" cm="1">
        <f t="array" aca="1" ref="P97" ca="1">IF(J97&lt;&gt;"", SUMPRODUCT((OFFSET(J97,0,0,J$16,1)=$T$24) +0),"")</f>
        <v>0</v>
      </c>
      <c r="Q97" t="str" cm="1">
        <f t="array" aca="1" ref="Q97" ca="1">IF(K97&lt;&gt;"", SUMPRODUCT((OFFSET(K97,0,0,K$16,1)=$T$24) +0),"")</f>
        <v/>
      </c>
      <c r="R97" cm="1">
        <f t="array" aca="1" ref="R97" ca="1">IF(E97&lt;&gt;"", SUMPRODUCT((OFFSET(E97,0,0,L$16,1)=$T$24) +0),"")</f>
        <v>0</v>
      </c>
      <c r="AB97">
        <f t="shared" si="20"/>
        <v>1</v>
      </c>
      <c r="AC97">
        <f t="shared" si="20"/>
        <v>3</v>
      </c>
      <c r="AD97">
        <f t="shared" si="20"/>
        <v>2</v>
      </c>
      <c r="AE97">
        <f t="shared" si="20"/>
        <v>0</v>
      </c>
      <c r="AF97">
        <f t="shared" si="20"/>
        <v>0</v>
      </c>
      <c r="AG97">
        <f t="shared" si="21"/>
        <v>6</v>
      </c>
      <c r="AH97">
        <f t="shared" ca="1" si="22"/>
        <v>0</v>
      </c>
      <c r="AI97">
        <f>IF(ROW($AA97) - $AA$51 &lt; ($H$16+1)^5, IF(AG97 &gt;= BaseBonus!$C$16, AG97*BaseBonus!$E$31, 0), "")</f>
        <v>5.6343214877554777</v>
      </c>
      <c r="AJ97">
        <f t="shared" ca="1" si="23"/>
        <v>0</v>
      </c>
      <c r="AK97" s="44"/>
    </row>
    <row r="98" spans="3:37" x14ac:dyDescent="0.3">
      <c r="E98" t="str">
        <v>P4</v>
      </c>
      <c r="H98" t="str" cm="1">
        <f t="array" aca="1" ref="H98" ca="1">IF(ROW(A98)-H$15 &lt; H$14,A98,IF(ROW(A98) - H$15 -H$16 + 1 &lt; H$14,INDIRECT(ADDRESS(MOD(ROW(A98) - H$15, H$14) + H$15, COLUMN(A98))),""))</f>
        <v>P5</v>
      </c>
      <c r="I98" t="str" cm="1">
        <f t="array" aca="1" ref="I98" ca="1">IF(ROW(B98)-I$15 &lt; I$14,B98,IF(ROW(B98) - I$15 -I$16 + 1 &lt; I$14,INDIRECT(ADDRESS(MOD(ROW(B98) - I$15, I$14) + I$15, COLUMN(B98))),""))</f>
        <v/>
      </c>
      <c r="J98" t="str" cm="1">
        <f t="array" aca="1" ref="J98" ca="1">IF(ROW(C98)-J$15 &lt; J$14,C98,IF(ROW(C98) - J$15 -J$16 + 1 &lt; J$14,INDIRECT(ADDRESS(MOD(ROW(C98) - J$15, J$14) + J$15, COLUMN(C98))),""))</f>
        <v>P5</v>
      </c>
      <c r="K98" t="str" cm="1">
        <f t="array" aca="1" ref="K98" ca="1">IF(ROW(D98)-K$15 &lt; K$14,D98,IF(ROW(D98) - K$15 -K$16 + 1 &lt; K$14,INDIRECT(ADDRESS(MOD(ROW(D98) - K$15, K$14) + K$15, COLUMN(D98))),""))</f>
        <v/>
      </c>
      <c r="L98" t="str" cm="1">
        <f t="array" aca="1" ref="L98" ca="1">IF(ROW(E98)-L$15 &lt; L$14,E98,IF(ROW(E98) - L$15 -L$16 + 1 &lt; L$14,INDIRECT(ADDRESS(MOD(ROW(E98) - L$15, L$14) + L$15, COLUMN(E98))),""))</f>
        <v>P4</v>
      </c>
      <c r="N98" cm="1">
        <f t="array" aca="1" ref="N98" ca="1">IF(H98&lt;&gt;"", SUMPRODUCT((OFFSET(H98,0,0,H$16,1)=$T$24) +0),"")</f>
        <v>0</v>
      </c>
      <c r="O98" t="str" cm="1">
        <f t="array" aca="1" ref="O98" ca="1">IF(B98&lt;&gt;"", SUMPRODUCT((OFFSET(B98,0,0,I$16,1)=$T$24) +0),"")</f>
        <v/>
      </c>
      <c r="P98" cm="1">
        <f t="array" aca="1" ref="P98" ca="1">IF(J98&lt;&gt;"", SUMPRODUCT((OFFSET(J98,0,0,J$16,1)=$T$24) +0),"")</f>
        <v>0</v>
      </c>
      <c r="Q98" t="str" cm="1">
        <f t="array" aca="1" ref="Q98" ca="1">IF(K98&lt;&gt;"", SUMPRODUCT((OFFSET(K98,0,0,K$16,1)=$T$24) +0),"")</f>
        <v/>
      </c>
      <c r="R98" cm="1">
        <f t="array" aca="1" ref="R98" ca="1">IF(E98&lt;&gt;"", SUMPRODUCT((OFFSET(E98,0,0,L$16,1)=$T$24) +0),"")</f>
        <v>0</v>
      </c>
      <c r="AB98">
        <f t="shared" si="20"/>
        <v>2</v>
      </c>
      <c r="AC98">
        <f t="shared" si="20"/>
        <v>3</v>
      </c>
      <c r="AD98">
        <f t="shared" si="20"/>
        <v>2</v>
      </c>
      <c r="AE98">
        <f t="shared" si="20"/>
        <v>0</v>
      </c>
      <c r="AF98">
        <f t="shared" si="20"/>
        <v>0</v>
      </c>
      <c r="AG98">
        <f t="shared" si="21"/>
        <v>7</v>
      </c>
      <c r="AH98">
        <f t="shared" ca="1" si="22"/>
        <v>0</v>
      </c>
      <c r="AI98">
        <f>IF(ROW($AA98) - $AA$51 &lt; ($H$16+1)^5, IF(AG98 &gt;= BaseBonus!$C$16, AG98*BaseBonus!$E$31, 0), "")</f>
        <v>6.5733750690480575</v>
      </c>
      <c r="AJ98">
        <f t="shared" ca="1" si="23"/>
        <v>0</v>
      </c>
      <c r="AK98" s="44"/>
    </row>
    <row r="99" spans="3:37" x14ac:dyDescent="0.3">
      <c r="E99" t="str">
        <v>P3</v>
      </c>
      <c r="H99" t="str" cm="1">
        <f t="array" aca="1" ref="H99" ca="1">IF(ROW(A99)-H$15 &lt; H$14,A99,IF(ROW(A99) - H$15 -H$16 + 1 &lt; H$14,INDIRECT(ADDRESS(MOD(ROW(A99) - H$15, H$14) + H$15, COLUMN(A99))),""))</f>
        <v/>
      </c>
      <c r="I99" t="str" cm="1">
        <f t="array" aca="1" ref="I99" ca="1">IF(ROW(B99)-I$15 &lt; I$14,B99,IF(ROW(B99) - I$15 -I$16 + 1 &lt; I$14,INDIRECT(ADDRESS(MOD(ROW(B99) - I$15, I$14) + I$15, COLUMN(B99))),""))</f>
        <v/>
      </c>
      <c r="J99" t="str" cm="1">
        <f t="array" aca="1" ref="J99" ca="1">IF(ROW(C99)-J$15 &lt; J$14,C99,IF(ROW(C99) - J$15 -J$16 + 1 &lt; J$14,INDIRECT(ADDRESS(MOD(ROW(C99) - J$15, J$14) + J$15, COLUMN(C99))),""))</f>
        <v>P3</v>
      </c>
      <c r="K99" t="str" cm="1">
        <f t="array" aca="1" ref="K99" ca="1">IF(ROW(D99)-K$15 &lt; K$14,D99,IF(ROW(D99) - K$15 -K$16 + 1 &lt; K$14,INDIRECT(ADDRESS(MOD(ROW(D99) - K$15, K$14) + K$15, COLUMN(D99))),""))</f>
        <v/>
      </c>
      <c r="L99" t="str" cm="1">
        <f t="array" aca="1" ref="L99" ca="1">IF(ROW(E99)-L$15 &lt; L$14,E99,IF(ROW(E99) - L$15 -L$16 + 1 &lt; L$14,INDIRECT(ADDRESS(MOD(ROW(E99) - L$15, L$14) + L$15, COLUMN(E99))),""))</f>
        <v>P3</v>
      </c>
      <c r="N99" t="str" cm="1">
        <f t="array" aca="1" ref="N99" ca="1">IF(H99&lt;&gt;"", SUMPRODUCT((OFFSET(H99,0,0,H$16,1)=$T$24) +0),"")</f>
        <v/>
      </c>
      <c r="O99" t="str" cm="1">
        <f t="array" aca="1" ref="O99" ca="1">IF(B99&lt;&gt;"", SUMPRODUCT((OFFSET(B99,0,0,I$16,1)=$T$24) +0),"")</f>
        <v/>
      </c>
      <c r="P99" cm="1">
        <f t="array" aca="1" ref="P99" ca="1">IF(J99&lt;&gt;"", SUMPRODUCT((OFFSET(J99,0,0,J$16,1)=$T$24) +0),"")</f>
        <v>0</v>
      </c>
      <c r="Q99" t="str" cm="1">
        <f t="array" aca="1" ref="Q99" ca="1">IF(K99&lt;&gt;"", SUMPRODUCT((OFFSET(K99,0,0,K$16,1)=$T$24) +0),"")</f>
        <v/>
      </c>
      <c r="R99" cm="1">
        <f t="array" aca="1" ref="R99" ca="1">IF(E99&lt;&gt;"", SUMPRODUCT((OFFSET(E99,0,0,L$16,1)=$T$24) +0),"")</f>
        <v>0</v>
      </c>
      <c r="AB99">
        <f t="shared" si="20"/>
        <v>3</v>
      </c>
      <c r="AC99">
        <f t="shared" si="20"/>
        <v>3</v>
      </c>
      <c r="AD99">
        <f t="shared" si="20"/>
        <v>2</v>
      </c>
      <c r="AE99">
        <f t="shared" si="20"/>
        <v>0</v>
      </c>
      <c r="AF99">
        <f t="shared" si="20"/>
        <v>0</v>
      </c>
      <c r="AG99">
        <f t="shared" si="21"/>
        <v>8</v>
      </c>
      <c r="AH99">
        <f t="shared" ca="1" si="22"/>
        <v>0</v>
      </c>
      <c r="AI99">
        <f>IF(ROW($AA99) - $AA$51 &lt; ($H$16+1)^5, IF(AG99 &gt;= BaseBonus!$C$16, AG99*BaseBonus!$E$31, 0), "")</f>
        <v>7.5124286503406372</v>
      </c>
      <c r="AJ99">
        <f t="shared" ca="1" si="23"/>
        <v>0</v>
      </c>
      <c r="AK99" s="44"/>
    </row>
    <row r="100" spans="3:37" x14ac:dyDescent="0.3">
      <c r="H100" t="str" cm="1">
        <f t="array" aca="1" ref="H100" ca="1">IF(ROW(A100)-H$15 &lt; H$14,A100,IF(ROW(A100) - H$15 -H$16 + 1 &lt; H$14,INDIRECT(ADDRESS(MOD(ROW(A100) - H$15, H$14) + H$15, COLUMN(A100))),""))</f>
        <v/>
      </c>
      <c r="I100" t="str" cm="1">
        <f t="array" aca="1" ref="I100" ca="1">IF(ROW(B100)-I$15 &lt; I$14,B100,IF(ROW(B100) - I$15 -I$16 + 1 &lt; I$14,INDIRECT(ADDRESS(MOD(ROW(B100) - I$15, I$14) + I$15, COLUMN(B100))),""))</f>
        <v/>
      </c>
      <c r="J100" t="str" cm="1">
        <f t="array" aca="1" ref="J100" ca="1">IF(ROW(C100)-J$15 &lt; J$14,C100,IF(ROW(C100) - J$15 -J$16 + 1 &lt; J$14,INDIRECT(ADDRESS(MOD(ROW(C100) - J$15, J$14) + J$15, COLUMN(C100))),""))</f>
        <v/>
      </c>
      <c r="K100" t="str" cm="1">
        <f t="array" aca="1" ref="K100" ca="1">IF(ROW(D100)-K$15 &lt; K$14,D100,IF(ROW(D100) - K$15 -K$16 + 1 &lt; K$14,INDIRECT(ADDRESS(MOD(ROW(D100) - K$15, K$14) + K$15, COLUMN(D100))),""))</f>
        <v/>
      </c>
      <c r="L100" t="str" cm="1">
        <f t="array" aca="1" ref="L100" ca="1">IF(ROW(E100)-L$15 &lt; L$14,E100,IF(ROW(E100) - L$15 -L$16 + 1 &lt; L$14,INDIRECT(ADDRESS(MOD(ROW(E100) - L$15, L$14) + L$15, COLUMN(E100))),""))</f>
        <v>P6</v>
      </c>
      <c r="O100" t="str" cm="1">
        <f t="array" aca="1" ref="O100" ca="1">IF(B100&lt;&gt;"", SUMPRODUCT((OFFSET(B100,0,0,I$16,1)=$T$24) +0),"")</f>
        <v/>
      </c>
      <c r="P100" t="str" cm="1">
        <f t="array" aca="1" ref="P100" ca="1">IF(J100&lt;&gt;"", SUMPRODUCT((OFFSET(J100,0,0,J$16,1)=$T$24) +0),"")</f>
        <v/>
      </c>
      <c r="Q100" t="str" cm="1">
        <f t="array" aca="1" ref="Q100" ca="1">IF(D100&lt;&gt;"", SUMPRODUCT((OFFSET(D100,0,0,K$16,1)=$T$24) +0),"")</f>
        <v/>
      </c>
      <c r="R100" t="str" cm="1">
        <f t="array" aca="1" ref="R100" ca="1">IF(E100&lt;&gt;"", SUMPRODUCT((OFFSET(E100,0,0,L$16,1)=$T$24) +0),"")</f>
        <v/>
      </c>
      <c r="AB100">
        <f t="shared" si="20"/>
        <v>0</v>
      </c>
      <c r="AC100">
        <f t="shared" si="20"/>
        <v>0</v>
      </c>
      <c r="AD100">
        <f t="shared" si="20"/>
        <v>3</v>
      </c>
      <c r="AE100">
        <f t="shared" si="20"/>
        <v>0</v>
      </c>
      <c r="AF100">
        <f t="shared" si="20"/>
        <v>0</v>
      </c>
      <c r="AG100">
        <f t="shared" si="21"/>
        <v>3</v>
      </c>
      <c r="AH100">
        <f t="shared" ca="1" si="22"/>
        <v>0</v>
      </c>
      <c r="AI100">
        <f>IF(ROW($AA100) - $AA$51 &lt; ($H$16+1)^5, IF(AG100 &gt;= BaseBonus!$C$16, AG100*BaseBonus!$E$31, 0), "")</f>
        <v>0</v>
      </c>
      <c r="AJ100">
        <f t="shared" ca="1" si="23"/>
        <v>0</v>
      </c>
      <c r="AK100" s="44"/>
    </row>
    <row r="101" spans="3:37" x14ac:dyDescent="0.3">
      <c r="H101" t="str" cm="1">
        <f t="array" aca="1" ref="H101" ca="1">IF(ROW(A101)-H$15 &lt; H$14,A101,IF(ROW(A101) - H$15 -H$16 + 1 &lt; H$14,INDIRECT(ADDRESS(MOD(ROW(A101) - H$15, H$14) + H$15, COLUMN(A101))),""))</f>
        <v/>
      </c>
      <c r="I101" t="str" cm="1">
        <f t="array" aca="1" ref="I101" ca="1">IF(ROW(B101)-I$15 &lt; I$14,B101,IF(ROW(B101) - I$15 -I$16 + 1 &lt; I$14,INDIRECT(ADDRESS(MOD(ROW(B101) - I$15, I$14) + I$15, COLUMN(B101))),""))</f>
        <v/>
      </c>
      <c r="J101" t="str" cm="1">
        <f t="array" aca="1" ref="J101" ca="1">IF(ROW(C101)-J$15 &lt; J$14,C101,IF(ROW(C101) - J$15 -J$16 + 1 &lt; J$14,INDIRECT(ADDRESS(MOD(ROW(C101) - J$15, J$14) + J$15, COLUMN(C101))),""))</f>
        <v/>
      </c>
      <c r="K101" t="str" cm="1">
        <f t="array" aca="1" ref="K101" ca="1">IF(ROW(D101)-K$15 &lt; K$14,D101,IF(ROW(D101) - K$15 -K$16 + 1 &lt; K$14,INDIRECT(ADDRESS(MOD(ROW(D101) - K$15, K$14) + K$15, COLUMN(D101))),""))</f>
        <v/>
      </c>
      <c r="L101" t="str" cm="1">
        <f t="array" aca="1" ref="L101" ca="1">IF(ROW(E101)-L$15 &lt; L$14,E101,IF(ROW(E101) - L$15 -L$16 + 1 &lt; L$14,INDIRECT(ADDRESS(MOD(ROW(E101) - L$15, L$14) + L$15, COLUMN(E101))),""))</f>
        <v>P6</v>
      </c>
      <c r="N101" t="str" cm="1">
        <f t="array" aca="1" ref="N101" ca="1">IF(A101&lt;&gt;"", SUMPRODUCT((OFFSET(A101,0,0,H$16,1)=$T$24) +0),"")</f>
        <v/>
      </c>
      <c r="O101" t="str" cm="1">
        <f t="array" aca="1" ref="O101" ca="1">IF(B101&lt;&gt;"", SUMPRODUCT((OFFSET(B101,0,0,I$16,1)=$T$24) +0),"")</f>
        <v/>
      </c>
      <c r="P101" t="str" cm="1">
        <f t="array" aca="1" ref="P101" ca="1">IF(J101&lt;&gt;"", SUMPRODUCT((OFFSET(J101,0,0,J$16,1)=$T$24) +0),"")</f>
        <v/>
      </c>
      <c r="Q101" t="str" cm="1">
        <f t="array" aca="1" ref="Q101" ca="1">IF(D101&lt;&gt;"", SUMPRODUCT((OFFSET(D101,0,0,K$16,1)=$T$24) +0),"")</f>
        <v/>
      </c>
      <c r="R101" t="str" cm="1">
        <f t="array" aca="1" ref="R101" ca="1">IF(E101&lt;&gt;"", SUMPRODUCT((OFFSET(E101,0,0,L$16,1)=$T$24) +0),"")</f>
        <v/>
      </c>
      <c r="AB101">
        <f t="shared" si="20"/>
        <v>1</v>
      </c>
      <c r="AC101">
        <f t="shared" si="20"/>
        <v>0</v>
      </c>
      <c r="AD101">
        <f t="shared" si="20"/>
        <v>3</v>
      </c>
      <c r="AE101">
        <f t="shared" si="20"/>
        <v>0</v>
      </c>
      <c r="AF101">
        <f t="shared" si="20"/>
        <v>0</v>
      </c>
      <c r="AG101">
        <f t="shared" si="21"/>
        <v>4</v>
      </c>
      <c r="AH101">
        <f t="shared" ca="1" si="22"/>
        <v>0</v>
      </c>
      <c r="AI101">
        <f>IF(ROW($AA101) - $AA$51 &lt; ($H$16+1)^5, IF(AG101 &gt;= BaseBonus!$C$16, AG101*BaseBonus!$E$31, 0), "")</f>
        <v>0</v>
      </c>
      <c r="AJ101">
        <f t="shared" ca="1" si="23"/>
        <v>0</v>
      </c>
      <c r="AK101" s="44"/>
    </row>
    <row r="102" spans="3:37" x14ac:dyDescent="0.3">
      <c r="H102" t="str" cm="1">
        <f t="array" aca="1" ref="H102" ca="1">IF(ROW(A102)-H$15 &lt; H$14,A102,IF(ROW(A102) - H$15 -H$16 + 1 &lt; H$14,INDIRECT(ADDRESS(MOD(ROW(A102) - H$15, H$14) + H$15, COLUMN(A102))),""))</f>
        <v/>
      </c>
      <c r="I102" t="str" cm="1">
        <f t="array" aca="1" ref="I102" ca="1">IF(ROW(B102)-I$15 &lt; I$14,B102,IF(ROW(B102) - I$15 -I$16 + 1 &lt; I$14,INDIRECT(ADDRESS(MOD(ROW(B102) - I$15, I$14) + I$15, COLUMN(B102))),""))</f>
        <v/>
      </c>
      <c r="J102" t="str" cm="1">
        <f t="array" aca="1" ref="J102" ca="1">IF(ROW(C102)-J$15 &lt; J$14,C102,IF(ROW(C102) - J$15 -J$16 + 1 &lt; J$14,INDIRECT(ADDRESS(MOD(ROW(C102) - J$15, J$14) + J$15, COLUMN(C102))),""))</f>
        <v/>
      </c>
      <c r="K102" t="str" cm="1">
        <f t="array" aca="1" ref="K102" ca="1">IF(ROW(D102)-K$15 &lt; K$14,D102,IF(ROW(D102) - K$15 -K$16 + 1 &lt; K$14,INDIRECT(ADDRESS(MOD(ROW(D102) - K$15, K$14) + K$15, COLUMN(D102))),""))</f>
        <v/>
      </c>
      <c r="L102" t="str" cm="1">
        <f t="array" aca="1" ref="L102" ca="1">IF(ROW(E102)-L$15 &lt; L$14,E102,IF(ROW(E102) - L$15 -L$16 + 1 &lt; L$14,INDIRECT(ADDRESS(MOD(ROW(E102) - L$15, L$14) + L$15, COLUMN(E102))),""))</f>
        <v/>
      </c>
      <c r="N102" t="str" cm="1">
        <f t="array" aca="1" ref="N102" ca="1">IF(A102&lt;&gt;"", SUMPRODUCT((OFFSET(A102,0,0,H$16,1)=$T$24) +0),"")</f>
        <v/>
      </c>
      <c r="O102" t="str" cm="1">
        <f t="array" aca="1" ref="O102" ca="1">IF(B102&lt;&gt;"", SUMPRODUCT((OFFSET(B102,0,0,I$16,1)=$T$24) +0),"")</f>
        <v/>
      </c>
      <c r="P102" t="str" cm="1">
        <f t="array" aca="1" ref="P102" ca="1">IF(J102&lt;&gt;"", SUMPRODUCT((OFFSET(J102,0,0,J$16,1)=$T$24) +0),"")</f>
        <v/>
      </c>
      <c r="Q102" t="str" cm="1">
        <f t="array" aca="1" ref="Q102" ca="1">IF(D102&lt;&gt;"", SUMPRODUCT((OFFSET(D102,0,0,K$16,1)=$T$24) +0),"")</f>
        <v/>
      </c>
      <c r="R102" t="str" cm="1">
        <f t="array" aca="1" ref="R102" ca="1">IF(E102&lt;&gt;"", SUMPRODUCT((OFFSET(E102,0,0,L$16,1)=$T$24) +0),"")</f>
        <v/>
      </c>
      <c r="AB102">
        <f t="shared" si="20"/>
        <v>2</v>
      </c>
      <c r="AC102">
        <f t="shared" si="20"/>
        <v>0</v>
      </c>
      <c r="AD102">
        <f t="shared" si="20"/>
        <v>3</v>
      </c>
      <c r="AE102">
        <f t="shared" si="20"/>
        <v>0</v>
      </c>
      <c r="AF102">
        <f t="shared" si="20"/>
        <v>0</v>
      </c>
      <c r="AG102">
        <f t="shared" si="21"/>
        <v>5</v>
      </c>
      <c r="AH102">
        <f t="shared" ca="1" si="22"/>
        <v>0</v>
      </c>
      <c r="AI102">
        <f>IF(ROW($AA102) - $AA$51 &lt; ($H$16+1)^5, IF(AG102 &gt;= BaseBonus!$C$16, AG102*BaseBonus!$E$31, 0), "")</f>
        <v>4.6952679064628979</v>
      </c>
      <c r="AJ102">
        <f t="shared" ca="1" si="23"/>
        <v>0</v>
      </c>
      <c r="AK102" s="44"/>
    </row>
    <row r="103" spans="3:37" x14ac:dyDescent="0.3">
      <c r="H103" t="str" cm="1">
        <f t="array" aca="1" ref="H103" ca="1">IF(ROW(A103)-H$15 &lt; H$14,A103,IF(ROW(A103) - H$15 -H$16 + 1 &lt; H$14,INDIRECT(ADDRESS(MOD(ROW(A103) - H$15, H$14) + H$15, COLUMN(A103))),""))</f>
        <v/>
      </c>
      <c r="I103" t="str" cm="1">
        <f t="array" aca="1" ref="I103" ca="1">IF(ROW(B103)-I$15 &lt; I$14,B103,IF(ROW(B103) - I$15 -I$16 + 1 &lt; I$14,INDIRECT(ADDRESS(MOD(ROW(B103) - I$15, I$14) + I$15, COLUMN(B103))),""))</f>
        <v/>
      </c>
      <c r="J103" t="str" cm="1">
        <f t="array" aca="1" ref="J103" ca="1">IF(ROW(C103)-J$15 &lt; J$14,C103,IF(ROW(C103) - J$15 -J$16 + 1 &lt; J$14,INDIRECT(ADDRESS(MOD(ROW(C103) - J$15, J$14) + J$15, COLUMN(C103))),""))</f>
        <v/>
      </c>
      <c r="K103" t="str" cm="1">
        <f t="array" aca="1" ref="K103" ca="1">IF(ROW(D103)-K$15 &lt; K$14,D103,IF(ROW(D103) - K$15 -K$16 + 1 &lt; K$14,INDIRECT(ADDRESS(MOD(ROW(D103) - K$15, K$14) + K$15, COLUMN(D103))),""))</f>
        <v/>
      </c>
      <c r="L103" t="str" cm="1">
        <f t="array" aca="1" ref="L103" ca="1">IF(ROW(E103)-L$15 &lt; L$14,E103,IF(ROW(E103) - L$15 -L$16 + 1 &lt; L$14,INDIRECT(ADDRESS(MOD(ROW(E103) - L$15, L$14) + L$15, COLUMN(E103))),""))</f>
        <v/>
      </c>
      <c r="N103" t="str" cm="1">
        <f t="array" aca="1" ref="N103" ca="1">IF(A103&lt;&gt;"", SUMPRODUCT((OFFSET(A103,0,0,H$16,1)=$T$24) +0),"")</f>
        <v/>
      </c>
      <c r="O103" t="str" cm="1">
        <f t="array" aca="1" ref="O103" ca="1">IF(B103&lt;&gt;"", SUMPRODUCT((OFFSET(B103,0,0,I$16,1)=$T$24) +0),"")</f>
        <v/>
      </c>
      <c r="P103" t="str" cm="1">
        <f t="array" aca="1" ref="P103" ca="1">IF(J103&lt;&gt;"", SUMPRODUCT((OFFSET(J103,0,0,J$16,1)=$T$24) +0),"")</f>
        <v/>
      </c>
      <c r="Q103" t="str" cm="1">
        <f t="array" aca="1" ref="Q103" ca="1">IF(D103&lt;&gt;"", SUMPRODUCT((OFFSET(D103,0,0,K$16,1)=$T$24) +0),"")</f>
        <v/>
      </c>
      <c r="R103" t="str" cm="1">
        <f t="array" aca="1" ref="R103" ca="1">IF(E103&lt;&gt;"", SUMPRODUCT((OFFSET(E103,0,0,L$16,1)=$T$24) +0),"")</f>
        <v/>
      </c>
      <c r="AB103">
        <f t="shared" ref="AB103:AF153" si="25">IF(ROW()-$AA$51 &lt; (H$16+1)^5, MOD(_xlfn.FLOOR.MATH((ROW()-$AA$51)/AB$50), H$16+1), "")</f>
        <v>3</v>
      </c>
      <c r="AC103">
        <f t="shared" si="25"/>
        <v>0</v>
      </c>
      <c r="AD103">
        <f t="shared" si="25"/>
        <v>3</v>
      </c>
      <c r="AE103">
        <f t="shared" si="25"/>
        <v>0</v>
      </c>
      <c r="AF103">
        <f t="shared" si="25"/>
        <v>0</v>
      </c>
      <c r="AG103">
        <f t="shared" si="21"/>
        <v>6</v>
      </c>
      <c r="AH103">
        <f t="shared" ca="1" si="22"/>
        <v>0</v>
      </c>
      <c r="AI103">
        <f>IF(ROW($AA103) - $AA$51 &lt; ($H$16+1)^5, IF(AG103 &gt;= BaseBonus!$C$16, AG103*BaseBonus!$E$31, 0), "")</f>
        <v>5.6343214877554777</v>
      </c>
      <c r="AJ103">
        <f t="shared" ca="1" si="23"/>
        <v>0</v>
      </c>
      <c r="AK103" s="44"/>
    </row>
    <row r="104" spans="3:37" x14ac:dyDescent="0.3">
      <c r="H104" t="str" cm="1">
        <f t="array" aca="1" ref="H104" ca="1">IF(ROW(A104)-H$15 &lt; H$14,A104,IF(ROW(A104) - H$15 -H$16 + 1 &lt; H$14,INDIRECT(ADDRESS(MOD(ROW(A104) - H$15, H$14) + H$15, COLUMN(A104))),""))</f>
        <v/>
      </c>
      <c r="I104" t="str" cm="1">
        <f t="array" aca="1" ref="I104" ca="1">IF(ROW(B104)-I$15 &lt; I$14,B104,IF(ROW(B104) - I$15 -I$16 + 1 &lt; I$14,INDIRECT(ADDRESS(MOD(ROW(B104) - I$15, I$14) + I$15, COLUMN(B104))),""))</f>
        <v/>
      </c>
      <c r="J104" t="str" cm="1">
        <f t="array" aca="1" ref="J104" ca="1">IF(ROW(C104)-J$15 &lt; J$14,C104,IF(ROW(C104) - J$15 -J$16 + 1 &lt; J$14,INDIRECT(ADDRESS(MOD(ROW(C104) - J$15, J$14) + J$15, COLUMN(C104))),""))</f>
        <v/>
      </c>
      <c r="K104" t="str" cm="1">
        <f t="array" aca="1" ref="K104" ca="1">IF(ROW(D104)-K$15 &lt; K$14,D104,IF(ROW(D104) - K$15 -K$16 + 1 &lt; K$14,INDIRECT(ADDRESS(MOD(ROW(D104) - K$15, K$14) + K$15, COLUMN(D104))),""))</f>
        <v/>
      </c>
      <c r="L104" t="str" cm="1">
        <f t="array" aca="1" ref="L104" ca="1">IF(ROW(E104)-L$15 &lt; L$14,E104,IF(ROW(E104) - L$15 -L$16 + 1 &lt; L$14,INDIRECT(ADDRESS(MOD(ROW(E104) - L$15, L$14) + L$15, COLUMN(E104))),""))</f>
        <v/>
      </c>
      <c r="N104" t="str" cm="1">
        <f t="array" aca="1" ref="N104" ca="1">IF(A104&lt;&gt;"", SUMPRODUCT((OFFSET(A104,0,0,H$16,1)=$T$24) +0),"")</f>
        <v/>
      </c>
      <c r="O104" t="str" cm="1">
        <f t="array" aca="1" ref="O104" ca="1">IF(B104&lt;&gt;"", SUMPRODUCT((OFFSET(B104,0,0,I$16,1)=$T$24) +0),"")</f>
        <v/>
      </c>
      <c r="P104" t="str" cm="1">
        <f t="array" aca="1" ref="P104" ca="1">IF(C104&lt;&gt;"", SUMPRODUCT((OFFSET(C104,0,0,J$16,1)=$T$24) +0),"")</f>
        <v/>
      </c>
      <c r="Q104" t="str" cm="1">
        <f t="array" aca="1" ref="Q104" ca="1">IF(D104&lt;&gt;"", SUMPRODUCT((OFFSET(D104,0,0,K$16,1)=$T$24) +0),"")</f>
        <v/>
      </c>
      <c r="R104" t="str" cm="1">
        <f t="array" aca="1" ref="R104" ca="1">IF(E104&lt;&gt;"", SUMPRODUCT((OFFSET(E104,0,0,L$16,1)=$T$24) +0),"")</f>
        <v/>
      </c>
      <c r="AB104">
        <f t="shared" si="25"/>
        <v>0</v>
      </c>
      <c r="AC104">
        <f t="shared" si="25"/>
        <v>1</v>
      </c>
      <c r="AD104">
        <f t="shared" si="25"/>
        <v>3</v>
      </c>
      <c r="AE104">
        <f t="shared" si="25"/>
        <v>0</v>
      </c>
      <c r="AF104">
        <f t="shared" si="25"/>
        <v>0</v>
      </c>
      <c r="AG104">
        <f t="shared" si="21"/>
        <v>4</v>
      </c>
      <c r="AH104">
        <f t="shared" ca="1" si="22"/>
        <v>0</v>
      </c>
      <c r="AI104">
        <f>IF(ROW($AA104) - $AA$51 &lt; ($H$16+1)^5, IF(AG104 &gt;= BaseBonus!$C$16, AG104*BaseBonus!$E$31, 0), "")</f>
        <v>0</v>
      </c>
      <c r="AJ104">
        <f t="shared" ca="1" si="23"/>
        <v>0</v>
      </c>
      <c r="AK104" s="44"/>
    </row>
    <row r="105" spans="3:37" x14ac:dyDescent="0.3">
      <c r="H105" t="str" cm="1">
        <f t="array" aca="1" ref="H105" ca="1">IF(ROW(A105)-H$15 &lt; H$14,A105,IF(ROW(A105) - H$15 -H$16 + 1 &lt; H$14,INDIRECT(ADDRESS(MOD(ROW(A105) - H$15, H$14) + H$15, COLUMN(A105))),""))</f>
        <v/>
      </c>
      <c r="I105" t="str" cm="1">
        <f t="array" aca="1" ref="I105" ca="1">IF(ROW(B105)-I$15 &lt; I$14,B105,IF(ROW(B105) - I$15 -I$16 + 1 &lt; I$14,INDIRECT(ADDRESS(MOD(ROW(B105) - I$15, I$14) + I$15, COLUMN(B105))),""))</f>
        <v/>
      </c>
      <c r="J105" t="str" cm="1">
        <f t="array" aca="1" ref="J105" ca="1">IF(ROW(C105)-J$15 &lt; J$14,C105,IF(ROW(C105) - J$15 -J$16 + 1 &lt; J$14,INDIRECT(ADDRESS(MOD(ROW(C105) - J$15, J$14) + J$15, COLUMN(C105))),""))</f>
        <v/>
      </c>
      <c r="K105" t="str" cm="1">
        <f t="array" aca="1" ref="K105" ca="1">IF(ROW(D105)-K$15 &lt; K$14,D105,IF(ROW(D105) - K$15 -K$16 + 1 &lt; K$14,INDIRECT(ADDRESS(MOD(ROW(D105) - K$15, K$14) + K$15, COLUMN(D105))),""))</f>
        <v/>
      </c>
      <c r="L105" t="str" cm="1">
        <f t="array" aca="1" ref="L105" ca="1">IF(ROW(E105)-L$15 &lt; L$14,E105,IF(ROW(E105) - L$15 -L$16 + 1 &lt; L$14,INDIRECT(ADDRESS(MOD(ROW(E105) - L$15, L$14) + L$15, COLUMN(E105))),""))</f>
        <v/>
      </c>
      <c r="N105" t="str" cm="1">
        <f t="array" aca="1" ref="N105" ca="1">IF(A105&lt;&gt;"", SUMPRODUCT((OFFSET(A105,0,0,H$16,1)=$T$24) +0),"")</f>
        <v/>
      </c>
      <c r="O105" t="str" cm="1">
        <f t="array" aca="1" ref="O105" ca="1">IF(B105&lt;&gt;"", SUMPRODUCT((OFFSET(B105,0,0,I$16,1)=$T$24) +0),"")</f>
        <v/>
      </c>
      <c r="P105" t="str" cm="1">
        <f t="array" aca="1" ref="P105" ca="1">IF(C105&lt;&gt;"", SUMPRODUCT((OFFSET(C105,0,0,J$16,1)=$T$24) +0),"")</f>
        <v/>
      </c>
      <c r="Q105" t="str" cm="1">
        <f t="array" aca="1" ref="Q105" ca="1">IF(D105&lt;&gt;"", SUMPRODUCT((OFFSET(D105,0,0,K$16,1)=$T$24) +0),"")</f>
        <v/>
      </c>
      <c r="R105" t="str" cm="1">
        <f t="array" aca="1" ref="R105" ca="1">IF(E105&lt;&gt;"", SUMPRODUCT((OFFSET(E105,0,0,L$16,1)=$T$24) +0),"")</f>
        <v/>
      </c>
      <c r="AB105">
        <f t="shared" si="25"/>
        <v>1</v>
      </c>
      <c r="AC105">
        <f t="shared" si="25"/>
        <v>1</v>
      </c>
      <c r="AD105">
        <f t="shared" si="25"/>
        <v>3</v>
      </c>
      <c r="AE105">
        <f t="shared" si="25"/>
        <v>0</v>
      </c>
      <c r="AF105">
        <f t="shared" si="25"/>
        <v>0</v>
      </c>
      <c r="AG105">
        <f t="shared" si="21"/>
        <v>5</v>
      </c>
      <c r="AH105">
        <f t="shared" ca="1" si="22"/>
        <v>0</v>
      </c>
      <c r="AI105">
        <f>IF(ROW($AA105) - $AA$51 &lt; ($H$16+1)^5, IF(AG105 &gt;= BaseBonus!$C$16, AG105*BaseBonus!$E$31, 0), "")</f>
        <v>4.6952679064628979</v>
      </c>
      <c r="AJ105">
        <f t="shared" ca="1" si="23"/>
        <v>0</v>
      </c>
      <c r="AK105" s="44"/>
    </row>
    <row r="106" spans="3:37" x14ac:dyDescent="0.3">
      <c r="H106" t="str" cm="1">
        <f t="array" aca="1" ref="H106" ca="1">IF(ROW(A106)-H$15 &lt; H$14,A106,IF(ROW(A106) - H$15 -H$16 + 1 &lt; H$14,INDIRECT(ADDRESS(MOD(ROW(A106) - H$15, H$14) + H$15, COLUMN(A106))),""))</f>
        <v/>
      </c>
      <c r="I106" t="str" cm="1">
        <f t="array" aca="1" ref="I106" ca="1">IF(ROW(B106)-I$15 &lt; I$14,B106,IF(ROW(B106) - I$15 -I$16 + 1 &lt; I$14,INDIRECT(ADDRESS(MOD(ROW(B106) - I$15, I$14) + I$15, COLUMN(B106))),""))</f>
        <v/>
      </c>
      <c r="J106" t="str" cm="1">
        <f t="array" aca="1" ref="J106" ca="1">IF(ROW(C106)-J$15 &lt; J$14,C106,IF(ROW(C106) - J$15 -J$16 + 1 &lt; J$14,INDIRECT(ADDRESS(MOD(ROW(C106) - J$15, J$14) + J$15, COLUMN(C106))),""))</f>
        <v/>
      </c>
      <c r="K106" t="str" cm="1">
        <f t="array" aca="1" ref="K106" ca="1">IF(ROW(D106)-K$15 &lt; K$14,D106,IF(ROW(D106) - K$15 -K$16 + 1 &lt; K$14,INDIRECT(ADDRESS(MOD(ROW(D106) - K$15, K$14) + K$15, COLUMN(D106))),""))</f>
        <v/>
      </c>
      <c r="L106" t="str" cm="1">
        <f t="array" aca="1" ref="L106" ca="1">IF(ROW(E106)-L$15 &lt; L$14,E106,IF(ROW(E106) - L$15 -L$16 + 1 &lt; L$14,INDIRECT(ADDRESS(MOD(ROW(E106) - L$15, L$14) + L$15, COLUMN(E106))),""))</f>
        <v/>
      </c>
      <c r="N106" t="str" cm="1">
        <f t="array" aca="1" ref="N106" ca="1">IF(A106&lt;&gt;"", SUMPRODUCT((OFFSET(A106,0,0,H$16,1)=$T$24) +0),"")</f>
        <v/>
      </c>
      <c r="O106" t="str" cm="1">
        <f t="array" aca="1" ref="O106" ca="1">IF(B106&lt;&gt;"", SUMPRODUCT((OFFSET(B106,0,0,I$16,1)=$T$24) +0),"")</f>
        <v/>
      </c>
      <c r="P106" t="str" cm="1">
        <f t="array" aca="1" ref="P106" ca="1">IF(C106&lt;&gt;"", SUMPRODUCT((OFFSET(C106,0,0,J$16,1)=$T$24) +0),"")</f>
        <v/>
      </c>
      <c r="Q106" t="str" cm="1">
        <f t="array" aca="1" ref="Q106" ca="1">IF(D106&lt;&gt;"", SUMPRODUCT((OFFSET(D106,0,0,K$16,1)=$T$24) +0),"")</f>
        <v/>
      </c>
      <c r="R106" t="str" cm="1">
        <f t="array" aca="1" ref="R106" ca="1">IF(E106&lt;&gt;"", SUMPRODUCT((OFFSET(E106,0,0,L$16,1)=$T$24) +0),"")</f>
        <v/>
      </c>
      <c r="AB106">
        <f t="shared" si="25"/>
        <v>2</v>
      </c>
      <c r="AC106">
        <f t="shared" si="25"/>
        <v>1</v>
      </c>
      <c r="AD106">
        <f t="shared" si="25"/>
        <v>3</v>
      </c>
      <c r="AE106">
        <f t="shared" si="25"/>
        <v>0</v>
      </c>
      <c r="AF106">
        <f t="shared" si="25"/>
        <v>0</v>
      </c>
      <c r="AG106">
        <f t="shared" si="21"/>
        <v>6</v>
      </c>
      <c r="AH106">
        <f t="shared" ca="1" si="22"/>
        <v>0</v>
      </c>
      <c r="AI106">
        <f>IF(ROW($AA106) - $AA$51 &lt; ($H$16+1)^5, IF(AG106 &gt;= BaseBonus!$C$16, AG106*BaseBonus!$E$31, 0), "")</f>
        <v>5.6343214877554777</v>
      </c>
      <c r="AJ106">
        <f t="shared" ca="1" si="23"/>
        <v>0</v>
      </c>
      <c r="AK106" s="44"/>
    </row>
    <row r="107" spans="3:37" x14ac:dyDescent="0.3">
      <c r="H107" t="str" cm="1">
        <f t="array" aca="1" ref="H107" ca="1">IF(ROW(A107)-H$15 &lt; H$14,A107,IF(ROW(A107) - H$15 -H$16 + 1 &lt; H$14,INDIRECT(ADDRESS(MOD(ROW(A107) - H$15, H$14) + H$15, COLUMN(A107))),""))</f>
        <v/>
      </c>
      <c r="I107" t="str" cm="1">
        <f t="array" aca="1" ref="I107" ca="1">IF(ROW(B107)-I$15 &lt; I$14,B107,IF(ROW(B107) - I$15 -I$16 + 1 &lt; I$14,INDIRECT(ADDRESS(MOD(ROW(B107) - I$15, I$14) + I$15, COLUMN(B107))),""))</f>
        <v/>
      </c>
      <c r="J107" t="str" cm="1">
        <f t="array" aca="1" ref="J107" ca="1">IF(ROW(C107)-J$15 &lt; J$14,C107,IF(ROW(C107) - J$15 -J$16 + 1 &lt; J$14,INDIRECT(ADDRESS(MOD(ROW(C107) - J$15, J$14) + J$15, COLUMN(C107))),""))</f>
        <v/>
      </c>
      <c r="K107" t="str" cm="1">
        <f t="array" aca="1" ref="K107" ca="1">IF(ROW(D107)-K$15 &lt; K$14,D107,IF(ROW(D107) - K$15 -K$16 + 1 &lt; K$14,INDIRECT(ADDRESS(MOD(ROW(D107) - K$15, K$14) + K$15, COLUMN(D107))),""))</f>
        <v/>
      </c>
      <c r="L107" t="str" cm="1">
        <f t="array" aca="1" ref="L107" ca="1">IF(ROW(E107)-L$15 &lt; L$14,E107,IF(ROW(E107) - L$15 -L$16 + 1 &lt; L$14,INDIRECT(ADDRESS(MOD(ROW(E107) - L$15, L$14) + L$15, COLUMN(E107))),""))</f>
        <v/>
      </c>
      <c r="N107" t="str" cm="1">
        <f t="array" aca="1" ref="N107" ca="1">IF(A107&lt;&gt;"", SUMPRODUCT((OFFSET(A107,0,0,H$16,1)=$T$24) +0),"")</f>
        <v/>
      </c>
      <c r="O107" t="str" cm="1">
        <f t="array" aca="1" ref="O107" ca="1">IF(B107&lt;&gt;"", SUMPRODUCT((OFFSET(B107,0,0,I$16,1)=$T$24) +0),"")</f>
        <v/>
      </c>
      <c r="P107" t="str" cm="1">
        <f t="array" aca="1" ref="P107" ca="1">IF(C107&lt;&gt;"", SUMPRODUCT((OFFSET(C107,0,0,J$16,1)=$T$24) +0),"")</f>
        <v/>
      </c>
      <c r="Q107" t="str" cm="1">
        <f t="array" aca="1" ref="Q107" ca="1">IF(D107&lt;&gt;"", SUMPRODUCT((OFFSET(D107,0,0,K$16,1)=$T$24) +0),"")</f>
        <v/>
      </c>
      <c r="R107" t="str" cm="1">
        <f t="array" aca="1" ref="R107" ca="1">IF(E107&lt;&gt;"", SUMPRODUCT((OFFSET(E107,0,0,L$16,1)=$T$24) +0),"")</f>
        <v/>
      </c>
      <c r="AB107">
        <f t="shared" si="25"/>
        <v>3</v>
      </c>
      <c r="AC107">
        <f t="shared" si="25"/>
        <v>1</v>
      </c>
      <c r="AD107">
        <f t="shared" si="25"/>
        <v>3</v>
      </c>
      <c r="AE107">
        <f t="shared" si="25"/>
        <v>0</v>
      </c>
      <c r="AF107">
        <f t="shared" si="25"/>
        <v>0</v>
      </c>
      <c r="AG107">
        <f t="shared" si="21"/>
        <v>7</v>
      </c>
      <c r="AH107">
        <f t="shared" ca="1" si="22"/>
        <v>0</v>
      </c>
      <c r="AI107">
        <f>IF(ROW($AA107) - $AA$51 &lt; ($H$16+1)^5, IF(AG107 &gt;= BaseBonus!$C$16, AG107*BaseBonus!$E$31, 0), "")</f>
        <v>6.5733750690480575</v>
      </c>
      <c r="AJ107">
        <f t="shared" ca="1" si="23"/>
        <v>0</v>
      </c>
      <c r="AK107" s="44"/>
    </row>
    <row r="108" spans="3:37" x14ac:dyDescent="0.3">
      <c r="H108" t="str" cm="1">
        <f t="array" aca="1" ref="H108" ca="1">IF(ROW(A108)-H$15 &lt; H$14,A108,IF(ROW(A108) - H$15 -H$16 + 1 &lt; H$14,INDIRECT(ADDRESS(MOD(ROW(A108) - H$15, H$14) + H$15, COLUMN(A108))),""))</f>
        <v/>
      </c>
      <c r="I108" t="str" cm="1">
        <f t="array" aca="1" ref="I108" ca="1">IF(ROW(B108)-I$15 &lt; I$14,B108,IF(ROW(B108) - I$15 -I$16 + 1 &lt; I$14,INDIRECT(ADDRESS(MOD(ROW(B108) - I$15, I$14) + I$15, COLUMN(B108))),""))</f>
        <v/>
      </c>
      <c r="J108" t="str" cm="1">
        <f t="array" aca="1" ref="J108" ca="1">IF(ROW(C108)-J$15 &lt; J$14,C108,IF(ROW(C108) - J$15 -J$16 + 1 &lt; J$14,INDIRECT(ADDRESS(MOD(ROW(C108) - J$15, J$14) + J$15, COLUMN(C108))),""))</f>
        <v/>
      </c>
      <c r="K108" t="str" cm="1">
        <f t="array" aca="1" ref="K108" ca="1">IF(ROW(D108)-K$15 &lt; K$14,D108,IF(ROW(D108) - K$15 -K$16 + 1 &lt; K$14,INDIRECT(ADDRESS(MOD(ROW(D108) - K$15, K$14) + K$15, COLUMN(D108))),""))</f>
        <v/>
      </c>
      <c r="L108" t="str" cm="1">
        <f t="array" aca="1" ref="L108" ca="1">IF(ROW(E108)-L$15 &lt; L$14,E108,IF(ROW(E108) - L$15 -L$16 + 1 &lt; L$14,INDIRECT(ADDRESS(MOD(ROW(E108) - L$15, L$14) + L$15, COLUMN(E108))),""))</f>
        <v/>
      </c>
      <c r="N108" t="str" cm="1">
        <f t="array" aca="1" ref="N108" ca="1">IF(A108&lt;&gt;"", SUMPRODUCT((OFFSET(A108,0,0,H$16,1)=$T$24) +0),"")</f>
        <v/>
      </c>
      <c r="O108" t="str" cm="1">
        <f t="array" aca="1" ref="O108" ca="1">IF(B108&lt;&gt;"", SUMPRODUCT((OFFSET(B108,0,0,I$16,1)=$T$24) +0),"")</f>
        <v/>
      </c>
      <c r="P108" t="str" cm="1">
        <f t="array" aca="1" ref="P108" ca="1">IF(C108&lt;&gt;"", SUMPRODUCT((OFFSET(C108,0,0,J$16,1)=$T$24) +0),"")</f>
        <v/>
      </c>
      <c r="Q108" t="str" cm="1">
        <f t="array" aca="1" ref="Q108" ca="1">IF(D108&lt;&gt;"", SUMPRODUCT((OFFSET(D108,0,0,K$16,1)=$T$24) +0),"")</f>
        <v/>
      </c>
      <c r="R108" t="str" cm="1">
        <f t="array" aca="1" ref="R108" ca="1">IF(E108&lt;&gt;"", SUMPRODUCT((OFFSET(E108,0,0,L$16,1)=$T$24) +0),"")</f>
        <v/>
      </c>
      <c r="AB108">
        <f t="shared" si="25"/>
        <v>0</v>
      </c>
      <c r="AC108">
        <f t="shared" si="25"/>
        <v>2</v>
      </c>
      <c r="AD108">
        <f t="shared" si="25"/>
        <v>3</v>
      </c>
      <c r="AE108">
        <f t="shared" si="25"/>
        <v>0</v>
      </c>
      <c r="AF108">
        <f t="shared" si="25"/>
        <v>0</v>
      </c>
      <c r="AG108">
        <f t="shared" si="21"/>
        <v>5</v>
      </c>
      <c r="AH108">
        <f t="shared" ca="1" si="22"/>
        <v>0</v>
      </c>
      <c r="AI108">
        <f>IF(ROW($AA108) - $AA$51 &lt; ($H$16+1)^5, IF(AG108 &gt;= BaseBonus!$C$16, AG108*BaseBonus!$E$31, 0), "")</f>
        <v>4.6952679064628979</v>
      </c>
      <c r="AJ108">
        <f t="shared" ca="1" si="23"/>
        <v>0</v>
      </c>
      <c r="AK108" s="44"/>
    </row>
    <row r="109" spans="3:37" x14ac:dyDescent="0.3">
      <c r="H109" t="str" cm="1">
        <f t="array" aca="1" ref="H109" ca="1">IF(ROW(A109)-H$15 &lt; H$14,A109,IF(ROW(A109) - H$15 -H$16 + 1 &lt; H$14,INDIRECT(ADDRESS(MOD(ROW(A109) - H$15, H$14) + H$15, COLUMN(A109))),""))</f>
        <v/>
      </c>
      <c r="I109" t="str" cm="1">
        <f t="array" aca="1" ref="I109" ca="1">IF(ROW(B109)-I$15 &lt; I$14,B109,IF(ROW(B109) - I$15 -I$16 + 1 &lt; I$14,INDIRECT(ADDRESS(MOD(ROW(B109) - I$15, I$14) + I$15, COLUMN(B109))),""))</f>
        <v/>
      </c>
      <c r="J109" t="str" cm="1">
        <f t="array" aca="1" ref="J109" ca="1">IF(ROW(C109)-J$15 &lt; J$14,C109,IF(ROW(C109) - J$15 -J$16 + 1 &lt; J$14,INDIRECT(ADDRESS(MOD(ROW(C109) - J$15, J$14) + J$15, COLUMN(C109))),""))</f>
        <v/>
      </c>
      <c r="K109" t="str" cm="1">
        <f t="array" aca="1" ref="K109" ca="1">IF(ROW(D109)-K$15 &lt; K$14,D109,IF(ROW(D109) - K$15 -K$16 + 1 &lt; K$14,INDIRECT(ADDRESS(MOD(ROW(D109) - K$15, K$14) + K$15, COLUMN(D109))),""))</f>
        <v/>
      </c>
      <c r="L109" t="str" cm="1">
        <f t="array" aca="1" ref="L109" ca="1">IF(ROW(E109)-L$15 &lt; L$14,E109,IF(ROW(E109) - L$15 -L$16 + 1 &lt; L$14,INDIRECT(ADDRESS(MOD(ROW(E109) - L$15, L$14) + L$15, COLUMN(E109))),""))</f>
        <v/>
      </c>
      <c r="N109" t="str" cm="1">
        <f t="array" aca="1" ref="N109" ca="1">IF(A109&lt;&gt;"", SUMPRODUCT((OFFSET(A109,0,0,H$16,1)=$T$24) +0),"")</f>
        <v/>
      </c>
      <c r="O109" t="str" cm="1">
        <f t="array" aca="1" ref="O109" ca="1">IF(B109&lt;&gt;"", SUMPRODUCT((OFFSET(B109,0,0,I$16,1)=$T$24) +0),"")</f>
        <v/>
      </c>
      <c r="P109" t="str" cm="1">
        <f t="array" aca="1" ref="P109" ca="1">IF(C109&lt;&gt;"", SUMPRODUCT((OFFSET(C109,0,0,J$16,1)=$T$24) +0),"")</f>
        <v/>
      </c>
      <c r="Q109" t="str" cm="1">
        <f t="array" aca="1" ref="Q109" ca="1">IF(D109&lt;&gt;"", SUMPRODUCT((OFFSET(D109,0,0,K$16,1)=$T$24) +0),"")</f>
        <v/>
      </c>
      <c r="R109" t="str" cm="1">
        <f t="array" aca="1" ref="R109" ca="1">IF(E109&lt;&gt;"", SUMPRODUCT((OFFSET(E109,0,0,L$16,1)=$T$24) +0),"")</f>
        <v/>
      </c>
      <c r="AB109">
        <f t="shared" si="25"/>
        <v>1</v>
      </c>
      <c r="AC109">
        <f t="shared" si="25"/>
        <v>2</v>
      </c>
      <c r="AD109">
        <f t="shared" si="25"/>
        <v>3</v>
      </c>
      <c r="AE109">
        <f t="shared" si="25"/>
        <v>0</v>
      </c>
      <c r="AF109">
        <f t="shared" si="25"/>
        <v>0</v>
      </c>
      <c r="AG109">
        <f t="shared" si="21"/>
        <v>6</v>
      </c>
      <c r="AH109">
        <f t="shared" ca="1" si="22"/>
        <v>0</v>
      </c>
      <c r="AI109">
        <f>IF(ROW($AA109) - $AA$51 &lt; ($H$16+1)^5, IF(AG109 &gt;= BaseBonus!$C$16, AG109*BaseBonus!$E$31, 0), "")</f>
        <v>5.6343214877554777</v>
      </c>
      <c r="AJ109">
        <f t="shared" ca="1" si="23"/>
        <v>0</v>
      </c>
      <c r="AK109" s="44"/>
    </row>
    <row r="110" spans="3:37" x14ac:dyDescent="0.3">
      <c r="H110" t="str" cm="1">
        <f t="array" aca="1" ref="H110" ca="1">IF(ROW(A110)-H$15 &lt; H$14,A110,IF(ROW(A110) - H$15 -H$16 + 1 &lt; H$14,INDIRECT(ADDRESS(MOD(ROW(A110) - H$15, H$14) + H$15, COLUMN(A110))),""))</f>
        <v/>
      </c>
      <c r="I110" t="str" cm="1">
        <f t="array" aca="1" ref="I110" ca="1">IF(ROW(B110)-I$15 &lt; I$14,B110,IF(ROW(B110) - I$15 -I$16 + 1 &lt; I$14,INDIRECT(ADDRESS(MOD(ROW(B110) - I$15, I$14) + I$15, COLUMN(B110))),""))</f>
        <v/>
      </c>
      <c r="J110" t="str" cm="1">
        <f t="array" aca="1" ref="J110" ca="1">IF(ROW(C110)-J$15 &lt; J$14,C110,IF(ROW(C110) - J$15 -J$16 + 1 &lt; J$14,INDIRECT(ADDRESS(MOD(ROW(C110) - J$15, J$14) + J$15, COLUMN(C110))),""))</f>
        <v/>
      </c>
      <c r="K110" t="str" cm="1">
        <f t="array" aca="1" ref="K110" ca="1">IF(ROW(D110)-K$15 &lt; K$14,D110,IF(ROW(D110) - K$15 -K$16 + 1 &lt; K$14,INDIRECT(ADDRESS(MOD(ROW(D110) - K$15, K$14) + K$15, COLUMN(D110))),""))</f>
        <v/>
      </c>
      <c r="L110" t="str" cm="1">
        <f t="array" aca="1" ref="L110" ca="1">IF(ROW(E110)-L$15 &lt; L$14,E110,IF(ROW(E110) - L$15 -L$16 + 1 &lt; L$14,INDIRECT(ADDRESS(MOD(ROW(E110) - L$15, L$14) + L$15, COLUMN(E110))),""))</f>
        <v/>
      </c>
      <c r="N110" t="str" cm="1">
        <f t="array" aca="1" ref="N110" ca="1">IF(A110&lt;&gt;"", SUMPRODUCT((OFFSET(A110,0,0,H$16,1)=$T$24) +0),"")</f>
        <v/>
      </c>
      <c r="O110" t="str" cm="1">
        <f t="array" aca="1" ref="O110" ca="1">IF(B110&lt;&gt;"", SUMPRODUCT((OFFSET(B110,0,0,I$16,1)=$T$24) +0),"")</f>
        <v/>
      </c>
      <c r="P110" t="str" cm="1">
        <f t="array" aca="1" ref="P110" ca="1">IF(C110&lt;&gt;"", SUMPRODUCT((OFFSET(C110,0,0,J$16,1)=$T$24) +0),"")</f>
        <v/>
      </c>
      <c r="Q110" t="str" cm="1">
        <f t="array" aca="1" ref="Q110" ca="1">IF(D110&lt;&gt;"", SUMPRODUCT((OFFSET(D110,0,0,K$16,1)=$T$24) +0),"")</f>
        <v/>
      </c>
      <c r="R110" t="str" cm="1">
        <f t="array" aca="1" ref="R110" ca="1">IF(E110&lt;&gt;"", SUMPRODUCT((OFFSET(E110,0,0,L$16,1)=$T$24) +0),"")</f>
        <v/>
      </c>
      <c r="AB110">
        <f t="shared" si="25"/>
        <v>2</v>
      </c>
      <c r="AC110">
        <f t="shared" si="25"/>
        <v>2</v>
      </c>
      <c r="AD110">
        <f t="shared" si="25"/>
        <v>3</v>
      </c>
      <c r="AE110">
        <f t="shared" si="25"/>
        <v>0</v>
      </c>
      <c r="AF110">
        <f t="shared" si="25"/>
        <v>0</v>
      </c>
      <c r="AG110">
        <f t="shared" si="21"/>
        <v>7</v>
      </c>
      <c r="AH110">
        <f t="shared" ca="1" si="22"/>
        <v>0</v>
      </c>
      <c r="AI110">
        <f>IF(ROW($AA110) - $AA$51 &lt; ($H$16+1)^5, IF(AG110 &gt;= BaseBonus!$C$16, AG110*BaseBonus!$E$31, 0), "")</f>
        <v>6.5733750690480575</v>
      </c>
      <c r="AJ110">
        <f t="shared" ca="1" si="23"/>
        <v>0</v>
      </c>
      <c r="AK110" s="44"/>
    </row>
    <row r="111" spans="3:37" x14ac:dyDescent="0.3">
      <c r="H111" t="str" cm="1">
        <f t="array" aca="1" ref="H111" ca="1">IF(ROW(A111)-H$15 &lt; H$14,A111,IF(ROW(A111) - H$15 -H$16 + 1 &lt; H$14,INDIRECT(ADDRESS(MOD(ROW(A111) - H$15, H$14) + H$15, COLUMN(A111))),""))</f>
        <v/>
      </c>
      <c r="I111" t="str" cm="1">
        <f t="array" aca="1" ref="I111" ca="1">IF(ROW(B111)-I$15 &lt; I$14,B111,IF(ROW(B111) - I$15 -I$16 + 1 &lt; I$14,INDIRECT(ADDRESS(MOD(ROW(B111) - I$15, I$14) + I$15, COLUMN(B111))),""))</f>
        <v/>
      </c>
      <c r="J111" t="str" cm="1">
        <f t="array" aca="1" ref="J111" ca="1">IF(ROW(C111)-J$15 &lt; J$14,C111,IF(ROW(C111) - J$15 -J$16 + 1 &lt; J$14,INDIRECT(ADDRESS(MOD(ROW(C111) - J$15, J$14) + J$15, COLUMN(C111))),""))</f>
        <v/>
      </c>
      <c r="K111" t="str" cm="1">
        <f t="array" aca="1" ref="K111" ca="1">IF(ROW(D111)-K$15 &lt; K$14,D111,IF(ROW(D111) - K$15 -K$16 + 1 &lt; K$14,INDIRECT(ADDRESS(MOD(ROW(D111) - K$15, K$14) + K$15, COLUMN(D111))),""))</f>
        <v/>
      </c>
      <c r="L111" t="str" cm="1">
        <f t="array" aca="1" ref="L111" ca="1">IF(ROW(E111)-L$15 &lt; L$14,E111,IF(ROW(E111) - L$15 -L$16 + 1 &lt; L$14,INDIRECT(ADDRESS(MOD(ROW(E111) - L$15, L$14) + L$15, COLUMN(E111))),""))</f>
        <v/>
      </c>
      <c r="N111" t="str" cm="1">
        <f t="array" aca="1" ref="N111" ca="1">IF(A111&lt;&gt;"", SUMPRODUCT((OFFSET(A111,0,0,H$16,1)=$T$24) +0),"")</f>
        <v/>
      </c>
      <c r="O111" t="str" cm="1">
        <f t="array" aca="1" ref="O111" ca="1">IF(B111&lt;&gt;"", SUMPRODUCT((OFFSET(B111,0,0,I$16,1)=$T$24) +0),"")</f>
        <v/>
      </c>
      <c r="P111" t="str" cm="1">
        <f t="array" aca="1" ref="P111" ca="1">IF(C111&lt;&gt;"", SUMPRODUCT((OFFSET(C111,0,0,J$16,1)=$T$24) +0),"")</f>
        <v/>
      </c>
      <c r="Q111" t="str" cm="1">
        <f t="array" aca="1" ref="Q111" ca="1">IF(D111&lt;&gt;"", SUMPRODUCT((OFFSET(D111,0,0,K$16,1)=$T$24) +0),"")</f>
        <v/>
      </c>
      <c r="R111" t="str" cm="1">
        <f t="array" aca="1" ref="R111" ca="1">IF(E111&lt;&gt;"", SUMPRODUCT((OFFSET(E111,0,0,L$16,1)=$T$24) +0),"")</f>
        <v/>
      </c>
      <c r="AB111">
        <f t="shared" si="25"/>
        <v>3</v>
      </c>
      <c r="AC111">
        <f t="shared" si="25"/>
        <v>2</v>
      </c>
      <c r="AD111">
        <f t="shared" si="25"/>
        <v>3</v>
      </c>
      <c r="AE111">
        <f t="shared" si="25"/>
        <v>0</v>
      </c>
      <c r="AF111">
        <f t="shared" si="25"/>
        <v>0</v>
      </c>
      <c r="AG111">
        <f t="shared" si="21"/>
        <v>8</v>
      </c>
      <c r="AH111">
        <f t="shared" ca="1" si="22"/>
        <v>0</v>
      </c>
      <c r="AI111">
        <f>IF(ROW($AA111) - $AA$51 &lt; ($H$16+1)^5, IF(AG111 &gt;= BaseBonus!$C$16, AG111*BaseBonus!$E$31, 0), "")</f>
        <v>7.5124286503406372</v>
      </c>
      <c r="AJ111">
        <f t="shared" ca="1" si="23"/>
        <v>0</v>
      </c>
      <c r="AK111" s="44"/>
    </row>
    <row r="112" spans="3:37" x14ac:dyDescent="0.3">
      <c r="H112" t="str" cm="1">
        <f t="array" aca="1" ref="H112" ca="1">IF(ROW(A112)-H$15 &lt; H$14,A112,IF(ROW(A112) - H$15 -H$16 + 1 &lt; H$14,INDIRECT(ADDRESS(MOD(ROW(A112) - H$15, H$14) + H$15, COLUMN(A112))),""))</f>
        <v/>
      </c>
      <c r="I112" t="str" cm="1">
        <f t="array" aca="1" ref="I112" ca="1">IF(ROW(B112)-I$15 &lt; I$14,B112,IF(ROW(B112) - I$15 -I$16 + 1 &lt; I$14,INDIRECT(ADDRESS(MOD(ROW(B112) - I$15, I$14) + I$15, COLUMN(B112))),""))</f>
        <v/>
      </c>
      <c r="J112" t="str" cm="1">
        <f t="array" aca="1" ref="J112" ca="1">IF(ROW(C112)-J$15 &lt; J$14,C112,IF(ROW(C112) - J$15 -J$16 + 1 &lt; J$14,INDIRECT(ADDRESS(MOD(ROW(C112) - J$15, J$14) + J$15, COLUMN(C112))),""))</f>
        <v/>
      </c>
      <c r="K112" t="str" cm="1">
        <f t="array" aca="1" ref="K112" ca="1">IF(ROW(D112)-K$15 &lt; K$14,D112,IF(ROW(D112) - K$15 -K$16 + 1 &lt; K$14,INDIRECT(ADDRESS(MOD(ROW(D112) - K$15, K$14) + K$15, COLUMN(D112))),""))</f>
        <v/>
      </c>
      <c r="L112" t="str" cm="1">
        <f t="array" aca="1" ref="L112" ca="1">IF(ROW(E112)-L$15 &lt; L$14,E112,IF(ROW(E112) - L$15 -L$16 + 1 &lt; L$14,INDIRECT(ADDRESS(MOD(ROW(E112) - L$15, L$14) + L$15, COLUMN(E112))),""))</f>
        <v/>
      </c>
      <c r="N112" t="str" cm="1">
        <f t="array" aca="1" ref="N112" ca="1">IF(A112&lt;&gt;"", SUMPRODUCT((OFFSET(A112,0,0,H$16,1)=$T$24) +0),"")</f>
        <v/>
      </c>
      <c r="O112" t="str" cm="1">
        <f t="array" aca="1" ref="O112" ca="1">IF(B112&lt;&gt;"", SUMPRODUCT((OFFSET(B112,0,0,I$16,1)=$T$24) +0),"")</f>
        <v/>
      </c>
      <c r="P112" t="str" cm="1">
        <f t="array" aca="1" ref="P112" ca="1">IF(C112&lt;&gt;"", SUMPRODUCT((OFFSET(C112,0,0,J$16,1)=$T$24) +0),"")</f>
        <v/>
      </c>
      <c r="Q112" t="str" cm="1">
        <f t="array" aca="1" ref="Q112" ca="1">IF(D112&lt;&gt;"", SUMPRODUCT((OFFSET(D112,0,0,K$16,1)=$T$24) +0),"")</f>
        <v/>
      </c>
      <c r="R112" t="str" cm="1">
        <f t="array" aca="1" ref="R112" ca="1">IF(E112&lt;&gt;"", SUMPRODUCT((OFFSET(E112,0,0,L$16,1)=$T$24) +0),"")</f>
        <v/>
      </c>
      <c r="AB112">
        <f t="shared" si="25"/>
        <v>0</v>
      </c>
      <c r="AC112">
        <f t="shared" si="25"/>
        <v>3</v>
      </c>
      <c r="AD112">
        <f t="shared" si="25"/>
        <v>3</v>
      </c>
      <c r="AE112">
        <f t="shared" si="25"/>
        <v>0</v>
      </c>
      <c r="AF112">
        <f t="shared" si="25"/>
        <v>0</v>
      </c>
      <c r="AG112">
        <f t="shared" si="21"/>
        <v>6</v>
      </c>
      <c r="AH112">
        <f t="shared" ca="1" si="22"/>
        <v>0</v>
      </c>
      <c r="AI112">
        <f>IF(ROW($AA112) - $AA$51 &lt; ($H$16+1)^5, IF(AG112 &gt;= BaseBonus!$C$16, AG112*BaseBonus!$E$31, 0), "")</f>
        <v>5.6343214877554777</v>
      </c>
      <c r="AJ112">
        <f t="shared" ca="1" si="23"/>
        <v>0</v>
      </c>
      <c r="AK112" s="44"/>
    </row>
    <row r="113" spans="8:37" x14ac:dyDescent="0.3">
      <c r="H113" t="str" cm="1">
        <f t="array" aca="1" ref="H113" ca="1">IF(ROW(A113)-H$15 &lt; H$14,A113,IF(ROW(A113) - H$15 -H$16 + 1 &lt; H$14,INDIRECT(ADDRESS(MOD(ROW(A113) - H$15, H$14) + H$15, COLUMN(A113))),""))</f>
        <v/>
      </c>
      <c r="I113" t="str" cm="1">
        <f t="array" aca="1" ref="I113" ca="1">IF(ROW(B113)-I$15 &lt; I$14,B113,IF(ROW(B113) - I$15 -I$16 + 1 &lt; I$14,INDIRECT(ADDRESS(MOD(ROW(B113) - I$15, I$14) + I$15, COLUMN(B113))),""))</f>
        <v/>
      </c>
      <c r="J113" t="str" cm="1">
        <f t="array" aca="1" ref="J113" ca="1">IF(ROW(C113)-J$15 &lt; J$14,C113,IF(ROW(C113) - J$15 -J$16 + 1 &lt; J$14,INDIRECT(ADDRESS(MOD(ROW(C113) - J$15, J$14) + J$15, COLUMN(C113))),""))</f>
        <v/>
      </c>
      <c r="K113" t="str" cm="1">
        <f t="array" aca="1" ref="K113" ca="1">IF(ROW(D113)-K$15 &lt; K$14,D113,IF(ROW(D113) - K$15 -K$16 + 1 &lt; K$14,INDIRECT(ADDRESS(MOD(ROW(D113) - K$15, K$14) + K$15, COLUMN(D113))),""))</f>
        <v/>
      </c>
      <c r="L113" t="str" cm="1">
        <f t="array" aca="1" ref="L113" ca="1">IF(ROW(E113)-L$15 &lt; L$14,E113,IF(ROW(E113) - L$15 -L$16 + 1 &lt; L$14,INDIRECT(ADDRESS(MOD(ROW(E113) - L$15, L$14) + L$15, COLUMN(E113))),""))</f>
        <v/>
      </c>
      <c r="N113" t="str" cm="1">
        <f t="array" aca="1" ref="N113" ca="1">IF(A113&lt;&gt;"", SUMPRODUCT((OFFSET(A113,0,0,H$16,1)=$T$24) +0),"")</f>
        <v/>
      </c>
      <c r="O113" t="str" cm="1">
        <f t="array" aca="1" ref="O113" ca="1">IF(B113&lt;&gt;"", SUMPRODUCT((OFFSET(B113,0,0,I$16,1)=$T$24) +0),"")</f>
        <v/>
      </c>
      <c r="P113" t="str" cm="1">
        <f t="array" aca="1" ref="P113" ca="1">IF(C113&lt;&gt;"", SUMPRODUCT((OFFSET(C113,0,0,J$16,1)=$T$24) +0),"")</f>
        <v/>
      </c>
      <c r="Q113" t="str" cm="1">
        <f t="array" aca="1" ref="Q113" ca="1">IF(D113&lt;&gt;"", SUMPRODUCT((OFFSET(D113,0,0,K$16,1)=$T$24) +0),"")</f>
        <v/>
      </c>
      <c r="R113" t="str" cm="1">
        <f t="array" aca="1" ref="R113" ca="1">IF(E113&lt;&gt;"", SUMPRODUCT((OFFSET(E113,0,0,L$16,1)=$T$24) +0),"")</f>
        <v/>
      </c>
      <c r="AB113">
        <f t="shared" si="25"/>
        <v>1</v>
      </c>
      <c r="AC113">
        <f t="shared" si="25"/>
        <v>3</v>
      </c>
      <c r="AD113">
        <f t="shared" si="25"/>
        <v>3</v>
      </c>
      <c r="AE113">
        <f t="shared" si="25"/>
        <v>0</v>
      </c>
      <c r="AF113">
        <f t="shared" si="25"/>
        <v>0</v>
      </c>
      <c r="AG113">
        <f t="shared" si="21"/>
        <v>7</v>
      </c>
      <c r="AH113">
        <f t="shared" ca="1" si="22"/>
        <v>0</v>
      </c>
      <c r="AI113">
        <f>IF(ROW($AA113) - $AA$51 &lt; ($H$16+1)^5, IF(AG113 &gt;= BaseBonus!$C$16, AG113*BaseBonus!$E$31, 0), "")</f>
        <v>6.5733750690480575</v>
      </c>
      <c r="AJ113">
        <f t="shared" ca="1" si="23"/>
        <v>0</v>
      </c>
      <c r="AK113" s="44"/>
    </row>
    <row r="114" spans="8:37" x14ac:dyDescent="0.3">
      <c r="H114" t="str" cm="1">
        <f t="array" aca="1" ref="H114" ca="1">IF(ROW(A114)-H$15 &lt; H$14,A114,IF(ROW(A114) - H$15 -H$16 + 1 &lt; H$14,INDIRECT(ADDRESS(MOD(ROW(A114) - H$15, H$14) + H$15, COLUMN(A114))),""))</f>
        <v/>
      </c>
      <c r="I114" t="str" cm="1">
        <f t="array" aca="1" ref="I114" ca="1">IF(ROW(B114)-I$15 &lt; I$14,B114,IF(ROW(B114) - I$15 -I$16 + 1 &lt; I$14,INDIRECT(ADDRESS(MOD(ROW(B114) - I$15, I$14) + I$15, COLUMN(B114))),""))</f>
        <v/>
      </c>
      <c r="J114" t="str" cm="1">
        <f t="array" aca="1" ref="J114" ca="1">IF(ROW(C114)-J$15 &lt; J$14,C114,IF(ROW(C114) - J$15 -J$16 + 1 &lt; J$14,INDIRECT(ADDRESS(MOD(ROW(C114) - J$15, J$14) + J$15, COLUMN(C114))),""))</f>
        <v/>
      </c>
      <c r="K114" t="str" cm="1">
        <f t="array" aca="1" ref="K114" ca="1">IF(ROW(D114)-K$15 &lt; K$14,D114,IF(ROW(D114) - K$15 -K$16 + 1 &lt; K$14,INDIRECT(ADDRESS(MOD(ROW(D114) - K$15, K$14) + K$15, COLUMN(D114))),""))</f>
        <v/>
      </c>
      <c r="L114" t="str" cm="1">
        <f t="array" aca="1" ref="L114" ca="1">IF(ROW(E114)-L$15 &lt; L$14,E114,IF(ROW(E114) - L$15 -L$16 + 1 &lt; L$14,INDIRECT(ADDRESS(MOD(ROW(E114) - L$15, L$14) + L$15, COLUMN(E114))),""))</f>
        <v/>
      </c>
      <c r="N114" t="str" cm="1">
        <f t="array" aca="1" ref="N114" ca="1">IF(A114&lt;&gt;"", SUMPRODUCT((OFFSET(A114,0,0,H$16,1)=$T$24) +0),"")</f>
        <v/>
      </c>
      <c r="O114" t="str" cm="1">
        <f t="array" aca="1" ref="O114" ca="1">IF(B114&lt;&gt;"", SUMPRODUCT((OFFSET(B114,0,0,I$16,1)=$T$24) +0),"")</f>
        <v/>
      </c>
      <c r="P114" t="str" cm="1">
        <f t="array" aca="1" ref="P114" ca="1">IF(C114&lt;&gt;"", SUMPRODUCT((OFFSET(C114,0,0,J$16,1)=$T$24) +0),"")</f>
        <v/>
      </c>
      <c r="Q114" t="str" cm="1">
        <f t="array" aca="1" ref="Q114" ca="1">IF(D114&lt;&gt;"", SUMPRODUCT((OFFSET(D114,0,0,K$16,1)=$T$24) +0),"")</f>
        <v/>
      </c>
      <c r="R114" t="str" cm="1">
        <f t="array" aca="1" ref="R114" ca="1">IF(E114&lt;&gt;"", SUMPRODUCT((OFFSET(E114,0,0,L$16,1)=$T$24) +0),"")</f>
        <v/>
      </c>
      <c r="AB114">
        <f t="shared" si="25"/>
        <v>2</v>
      </c>
      <c r="AC114">
        <f t="shared" si="25"/>
        <v>3</v>
      </c>
      <c r="AD114">
        <f t="shared" si="25"/>
        <v>3</v>
      </c>
      <c r="AE114">
        <f t="shared" si="25"/>
        <v>0</v>
      </c>
      <c r="AF114">
        <f t="shared" si="25"/>
        <v>0</v>
      </c>
      <c r="AG114">
        <f t="shared" si="21"/>
        <v>8</v>
      </c>
      <c r="AH114">
        <f t="shared" ca="1" si="22"/>
        <v>0</v>
      </c>
      <c r="AI114">
        <f>IF(ROW($AA114) - $AA$51 &lt; ($H$16+1)^5, IF(AG114 &gt;= BaseBonus!$C$16, AG114*BaseBonus!$E$31, 0), "")</f>
        <v>7.5124286503406372</v>
      </c>
      <c r="AJ114">
        <f t="shared" ca="1" si="23"/>
        <v>0</v>
      </c>
      <c r="AK114" s="44"/>
    </row>
    <row r="115" spans="8:37" x14ac:dyDescent="0.3">
      <c r="H115" t="str" cm="1">
        <f t="array" aca="1" ref="H115" ca="1">IF(ROW(A115)-H$15 &lt; H$14,A115,IF(ROW(A115) - H$15 -H$16 + 1 &lt; H$14,INDIRECT(ADDRESS(MOD(ROW(A115) - H$15, H$14) + H$15, COLUMN(A115))),""))</f>
        <v/>
      </c>
      <c r="I115" t="str" cm="1">
        <f t="array" aca="1" ref="I115" ca="1">IF(ROW(B115)-I$15 &lt; I$14,B115,IF(ROW(B115) - I$15 -I$16 + 1 &lt; I$14,INDIRECT(ADDRESS(MOD(ROW(B115) - I$15, I$14) + I$15, COLUMN(B115))),""))</f>
        <v/>
      </c>
      <c r="J115" t="str" cm="1">
        <f t="array" aca="1" ref="J115" ca="1">IF(ROW(C115)-J$15 &lt; J$14,C115,IF(ROW(C115) - J$15 -J$16 + 1 &lt; J$14,INDIRECT(ADDRESS(MOD(ROW(C115) - J$15, J$14) + J$15, COLUMN(C115))),""))</f>
        <v/>
      </c>
      <c r="K115" t="str" cm="1">
        <f t="array" aca="1" ref="K115" ca="1">IF(ROW(D115)-K$15 &lt; K$14,D115,IF(ROW(D115) - K$15 -K$16 + 1 &lt; K$14,INDIRECT(ADDRESS(MOD(ROW(D115) - K$15, K$14) + K$15, COLUMN(D115))),""))</f>
        <v/>
      </c>
      <c r="L115" t="str" cm="1">
        <f t="array" aca="1" ref="L115" ca="1">IF(ROW(E115)-L$15 &lt; L$14,E115,IF(ROW(E115) - L$15 -L$16 + 1 &lt; L$14,INDIRECT(ADDRESS(MOD(ROW(E115) - L$15, L$14) + L$15, COLUMN(E115))),""))</f>
        <v/>
      </c>
      <c r="N115" t="str" cm="1">
        <f t="array" aca="1" ref="N115" ca="1">IF(A115&lt;&gt;"", SUMPRODUCT((OFFSET(A115,0,0,H$16,1)=$T$24) +0),"")</f>
        <v/>
      </c>
      <c r="O115" t="str" cm="1">
        <f t="array" aca="1" ref="O115" ca="1">IF(B115&lt;&gt;"", SUMPRODUCT((OFFSET(B115,0,0,I$16,1)=$T$24) +0),"")</f>
        <v/>
      </c>
      <c r="P115" t="str" cm="1">
        <f t="array" aca="1" ref="P115" ca="1">IF(C115&lt;&gt;"", SUMPRODUCT((OFFSET(C115,0,0,J$16,1)=$T$24) +0),"")</f>
        <v/>
      </c>
      <c r="Q115" t="str" cm="1">
        <f t="array" aca="1" ref="Q115" ca="1">IF(D115&lt;&gt;"", SUMPRODUCT((OFFSET(D115,0,0,K$16,1)=$T$24) +0),"")</f>
        <v/>
      </c>
      <c r="R115" t="str" cm="1">
        <f t="array" aca="1" ref="R115" ca="1">IF(E115&lt;&gt;"", SUMPRODUCT((OFFSET(E115,0,0,L$16,1)=$T$24) +0),"")</f>
        <v/>
      </c>
      <c r="AB115">
        <f t="shared" si="25"/>
        <v>3</v>
      </c>
      <c r="AC115">
        <f t="shared" si="25"/>
        <v>3</v>
      </c>
      <c r="AD115">
        <f t="shared" si="25"/>
        <v>3</v>
      </c>
      <c r="AE115">
        <f t="shared" si="25"/>
        <v>0</v>
      </c>
      <c r="AF115">
        <f t="shared" si="25"/>
        <v>0</v>
      </c>
      <c r="AG115">
        <f t="shared" si="21"/>
        <v>9</v>
      </c>
      <c r="AH115">
        <f t="shared" ca="1" si="22"/>
        <v>0</v>
      </c>
      <c r="AI115">
        <f>IF(ROW($AA115) - $AA$51 &lt; ($H$16+1)^5, IF(AG115 &gt;= BaseBonus!$C$16, AG115*BaseBonus!$E$31, 0), "")</f>
        <v>8.4514822316332161</v>
      </c>
      <c r="AJ115">
        <f t="shared" ca="1" si="23"/>
        <v>0</v>
      </c>
      <c r="AK115" s="44"/>
    </row>
    <row r="116" spans="8:37" x14ac:dyDescent="0.3">
      <c r="H116" t="str" cm="1">
        <f t="array" aca="1" ref="H116" ca="1">IF(ROW(A116)-H$15 &lt; H$14,A116,IF(ROW(A116) - H$15 -H$16 + 1 &lt; H$14,INDIRECT(ADDRESS(MOD(ROW(A116) - H$15, H$14) + H$15, COLUMN(A116))),""))</f>
        <v/>
      </c>
      <c r="I116" t="str" cm="1">
        <f t="array" aca="1" ref="I116" ca="1">IF(ROW(B116)-I$15 &lt; I$14,B116,IF(ROW(B116) - I$15 -I$16 + 1 &lt; I$14,INDIRECT(ADDRESS(MOD(ROW(B116) - I$15, I$14) + I$15, COLUMN(B116))),""))</f>
        <v/>
      </c>
      <c r="J116" t="str" cm="1">
        <f t="array" aca="1" ref="J116" ca="1">IF(ROW(C116)-J$15 &lt; J$14,C116,IF(ROW(C116) - J$15 -J$16 + 1 &lt; J$14,INDIRECT(ADDRESS(MOD(ROW(C116) - J$15, J$14) + J$15, COLUMN(C116))),""))</f>
        <v/>
      </c>
      <c r="K116" t="str" cm="1">
        <f t="array" aca="1" ref="K116" ca="1">IF(ROW(D116)-K$15 &lt; K$14,D116,IF(ROW(D116) - K$15 -K$16 + 1 &lt; K$14,INDIRECT(ADDRESS(MOD(ROW(D116) - K$15, K$14) + K$15, COLUMN(D116))),""))</f>
        <v/>
      </c>
      <c r="L116" t="str" cm="1">
        <f t="array" aca="1" ref="L116" ca="1">IF(ROW(E116)-L$15 &lt; L$14,E116,IF(ROW(E116) - L$15 -L$16 + 1 &lt; L$14,INDIRECT(ADDRESS(MOD(ROW(E116) - L$15, L$14) + L$15, COLUMN(E116))),""))</f>
        <v/>
      </c>
      <c r="N116" t="str" cm="1">
        <f t="array" aca="1" ref="N116" ca="1">IF(A116&lt;&gt;"", SUMPRODUCT((OFFSET(A116,0,0,H$16,1)=$T$24) +0),"")</f>
        <v/>
      </c>
      <c r="O116" t="str" cm="1">
        <f t="array" aca="1" ref="O116" ca="1">IF(B116&lt;&gt;"", SUMPRODUCT((OFFSET(B116,0,0,I$16,1)=$T$24) +0),"")</f>
        <v/>
      </c>
      <c r="P116" t="str" cm="1">
        <f t="array" aca="1" ref="P116" ca="1">IF(C116&lt;&gt;"", SUMPRODUCT((OFFSET(C116,0,0,J$16,1)=$T$24) +0),"")</f>
        <v/>
      </c>
      <c r="Q116" t="str" cm="1">
        <f t="array" aca="1" ref="Q116" ca="1">IF(D116&lt;&gt;"", SUMPRODUCT((OFFSET(D116,0,0,K$16,1)=$T$24) +0),"")</f>
        <v/>
      </c>
      <c r="R116" t="str" cm="1">
        <f t="array" aca="1" ref="R116" ca="1">IF(E116&lt;&gt;"", SUMPRODUCT((OFFSET(E116,0,0,L$16,1)=$T$24) +0),"")</f>
        <v/>
      </c>
      <c r="AB116">
        <f t="shared" si="25"/>
        <v>0</v>
      </c>
      <c r="AC116">
        <f t="shared" si="25"/>
        <v>0</v>
      </c>
      <c r="AD116">
        <f t="shared" si="25"/>
        <v>0</v>
      </c>
      <c r="AE116">
        <f t="shared" si="25"/>
        <v>1</v>
      </c>
      <c r="AF116">
        <f t="shared" si="25"/>
        <v>0</v>
      </c>
      <c r="AG116">
        <f t="shared" ref="AG116:AG179" si="26">IF(ROW($AA116) - $AA$51 &lt; ($H$16+1)^5, SUM(AB116:AF116), "")</f>
        <v>1</v>
      </c>
      <c r="AH116">
        <f t="shared" ref="AH116:AH179" ca="1" si="27">IF(ROW($AA116) - $AA$51 &lt; (4)^5,
    (_xlfn.XLOOKUP(AB116,$T$51:$T$55,U$51:U$55,0)/U$27) * (_xlfn.XLOOKUP(AC116,$T$51:$T$55,V$51:V$55,0)/V$27) * (_xlfn.XLOOKUP(AD116,$T$51:$T$55,W$51:W$55,0)/W$27) * (_xlfn.XLOOKUP(AE116,$T$51:$T$55,X$51:X$55,0)/X$27) * (_xlfn.XLOOKUP(AF116,$T$51:$T$55,Y$51:Y$55,0)/Y$27),
"")</f>
        <v>6.0971504384903584E-2</v>
      </c>
      <c r="AI116">
        <f>IF(ROW($AA116) - $AA$51 &lt; ($H$16+1)^5, IF(AG116 &gt;= BaseBonus!$C$16, AG116*BaseBonus!$E$31, 0), "")</f>
        <v>0</v>
      </c>
      <c r="AJ116">
        <f t="shared" ref="AJ116:AJ179" ca="1" si="28">IF(ROW($AA116) - $AA$51 &lt; ($H$16+1)^5, AH116*AI116, "")</f>
        <v>0</v>
      </c>
      <c r="AK116" s="44"/>
    </row>
    <row r="117" spans="8:37" x14ac:dyDescent="0.3">
      <c r="H117" t="str" cm="1">
        <f t="array" aca="1" ref="H117" ca="1">IF(ROW(A117)-H$15 &lt; H$14,A117,IF(ROW(A117) - H$15 -H$16 + 1 &lt; H$14,INDIRECT(ADDRESS(MOD(ROW(A117) - H$15, H$14) + H$15, COLUMN(A117))),""))</f>
        <v/>
      </c>
      <c r="I117" t="str" cm="1">
        <f t="array" aca="1" ref="I117" ca="1">IF(ROW(B117)-I$15 &lt; I$14,B117,IF(ROW(B117) - I$15 -I$16 + 1 &lt; I$14,INDIRECT(ADDRESS(MOD(ROW(B117) - I$15, I$14) + I$15, COLUMN(B117))),""))</f>
        <v/>
      </c>
      <c r="J117" t="str" cm="1">
        <f t="array" aca="1" ref="J117" ca="1">IF(ROW(C117)-J$15 &lt; J$14,C117,IF(ROW(C117) - J$15 -J$16 + 1 &lt; J$14,INDIRECT(ADDRESS(MOD(ROW(C117) - J$15, J$14) + J$15, COLUMN(C117))),""))</f>
        <v/>
      </c>
      <c r="K117" t="str" cm="1">
        <f t="array" aca="1" ref="K117" ca="1">IF(ROW(D117)-K$15 &lt; K$14,D117,IF(ROW(D117) - K$15 -K$16 + 1 &lt; K$14,INDIRECT(ADDRESS(MOD(ROW(D117) - K$15, K$14) + K$15, COLUMN(D117))),""))</f>
        <v/>
      </c>
      <c r="L117" t="str" cm="1">
        <f t="array" aca="1" ref="L117" ca="1">IF(ROW(E117)-L$15 &lt; L$14,E117,IF(ROW(E117) - L$15 -L$16 + 1 &lt; L$14,INDIRECT(ADDRESS(MOD(ROW(E117) - L$15, L$14) + L$15, COLUMN(E117))),""))</f>
        <v/>
      </c>
      <c r="N117" t="str" cm="1">
        <f t="array" aca="1" ref="N117" ca="1">IF(A117&lt;&gt;"", SUMPRODUCT((OFFSET(A117,0,0,H$16,1)=$T$24) +0),"")</f>
        <v/>
      </c>
      <c r="O117" t="str" cm="1">
        <f t="array" aca="1" ref="O117" ca="1">IF(B117&lt;&gt;"", SUMPRODUCT((OFFSET(B117,0,0,I$16,1)=$T$24) +0),"")</f>
        <v/>
      </c>
      <c r="P117" t="str" cm="1">
        <f t="array" aca="1" ref="P117" ca="1">IF(C117&lt;&gt;"", SUMPRODUCT((OFFSET(C117,0,0,J$16,1)=$T$24) +0),"")</f>
        <v/>
      </c>
      <c r="Q117" t="str" cm="1">
        <f t="array" aca="1" ref="Q117" ca="1">IF(D117&lt;&gt;"", SUMPRODUCT((OFFSET(D117,0,0,K$16,1)=$T$24) +0),"")</f>
        <v/>
      </c>
      <c r="R117" t="str" cm="1">
        <f t="array" aca="1" ref="R117" ca="1">IF(E117&lt;&gt;"", SUMPRODUCT((OFFSET(E117,0,0,L$16,1)=$T$24) +0),"")</f>
        <v/>
      </c>
      <c r="AB117">
        <f t="shared" si="25"/>
        <v>1</v>
      </c>
      <c r="AC117">
        <f t="shared" si="25"/>
        <v>0</v>
      </c>
      <c r="AD117">
        <f t="shared" si="25"/>
        <v>0</v>
      </c>
      <c r="AE117">
        <f t="shared" si="25"/>
        <v>1</v>
      </c>
      <c r="AF117">
        <f t="shared" si="25"/>
        <v>0</v>
      </c>
      <c r="AG117">
        <f t="shared" si="26"/>
        <v>2</v>
      </c>
      <c r="AH117">
        <f t="shared" ca="1" si="27"/>
        <v>1.0603739893026711E-2</v>
      </c>
      <c r="AI117">
        <f>IF(ROW($AA117) - $AA$51 &lt; ($H$16+1)^5, IF(AG117 &gt;= BaseBonus!$C$16, AG117*BaseBonus!$E$31, 0), "")</f>
        <v>0</v>
      </c>
      <c r="AJ117">
        <f t="shared" ca="1" si="28"/>
        <v>0</v>
      </c>
      <c r="AK117" s="44"/>
    </row>
    <row r="118" spans="8:37" x14ac:dyDescent="0.3">
      <c r="H118" t="str" cm="1">
        <f t="array" aca="1" ref="H118" ca="1">IF(ROW(A118)-H$15 &lt; H$14,A118,IF(ROW(A118) - H$15 -H$16 + 1 &lt; H$14,INDIRECT(ADDRESS(MOD(ROW(A118) - H$15, H$14) + H$15, COLUMN(A118))),""))</f>
        <v/>
      </c>
      <c r="I118" t="str" cm="1">
        <f t="array" aca="1" ref="I118" ca="1">IF(ROW(B118)-I$15 &lt; I$14,B118,IF(ROW(B118) - I$15 -I$16 + 1 &lt; I$14,INDIRECT(ADDRESS(MOD(ROW(B118) - I$15, I$14) + I$15, COLUMN(B118))),""))</f>
        <v/>
      </c>
      <c r="J118" t="str" cm="1">
        <f t="array" aca="1" ref="J118" ca="1">IF(ROW(C118)-J$15 &lt; J$14,C118,IF(ROW(C118) - J$15 -J$16 + 1 &lt; J$14,INDIRECT(ADDRESS(MOD(ROW(C118) - J$15, J$14) + J$15, COLUMN(C118))),""))</f>
        <v/>
      </c>
      <c r="K118" t="str" cm="1">
        <f t="array" aca="1" ref="K118" ca="1">IF(ROW(D118)-K$15 &lt; K$14,D118,IF(ROW(D118) - K$15 -K$16 + 1 &lt; K$14,INDIRECT(ADDRESS(MOD(ROW(D118) - K$15, K$14) + K$15, COLUMN(D118))),""))</f>
        <v/>
      </c>
      <c r="L118" t="str" cm="1">
        <f t="array" aca="1" ref="L118" ca="1">IF(ROW(E118)-L$15 &lt; L$14,E118,IF(ROW(E118) - L$15 -L$16 + 1 &lt; L$14,INDIRECT(ADDRESS(MOD(ROW(E118) - L$15, L$14) + L$15, COLUMN(E118))),""))</f>
        <v/>
      </c>
      <c r="N118" t="str" cm="1">
        <f t="array" aca="1" ref="N118" ca="1">IF(A118&lt;&gt;"", SUMPRODUCT((OFFSET(A118,0,0,H$16,1)=$T$24) +0),"")</f>
        <v/>
      </c>
      <c r="O118" t="str" cm="1">
        <f t="array" aca="1" ref="O118" ca="1">IF(B118&lt;&gt;"", SUMPRODUCT((OFFSET(B118,0,0,I$16,1)=$T$24) +0),"")</f>
        <v/>
      </c>
      <c r="P118" t="str" cm="1">
        <f t="array" aca="1" ref="P118" ca="1">IF(C118&lt;&gt;"", SUMPRODUCT((OFFSET(C118,0,0,J$16,1)=$T$24) +0),"")</f>
        <v/>
      </c>
      <c r="Q118" t="str" cm="1">
        <f t="array" aca="1" ref="Q118" ca="1">IF(D118&lt;&gt;"", SUMPRODUCT((OFFSET(D118,0,0,K$16,1)=$T$24) +0),"")</f>
        <v/>
      </c>
      <c r="R118" t="str" cm="1">
        <f t="array" aca="1" ref="R118" ca="1">IF(E118&lt;&gt;"", SUMPRODUCT((OFFSET(E118,0,0,L$16,1)=$T$24) +0),"")</f>
        <v/>
      </c>
      <c r="AB118">
        <f t="shared" si="25"/>
        <v>2</v>
      </c>
      <c r="AC118">
        <f t="shared" si="25"/>
        <v>0</v>
      </c>
      <c r="AD118">
        <f t="shared" si="25"/>
        <v>0</v>
      </c>
      <c r="AE118">
        <f t="shared" si="25"/>
        <v>1</v>
      </c>
      <c r="AF118">
        <f t="shared" si="25"/>
        <v>0</v>
      </c>
      <c r="AG118">
        <f t="shared" si="26"/>
        <v>3</v>
      </c>
      <c r="AH118">
        <f t="shared" ca="1" si="27"/>
        <v>0</v>
      </c>
      <c r="AI118">
        <f>IF(ROW($AA118) - $AA$51 &lt; ($H$16+1)^5, IF(AG118 &gt;= BaseBonus!$C$16, AG118*BaseBonus!$E$31, 0), "")</f>
        <v>0</v>
      </c>
      <c r="AJ118">
        <f t="shared" ca="1" si="28"/>
        <v>0</v>
      </c>
      <c r="AK118" s="44"/>
    </row>
    <row r="119" spans="8:37" x14ac:dyDescent="0.3">
      <c r="H119" t="str" cm="1">
        <f t="array" aca="1" ref="H119" ca="1">IF(ROW(A119)-H$15 &lt; H$14,A119,IF(ROW(A119) - H$15 -H$16 + 1 &lt; H$14,INDIRECT(ADDRESS(MOD(ROW(A119) - H$15, H$14) + H$15, COLUMN(A119))),""))</f>
        <v/>
      </c>
      <c r="I119" t="str" cm="1">
        <f t="array" aca="1" ref="I119" ca="1">IF(ROW(B119)-I$15 &lt; I$14,B119,IF(ROW(B119) - I$15 -I$16 + 1 &lt; I$14,INDIRECT(ADDRESS(MOD(ROW(B119) - I$15, I$14) + I$15, COLUMN(B119))),""))</f>
        <v/>
      </c>
      <c r="J119" t="str" cm="1">
        <f t="array" aca="1" ref="J119" ca="1">IF(ROW(C119)-J$15 &lt; J$14,C119,IF(ROW(C119) - J$15 -J$16 + 1 &lt; J$14,INDIRECT(ADDRESS(MOD(ROW(C119) - J$15, J$14) + J$15, COLUMN(C119))),""))</f>
        <v/>
      </c>
      <c r="K119" t="str" cm="1">
        <f t="array" aca="1" ref="K119" ca="1">IF(ROW(D119)-K$15 &lt; K$14,D119,IF(ROW(D119) - K$15 -K$16 + 1 &lt; K$14,INDIRECT(ADDRESS(MOD(ROW(D119) - K$15, K$14) + K$15, COLUMN(D119))),""))</f>
        <v/>
      </c>
      <c r="L119" t="str" cm="1">
        <f t="array" aca="1" ref="L119" ca="1">IF(ROW(E119)-L$15 &lt; L$14,E119,IF(ROW(E119) - L$15 -L$16 + 1 &lt; L$14,INDIRECT(ADDRESS(MOD(ROW(E119) - L$15, L$14) + L$15, COLUMN(E119))),""))</f>
        <v/>
      </c>
      <c r="N119" t="str" cm="1">
        <f t="array" aca="1" ref="N119" ca="1">IF(A119&lt;&gt;"", SUMPRODUCT((OFFSET(A119,0,0,H$16,1)=$T$24) +0),"")</f>
        <v/>
      </c>
      <c r="O119" t="str" cm="1">
        <f t="array" aca="1" ref="O119" ca="1">IF(B119&lt;&gt;"", SUMPRODUCT((OFFSET(B119,0,0,I$16,1)=$T$24) +0),"")</f>
        <v/>
      </c>
      <c r="P119" t="str" cm="1">
        <f t="array" aca="1" ref="P119" ca="1">IF(C119&lt;&gt;"", SUMPRODUCT((OFFSET(C119,0,0,J$16,1)=$T$24) +0),"")</f>
        <v/>
      </c>
      <c r="Q119" t="str" cm="1">
        <f t="array" aca="1" ref="Q119" ca="1">IF(D119&lt;&gt;"", SUMPRODUCT((OFFSET(D119,0,0,K$16,1)=$T$24) +0),"")</f>
        <v/>
      </c>
      <c r="R119" t="str" cm="1">
        <f t="array" aca="1" ref="R119" ca="1">IF(E119&lt;&gt;"", SUMPRODUCT((OFFSET(E119,0,0,L$16,1)=$T$24) +0),"")</f>
        <v/>
      </c>
      <c r="AB119">
        <f t="shared" si="25"/>
        <v>3</v>
      </c>
      <c r="AC119">
        <f t="shared" si="25"/>
        <v>0</v>
      </c>
      <c r="AD119">
        <f t="shared" si="25"/>
        <v>0</v>
      </c>
      <c r="AE119">
        <f t="shared" si="25"/>
        <v>1</v>
      </c>
      <c r="AF119">
        <f t="shared" si="25"/>
        <v>0</v>
      </c>
      <c r="AG119">
        <f t="shared" si="26"/>
        <v>4</v>
      </c>
      <c r="AH119">
        <f t="shared" ca="1" si="27"/>
        <v>0</v>
      </c>
      <c r="AI119">
        <f>IF(ROW($AA119) - $AA$51 &lt; ($H$16+1)^5, IF(AG119 &gt;= BaseBonus!$C$16, AG119*BaseBonus!$E$31, 0), "")</f>
        <v>0</v>
      </c>
      <c r="AJ119">
        <f t="shared" ca="1" si="28"/>
        <v>0</v>
      </c>
      <c r="AK119" s="44"/>
    </row>
    <row r="120" spans="8:37" x14ac:dyDescent="0.3">
      <c r="H120" t="str" cm="1">
        <f t="array" aca="1" ref="H120" ca="1">IF(ROW(A120)-H$15 &lt; H$14,A120,IF(ROW(A120) - H$15 -H$16 + 1 &lt; H$14,INDIRECT(ADDRESS(MOD(ROW(A120) - H$15, H$14) + H$15, COLUMN(A120))),""))</f>
        <v/>
      </c>
      <c r="I120" t="str" cm="1">
        <f t="array" aca="1" ref="I120" ca="1">IF(ROW(B120)-I$15 &lt; I$14,B120,IF(ROW(B120) - I$15 -I$16 + 1 &lt; I$14,INDIRECT(ADDRESS(MOD(ROW(B120) - I$15, I$14) + I$15, COLUMN(B120))),""))</f>
        <v/>
      </c>
      <c r="J120" t="str" cm="1">
        <f t="array" aca="1" ref="J120" ca="1">IF(ROW(C120)-J$15 &lt; J$14,C120,IF(ROW(C120) - J$15 -J$16 + 1 &lt; J$14,INDIRECT(ADDRESS(MOD(ROW(C120) - J$15, J$14) + J$15, COLUMN(C120))),""))</f>
        <v/>
      </c>
      <c r="K120" t="str" cm="1">
        <f t="array" aca="1" ref="K120" ca="1">IF(ROW(D120)-K$15 &lt; K$14,D120,IF(ROW(D120) - K$15 -K$16 + 1 &lt; K$14,INDIRECT(ADDRESS(MOD(ROW(D120) - K$15, K$14) + K$15, COLUMN(D120))),""))</f>
        <v/>
      </c>
      <c r="L120" t="str" cm="1">
        <f t="array" aca="1" ref="L120" ca="1">IF(ROW(E120)-L$15 &lt; L$14,E120,IF(ROW(E120) - L$15 -L$16 + 1 &lt; L$14,INDIRECT(ADDRESS(MOD(ROW(E120) - L$15, L$14) + L$15, COLUMN(E120))),""))</f>
        <v/>
      </c>
      <c r="N120" t="str" cm="1">
        <f t="array" aca="1" ref="N120" ca="1">IF(A120&lt;&gt;"", SUMPRODUCT((OFFSET(A120,0,0,H$16,1)=$T$24) +0),"")</f>
        <v/>
      </c>
      <c r="O120" t="str" cm="1">
        <f t="array" aca="1" ref="O120" ca="1">IF(B120&lt;&gt;"", SUMPRODUCT((OFFSET(B120,0,0,I$16,1)=$T$24) +0),"")</f>
        <v/>
      </c>
      <c r="P120" t="str" cm="1">
        <f t="array" aca="1" ref="P120" ca="1">IF(C120&lt;&gt;"", SUMPRODUCT((OFFSET(C120,0,0,J$16,1)=$T$24) +0),"")</f>
        <v/>
      </c>
      <c r="Q120" t="str" cm="1">
        <f t="array" aca="1" ref="Q120" ca="1">IF(D120&lt;&gt;"", SUMPRODUCT((OFFSET(D120,0,0,K$16,1)=$T$24) +0),"")</f>
        <v/>
      </c>
      <c r="R120" t="str" cm="1">
        <f t="array" aca="1" ref="R120" ca="1">IF(E120&lt;&gt;"", SUMPRODUCT((OFFSET(E120,0,0,L$16,1)=$T$24) +0),"")</f>
        <v/>
      </c>
      <c r="AB120">
        <f t="shared" si="25"/>
        <v>0</v>
      </c>
      <c r="AC120">
        <f t="shared" si="25"/>
        <v>1</v>
      </c>
      <c r="AD120">
        <f t="shared" si="25"/>
        <v>0</v>
      </c>
      <c r="AE120">
        <f t="shared" si="25"/>
        <v>1</v>
      </c>
      <c r="AF120">
        <f t="shared" si="25"/>
        <v>0</v>
      </c>
      <c r="AG120">
        <f t="shared" si="26"/>
        <v>2</v>
      </c>
      <c r="AH120">
        <f t="shared" ca="1" si="27"/>
        <v>8.0697579332960623E-3</v>
      </c>
      <c r="AI120">
        <f>IF(ROW($AA120) - $AA$51 &lt; ($H$16+1)^5, IF(AG120 &gt;= BaseBonus!$C$16, AG120*BaseBonus!$E$31, 0), "")</f>
        <v>0</v>
      </c>
      <c r="AJ120">
        <f t="shared" ca="1" si="28"/>
        <v>0</v>
      </c>
      <c r="AK120" s="44"/>
    </row>
    <row r="121" spans="8:37" x14ac:dyDescent="0.3">
      <c r="H121" t="str" cm="1">
        <f t="array" aca="1" ref="H121" ca="1">IF(ROW(A121)-H$15 &lt; H$14,A121,IF(ROW(A121) - H$15 -H$16 + 1 &lt; H$14,INDIRECT(ADDRESS(MOD(ROW(A121) - H$15, H$14) + H$15, COLUMN(A121))),""))</f>
        <v/>
      </c>
      <c r="I121" t="str" cm="1">
        <f t="array" aca="1" ref="I121" ca="1">IF(ROW(B121)-I$15 &lt; I$14,B121,IF(ROW(B121) - I$15 -I$16 + 1 &lt; I$14,INDIRECT(ADDRESS(MOD(ROW(B121) - I$15, I$14) + I$15, COLUMN(B121))),""))</f>
        <v/>
      </c>
      <c r="J121" t="str" cm="1">
        <f t="array" aca="1" ref="J121" ca="1">IF(ROW(C121)-J$15 &lt; J$14,C121,IF(ROW(C121) - J$15 -J$16 + 1 &lt; J$14,INDIRECT(ADDRESS(MOD(ROW(C121) - J$15, J$14) + J$15, COLUMN(C121))),""))</f>
        <v/>
      </c>
      <c r="K121" t="str" cm="1">
        <f t="array" aca="1" ref="K121" ca="1">IF(ROW(D121)-K$15 &lt; K$14,D121,IF(ROW(D121) - K$15 -K$16 + 1 &lt; K$14,INDIRECT(ADDRESS(MOD(ROW(D121) - K$15, K$14) + K$15, COLUMN(D121))),""))</f>
        <v/>
      </c>
      <c r="L121" t="str" cm="1">
        <f t="array" aca="1" ref="L121" ca="1">IF(ROW(E121)-L$15 &lt; L$14,E121,IF(ROW(E121) - L$15 -L$16 + 1 &lt; L$14,INDIRECT(ADDRESS(MOD(ROW(E121) - L$15, L$14) + L$15, COLUMN(E121))),""))</f>
        <v/>
      </c>
      <c r="N121" t="str" cm="1">
        <f t="array" aca="1" ref="N121" ca="1">IF(A121&lt;&gt;"", SUMPRODUCT((OFFSET(A121,0,0,H$16,1)=$T$24) +0),"")</f>
        <v/>
      </c>
      <c r="O121" t="str" cm="1">
        <f t="array" aca="1" ref="O121" ca="1">IF(B121&lt;&gt;"", SUMPRODUCT((OFFSET(B121,0,0,I$16,1)=$T$24) +0),"")</f>
        <v/>
      </c>
      <c r="P121" t="str" cm="1">
        <f t="array" aca="1" ref="P121" ca="1">IF(C121&lt;&gt;"", SUMPRODUCT((OFFSET(C121,0,0,J$16,1)=$T$24) +0),"")</f>
        <v/>
      </c>
      <c r="Q121" t="str" cm="1">
        <f t="array" aca="1" ref="Q121" ca="1">IF(D121&lt;&gt;"", SUMPRODUCT((OFFSET(D121,0,0,K$16,1)=$T$24) +0),"")</f>
        <v/>
      </c>
      <c r="R121" t="str" cm="1">
        <f t="array" aca="1" ref="R121" ca="1">IF(E121&lt;&gt;"", SUMPRODUCT((OFFSET(E121,0,0,L$16,1)=$T$24) +0),"")</f>
        <v/>
      </c>
      <c r="AB121">
        <f t="shared" si="25"/>
        <v>1</v>
      </c>
      <c r="AC121">
        <f t="shared" si="25"/>
        <v>1</v>
      </c>
      <c r="AD121">
        <f t="shared" si="25"/>
        <v>0</v>
      </c>
      <c r="AE121">
        <f t="shared" si="25"/>
        <v>1</v>
      </c>
      <c r="AF121">
        <f t="shared" si="25"/>
        <v>0</v>
      </c>
      <c r="AG121">
        <f t="shared" si="26"/>
        <v>3</v>
      </c>
      <c r="AH121">
        <f t="shared" ca="1" si="27"/>
        <v>1.4034361623123587E-3</v>
      </c>
      <c r="AI121">
        <f>IF(ROW($AA121) - $AA$51 &lt; ($H$16+1)^5, IF(AG121 &gt;= BaseBonus!$C$16, AG121*BaseBonus!$E$31, 0), "")</f>
        <v>0</v>
      </c>
      <c r="AJ121">
        <f t="shared" ca="1" si="28"/>
        <v>0</v>
      </c>
      <c r="AK121" s="44"/>
    </row>
    <row r="122" spans="8:37" x14ac:dyDescent="0.3">
      <c r="H122" t="str" cm="1">
        <f t="array" aca="1" ref="H122" ca="1">IF(ROW(A122)-H$15 &lt; H$14,A122,IF(ROW(A122) - H$15 -H$16 + 1 &lt; H$14,INDIRECT(ADDRESS(MOD(ROW(A122) - H$15, H$14) + H$15, COLUMN(A122))),""))</f>
        <v/>
      </c>
      <c r="I122" t="str" cm="1">
        <f t="array" aca="1" ref="I122" ca="1">IF(ROW(B122)-I$15 &lt; I$14,B122,IF(ROW(B122) - I$15 -I$16 + 1 &lt; I$14,INDIRECT(ADDRESS(MOD(ROW(B122) - I$15, I$14) + I$15, COLUMN(B122))),""))</f>
        <v/>
      </c>
      <c r="J122" t="str" cm="1">
        <f t="array" aca="1" ref="J122" ca="1">IF(ROW(C122)-J$15 &lt; J$14,C122,IF(ROW(C122) - J$15 -J$16 + 1 &lt; J$14,INDIRECT(ADDRESS(MOD(ROW(C122) - J$15, J$14) + J$15, COLUMN(C122))),""))</f>
        <v/>
      </c>
      <c r="K122" t="str" cm="1">
        <f t="array" aca="1" ref="K122" ca="1">IF(ROW(D122)-K$15 &lt; K$14,D122,IF(ROW(D122) - K$15 -K$16 + 1 &lt; K$14,INDIRECT(ADDRESS(MOD(ROW(D122) - K$15, K$14) + K$15, COLUMN(D122))),""))</f>
        <v/>
      </c>
      <c r="L122" t="str" cm="1">
        <f t="array" aca="1" ref="L122" ca="1">IF(ROW(E122)-L$15 &lt; L$14,E122,IF(ROW(E122) - L$15 -L$16 + 1 &lt; L$14,INDIRECT(ADDRESS(MOD(ROW(E122) - L$15, L$14) + L$15, COLUMN(E122))),""))</f>
        <v/>
      </c>
      <c r="N122" t="str" cm="1">
        <f t="array" aca="1" ref="N122" ca="1">IF(A122&lt;&gt;"", SUMPRODUCT((OFFSET(A122,0,0,H$16,1)=$T$24) +0),"")</f>
        <v/>
      </c>
      <c r="O122" t="str" cm="1">
        <f t="array" aca="1" ref="O122" ca="1">IF(B122&lt;&gt;"", SUMPRODUCT((OFFSET(B122,0,0,I$16,1)=$T$24) +0),"")</f>
        <v/>
      </c>
      <c r="P122" t="str" cm="1">
        <f t="array" aca="1" ref="P122" ca="1">IF(C122&lt;&gt;"", SUMPRODUCT((OFFSET(C122,0,0,J$16,1)=$T$24) +0),"")</f>
        <v/>
      </c>
      <c r="Q122" t="str" cm="1">
        <f t="array" aca="1" ref="Q122" ca="1">IF(D122&lt;&gt;"", SUMPRODUCT((OFFSET(D122,0,0,K$16,1)=$T$24) +0),"")</f>
        <v/>
      </c>
      <c r="R122" t="str" cm="1">
        <f t="array" aca="1" ref="R122" ca="1">IF(E122&lt;&gt;"", SUMPRODUCT((OFFSET(E122,0,0,L$16,1)=$T$24) +0),"")</f>
        <v/>
      </c>
      <c r="AB122">
        <f t="shared" si="25"/>
        <v>2</v>
      </c>
      <c r="AC122">
        <f t="shared" si="25"/>
        <v>1</v>
      </c>
      <c r="AD122">
        <f t="shared" si="25"/>
        <v>0</v>
      </c>
      <c r="AE122">
        <f t="shared" si="25"/>
        <v>1</v>
      </c>
      <c r="AF122">
        <f t="shared" si="25"/>
        <v>0</v>
      </c>
      <c r="AG122">
        <f t="shared" si="26"/>
        <v>4</v>
      </c>
      <c r="AH122">
        <f t="shared" ca="1" si="27"/>
        <v>0</v>
      </c>
      <c r="AI122">
        <f>IF(ROW($AA122) - $AA$51 &lt; ($H$16+1)^5, IF(AG122 &gt;= BaseBonus!$C$16, AG122*BaseBonus!$E$31, 0), "")</f>
        <v>0</v>
      </c>
      <c r="AJ122">
        <f t="shared" ca="1" si="28"/>
        <v>0</v>
      </c>
      <c r="AK122" s="44"/>
    </row>
    <row r="123" spans="8:37" x14ac:dyDescent="0.3">
      <c r="H123" t="str" cm="1">
        <f t="array" aca="1" ref="H123" ca="1">IF(ROW(A123)-H$15 &lt; H$14,A123,IF(ROW(A123) - H$15 -H$16 + 1 &lt; H$14,INDIRECT(ADDRESS(MOD(ROW(A123) - H$15, H$14) + H$15, COLUMN(A123))),""))</f>
        <v/>
      </c>
      <c r="I123" t="str" cm="1">
        <f t="array" aca="1" ref="I123" ca="1">IF(ROW(B123)-I$15 &lt; I$14,B123,IF(ROW(B123) - I$15 -I$16 + 1 &lt; I$14,INDIRECT(ADDRESS(MOD(ROW(B123) - I$15, I$14) + I$15, COLUMN(B123))),""))</f>
        <v/>
      </c>
      <c r="J123" t="str" cm="1">
        <f t="array" aca="1" ref="J123" ca="1">IF(ROW(C123)-J$15 &lt; J$14,C123,IF(ROW(C123) - J$15 -J$16 + 1 &lt; J$14,INDIRECT(ADDRESS(MOD(ROW(C123) - J$15, J$14) + J$15, COLUMN(C123))),""))</f>
        <v/>
      </c>
      <c r="K123" t="str" cm="1">
        <f t="array" aca="1" ref="K123" ca="1">IF(ROW(D123)-K$15 &lt; K$14,D123,IF(ROW(D123) - K$15 -K$16 + 1 &lt; K$14,INDIRECT(ADDRESS(MOD(ROW(D123) - K$15, K$14) + K$15, COLUMN(D123))),""))</f>
        <v/>
      </c>
      <c r="L123" t="str" cm="1">
        <f t="array" aca="1" ref="L123" ca="1">IF(ROW(E123)-L$15 &lt; L$14,E123,IF(ROW(E123) - L$15 -L$16 + 1 &lt; L$14,INDIRECT(ADDRESS(MOD(ROW(E123) - L$15, L$14) + L$15, COLUMN(E123))),""))</f>
        <v/>
      </c>
      <c r="N123" t="str" cm="1">
        <f t="array" aca="1" ref="N123" ca="1">IF(A123&lt;&gt;"", SUMPRODUCT((OFFSET(A123,0,0,H$16,1)=$T$24) +0),"")</f>
        <v/>
      </c>
      <c r="O123" t="str" cm="1">
        <f t="array" aca="1" ref="O123" ca="1">IF(B123&lt;&gt;"", SUMPRODUCT((OFFSET(B123,0,0,I$16,1)=$T$24) +0),"")</f>
        <v/>
      </c>
      <c r="P123" t="str" cm="1">
        <f t="array" aca="1" ref="P123" ca="1">IF(C123&lt;&gt;"", SUMPRODUCT((OFFSET(C123,0,0,J$16,1)=$T$24) +0),"")</f>
        <v/>
      </c>
      <c r="Q123" t="str" cm="1">
        <f t="array" aca="1" ref="Q123" ca="1">IF(D123&lt;&gt;"", SUMPRODUCT((OFFSET(D123,0,0,K$16,1)=$T$24) +0),"")</f>
        <v/>
      </c>
      <c r="R123" t="str" cm="1">
        <f t="array" aca="1" ref="R123" ca="1">IF(E123&lt;&gt;"", SUMPRODUCT((OFFSET(E123,0,0,L$16,1)=$T$24) +0),"")</f>
        <v/>
      </c>
      <c r="AB123">
        <f t="shared" si="25"/>
        <v>3</v>
      </c>
      <c r="AC123">
        <f t="shared" si="25"/>
        <v>1</v>
      </c>
      <c r="AD123">
        <f t="shared" si="25"/>
        <v>0</v>
      </c>
      <c r="AE123">
        <f t="shared" si="25"/>
        <v>1</v>
      </c>
      <c r="AF123">
        <f t="shared" si="25"/>
        <v>0</v>
      </c>
      <c r="AG123">
        <f t="shared" si="26"/>
        <v>5</v>
      </c>
      <c r="AH123">
        <f t="shared" ca="1" si="27"/>
        <v>0</v>
      </c>
      <c r="AI123">
        <f>IF(ROW($AA123) - $AA$51 &lt; ($H$16+1)^5, IF(AG123 &gt;= BaseBonus!$C$16, AG123*BaseBonus!$E$31, 0), "")</f>
        <v>4.6952679064628979</v>
      </c>
      <c r="AJ123">
        <f t="shared" ca="1" si="28"/>
        <v>0</v>
      </c>
      <c r="AK123" s="44"/>
    </row>
    <row r="124" spans="8:37" x14ac:dyDescent="0.3">
      <c r="H124" t="str" cm="1">
        <f t="array" aca="1" ref="H124" ca="1">IF(ROW(A124)-H$15 &lt; H$14,A124,IF(ROW(A124) - H$15 -H$16 + 1 &lt; H$14,INDIRECT(ADDRESS(MOD(ROW(A124) - H$15, H$14) + H$15, COLUMN(A124))),""))</f>
        <v/>
      </c>
      <c r="I124" t="str" cm="1">
        <f t="array" aca="1" ref="I124" ca="1">IF(ROW(B124)-I$15 &lt; I$14,B124,IF(ROW(B124) - I$15 -I$16 + 1 &lt; I$14,INDIRECT(ADDRESS(MOD(ROW(B124) - I$15, I$14) + I$15, COLUMN(B124))),""))</f>
        <v/>
      </c>
      <c r="J124" t="str" cm="1">
        <f t="array" aca="1" ref="J124" ca="1">IF(ROW(C124)-J$15 &lt; J$14,C124,IF(ROW(C124) - J$15 -J$16 + 1 &lt; J$14,INDIRECT(ADDRESS(MOD(ROW(C124) - J$15, J$14) + J$15, COLUMN(C124))),""))</f>
        <v/>
      </c>
      <c r="K124" t="str" cm="1">
        <f t="array" aca="1" ref="K124" ca="1">IF(ROW(D124)-K$15 &lt; K$14,D124,IF(ROW(D124) - K$15 -K$16 + 1 &lt; K$14,INDIRECT(ADDRESS(MOD(ROW(D124) - K$15, K$14) + K$15, COLUMN(D124))),""))</f>
        <v/>
      </c>
      <c r="L124" t="str" cm="1">
        <f t="array" aca="1" ref="L124" ca="1">IF(ROW(E124)-L$15 &lt; L$14,E124,IF(ROW(E124) - L$15 -L$16 + 1 &lt; L$14,INDIRECT(ADDRESS(MOD(ROW(E124) - L$15, L$14) + L$15, COLUMN(E124))),""))</f>
        <v/>
      </c>
      <c r="N124" t="str" cm="1">
        <f t="array" aca="1" ref="N124" ca="1">IF(A124&lt;&gt;"", SUMPRODUCT((OFFSET(A124,0,0,H$16,1)=$T$24) +0),"")</f>
        <v/>
      </c>
      <c r="O124" t="str" cm="1">
        <f t="array" aca="1" ref="O124" ca="1">IF(B124&lt;&gt;"", SUMPRODUCT((OFFSET(B124,0,0,I$16,1)=$T$24) +0),"")</f>
        <v/>
      </c>
      <c r="P124" t="str" cm="1">
        <f t="array" aca="1" ref="P124" ca="1">IF(C124&lt;&gt;"", SUMPRODUCT((OFFSET(C124,0,0,J$16,1)=$T$24) +0),"")</f>
        <v/>
      </c>
      <c r="Q124" t="str" cm="1">
        <f t="array" aca="1" ref="Q124" ca="1">IF(D124&lt;&gt;"", SUMPRODUCT((OFFSET(D124,0,0,K$16,1)=$T$24) +0),"")</f>
        <v/>
      </c>
      <c r="R124" t="str" cm="1">
        <f t="array" aca="1" ref="R124" ca="1">IF(E124&lt;&gt;"", SUMPRODUCT((OFFSET(E124,0,0,L$16,1)=$T$24) +0),"")</f>
        <v/>
      </c>
      <c r="AB124">
        <f t="shared" si="25"/>
        <v>0</v>
      </c>
      <c r="AC124">
        <f t="shared" si="25"/>
        <v>2</v>
      </c>
      <c r="AD124">
        <f t="shared" si="25"/>
        <v>0</v>
      </c>
      <c r="AE124">
        <f t="shared" si="25"/>
        <v>1</v>
      </c>
      <c r="AF124">
        <f t="shared" si="25"/>
        <v>0</v>
      </c>
      <c r="AG124">
        <f t="shared" si="26"/>
        <v>3</v>
      </c>
      <c r="AH124">
        <f t="shared" ca="1" si="27"/>
        <v>0</v>
      </c>
      <c r="AI124">
        <f>IF(ROW($AA124) - $AA$51 &lt; ($H$16+1)^5, IF(AG124 &gt;= BaseBonus!$C$16, AG124*BaseBonus!$E$31, 0), "")</f>
        <v>0</v>
      </c>
      <c r="AJ124">
        <f t="shared" ca="1" si="28"/>
        <v>0</v>
      </c>
      <c r="AK124" s="44"/>
    </row>
    <row r="125" spans="8:37" x14ac:dyDescent="0.3">
      <c r="H125" t="str" cm="1">
        <f t="array" aca="1" ref="H125" ca="1">IF(ROW(A125)-H$15 &lt; H$14,A125,IF(ROW(A125) - H$15 -H$16 + 1 &lt; H$14,INDIRECT(ADDRESS(MOD(ROW(A125) - H$15, H$14) + H$15, COLUMN(A125))),""))</f>
        <v/>
      </c>
      <c r="I125" t="str" cm="1">
        <f t="array" aca="1" ref="I125" ca="1">IF(ROW(B125)-I$15 &lt; I$14,B125,IF(ROW(B125) - I$15 -I$16 + 1 &lt; I$14,INDIRECT(ADDRESS(MOD(ROW(B125) - I$15, I$14) + I$15, COLUMN(B125))),""))</f>
        <v/>
      </c>
      <c r="J125" t="str" cm="1">
        <f t="array" aca="1" ref="J125" ca="1">IF(ROW(C125)-J$15 &lt; J$14,C125,IF(ROW(C125) - J$15 -J$16 + 1 &lt; J$14,INDIRECT(ADDRESS(MOD(ROW(C125) - J$15, J$14) + J$15, COLUMN(C125))),""))</f>
        <v/>
      </c>
      <c r="K125" t="str" cm="1">
        <f t="array" aca="1" ref="K125" ca="1">IF(ROW(D125)-K$15 &lt; K$14,D125,IF(ROW(D125) - K$15 -K$16 + 1 &lt; K$14,INDIRECT(ADDRESS(MOD(ROW(D125) - K$15, K$14) + K$15, COLUMN(D125))),""))</f>
        <v/>
      </c>
      <c r="L125" t="str" cm="1">
        <f t="array" aca="1" ref="L125" ca="1">IF(ROW(E125)-L$15 &lt; L$14,E125,IF(ROW(E125) - L$15 -L$16 + 1 &lt; L$14,INDIRECT(ADDRESS(MOD(ROW(E125) - L$15, L$14) + L$15, COLUMN(E125))),""))</f>
        <v/>
      </c>
      <c r="N125" t="str" cm="1">
        <f t="array" aca="1" ref="N125" ca="1">IF(A125&lt;&gt;"", SUMPRODUCT((OFFSET(A125,0,0,H$16,1)=$T$24) +0),"")</f>
        <v/>
      </c>
      <c r="O125" t="str" cm="1">
        <f t="array" aca="1" ref="O125" ca="1">IF(B125&lt;&gt;"", SUMPRODUCT((OFFSET(B125,0,0,I$16,1)=$T$24) +0),"")</f>
        <v/>
      </c>
      <c r="P125" t="str" cm="1">
        <f t="array" aca="1" ref="P125" ca="1">IF(C125&lt;&gt;"", SUMPRODUCT((OFFSET(C125,0,0,J$16,1)=$T$24) +0),"")</f>
        <v/>
      </c>
      <c r="Q125" t="str" cm="1">
        <f t="array" aca="1" ref="Q125" ca="1">IF(D125&lt;&gt;"", SUMPRODUCT((OFFSET(D125,0,0,K$16,1)=$T$24) +0),"")</f>
        <v/>
      </c>
      <c r="R125" t="str" cm="1">
        <f t="array" aca="1" ref="R125" ca="1">IF(E125&lt;&gt;"", SUMPRODUCT((OFFSET(E125,0,0,L$16,1)=$T$24) +0),"")</f>
        <v/>
      </c>
      <c r="AB125">
        <f t="shared" si="25"/>
        <v>1</v>
      </c>
      <c r="AC125">
        <f t="shared" si="25"/>
        <v>2</v>
      </c>
      <c r="AD125">
        <f t="shared" si="25"/>
        <v>0</v>
      </c>
      <c r="AE125">
        <f t="shared" si="25"/>
        <v>1</v>
      </c>
      <c r="AF125">
        <f t="shared" si="25"/>
        <v>0</v>
      </c>
      <c r="AG125">
        <f t="shared" si="26"/>
        <v>4</v>
      </c>
      <c r="AH125">
        <f t="shared" ca="1" si="27"/>
        <v>0</v>
      </c>
      <c r="AI125">
        <f>IF(ROW($AA125) - $AA$51 &lt; ($H$16+1)^5, IF(AG125 &gt;= BaseBonus!$C$16, AG125*BaseBonus!$E$31, 0), "")</f>
        <v>0</v>
      </c>
      <c r="AJ125">
        <f t="shared" ca="1" si="28"/>
        <v>0</v>
      </c>
      <c r="AK125" s="44"/>
    </row>
    <row r="126" spans="8:37" x14ac:dyDescent="0.3">
      <c r="H126" t="str" cm="1">
        <f t="array" aca="1" ref="H126" ca="1">IF(ROW(A126)-H$15 &lt; H$14,A126,IF(ROW(A126) - H$15 -H$16 + 1 &lt; H$14,INDIRECT(ADDRESS(MOD(ROW(A126) - H$15, H$14) + H$15, COLUMN(A126))),""))</f>
        <v/>
      </c>
      <c r="I126" t="str" cm="1">
        <f t="array" aca="1" ref="I126" ca="1">IF(ROW(B126)-I$15 &lt; I$14,B126,IF(ROW(B126) - I$15 -I$16 + 1 &lt; I$14,INDIRECT(ADDRESS(MOD(ROW(B126) - I$15, I$14) + I$15, COLUMN(B126))),""))</f>
        <v/>
      </c>
      <c r="J126" t="str" cm="1">
        <f t="array" aca="1" ref="J126" ca="1">IF(ROW(C126)-J$15 &lt; J$14,C126,IF(ROW(C126) - J$15 -J$16 + 1 &lt; J$14,INDIRECT(ADDRESS(MOD(ROW(C126) - J$15, J$14) + J$15, COLUMN(C126))),""))</f>
        <v/>
      </c>
      <c r="K126" t="str" cm="1">
        <f t="array" aca="1" ref="K126" ca="1">IF(ROW(D126)-K$15 &lt; K$14,D126,IF(ROW(D126) - K$15 -K$16 + 1 &lt; K$14,INDIRECT(ADDRESS(MOD(ROW(D126) - K$15, K$14) + K$15, COLUMN(D126))),""))</f>
        <v/>
      </c>
      <c r="L126" t="str" cm="1">
        <f t="array" aca="1" ref="L126" ca="1">IF(ROW(E126)-L$15 &lt; L$14,E126,IF(ROW(E126) - L$15 -L$16 + 1 &lt; L$14,INDIRECT(ADDRESS(MOD(ROW(E126) - L$15, L$14) + L$15, COLUMN(E126))),""))</f>
        <v/>
      </c>
      <c r="N126" t="str" cm="1">
        <f t="array" aca="1" ref="N126" ca="1">IF(A126&lt;&gt;"", SUMPRODUCT((OFFSET(A126,0,0,H$16,1)=$T$24) +0),"")</f>
        <v/>
      </c>
      <c r="O126" t="str" cm="1">
        <f t="array" aca="1" ref="O126" ca="1">IF(B126&lt;&gt;"", SUMPRODUCT((OFFSET(B126,0,0,I$16,1)=$T$24) +0),"")</f>
        <v/>
      </c>
      <c r="P126" t="str" cm="1">
        <f t="array" aca="1" ref="P126" ca="1">IF(C126&lt;&gt;"", SUMPRODUCT((OFFSET(C126,0,0,J$16,1)=$T$24) +0),"")</f>
        <v/>
      </c>
      <c r="Q126" t="str" cm="1">
        <f t="array" aca="1" ref="Q126" ca="1">IF(D126&lt;&gt;"", SUMPRODUCT((OFFSET(D126,0,0,K$16,1)=$T$24) +0),"")</f>
        <v/>
      </c>
      <c r="R126" t="str" cm="1">
        <f t="array" aca="1" ref="R126" ca="1">IF(E126&lt;&gt;"", SUMPRODUCT((OFFSET(E126,0,0,L$16,1)=$T$24) +0),"")</f>
        <v/>
      </c>
      <c r="AB126">
        <f t="shared" si="25"/>
        <v>2</v>
      </c>
      <c r="AC126">
        <f t="shared" si="25"/>
        <v>2</v>
      </c>
      <c r="AD126">
        <f t="shared" si="25"/>
        <v>0</v>
      </c>
      <c r="AE126">
        <f t="shared" si="25"/>
        <v>1</v>
      </c>
      <c r="AF126">
        <f t="shared" si="25"/>
        <v>0</v>
      </c>
      <c r="AG126">
        <f t="shared" si="26"/>
        <v>5</v>
      </c>
      <c r="AH126">
        <f t="shared" ca="1" si="27"/>
        <v>0</v>
      </c>
      <c r="AI126">
        <f>IF(ROW($AA126) - $AA$51 &lt; ($H$16+1)^5, IF(AG126 &gt;= BaseBonus!$C$16, AG126*BaseBonus!$E$31, 0), "")</f>
        <v>4.6952679064628979</v>
      </c>
      <c r="AJ126">
        <f t="shared" ca="1" si="28"/>
        <v>0</v>
      </c>
      <c r="AK126" s="44"/>
    </row>
    <row r="127" spans="8:37" x14ac:dyDescent="0.3">
      <c r="H127" t="str" cm="1">
        <f t="array" aca="1" ref="H127" ca="1">IF(ROW(A127)-H$15 &lt; H$14,A127,IF(ROW(A127) - H$15 -H$16 + 1 &lt; H$14,INDIRECT(ADDRESS(MOD(ROW(A127) - H$15, H$14) + H$15, COLUMN(A127))),""))</f>
        <v/>
      </c>
      <c r="I127" t="str" cm="1">
        <f t="array" aca="1" ref="I127" ca="1">IF(ROW(B127)-I$15 &lt; I$14,B127,IF(ROW(B127) - I$15 -I$16 + 1 &lt; I$14,INDIRECT(ADDRESS(MOD(ROW(B127) - I$15, I$14) + I$15, COLUMN(B127))),""))</f>
        <v/>
      </c>
      <c r="J127" t="str" cm="1">
        <f t="array" aca="1" ref="J127" ca="1">IF(ROW(C127)-J$15 &lt; J$14,C127,IF(ROW(C127) - J$15 -J$16 + 1 &lt; J$14,INDIRECT(ADDRESS(MOD(ROW(C127) - J$15, J$14) + J$15, COLUMN(C127))),""))</f>
        <v/>
      </c>
      <c r="K127" t="str" cm="1">
        <f t="array" aca="1" ref="K127" ca="1">IF(ROW(D127)-K$15 &lt; K$14,D127,IF(ROW(D127) - K$15 -K$16 + 1 &lt; K$14,INDIRECT(ADDRESS(MOD(ROW(D127) - K$15, K$14) + K$15, COLUMN(D127))),""))</f>
        <v/>
      </c>
      <c r="L127" t="str" cm="1">
        <f t="array" aca="1" ref="L127" ca="1">IF(ROW(E127)-L$15 &lt; L$14,E127,IF(ROW(E127) - L$15 -L$16 + 1 &lt; L$14,INDIRECT(ADDRESS(MOD(ROW(E127) - L$15, L$14) + L$15, COLUMN(E127))),""))</f>
        <v/>
      </c>
      <c r="N127" t="str" cm="1">
        <f t="array" aca="1" ref="N127" ca="1">IF(A127&lt;&gt;"", SUMPRODUCT((OFFSET(A127,0,0,H$16,1)=$T$24) +0),"")</f>
        <v/>
      </c>
      <c r="O127" t="str" cm="1">
        <f t="array" aca="1" ref="O127" ca="1">IF(B127&lt;&gt;"", SUMPRODUCT((OFFSET(B127,0,0,I$16,1)=$T$24) +0),"")</f>
        <v/>
      </c>
      <c r="P127" t="str" cm="1">
        <f t="array" aca="1" ref="P127" ca="1">IF(C127&lt;&gt;"", SUMPRODUCT((OFFSET(C127,0,0,J$16,1)=$T$24) +0),"")</f>
        <v/>
      </c>
      <c r="Q127" t="str" cm="1">
        <f t="array" aca="1" ref="Q127" ca="1">IF(D127&lt;&gt;"", SUMPRODUCT((OFFSET(D127,0,0,K$16,1)=$T$24) +0),"")</f>
        <v/>
      </c>
      <c r="R127" t="str" cm="1">
        <f t="array" aca="1" ref="R127" ca="1">IF(E127&lt;&gt;"", SUMPRODUCT((OFFSET(E127,0,0,L$16,1)=$T$24) +0),"")</f>
        <v/>
      </c>
      <c r="AB127">
        <f t="shared" si="25"/>
        <v>3</v>
      </c>
      <c r="AC127">
        <f t="shared" si="25"/>
        <v>2</v>
      </c>
      <c r="AD127">
        <f t="shared" si="25"/>
        <v>0</v>
      </c>
      <c r="AE127">
        <f t="shared" si="25"/>
        <v>1</v>
      </c>
      <c r="AF127">
        <f t="shared" si="25"/>
        <v>0</v>
      </c>
      <c r="AG127">
        <f t="shared" si="26"/>
        <v>6</v>
      </c>
      <c r="AH127">
        <f t="shared" ca="1" si="27"/>
        <v>0</v>
      </c>
      <c r="AI127">
        <f>IF(ROW($AA127) - $AA$51 &lt; ($H$16+1)^5, IF(AG127 &gt;= BaseBonus!$C$16, AG127*BaseBonus!$E$31, 0), "")</f>
        <v>5.6343214877554777</v>
      </c>
      <c r="AJ127">
        <f t="shared" ca="1" si="28"/>
        <v>0</v>
      </c>
      <c r="AK127" s="44"/>
    </row>
    <row r="128" spans="8:37" x14ac:dyDescent="0.3">
      <c r="H128" t="str" cm="1">
        <f t="array" aca="1" ref="H128" ca="1">IF(ROW(A128)-H$15 &lt; H$14,A128,IF(ROW(A128) - H$15 -H$16 + 1 &lt; H$14,INDIRECT(ADDRESS(MOD(ROW(A128) - H$15, H$14) + H$15, COLUMN(A128))),""))</f>
        <v/>
      </c>
      <c r="I128" t="str" cm="1">
        <f t="array" aca="1" ref="I128" ca="1">IF(ROW(B128)-I$15 &lt; I$14,B128,IF(ROW(B128) - I$15 -I$16 + 1 &lt; I$14,INDIRECT(ADDRESS(MOD(ROW(B128) - I$15, I$14) + I$15, COLUMN(B128))),""))</f>
        <v/>
      </c>
      <c r="J128" t="str" cm="1">
        <f t="array" aca="1" ref="J128" ca="1">IF(ROW(C128)-J$15 &lt; J$14,C128,IF(ROW(C128) - J$15 -J$16 + 1 &lt; J$14,INDIRECT(ADDRESS(MOD(ROW(C128) - J$15, J$14) + J$15, COLUMN(C128))),""))</f>
        <v/>
      </c>
      <c r="K128" t="str" cm="1">
        <f t="array" aca="1" ref="K128" ca="1">IF(ROW(D128)-K$15 &lt; K$14,D128,IF(ROW(D128) - K$15 -K$16 + 1 &lt; K$14,INDIRECT(ADDRESS(MOD(ROW(D128) - K$15, K$14) + K$15, COLUMN(D128))),""))</f>
        <v/>
      </c>
      <c r="L128" t="str" cm="1">
        <f t="array" aca="1" ref="L128" ca="1">IF(ROW(E128)-L$15 &lt; L$14,E128,IF(ROW(E128) - L$15 -L$16 + 1 &lt; L$14,INDIRECT(ADDRESS(MOD(ROW(E128) - L$15, L$14) + L$15, COLUMN(E128))),""))</f>
        <v/>
      </c>
      <c r="N128" t="str" cm="1">
        <f t="array" aca="1" ref="N128" ca="1">IF(A128&lt;&gt;"", SUMPRODUCT((OFFSET(A128,0,0,H$16,1)=$T$24) +0),"")</f>
        <v/>
      </c>
      <c r="O128" t="str" cm="1">
        <f t="array" aca="1" ref="O128" ca="1">IF(B128&lt;&gt;"", SUMPRODUCT((OFFSET(B128,0,0,I$16,1)=$T$24) +0),"")</f>
        <v/>
      </c>
      <c r="P128" t="str" cm="1">
        <f t="array" aca="1" ref="P128" ca="1">IF(C128&lt;&gt;"", SUMPRODUCT((OFFSET(C128,0,0,J$16,1)=$T$24) +0),"")</f>
        <v/>
      </c>
      <c r="Q128" t="str" cm="1">
        <f t="array" aca="1" ref="Q128" ca="1">IF(D128&lt;&gt;"", SUMPRODUCT((OFFSET(D128,0,0,K$16,1)=$T$24) +0),"")</f>
        <v/>
      </c>
      <c r="R128" t="str" cm="1">
        <f t="array" aca="1" ref="R128" ca="1">IF(E128&lt;&gt;"", SUMPRODUCT((OFFSET(E128,0,0,L$16,1)=$T$24) +0),"")</f>
        <v/>
      </c>
      <c r="AB128">
        <f t="shared" si="25"/>
        <v>0</v>
      </c>
      <c r="AC128">
        <f t="shared" si="25"/>
        <v>3</v>
      </c>
      <c r="AD128">
        <f t="shared" si="25"/>
        <v>0</v>
      </c>
      <c r="AE128">
        <f t="shared" si="25"/>
        <v>1</v>
      </c>
      <c r="AF128">
        <f t="shared" si="25"/>
        <v>0</v>
      </c>
      <c r="AG128">
        <f t="shared" si="26"/>
        <v>4</v>
      </c>
      <c r="AH128">
        <f t="shared" ca="1" si="27"/>
        <v>0</v>
      </c>
      <c r="AI128">
        <f>IF(ROW($AA128) - $AA$51 &lt; ($H$16+1)^5, IF(AG128 &gt;= BaseBonus!$C$16, AG128*BaseBonus!$E$31, 0), "")</f>
        <v>0</v>
      </c>
      <c r="AJ128">
        <f t="shared" ca="1" si="28"/>
        <v>0</v>
      </c>
      <c r="AK128" s="44"/>
    </row>
    <row r="129" spans="8:37" x14ac:dyDescent="0.3">
      <c r="H129" t="str" cm="1">
        <f t="array" aca="1" ref="H129" ca="1">IF(ROW(A129)-H$15 &lt; H$14,A129,IF(ROW(A129) - H$15 -H$16 + 1 &lt; H$14,INDIRECT(ADDRESS(MOD(ROW(A129) - H$15, H$14) + H$15, COLUMN(A129))),""))</f>
        <v/>
      </c>
      <c r="I129" t="str" cm="1">
        <f t="array" aca="1" ref="I129" ca="1">IF(ROW(B129)-I$15 &lt; I$14,B129,IF(ROW(B129) - I$15 -I$16 + 1 &lt; I$14,INDIRECT(ADDRESS(MOD(ROW(B129) - I$15, I$14) + I$15, COLUMN(B129))),""))</f>
        <v/>
      </c>
      <c r="J129" t="str" cm="1">
        <f t="array" aca="1" ref="J129" ca="1">IF(ROW(C129)-J$15 &lt; J$14,C129,IF(ROW(C129) - J$15 -J$16 + 1 &lt; J$14,INDIRECT(ADDRESS(MOD(ROW(C129) - J$15, J$14) + J$15, COLUMN(C129))),""))</f>
        <v/>
      </c>
      <c r="K129" t="str" cm="1">
        <f t="array" aca="1" ref="K129" ca="1">IF(ROW(D129)-K$15 &lt; K$14,D129,IF(ROW(D129) - K$15 -K$16 + 1 &lt; K$14,INDIRECT(ADDRESS(MOD(ROW(D129) - K$15, K$14) + K$15, COLUMN(D129))),""))</f>
        <v/>
      </c>
      <c r="L129" t="str" cm="1">
        <f t="array" aca="1" ref="L129" ca="1">IF(ROW(E129)-L$15 &lt; L$14,E129,IF(ROW(E129) - L$15 -L$16 + 1 &lt; L$14,INDIRECT(ADDRESS(MOD(ROW(E129) - L$15, L$14) + L$15, COLUMN(E129))),""))</f>
        <v/>
      </c>
      <c r="N129" t="str" cm="1">
        <f t="array" aca="1" ref="N129" ca="1">IF(A129&lt;&gt;"", SUMPRODUCT((OFFSET(A129,0,0,H$16,1)=$T$24) +0),"")</f>
        <v/>
      </c>
      <c r="O129" t="str" cm="1">
        <f t="array" aca="1" ref="O129" ca="1">IF(B129&lt;&gt;"", SUMPRODUCT((OFFSET(B129,0,0,I$16,1)=$T$24) +0),"")</f>
        <v/>
      </c>
      <c r="P129" t="str" cm="1">
        <f t="array" aca="1" ref="P129" ca="1">IF(C129&lt;&gt;"", SUMPRODUCT((OFFSET(C129,0,0,J$16,1)=$T$24) +0),"")</f>
        <v/>
      </c>
      <c r="Q129" t="str" cm="1">
        <f t="array" aca="1" ref="Q129" ca="1">IF(D129&lt;&gt;"", SUMPRODUCT((OFFSET(D129,0,0,K$16,1)=$T$24) +0),"")</f>
        <v/>
      </c>
      <c r="R129" t="str" cm="1">
        <f t="array" aca="1" ref="R129" ca="1">IF(E129&lt;&gt;"", SUMPRODUCT((OFFSET(E129,0,0,L$16,1)=$T$24) +0),"")</f>
        <v/>
      </c>
      <c r="AB129">
        <f t="shared" si="25"/>
        <v>1</v>
      </c>
      <c r="AC129">
        <f t="shared" si="25"/>
        <v>3</v>
      </c>
      <c r="AD129">
        <f t="shared" si="25"/>
        <v>0</v>
      </c>
      <c r="AE129">
        <f t="shared" si="25"/>
        <v>1</v>
      </c>
      <c r="AF129">
        <f t="shared" si="25"/>
        <v>0</v>
      </c>
      <c r="AG129">
        <f t="shared" si="26"/>
        <v>5</v>
      </c>
      <c r="AH129">
        <f t="shared" ca="1" si="27"/>
        <v>0</v>
      </c>
      <c r="AI129">
        <f>IF(ROW($AA129) - $AA$51 &lt; ($H$16+1)^5, IF(AG129 &gt;= BaseBonus!$C$16, AG129*BaseBonus!$E$31, 0), "")</f>
        <v>4.6952679064628979</v>
      </c>
      <c r="AJ129">
        <f t="shared" ca="1" si="28"/>
        <v>0</v>
      </c>
      <c r="AK129" s="44"/>
    </row>
    <row r="130" spans="8:37" x14ac:dyDescent="0.3">
      <c r="H130" t="str" cm="1">
        <f t="array" aca="1" ref="H130" ca="1">IF(ROW(A130)-H$15 &lt; H$14,A130,IF(ROW(A130) - H$15 -H$16 + 1 &lt; H$14,INDIRECT(ADDRESS(MOD(ROW(A130) - H$15, H$14) + H$15, COLUMN(A130))),""))</f>
        <v/>
      </c>
      <c r="I130" t="str" cm="1">
        <f t="array" aca="1" ref="I130" ca="1">IF(ROW(B130)-I$15 &lt; I$14,B130,IF(ROW(B130) - I$15 -I$16 + 1 &lt; I$14,INDIRECT(ADDRESS(MOD(ROW(B130) - I$15, I$14) + I$15, COLUMN(B130))),""))</f>
        <v/>
      </c>
      <c r="J130" t="str" cm="1">
        <f t="array" aca="1" ref="J130" ca="1">IF(ROW(C130)-J$15 &lt; J$14,C130,IF(ROW(C130) - J$15 -J$16 + 1 &lt; J$14,INDIRECT(ADDRESS(MOD(ROW(C130) - J$15, J$14) + J$15, COLUMN(C130))),""))</f>
        <v/>
      </c>
      <c r="K130" t="str" cm="1">
        <f t="array" aca="1" ref="K130" ca="1">IF(ROW(D130)-K$15 &lt; K$14,D130,IF(ROW(D130) - K$15 -K$16 + 1 &lt; K$14,INDIRECT(ADDRESS(MOD(ROW(D130) - K$15, K$14) + K$15, COLUMN(D130))),""))</f>
        <v/>
      </c>
      <c r="L130" t="str" cm="1">
        <f t="array" aca="1" ref="L130" ca="1">IF(ROW(E130)-L$15 &lt; L$14,E130,IF(ROW(E130) - L$15 -L$16 + 1 &lt; L$14,INDIRECT(ADDRESS(MOD(ROW(E130) - L$15, L$14) + L$15, COLUMN(E130))),""))</f>
        <v/>
      </c>
      <c r="N130" t="str" cm="1">
        <f t="array" aca="1" ref="N130" ca="1">IF(A130&lt;&gt;"", SUMPRODUCT((OFFSET(A130,0,0,H$16,1)=$T$24) +0),"")</f>
        <v/>
      </c>
      <c r="O130" t="str" cm="1">
        <f t="array" aca="1" ref="O130" ca="1">IF(B130&lt;&gt;"", SUMPRODUCT((OFFSET(B130,0,0,I$16,1)=$T$24) +0),"")</f>
        <v/>
      </c>
      <c r="P130" t="str" cm="1">
        <f t="array" aca="1" ref="P130" ca="1">IF(C130&lt;&gt;"", SUMPRODUCT((OFFSET(C130,0,0,J$16,1)=$T$24) +0),"")</f>
        <v/>
      </c>
      <c r="Q130" t="str" cm="1">
        <f t="array" aca="1" ref="Q130" ca="1">IF(D130&lt;&gt;"", SUMPRODUCT((OFFSET(D130,0,0,K$16,1)=$T$24) +0),"")</f>
        <v/>
      </c>
      <c r="R130" t="str" cm="1">
        <f t="array" aca="1" ref="R130" ca="1">IF(E130&lt;&gt;"", SUMPRODUCT((OFFSET(E130,0,0,L$16,1)=$T$24) +0),"")</f>
        <v/>
      </c>
      <c r="AB130">
        <f t="shared" si="25"/>
        <v>2</v>
      </c>
      <c r="AC130">
        <f t="shared" si="25"/>
        <v>3</v>
      </c>
      <c r="AD130">
        <f t="shared" si="25"/>
        <v>0</v>
      </c>
      <c r="AE130">
        <f t="shared" si="25"/>
        <v>1</v>
      </c>
      <c r="AF130">
        <f t="shared" si="25"/>
        <v>0</v>
      </c>
      <c r="AG130">
        <f t="shared" si="26"/>
        <v>6</v>
      </c>
      <c r="AH130">
        <f t="shared" ca="1" si="27"/>
        <v>0</v>
      </c>
      <c r="AI130">
        <f>IF(ROW($AA130) - $AA$51 &lt; ($H$16+1)^5, IF(AG130 &gt;= BaseBonus!$C$16, AG130*BaseBonus!$E$31, 0), "")</f>
        <v>5.6343214877554777</v>
      </c>
      <c r="AJ130">
        <f t="shared" ca="1" si="28"/>
        <v>0</v>
      </c>
      <c r="AK130" s="44"/>
    </row>
    <row r="131" spans="8:37" x14ac:dyDescent="0.3">
      <c r="H131" t="str" cm="1">
        <f t="array" aca="1" ref="H131" ca="1">IF(ROW(A131)-H$15 &lt; H$14,A131,IF(ROW(A131) - H$15 -H$16 + 1 &lt; H$14,INDIRECT(ADDRESS(MOD(ROW(A131) - H$15, H$14) + H$15, COLUMN(A131))),""))</f>
        <v/>
      </c>
      <c r="I131" t="str" cm="1">
        <f t="array" aca="1" ref="I131" ca="1">IF(ROW(B131)-I$15 &lt; I$14,B131,IF(ROW(B131) - I$15 -I$16 + 1 &lt; I$14,INDIRECT(ADDRESS(MOD(ROW(B131) - I$15, I$14) + I$15, COLUMN(B131))),""))</f>
        <v/>
      </c>
      <c r="J131" t="str" cm="1">
        <f t="array" aca="1" ref="J131" ca="1">IF(ROW(C131)-J$15 &lt; J$14,C131,IF(ROW(C131) - J$15 -J$16 + 1 &lt; J$14,INDIRECT(ADDRESS(MOD(ROW(C131) - J$15, J$14) + J$15, COLUMN(C131))),""))</f>
        <v/>
      </c>
      <c r="K131" t="str" cm="1">
        <f t="array" aca="1" ref="K131" ca="1">IF(ROW(D131)-K$15 &lt; K$14,D131,IF(ROW(D131) - K$15 -K$16 + 1 &lt; K$14,INDIRECT(ADDRESS(MOD(ROW(D131) - K$15, K$14) + K$15, COLUMN(D131))),""))</f>
        <v/>
      </c>
      <c r="L131" t="str" cm="1">
        <f t="array" aca="1" ref="L131" ca="1">IF(ROW(E131)-L$15 &lt; L$14,E131,IF(ROW(E131) - L$15 -L$16 + 1 &lt; L$14,INDIRECT(ADDRESS(MOD(ROW(E131) - L$15, L$14) + L$15, COLUMN(E131))),""))</f>
        <v/>
      </c>
      <c r="N131" t="str" cm="1">
        <f t="array" aca="1" ref="N131" ca="1">IF(A131&lt;&gt;"", SUMPRODUCT((OFFSET(A131,0,0,H$16,1)=$T$24) +0),"")</f>
        <v/>
      </c>
      <c r="O131" t="str" cm="1">
        <f t="array" aca="1" ref="O131" ca="1">IF(B131&lt;&gt;"", SUMPRODUCT((OFFSET(B131,0,0,I$16,1)=$T$24) +0),"")</f>
        <v/>
      </c>
      <c r="P131" t="str" cm="1">
        <f t="array" aca="1" ref="P131" ca="1">IF(C131&lt;&gt;"", SUMPRODUCT((OFFSET(C131,0,0,J$16,1)=$T$24) +0),"")</f>
        <v/>
      </c>
      <c r="Q131" t="str" cm="1">
        <f t="array" aca="1" ref="Q131" ca="1">IF(D131&lt;&gt;"", SUMPRODUCT((OFFSET(D131,0,0,K$16,1)=$T$24) +0),"")</f>
        <v/>
      </c>
      <c r="R131" t="str" cm="1">
        <f t="array" aca="1" ref="R131" ca="1">IF(E131&lt;&gt;"", SUMPRODUCT((OFFSET(E131,0,0,L$16,1)=$T$24) +0),"")</f>
        <v/>
      </c>
      <c r="AB131">
        <f t="shared" si="25"/>
        <v>3</v>
      </c>
      <c r="AC131">
        <f t="shared" si="25"/>
        <v>3</v>
      </c>
      <c r="AD131">
        <f t="shared" si="25"/>
        <v>0</v>
      </c>
      <c r="AE131">
        <f t="shared" si="25"/>
        <v>1</v>
      </c>
      <c r="AF131">
        <f t="shared" si="25"/>
        <v>0</v>
      </c>
      <c r="AG131">
        <f t="shared" si="26"/>
        <v>7</v>
      </c>
      <c r="AH131">
        <f t="shared" ca="1" si="27"/>
        <v>0</v>
      </c>
      <c r="AI131">
        <f>IF(ROW($AA131) - $AA$51 &lt; ($H$16+1)^5, IF(AG131 &gt;= BaseBonus!$C$16, AG131*BaseBonus!$E$31, 0), "")</f>
        <v>6.5733750690480575</v>
      </c>
      <c r="AJ131">
        <f t="shared" ca="1" si="28"/>
        <v>0</v>
      </c>
      <c r="AK131" s="44"/>
    </row>
    <row r="132" spans="8:37" x14ac:dyDescent="0.3">
      <c r="H132" t="str" cm="1">
        <f t="array" aca="1" ref="H132" ca="1">IF(ROW(A132)-H$15 &lt; H$14,A132,IF(ROW(A132) - H$15 -H$16 + 1 &lt; H$14,INDIRECT(ADDRESS(MOD(ROW(A132) - H$15, H$14) + H$15, COLUMN(A132))),""))</f>
        <v/>
      </c>
      <c r="I132" t="str" cm="1">
        <f t="array" aca="1" ref="I132" ca="1">IF(ROW(B132)-I$15 &lt; I$14,B132,IF(ROW(B132) - I$15 -I$16 + 1 &lt; I$14,INDIRECT(ADDRESS(MOD(ROW(B132) - I$15, I$14) + I$15, COLUMN(B132))),""))</f>
        <v/>
      </c>
      <c r="J132" t="str" cm="1">
        <f t="array" aca="1" ref="J132" ca="1">IF(ROW(C132)-J$15 &lt; J$14,C132,IF(ROW(C132) - J$15 -J$16 + 1 &lt; J$14,INDIRECT(ADDRESS(MOD(ROW(C132) - J$15, J$14) + J$15, COLUMN(C132))),""))</f>
        <v/>
      </c>
      <c r="K132" t="str" cm="1">
        <f t="array" aca="1" ref="K132" ca="1">IF(ROW(D132)-K$15 &lt; K$14,D132,IF(ROW(D132) - K$15 -K$16 + 1 &lt; K$14,INDIRECT(ADDRESS(MOD(ROW(D132) - K$15, K$14) + K$15, COLUMN(D132))),""))</f>
        <v/>
      </c>
      <c r="L132" t="str" cm="1">
        <f t="array" aca="1" ref="L132" ca="1">IF(ROW(E132)-L$15 &lt; L$14,E132,IF(ROW(E132) - L$15 -L$16 + 1 &lt; L$14,INDIRECT(ADDRESS(MOD(ROW(E132) - L$15, L$14) + L$15, COLUMN(E132))),""))</f>
        <v/>
      </c>
      <c r="N132" t="str" cm="1">
        <f t="array" aca="1" ref="N132" ca="1">IF(A132&lt;&gt;"", SUMPRODUCT((OFFSET(A132,0,0,H$16,1)=$T$24) +0),"")</f>
        <v/>
      </c>
      <c r="O132" t="str" cm="1">
        <f t="array" aca="1" ref="O132" ca="1">IF(B132&lt;&gt;"", SUMPRODUCT((OFFSET(B132,0,0,I$16,1)=$T$24) +0),"")</f>
        <v/>
      </c>
      <c r="P132" t="str" cm="1">
        <f t="array" aca="1" ref="P132" ca="1">IF(C132&lt;&gt;"", SUMPRODUCT((OFFSET(C132,0,0,J$16,1)=$T$24) +0),"")</f>
        <v/>
      </c>
      <c r="Q132" t="str" cm="1">
        <f t="array" aca="1" ref="Q132" ca="1">IF(D132&lt;&gt;"", SUMPRODUCT((OFFSET(D132,0,0,K$16,1)=$T$24) +0),"")</f>
        <v/>
      </c>
      <c r="R132" t="str" cm="1">
        <f t="array" aca="1" ref="R132" ca="1">IF(E132&lt;&gt;"", SUMPRODUCT((OFFSET(E132,0,0,L$16,1)=$T$24) +0),"")</f>
        <v/>
      </c>
      <c r="AB132">
        <f t="shared" si="25"/>
        <v>0</v>
      </c>
      <c r="AC132">
        <f t="shared" si="25"/>
        <v>0</v>
      </c>
      <c r="AD132">
        <f t="shared" si="25"/>
        <v>1</v>
      </c>
      <c r="AE132">
        <f t="shared" si="25"/>
        <v>1</v>
      </c>
      <c r="AF132">
        <f t="shared" si="25"/>
        <v>0</v>
      </c>
      <c r="AG132">
        <f t="shared" si="26"/>
        <v>2</v>
      </c>
      <c r="AH132">
        <f t="shared" ca="1" si="27"/>
        <v>7.517034787179893E-3</v>
      </c>
      <c r="AI132">
        <f>IF(ROW($AA132) - $AA$51 &lt; ($H$16+1)^5, IF(AG132 &gt;= BaseBonus!$C$16, AG132*BaseBonus!$E$31, 0), "")</f>
        <v>0</v>
      </c>
      <c r="AJ132">
        <f t="shared" ca="1" si="28"/>
        <v>0</v>
      </c>
      <c r="AK132" s="44"/>
    </row>
    <row r="133" spans="8:37" x14ac:dyDescent="0.3">
      <c r="H133" t="str" cm="1">
        <f t="array" aca="1" ref="H133" ca="1">IF(ROW(A133)-H$15 &lt; H$14,A133,IF(ROW(A133) - H$15 -H$16 + 1 &lt; H$14,INDIRECT(ADDRESS(MOD(ROW(A133) - H$15, H$14) + H$15, COLUMN(A133))),""))</f>
        <v/>
      </c>
      <c r="I133" t="str" cm="1">
        <f t="array" aca="1" ref="I133" ca="1">IF(ROW(B133)-I$15 &lt; I$14,B133,IF(ROW(B133) - I$15 -I$16 + 1 &lt; I$14,INDIRECT(ADDRESS(MOD(ROW(B133) - I$15, I$14) + I$15, COLUMN(B133))),""))</f>
        <v/>
      </c>
      <c r="J133" t="str" cm="1">
        <f t="array" aca="1" ref="J133" ca="1">IF(ROW(C133)-J$15 &lt; J$14,C133,IF(ROW(C133) - J$15 -J$16 + 1 &lt; J$14,INDIRECT(ADDRESS(MOD(ROW(C133) - J$15, J$14) + J$15, COLUMN(C133))),""))</f>
        <v/>
      </c>
      <c r="K133" t="str" cm="1">
        <f t="array" aca="1" ref="K133" ca="1">IF(ROW(D133)-K$15 &lt; K$14,D133,IF(ROW(D133) - K$15 -K$16 + 1 &lt; K$14,INDIRECT(ADDRESS(MOD(ROW(D133) - K$15, K$14) + K$15, COLUMN(D133))),""))</f>
        <v/>
      </c>
      <c r="L133" t="str" cm="1">
        <f t="array" aca="1" ref="L133" ca="1">IF(ROW(E133)-L$15 &lt; L$14,E133,IF(ROW(E133) - L$15 -L$16 + 1 &lt; L$14,INDIRECT(ADDRESS(MOD(ROW(E133) - L$15, L$14) + L$15, COLUMN(E133))),""))</f>
        <v/>
      </c>
      <c r="N133" t="str" cm="1">
        <f t="array" aca="1" ref="N133" ca="1">IF(A133&lt;&gt;"", SUMPRODUCT((OFFSET(A133,0,0,H$16,1)=$T$24) +0),"")</f>
        <v/>
      </c>
      <c r="O133" t="str" cm="1">
        <f t="array" aca="1" ref="O133" ca="1">IF(B133&lt;&gt;"", SUMPRODUCT((OFFSET(B133,0,0,I$16,1)=$T$24) +0),"")</f>
        <v/>
      </c>
      <c r="P133" t="str" cm="1">
        <f t="array" aca="1" ref="P133" ca="1">IF(C133&lt;&gt;"", SUMPRODUCT((OFFSET(C133,0,0,J$16,1)=$T$24) +0),"")</f>
        <v/>
      </c>
      <c r="Q133" t="str" cm="1">
        <f t="array" aca="1" ref="Q133" ca="1">IF(D133&lt;&gt;"", SUMPRODUCT((OFFSET(D133,0,0,K$16,1)=$T$24) +0),"")</f>
        <v/>
      </c>
      <c r="R133" t="str" cm="1">
        <f t="array" aca="1" ref="R133" ca="1">IF(E133&lt;&gt;"", SUMPRODUCT((OFFSET(E133,0,0,L$16,1)=$T$24) +0),"")</f>
        <v/>
      </c>
      <c r="AB133">
        <f t="shared" si="25"/>
        <v>1</v>
      </c>
      <c r="AC133">
        <f t="shared" si="25"/>
        <v>0</v>
      </c>
      <c r="AD133">
        <f t="shared" si="25"/>
        <v>1</v>
      </c>
      <c r="AE133">
        <f t="shared" si="25"/>
        <v>1</v>
      </c>
      <c r="AF133">
        <f t="shared" si="25"/>
        <v>0</v>
      </c>
      <c r="AG133">
        <f t="shared" si="26"/>
        <v>3</v>
      </c>
      <c r="AH133">
        <f t="shared" ca="1" si="27"/>
        <v>1.3073103977704165E-3</v>
      </c>
      <c r="AI133">
        <f>IF(ROW($AA133) - $AA$51 &lt; ($H$16+1)^5, IF(AG133 &gt;= BaseBonus!$C$16, AG133*BaseBonus!$E$31, 0), "")</f>
        <v>0</v>
      </c>
      <c r="AJ133">
        <f t="shared" ca="1" si="28"/>
        <v>0</v>
      </c>
      <c r="AK133" s="44"/>
    </row>
    <row r="134" spans="8:37" x14ac:dyDescent="0.3">
      <c r="H134" t="str" cm="1">
        <f t="array" aca="1" ref="H134" ca="1">IF(ROW(A134)-H$15 &lt; H$14,A134,IF(ROW(A134) - H$15 -H$16 + 1 &lt; H$14,INDIRECT(ADDRESS(MOD(ROW(A134) - H$15, H$14) + H$15, COLUMN(A134))),""))</f>
        <v/>
      </c>
      <c r="I134" t="str" cm="1">
        <f t="array" aca="1" ref="I134" ca="1">IF(ROW(B134)-I$15 &lt; I$14,B134,IF(ROW(B134) - I$15 -I$16 + 1 &lt; I$14,INDIRECT(ADDRESS(MOD(ROW(B134) - I$15, I$14) + I$15, COLUMN(B134))),""))</f>
        <v/>
      </c>
      <c r="J134" t="str" cm="1">
        <f t="array" aca="1" ref="J134" ca="1">IF(ROW(C134)-J$15 &lt; J$14,C134,IF(ROW(C134) - J$15 -J$16 + 1 &lt; J$14,INDIRECT(ADDRESS(MOD(ROW(C134) - J$15, J$14) + J$15, COLUMN(C134))),""))</f>
        <v/>
      </c>
      <c r="K134" t="str" cm="1">
        <f t="array" aca="1" ref="K134" ca="1">IF(ROW(D134)-K$15 &lt; K$14,D134,IF(ROW(D134) - K$15 -K$16 + 1 &lt; K$14,INDIRECT(ADDRESS(MOD(ROW(D134) - K$15, K$14) + K$15, COLUMN(D134))),""))</f>
        <v/>
      </c>
      <c r="L134" t="str" cm="1">
        <f t="array" aca="1" ref="L134" ca="1">IF(ROW(E134)-L$15 &lt; L$14,E134,IF(ROW(E134) - L$15 -L$16 + 1 &lt; L$14,INDIRECT(ADDRESS(MOD(ROW(E134) - L$15, L$14) + L$15, COLUMN(E134))),""))</f>
        <v/>
      </c>
      <c r="N134" t="str" cm="1">
        <f t="array" aca="1" ref="N134" ca="1">IF(A134&lt;&gt;"", SUMPRODUCT((OFFSET(A134,0,0,H$16,1)=$T$24) +0),"")</f>
        <v/>
      </c>
      <c r="O134" t="str" cm="1">
        <f t="array" aca="1" ref="O134" ca="1">IF(B134&lt;&gt;"", SUMPRODUCT((OFFSET(B134,0,0,I$16,1)=$T$24) +0),"")</f>
        <v/>
      </c>
      <c r="P134" t="str" cm="1">
        <f t="array" aca="1" ref="P134" ca="1">IF(C134&lt;&gt;"", SUMPRODUCT((OFFSET(C134,0,0,J$16,1)=$T$24) +0),"")</f>
        <v/>
      </c>
      <c r="Q134" t="str" cm="1">
        <f t="array" aca="1" ref="Q134" ca="1">IF(D134&lt;&gt;"", SUMPRODUCT((OFFSET(D134,0,0,K$16,1)=$T$24) +0),"")</f>
        <v/>
      </c>
      <c r="R134" t="str" cm="1">
        <f t="array" aca="1" ref="R134" ca="1">IF(E134&lt;&gt;"", SUMPRODUCT((OFFSET(E134,0,0,L$16,1)=$T$24) +0),"")</f>
        <v/>
      </c>
      <c r="AB134">
        <f t="shared" si="25"/>
        <v>2</v>
      </c>
      <c r="AC134">
        <f t="shared" si="25"/>
        <v>0</v>
      </c>
      <c r="AD134">
        <f t="shared" si="25"/>
        <v>1</v>
      </c>
      <c r="AE134">
        <f t="shared" si="25"/>
        <v>1</v>
      </c>
      <c r="AF134">
        <f t="shared" si="25"/>
        <v>0</v>
      </c>
      <c r="AG134">
        <f t="shared" si="26"/>
        <v>4</v>
      </c>
      <c r="AH134">
        <f t="shared" ca="1" si="27"/>
        <v>0</v>
      </c>
      <c r="AI134">
        <f>IF(ROW($AA134) - $AA$51 &lt; ($H$16+1)^5, IF(AG134 &gt;= BaseBonus!$C$16, AG134*BaseBonus!$E$31, 0), "")</f>
        <v>0</v>
      </c>
      <c r="AJ134">
        <f t="shared" ca="1" si="28"/>
        <v>0</v>
      </c>
      <c r="AK134" s="44"/>
    </row>
    <row r="135" spans="8:37" x14ac:dyDescent="0.3">
      <c r="H135" t="str" cm="1">
        <f t="array" aca="1" ref="H135" ca="1">IF(ROW(A135)-H$15 &lt; H$14,A135,IF(ROW(A135) - H$15 -H$16 + 1 &lt; H$14,INDIRECT(ADDRESS(MOD(ROW(A135) - H$15, H$14) + H$15, COLUMN(A135))),""))</f>
        <v/>
      </c>
      <c r="I135" t="str" cm="1">
        <f t="array" aca="1" ref="I135" ca="1">IF(ROW(B135)-I$15 &lt; I$14,B135,IF(ROW(B135) - I$15 -I$16 + 1 &lt; I$14,INDIRECT(ADDRESS(MOD(ROW(B135) - I$15, I$14) + I$15, COLUMN(B135))),""))</f>
        <v/>
      </c>
      <c r="J135" t="str" cm="1">
        <f t="array" aca="1" ref="J135" ca="1">IF(ROW(C135)-J$15 &lt; J$14,C135,IF(ROW(C135) - J$15 -J$16 + 1 &lt; J$14,INDIRECT(ADDRESS(MOD(ROW(C135) - J$15, J$14) + J$15, COLUMN(C135))),""))</f>
        <v/>
      </c>
      <c r="K135" t="str" cm="1">
        <f t="array" aca="1" ref="K135" ca="1">IF(ROW(D135)-K$15 &lt; K$14,D135,IF(ROW(D135) - K$15 -K$16 + 1 &lt; K$14,INDIRECT(ADDRESS(MOD(ROW(D135) - K$15, K$14) + K$15, COLUMN(D135))),""))</f>
        <v/>
      </c>
      <c r="L135" t="str" cm="1">
        <f t="array" aca="1" ref="L135" ca="1">IF(ROW(E135)-L$15 &lt; L$14,E135,IF(ROW(E135) - L$15 -L$16 + 1 &lt; L$14,INDIRECT(ADDRESS(MOD(ROW(E135) - L$15, L$14) + L$15, COLUMN(E135))),""))</f>
        <v/>
      </c>
      <c r="N135" t="str" cm="1">
        <f t="array" aca="1" ref="N135" ca="1">IF(A135&lt;&gt;"", SUMPRODUCT((OFFSET(A135,0,0,H$16,1)=$T$24) +0),"")</f>
        <v/>
      </c>
      <c r="O135" t="str" cm="1">
        <f t="array" aca="1" ref="O135" ca="1">IF(B135&lt;&gt;"", SUMPRODUCT((OFFSET(B135,0,0,I$16,1)=$T$24) +0),"")</f>
        <v/>
      </c>
      <c r="P135" t="str" cm="1">
        <f t="array" aca="1" ref="P135" ca="1">IF(C135&lt;&gt;"", SUMPRODUCT((OFFSET(C135,0,0,J$16,1)=$T$24) +0),"")</f>
        <v/>
      </c>
      <c r="Q135" t="str" cm="1">
        <f t="array" aca="1" ref="Q135" ca="1">IF(D135&lt;&gt;"", SUMPRODUCT((OFFSET(D135,0,0,K$16,1)=$T$24) +0),"")</f>
        <v/>
      </c>
      <c r="R135" t="str" cm="1">
        <f t="array" aca="1" ref="R135" ca="1">IF(E135&lt;&gt;"", SUMPRODUCT((OFFSET(E135,0,0,L$16,1)=$T$24) +0),"")</f>
        <v/>
      </c>
      <c r="AB135">
        <f t="shared" si="25"/>
        <v>3</v>
      </c>
      <c r="AC135">
        <f t="shared" si="25"/>
        <v>0</v>
      </c>
      <c r="AD135">
        <f t="shared" si="25"/>
        <v>1</v>
      </c>
      <c r="AE135">
        <f t="shared" si="25"/>
        <v>1</v>
      </c>
      <c r="AF135">
        <f t="shared" si="25"/>
        <v>0</v>
      </c>
      <c r="AG135">
        <f t="shared" si="26"/>
        <v>5</v>
      </c>
      <c r="AH135">
        <f t="shared" ca="1" si="27"/>
        <v>0</v>
      </c>
      <c r="AI135">
        <f>IF(ROW($AA135) - $AA$51 &lt; ($H$16+1)^5, IF(AG135 &gt;= BaseBonus!$C$16, AG135*BaseBonus!$E$31, 0), "")</f>
        <v>4.6952679064628979</v>
      </c>
      <c r="AJ135">
        <f t="shared" ca="1" si="28"/>
        <v>0</v>
      </c>
      <c r="AK135" s="44"/>
    </row>
    <row r="136" spans="8:37" x14ac:dyDescent="0.3">
      <c r="H136" t="str" cm="1">
        <f t="array" aca="1" ref="H136" ca="1">IF(ROW(A136)-H$15 &lt; H$14,A136,IF(ROW(A136) - H$15 -H$16 + 1 &lt; H$14,INDIRECT(ADDRESS(MOD(ROW(A136) - H$15, H$14) + H$15, COLUMN(A136))),""))</f>
        <v/>
      </c>
      <c r="I136" t="str" cm="1">
        <f t="array" aca="1" ref="I136" ca="1">IF(ROW(B136)-I$15 &lt; I$14,B136,IF(ROW(B136) - I$15 -I$16 + 1 &lt; I$14,INDIRECT(ADDRESS(MOD(ROW(B136) - I$15, I$14) + I$15, COLUMN(B136))),""))</f>
        <v/>
      </c>
      <c r="J136" t="str" cm="1">
        <f t="array" aca="1" ref="J136" ca="1">IF(ROW(C136)-J$15 &lt; J$14,C136,IF(ROW(C136) - J$15 -J$16 + 1 &lt; J$14,INDIRECT(ADDRESS(MOD(ROW(C136) - J$15, J$14) + J$15, COLUMN(C136))),""))</f>
        <v/>
      </c>
      <c r="K136" t="str" cm="1">
        <f t="array" aca="1" ref="K136" ca="1">IF(ROW(D136)-K$15 &lt; K$14,D136,IF(ROW(D136) - K$15 -K$16 + 1 &lt; K$14,INDIRECT(ADDRESS(MOD(ROW(D136) - K$15, K$14) + K$15, COLUMN(D136))),""))</f>
        <v/>
      </c>
      <c r="L136" t="str" cm="1">
        <f t="array" aca="1" ref="L136" ca="1">IF(ROW(E136)-L$15 &lt; L$14,E136,IF(ROW(E136) - L$15 -L$16 + 1 &lt; L$14,INDIRECT(ADDRESS(MOD(ROW(E136) - L$15, L$14) + L$15, COLUMN(E136))),""))</f>
        <v/>
      </c>
      <c r="N136" t="str" cm="1">
        <f t="array" aca="1" ref="N136" ca="1">IF(A136&lt;&gt;"", SUMPRODUCT((OFFSET(A136,0,0,H$16,1)=$T$24) +0),"")</f>
        <v/>
      </c>
      <c r="O136" t="str" cm="1">
        <f t="array" aca="1" ref="O136" ca="1">IF(B136&lt;&gt;"", SUMPRODUCT((OFFSET(B136,0,0,I$16,1)=$T$24) +0),"")</f>
        <v/>
      </c>
      <c r="P136" t="str" cm="1">
        <f t="array" aca="1" ref="P136" ca="1">IF(C136&lt;&gt;"", SUMPRODUCT((OFFSET(C136,0,0,J$16,1)=$T$24) +0),"")</f>
        <v/>
      </c>
      <c r="Q136" t="str" cm="1">
        <f t="array" aca="1" ref="Q136" ca="1">IF(D136&lt;&gt;"", SUMPRODUCT((OFFSET(D136,0,0,K$16,1)=$T$24) +0),"")</f>
        <v/>
      </c>
      <c r="R136" t="str" cm="1">
        <f t="array" aca="1" ref="R136" ca="1">IF(E136&lt;&gt;"", SUMPRODUCT((OFFSET(E136,0,0,L$16,1)=$T$24) +0),"")</f>
        <v/>
      </c>
      <c r="AB136">
        <f t="shared" si="25"/>
        <v>0</v>
      </c>
      <c r="AC136">
        <f t="shared" si="25"/>
        <v>1</v>
      </c>
      <c r="AD136">
        <f t="shared" si="25"/>
        <v>1</v>
      </c>
      <c r="AE136">
        <f t="shared" si="25"/>
        <v>1</v>
      </c>
      <c r="AF136">
        <f t="shared" si="25"/>
        <v>0</v>
      </c>
      <c r="AG136">
        <f t="shared" si="26"/>
        <v>3</v>
      </c>
      <c r="AH136">
        <f t="shared" ca="1" si="27"/>
        <v>9.9490166300910364E-4</v>
      </c>
      <c r="AI136">
        <f>IF(ROW($AA136) - $AA$51 &lt; ($H$16+1)^5, IF(AG136 &gt;= BaseBonus!$C$16, AG136*BaseBonus!$E$31, 0), "")</f>
        <v>0</v>
      </c>
      <c r="AJ136">
        <f t="shared" ca="1" si="28"/>
        <v>0</v>
      </c>
      <c r="AK136" s="44"/>
    </row>
    <row r="137" spans="8:37" x14ac:dyDescent="0.3">
      <c r="H137" t="str" cm="1">
        <f t="array" aca="1" ref="H137" ca="1">IF(ROW(A137)-H$15 &lt; H$14,A137,IF(ROW(A137) - H$15 -H$16 + 1 &lt; H$14,INDIRECT(ADDRESS(MOD(ROW(A137) - H$15, H$14) + H$15, COLUMN(A137))),""))</f>
        <v/>
      </c>
      <c r="I137" t="str" cm="1">
        <f t="array" aca="1" ref="I137" ca="1">IF(ROW(B137)-I$15 &lt; I$14,B137,IF(ROW(B137) - I$15 -I$16 + 1 &lt; I$14,INDIRECT(ADDRESS(MOD(ROW(B137) - I$15, I$14) + I$15, COLUMN(B137))),""))</f>
        <v/>
      </c>
      <c r="J137" t="str" cm="1">
        <f t="array" aca="1" ref="J137" ca="1">IF(ROW(C137)-J$15 &lt; J$14,C137,IF(ROW(C137) - J$15 -J$16 + 1 &lt; J$14,INDIRECT(ADDRESS(MOD(ROW(C137) - J$15, J$14) + J$15, COLUMN(C137))),""))</f>
        <v/>
      </c>
      <c r="K137" t="str" cm="1">
        <f t="array" aca="1" ref="K137" ca="1">IF(ROW(D137)-K$15 &lt; K$14,D137,IF(ROW(D137) - K$15 -K$16 + 1 &lt; K$14,INDIRECT(ADDRESS(MOD(ROW(D137) - K$15, K$14) + K$15, COLUMN(D137))),""))</f>
        <v/>
      </c>
      <c r="L137" t="str" cm="1">
        <f t="array" aca="1" ref="L137" ca="1">IF(ROW(E137)-L$15 &lt; L$14,E137,IF(ROW(E137) - L$15 -L$16 + 1 &lt; L$14,INDIRECT(ADDRESS(MOD(ROW(E137) - L$15, L$14) + L$15, COLUMN(E137))),""))</f>
        <v/>
      </c>
      <c r="N137" t="str" cm="1">
        <f t="array" aca="1" ref="N137" ca="1">IF(A137&lt;&gt;"", SUMPRODUCT((OFFSET(A137,0,0,H$16,1)=$T$24) +0),"")</f>
        <v/>
      </c>
      <c r="O137" t="str" cm="1">
        <f t="array" aca="1" ref="O137" ca="1">IF(B137&lt;&gt;"", SUMPRODUCT((OFFSET(B137,0,0,I$16,1)=$T$24) +0),"")</f>
        <v/>
      </c>
      <c r="P137" t="str" cm="1">
        <f t="array" aca="1" ref="P137" ca="1">IF(C137&lt;&gt;"", SUMPRODUCT((OFFSET(C137,0,0,J$16,1)=$T$24) +0),"")</f>
        <v/>
      </c>
      <c r="Q137" t="str" cm="1">
        <f t="array" aca="1" ref="Q137" ca="1">IF(D137&lt;&gt;"", SUMPRODUCT((OFFSET(D137,0,0,K$16,1)=$T$24) +0),"")</f>
        <v/>
      </c>
      <c r="R137" t="str" cm="1">
        <f t="array" aca="1" ref="R137" ca="1">IF(E137&lt;&gt;"", SUMPRODUCT((OFFSET(E137,0,0,L$16,1)=$T$24) +0),"")</f>
        <v/>
      </c>
      <c r="AB137">
        <f t="shared" si="25"/>
        <v>1</v>
      </c>
      <c r="AC137">
        <f t="shared" si="25"/>
        <v>1</v>
      </c>
      <c r="AD137">
        <f t="shared" si="25"/>
        <v>1</v>
      </c>
      <c r="AE137">
        <f t="shared" si="25"/>
        <v>1</v>
      </c>
      <c r="AF137">
        <f t="shared" si="25"/>
        <v>0</v>
      </c>
      <c r="AG137">
        <f t="shared" si="26"/>
        <v>4</v>
      </c>
      <c r="AH137">
        <f t="shared" ca="1" si="27"/>
        <v>1.730263761754963E-4</v>
      </c>
      <c r="AI137">
        <f>IF(ROW($AA137) - $AA$51 &lt; ($H$16+1)^5, IF(AG137 &gt;= BaseBonus!$C$16, AG137*BaseBonus!$E$31, 0), "")</f>
        <v>0</v>
      </c>
      <c r="AJ137">
        <f t="shared" ca="1" si="28"/>
        <v>0</v>
      </c>
      <c r="AK137" s="44"/>
    </row>
    <row r="138" spans="8:37" x14ac:dyDescent="0.3">
      <c r="H138" t="str" cm="1">
        <f t="array" aca="1" ref="H138" ca="1">IF(ROW(A138)-H$15 &lt; H$14,A138,IF(ROW(A138) - H$15 -H$16 + 1 &lt; H$14,INDIRECT(ADDRESS(MOD(ROW(A138) - H$15, H$14) + H$15, COLUMN(A138))),""))</f>
        <v/>
      </c>
      <c r="I138" t="str" cm="1">
        <f t="array" aca="1" ref="I138" ca="1">IF(ROW(B138)-I$15 &lt; I$14,B138,IF(ROW(B138) - I$15 -I$16 + 1 &lt; I$14,INDIRECT(ADDRESS(MOD(ROW(B138) - I$15, I$14) + I$15, COLUMN(B138))),""))</f>
        <v/>
      </c>
      <c r="J138" t="str" cm="1">
        <f t="array" aca="1" ref="J138" ca="1">IF(ROW(C138)-J$15 &lt; J$14,C138,IF(ROW(C138) - J$15 -J$16 + 1 &lt; J$14,INDIRECT(ADDRESS(MOD(ROW(C138) - J$15, J$14) + J$15, COLUMN(C138))),""))</f>
        <v/>
      </c>
      <c r="K138" t="str" cm="1">
        <f t="array" aca="1" ref="K138" ca="1">IF(ROW(D138)-K$15 &lt; K$14,D138,IF(ROW(D138) - K$15 -K$16 + 1 &lt; K$14,INDIRECT(ADDRESS(MOD(ROW(D138) - K$15, K$14) + K$15, COLUMN(D138))),""))</f>
        <v/>
      </c>
      <c r="L138" t="str" cm="1">
        <f t="array" aca="1" ref="L138" ca="1">IF(ROW(E138)-L$15 &lt; L$14,E138,IF(ROW(E138) - L$15 -L$16 + 1 &lt; L$14,INDIRECT(ADDRESS(MOD(ROW(E138) - L$15, L$14) + L$15, COLUMN(E138))),""))</f>
        <v/>
      </c>
      <c r="N138" t="str" cm="1">
        <f t="array" aca="1" ref="N138" ca="1">IF(A138&lt;&gt;"", SUMPRODUCT((OFFSET(A138,0,0,H$16,1)=$T$24) +0),"")</f>
        <v/>
      </c>
      <c r="O138" t="str" cm="1">
        <f t="array" aca="1" ref="O138" ca="1">IF(B138&lt;&gt;"", SUMPRODUCT((OFFSET(B138,0,0,I$16,1)=$T$24) +0),"")</f>
        <v/>
      </c>
      <c r="P138" t="str" cm="1">
        <f t="array" aca="1" ref="P138" ca="1">IF(C138&lt;&gt;"", SUMPRODUCT((OFFSET(C138,0,0,J$16,1)=$T$24) +0),"")</f>
        <v/>
      </c>
      <c r="Q138" t="str" cm="1">
        <f t="array" aca="1" ref="Q138" ca="1">IF(D138&lt;&gt;"", SUMPRODUCT((OFFSET(D138,0,0,K$16,1)=$T$24) +0),"")</f>
        <v/>
      </c>
      <c r="R138" t="str" cm="1">
        <f t="array" aca="1" ref="R138" ca="1">IF(E138&lt;&gt;"", SUMPRODUCT((OFFSET(E138,0,0,L$16,1)=$T$24) +0),"")</f>
        <v/>
      </c>
      <c r="AB138">
        <f t="shared" si="25"/>
        <v>2</v>
      </c>
      <c r="AC138">
        <f t="shared" si="25"/>
        <v>1</v>
      </c>
      <c r="AD138">
        <f t="shared" si="25"/>
        <v>1</v>
      </c>
      <c r="AE138">
        <f t="shared" si="25"/>
        <v>1</v>
      </c>
      <c r="AF138">
        <f t="shared" si="25"/>
        <v>0</v>
      </c>
      <c r="AG138">
        <f t="shared" si="26"/>
        <v>5</v>
      </c>
      <c r="AH138">
        <f t="shared" ca="1" si="27"/>
        <v>0</v>
      </c>
      <c r="AI138">
        <f>IF(ROW($AA138) - $AA$51 &lt; ($H$16+1)^5, IF(AG138 &gt;= BaseBonus!$C$16, AG138*BaseBonus!$E$31, 0), "")</f>
        <v>4.6952679064628979</v>
      </c>
      <c r="AJ138">
        <f t="shared" ca="1" si="28"/>
        <v>0</v>
      </c>
      <c r="AK138" s="44"/>
    </row>
    <row r="139" spans="8:37" x14ac:dyDescent="0.3">
      <c r="H139" t="str" cm="1">
        <f t="array" aca="1" ref="H139" ca="1">IF(ROW(A139)-H$15 &lt; H$14,A139,IF(ROW(A139) - H$15 -H$16 + 1 &lt; H$14,INDIRECT(ADDRESS(MOD(ROW(A139) - H$15, H$14) + H$15, COLUMN(A139))),""))</f>
        <v/>
      </c>
      <c r="I139" t="str" cm="1">
        <f t="array" aca="1" ref="I139" ca="1">IF(ROW(B139)-I$15 &lt; I$14,B139,IF(ROW(B139) - I$15 -I$16 + 1 &lt; I$14,INDIRECT(ADDRESS(MOD(ROW(B139) - I$15, I$14) + I$15, COLUMN(B139))),""))</f>
        <v/>
      </c>
      <c r="J139" t="str" cm="1">
        <f t="array" aca="1" ref="J139" ca="1">IF(ROW(C139)-J$15 &lt; J$14,C139,IF(ROW(C139) - J$15 -J$16 + 1 &lt; J$14,INDIRECT(ADDRESS(MOD(ROW(C139) - J$15, J$14) + J$15, COLUMN(C139))),""))</f>
        <v/>
      </c>
      <c r="K139" t="str" cm="1">
        <f t="array" aca="1" ref="K139" ca="1">IF(ROW(D139)-K$15 &lt; K$14,D139,IF(ROW(D139) - K$15 -K$16 + 1 &lt; K$14,INDIRECT(ADDRESS(MOD(ROW(D139) - K$15, K$14) + K$15, COLUMN(D139))),""))</f>
        <v/>
      </c>
      <c r="L139" t="str" cm="1">
        <f t="array" aca="1" ref="L139" ca="1">IF(ROW(E139)-L$15 &lt; L$14,E139,IF(ROW(E139) - L$15 -L$16 + 1 &lt; L$14,INDIRECT(ADDRESS(MOD(ROW(E139) - L$15, L$14) + L$15, COLUMN(E139))),""))</f>
        <v/>
      </c>
      <c r="N139" t="str" cm="1">
        <f t="array" aca="1" ref="N139" ca="1">IF(A139&lt;&gt;"", SUMPRODUCT((OFFSET(A139,0,0,H$16,1)=$T$24) +0),"")</f>
        <v/>
      </c>
      <c r="O139" t="str" cm="1">
        <f t="array" aca="1" ref="O139" ca="1">IF(B139&lt;&gt;"", SUMPRODUCT((OFFSET(B139,0,0,I$16,1)=$T$24) +0),"")</f>
        <v/>
      </c>
      <c r="P139" t="str" cm="1">
        <f t="array" aca="1" ref="P139" ca="1">IF(C139&lt;&gt;"", SUMPRODUCT((OFFSET(C139,0,0,J$16,1)=$T$24) +0),"")</f>
        <v/>
      </c>
      <c r="Q139" t="str" cm="1">
        <f t="array" aca="1" ref="Q139" ca="1">IF(D139&lt;&gt;"", SUMPRODUCT((OFFSET(D139,0,0,K$16,1)=$T$24) +0),"")</f>
        <v/>
      </c>
      <c r="R139" t="str" cm="1">
        <f t="array" aca="1" ref="R139" ca="1">IF(E139&lt;&gt;"", SUMPRODUCT((OFFSET(E139,0,0,L$16,1)=$T$24) +0),"")</f>
        <v/>
      </c>
      <c r="AB139">
        <f t="shared" si="25"/>
        <v>3</v>
      </c>
      <c r="AC139">
        <f t="shared" si="25"/>
        <v>1</v>
      </c>
      <c r="AD139">
        <f t="shared" si="25"/>
        <v>1</v>
      </c>
      <c r="AE139">
        <f t="shared" si="25"/>
        <v>1</v>
      </c>
      <c r="AF139">
        <f t="shared" si="25"/>
        <v>0</v>
      </c>
      <c r="AG139">
        <f t="shared" si="26"/>
        <v>6</v>
      </c>
      <c r="AH139">
        <f t="shared" ca="1" si="27"/>
        <v>0</v>
      </c>
      <c r="AI139">
        <f>IF(ROW($AA139) - $AA$51 &lt; ($H$16+1)^5, IF(AG139 &gt;= BaseBonus!$C$16, AG139*BaseBonus!$E$31, 0), "")</f>
        <v>5.6343214877554777</v>
      </c>
      <c r="AJ139">
        <f t="shared" ca="1" si="28"/>
        <v>0</v>
      </c>
      <c r="AK139" s="44"/>
    </row>
    <row r="140" spans="8:37" x14ac:dyDescent="0.3">
      <c r="H140" t="str" cm="1">
        <f t="array" aca="1" ref="H140" ca="1">IF(ROW(A140)-H$15 &lt; H$14,A140,IF(ROW(A140) - H$15 -H$16 + 1 &lt; H$14,INDIRECT(ADDRESS(MOD(ROW(A140) - H$15, H$14) + H$15, COLUMN(A140))),""))</f>
        <v/>
      </c>
      <c r="I140" t="str" cm="1">
        <f t="array" aca="1" ref="I140" ca="1">IF(ROW(B140)-I$15 &lt; I$14,B140,IF(ROW(B140) - I$15 -I$16 + 1 &lt; I$14,INDIRECT(ADDRESS(MOD(ROW(B140) - I$15, I$14) + I$15, COLUMN(B140))),""))</f>
        <v/>
      </c>
      <c r="J140" t="str" cm="1">
        <f t="array" aca="1" ref="J140" ca="1">IF(ROW(C140)-J$15 &lt; J$14,C140,IF(ROW(C140) - J$15 -J$16 + 1 &lt; J$14,INDIRECT(ADDRESS(MOD(ROW(C140) - J$15, J$14) + J$15, COLUMN(C140))),""))</f>
        <v/>
      </c>
      <c r="K140" t="str" cm="1">
        <f t="array" aca="1" ref="K140" ca="1">IF(ROW(D140)-K$15 &lt; K$14,D140,IF(ROW(D140) - K$15 -K$16 + 1 &lt; K$14,INDIRECT(ADDRESS(MOD(ROW(D140) - K$15, K$14) + K$15, COLUMN(D140))),""))</f>
        <v/>
      </c>
      <c r="L140" t="str" cm="1">
        <f t="array" aca="1" ref="L140" ca="1">IF(ROW(E140)-L$15 &lt; L$14,E140,IF(ROW(E140) - L$15 -L$16 + 1 &lt; L$14,INDIRECT(ADDRESS(MOD(ROW(E140) - L$15, L$14) + L$15, COLUMN(E140))),""))</f>
        <v/>
      </c>
      <c r="N140" t="str" cm="1">
        <f t="array" aca="1" ref="N140" ca="1">IF(A140&lt;&gt;"", SUMPRODUCT((OFFSET(A140,0,0,H$16,1)=$T$24) +0),"")</f>
        <v/>
      </c>
      <c r="O140" t="str" cm="1">
        <f t="array" aca="1" ref="O140" ca="1">IF(B140&lt;&gt;"", SUMPRODUCT((OFFSET(B140,0,0,I$16,1)=$T$24) +0),"")</f>
        <v/>
      </c>
      <c r="P140" t="str" cm="1">
        <f t="array" aca="1" ref="P140" ca="1">IF(C140&lt;&gt;"", SUMPRODUCT((OFFSET(C140,0,0,J$16,1)=$T$24) +0),"")</f>
        <v/>
      </c>
      <c r="Q140" t="str" cm="1">
        <f t="array" aca="1" ref="Q140" ca="1">IF(D140&lt;&gt;"", SUMPRODUCT((OFFSET(D140,0,0,K$16,1)=$T$24) +0),"")</f>
        <v/>
      </c>
      <c r="R140" t="str" cm="1">
        <f t="array" aca="1" ref="R140" ca="1">IF(E140&lt;&gt;"", SUMPRODUCT((OFFSET(E140,0,0,L$16,1)=$T$24) +0),"")</f>
        <v/>
      </c>
      <c r="AB140">
        <f t="shared" si="25"/>
        <v>0</v>
      </c>
      <c r="AC140">
        <f t="shared" si="25"/>
        <v>2</v>
      </c>
      <c r="AD140">
        <f t="shared" si="25"/>
        <v>1</v>
      </c>
      <c r="AE140">
        <f t="shared" si="25"/>
        <v>1</v>
      </c>
      <c r="AF140">
        <f t="shared" si="25"/>
        <v>0</v>
      </c>
      <c r="AG140">
        <f t="shared" si="26"/>
        <v>4</v>
      </c>
      <c r="AH140">
        <f t="shared" ca="1" si="27"/>
        <v>0</v>
      </c>
      <c r="AI140">
        <f>IF(ROW($AA140) - $AA$51 &lt; ($H$16+1)^5, IF(AG140 &gt;= BaseBonus!$C$16, AG140*BaseBonus!$E$31, 0), "")</f>
        <v>0</v>
      </c>
      <c r="AJ140">
        <f t="shared" ca="1" si="28"/>
        <v>0</v>
      </c>
      <c r="AK140" s="44"/>
    </row>
    <row r="141" spans="8:37" x14ac:dyDescent="0.3">
      <c r="H141" t="str" cm="1">
        <f t="array" aca="1" ref="H141" ca="1">IF(ROW(A141)-H$15 &lt; H$14,A141,IF(ROW(A141) - H$15 -H$16 + 1 &lt; H$14,INDIRECT(ADDRESS(MOD(ROW(A141) - H$15, H$14) + H$15, COLUMN(A141))),""))</f>
        <v/>
      </c>
      <c r="I141" t="str" cm="1">
        <f t="array" aca="1" ref="I141" ca="1">IF(ROW(B141)-I$15 &lt; I$14,B141,IF(ROW(B141) - I$15 -I$16 + 1 &lt; I$14,INDIRECT(ADDRESS(MOD(ROW(B141) - I$15, I$14) + I$15, COLUMN(B141))),""))</f>
        <v/>
      </c>
      <c r="J141" t="str" cm="1">
        <f t="array" aca="1" ref="J141" ca="1">IF(ROW(C141)-J$15 &lt; J$14,C141,IF(ROW(C141) - J$15 -J$16 + 1 &lt; J$14,INDIRECT(ADDRESS(MOD(ROW(C141) - J$15, J$14) + J$15, COLUMN(C141))),""))</f>
        <v/>
      </c>
      <c r="K141" t="str" cm="1">
        <f t="array" aca="1" ref="K141" ca="1">IF(ROW(D141)-K$15 &lt; K$14,D141,IF(ROW(D141) - K$15 -K$16 + 1 &lt; K$14,INDIRECT(ADDRESS(MOD(ROW(D141) - K$15, K$14) + K$15, COLUMN(D141))),""))</f>
        <v/>
      </c>
      <c r="L141" t="str" cm="1">
        <f t="array" aca="1" ref="L141" ca="1">IF(ROW(E141)-L$15 &lt; L$14,E141,IF(ROW(E141) - L$15 -L$16 + 1 &lt; L$14,INDIRECT(ADDRESS(MOD(ROW(E141) - L$15, L$14) + L$15, COLUMN(E141))),""))</f>
        <v/>
      </c>
      <c r="N141" t="str" cm="1">
        <f t="array" aca="1" ref="N141" ca="1">IF(A141&lt;&gt;"", SUMPRODUCT((OFFSET(A141,0,0,H$16,1)=$T$24) +0),"")</f>
        <v/>
      </c>
      <c r="O141" t="str" cm="1">
        <f t="array" aca="1" ref="O141" ca="1">IF(B141&lt;&gt;"", SUMPRODUCT((OFFSET(B141,0,0,I$16,1)=$T$24) +0),"")</f>
        <v/>
      </c>
      <c r="P141" t="str" cm="1">
        <f t="array" aca="1" ref="P141" ca="1">IF(C141&lt;&gt;"", SUMPRODUCT((OFFSET(C141,0,0,J$16,1)=$T$24) +0),"")</f>
        <v/>
      </c>
      <c r="Q141" t="str" cm="1">
        <f t="array" aca="1" ref="Q141" ca="1">IF(D141&lt;&gt;"", SUMPRODUCT((OFFSET(D141,0,0,K$16,1)=$T$24) +0),"")</f>
        <v/>
      </c>
      <c r="R141" t="str" cm="1">
        <f t="array" aca="1" ref="R141" ca="1">IF(E141&lt;&gt;"", SUMPRODUCT((OFFSET(E141,0,0,L$16,1)=$T$24) +0),"")</f>
        <v/>
      </c>
      <c r="AB141">
        <f t="shared" si="25"/>
        <v>1</v>
      </c>
      <c r="AC141">
        <f t="shared" si="25"/>
        <v>2</v>
      </c>
      <c r="AD141">
        <f t="shared" si="25"/>
        <v>1</v>
      </c>
      <c r="AE141">
        <f t="shared" si="25"/>
        <v>1</v>
      </c>
      <c r="AF141">
        <f t="shared" si="25"/>
        <v>0</v>
      </c>
      <c r="AG141">
        <f t="shared" si="26"/>
        <v>5</v>
      </c>
      <c r="AH141">
        <f t="shared" ca="1" si="27"/>
        <v>0</v>
      </c>
      <c r="AI141">
        <f>IF(ROW($AA141) - $AA$51 &lt; ($H$16+1)^5, IF(AG141 &gt;= BaseBonus!$C$16, AG141*BaseBonus!$E$31, 0), "")</f>
        <v>4.6952679064628979</v>
      </c>
      <c r="AJ141">
        <f t="shared" ca="1" si="28"/>
        <v>0</v>
      </c>
      <c r="AK141" s="44"/>
    </row>
    <row r="142" spans="8:37" x14ac:dyDescent="0.3">
      <c r="H142" t="str" cm="1">
        <f t="array" aca="1" ref="H142" ca="1">IF(ROW(A142)-H$15 &lt; H$14,A142,IF(ROW(A142) - H$15 -H$16 + 1 &lt; H$14,INDIRECT(ADDRESS(MOD(ROW(A142) - H$15, H$14) + H$15, COLUMN(A142))),""))</f>
        <v/>
      </c>
      <c r="I142" t="str" cm="1">
        <f t="array" aca="1" ref="I142" ca="1">IF(ROW(B142)-I$15 &lt; I$14,B142,IF(ROW(B142) - I$15 -I$16 + 1 &lt; I$14,INDIRECT(ADDRESS(MOD(ROW(B142) - I$15, I$14) + I$15, COLUMN(B142))),""))</f>
        <v/>
      </c>
      <c r="J142" t="str" cm="1">
        <f t="array" aca="1" ref="J142" ca="1">IF(ROW(C142)-J$15 &lt; J$14,C142,IF(ROW(C142) - J$15 -J$16 + 1 &lt; J$14,INDIRECT(ADDRESS(MOD(ROW(C142) - J$15, J$14) + J$15, COLUMN(C142))),""))</f>
        <v/>
      </c>
      <c r="K142" t="str" cm="1">
        <f t="array" aca="1" ref="K142" ca="1">IF(ROW(D142)-K$15 &lt; K$14,D142,IF(ROW(D142) - K$15 -K$16 + 1 &lt; K$14,INDIRECT(ADDRESS(MOD(ROW(D142) - K$15, K$14) + K$15, COLUMN(D142))),""))</f>
        <v/>
      </c>
      <c r="L142" t="str" cm="1">
        <f t="array" aca="1" ref="L142" ca="1">IF(ROW(E142)-L$15 &lt; L$14,E142,IF(ROW(E142) - L$15 -L$16 + 1 &lt; L$14,INDIRECT(ADDRESS(MOD(ROW(E142) - L$15, L$14) + L$15, COLUMN(E142))),""))</f>
        <v/>
      </c>
      <c r="N142" t="str" cm="1">
        <f t="array" aca="1" ref="N142" ca="1">IF(A142&lt;&gt;"", SUMPRODUCT((OFFSET(A142,0,0,H$16,1)=$T$24) +0),"")</f>
        <v/>
      </c>
      <c r="O142" t="str" cm="1">
        <f t="array" aca="1" ref="O142" ca="1">IF(B142&lt;&gt;"", SUMPRODUCT((OFFSET(B142,0,0,I$16,1)=$T$24) +0),"")</f>
        <v/>
      </c>
      <c r="P142" t="str" cm="1">
        <f t="array" aca="1" ref="P142" ca="1">IF(C142&lt;&gt;"", SUMPRODUCT((OFFSET(C142,0,0,J$16,1)=$T$24) +0),"")</f>
        <v/>
      </c>
      <c r="Q142" t="str" cm="1">
        <f t="array" aca="1" ref="Q142" ca="1">IF(D142&lt;&gt;"", SUMPRODUCT((OFFSET(D142,0,0,K$16,1)=$T$24) +0),"")</f>
        <v/>
      </c>
      <c r="R142" t="str" cm="1">
        <f t="array" aca="1" ref="R142" ca="1">IF(E142&lt;&gt;"", SUMPRODUCT((OFFSET(E142,0,0,L$16,1)=$T$24) +0),"")</f>
        <v/>
      </c>
      <c r="AB142">
        <f t="shared" si="25"/>
        <v>2</v>
      </c>
      <c r="AC142">
        <f t="shared" si="25"/>
        <v>2</v>
      </c>
      <c r="AD142">
        <f t="shared" si="25"/>
        <v>1</v>
      </c>
      <c r="AE142">
        <f t="shared" si="25"/>
        <v>1</v>
      </c>
      <c r="AF142">
        <f t="shared" si="25"/>
        <v>0</v>
      </c>
      <c r="AG142">
        <f t="shared" si="26"/>
        <v>6</v>
      </c>
      <c r="AH142">
        <f t="shared" ca="1" si="27"/>
        <v>0</v>
      </c>
      <c r="AI142">
        <f>IF(ROW($AA142) - $AA$51 &lt; ($H$16+1)^5, IF(AG142 &gt;= BaseBonus!$C$16, AG142*BaseBonus!$E$31, 0), "")</f>
        <v>5.6343214877554777</v>
      </c>
      <c r="AJ142">
        <f t="shared" ca="1" si="28"/>
        <v>0</v>
      </c>
      <c r="AK142" s="44"/>
    </row>
    <row r="143" spans="8:37" x14ac:dyDescent="0.3">
      <c r="H143" t="str" cm="1">
        <f t="array" aca="1" ref="H143" ca="1">IF(ROW(A143)-H$15 &lt; H$14,A143,IF(ROW(A143) - H$15 -H$16 + 1 &lt; H$14,INDIRECT(ADDRESS(MOD(ROW(A143) - H$15, H$14) + H$15, COLUMN(A143))),""))</f>
        <v/>
      </c>
      <c r="I143" t="str" cm="1">
        <f t="array" aca="1" ref="I143" ca="1">IF(ROW(B143)-I$15 &lt; I$14,B143,IF(ROW(B143) - I$15 -I$16 + 1 &lt; I$14,INDIRECT(ADDRESS(MOD(ROW(B143) - I$15, I$14) + I$15, COLUMN(B143))),""))</f>
        <v/>
      </c>
      <c r="J143" t="str" cm="1">
        <f t="array" aca="1" ref="J143" ca="1">IF(ROW(C143)-J$15 &lt; J$14,C143,IF(ROW(C143) - J$15 -J$16 + 1 &lt; J$14,INDIRECT(ADDRESS(MOD(ROW(C143) - J$15, J$14) + J$15, COLUMN(C143))),""))</f>
        <v/>
      </c>
      <c r="K143" t="str" cm="1">
        <f t="array" aca="1" ref="K143" ca="1">IF(ROW(D143)-K$15 &lt; K$14,D143,IF(ROW(D143) - K$15 -K$16 + 1 &lt; K$14,INDIRECT(ADDRESS(MOD(ROW(D143) - K$15, K$14) + K$15, COLUMN(D143))),""))</f>
        <v/>
      </c>
      <c r="L143" t="str" cm="1">
        <f t="array" aca="1" ref="L143" ca="1">IF(ROW(E143)-L$15 &lt; L$14,E143,IF(ROW(E143) - L$15 -L$16 + 1 &lt; L$14,INDIRECT(ADDRESS(MOD(ROW(E143) - L$15, L$14) + L$15, COLUMN(E143))),""))</f>
        <v/>
      </c>
      <c r="N143" t="str" cm="1">
        <f t="array" aca="1" ref="N143" ca="1">IF(A143&lt;&gt;"", SUMPRODUCT((OFFSET(A143,0,0,H$16,1)=$T$24) +0),"")</f>
        <v/>
      </c>
      <c r="O143" t="str" cm="1">
        <f t="array" aca="1" ref="O143" ca="1">IF(B143&lt;&gt;"", SUMPRODUCT((OFFSET(B143,0,0,I$16,1)=$T$24) +0),"")</f>
        <v/>
      </c>
      <c r="P143" t="str" cm="1">
        <f t="array" aca="1" ref="P143" ca="1">IF(C143&lt;&gt;"", SUMPRODUCT((OFFSET(C143,0,0,J$16,1)=$T$24) +0),"")</f>
        <v/>
      </c>
      <c r="Q143" t="str" cm="1">
        <f t="array" aca="1" ref="Q143" ca="1">IF(D143&lt;&gt;"", SUMPRODUCT((OFFSET(D143,0,0,K$16,1)=$T$24) +0),"")</f>
        <v/>
      </c>
      <c r="R143" t="str" cm="1">
        <f t="array" aca="1" ref="R143" ca="1">IF(E143&lt;&gt;"", SUMPRODUCT((OFFSET(E143,0,0,L$16,1)=$T$24) +0),"")</f>
        <v/>
      </c>
      <c r="AB143">
        <f t="shared" si="25"/>
        <v>3</v>
      </c>
      <c r="AC143">
        <f t="shared" si="25"/>
        <v>2</v>
      </c>
      <c r="AD143">
        <f t="shared" si="25"/>
        <v>1</v>
      </c>
      <c r="AE143">
        <f t="shared" si="25"/>
        <v>1</v>
      </c>
      <c r="AF143">
        <f t="shared" si="25"/>
        <v>0</v>
      </c>
      <c r="AG143">
        <f t="shared" si="26"/>
        <v>7</v>
      </c>
      <c r="AH143">
        <f t="shared" ca="1" si="27"/>
        <v>0</v>
      </c>
      <c r="AI143">
        <f>IF(ROW($AA143) - $AA$51 &lt; ($H$16+1)^5, IF(AG143 &gt;= BaseBonus!$C$16, AG143*BaseBonus!$E$31, 0), "")</f>
        <v>6.5733750690480575</v>
      </c>
      <c r="AJ143">
        <f t="shared" ca="1" si="28"/>
        <v>0</v>
      </c>
      <c r="AK143" s="44"/>
    </row>
    <row r="144" spans="8:37" x14ac:dyDescent="0.3">
      <c r="H144" t="str" cm="1">
        <f t="array" aca="1" ref="H144" ca="1">IF(ROW(A144)-H$15 &lt; H$14,A144,IF(ROW(A144) - H$15 -H$16 + 1 &lt; H$14,INDIRECT(ADDRESS(MOD(ROW(A144) - H$15, H$14) + H$15, COLUMN(A144))),""))</f>
        <v/>
      </c>
      <c r="I144" t="str" cm="1">
        <f t="array" aca="1" ref="I144" ca="1">IF(ROW(B144)-I$15 &lt; I$14,B144,IF(ROW(B144) - I$15 -I$16 + 1 &lt; I$14,INDIRECT(ADDRESS(MOD(ROW(B144) - I$15, I$14) + I$15, COLUMN(B144))),""))</f>
        <v/>
      </c>
      <c r="J144" t="str" cm="1">
        <f t="array" aca="1" ref="J144" ca="1">IF(ROW(C144)-J$15 &lt; J$14,C144,IF(ROW(C144) - J$15 -J$16 + 1 &lt; J$14,INDIRECT(ADDRESS(MOD(ROW(C144) - J$15, J$14) + J$15, COLUMN(C144))),""))</f>
        <v/>
      </c>
      <c r="K144" t="str" cm="1">
        <f t="array" aca="1" ref="K144" ca="1">IF(ROW(D144)-K$15 &lt; K$14,D144,IF(ROW(D144) - K$15 -K$16 + 1 &lt; K$14,INDIRECT(ADDRESS(MOD(ROW(D144) - K$15, K$14) + K$15, COLUMN(D144))),""))</f>
        <v/>
      </c>
      <c r="L144" t="str" cm="1">
        <f t="array" aca="1" ref="L144" ca="1">IF(ROW(E144)-L$15 &lt; L$14,E144,IF(ROW(E144) - L$15 -L$16 + 1 &lt; L$14,INDIRECT(ADDRESS(MOD(ROW(E144) - L$15, L$14) + L$15, COLUMN(E144))),""))</f>
        <v/>
      </c>
      <c r="N144" t="str" cm="1">
        <f t="array" aca="1" ref="N144" ca="1">IF(A144&lt;&gt;"", SUMPRODUCT((OFFSET(A144,0,0,H$16,1)=$T$24) +0),"")</f>
        <v/>
      </c>
      <c r="O144" t="str" cm="1">
        <f t="array" aca="1" ref="O144" ca="1">IF(B144&lt;&gt;"", SUMPRODUCT((OFFSET(B144,0,0,I$16,1)=$T$24) +0),"")</f>
        <v/>
      </c>
      <c r="P144" t="str" cm="1">
        <f t="array" aca="1" ref="P144" ca="1">IF(C144&lt;&gt;"", SUMPRODUCT((OFFSET(C144,0,0,J$16,1)=$T$24) +0),"")</f>
        <v/>
      </c>
      <c r="Q144" t="str" cm="1">
        <f t="array" aca="1" ref="Q144" ca="1">IF(D144&lt;&gt;"", SUMPRODUCT((OFFSET(D144,0,0,K$16,1)=$T$24) +0),"")</f>
        <v/>
      </c>
      <c r="R144" t="str" cm="1">
        <f t="array" aca="1" ref="R144" ca="1">IF(E144&lt;&gt;"", SUMPRODUCT((OFFSET(E144,0,0,L$16,1)=$T$24) +0),"")</f>
        <v/>
      </c>
      <c r="AB144">
        <f t="shared" si="25"/>
        <v>0</v>
      </c>
      <c r="AC144">
        <f t="shared" si="25"/>
        <v>3</v>
      </c>
      <c r="AD144">
        <f t="shared" si="25"/>
        <v>1</v>
      </c>
      <c r="AE144">
        <f t="shared" si="25"/>
        <v>1</v>
      </c>
      <c r="AF144">
        <f t="shared" si="25"/>
        <v>0</v>
      </c>
      <c r="AG144">
        <f t="shared" si="26"/>
        <v>5</v>
      </c>
      <c r="AH144">
        <f t="shared" ca="1" si="27"/>
        <v>0</v>
      </c>
      <c r="AI144">
        <f>IF(ROW($AA144) - $AA$51 &lt; ($H$16+1)^5, IF(AG144 &gt;= BaseBonus!$C$16, AG144*BaseBonus!$E$31, 0), "")</f>
        <v>4.6952679064628979</v>
      </c>
      <c r="AJ144">
        <f t="shared" ca="1" si="28"/>
        <v>0</v>
      </c>
      <c r="AK144" s="44"/>
    </row>
    <row r="145" spans="8:37" x14ac:dyDescent="0.3">
      <c r="H145" t="str" cm="1">
        <f t="array" aca="1" ref="H145" ca="1">IF(ROW(A145)-H$15 &lt; H$14,A145,IF(ROW(A145) - H$15 -H$16 + 1 &lt; H$14,INDIRECT(ADDRESS(MOD(ROW(A145) - H$15, H$14) + H$15, COLUMN(A145))),""))</f>
        <v/>
      </c>
      <c r="I145" t="str" cm="1">
        <f t="array" aca="1" ref="I145" ca="1">IF(ROW(B145)-I$15 &lt; I$14,B145,IF(ROW(B145) - I$15 -I$16 + 1 &lt; I$14,INDIRECT(ADDRESS(MOD(ROW(B145) - I$15, I$14) + I$15, COLUMN(B145))),""))</f>
        <v/>
      </c>
      <c r="J145" t="str" cm="1">
        <f t="array" aca="1" ref="J145" ca="1">IF(ROW(C145)-J$15 &lt; J$14,C145,IF(ROW(C145) - J$15 -J$16 + 1 &lt; J$14,INDIRECT(ADDRESS(MOD(ROW(C145) - J$15, J$14) + J$15, COLUMN(C145))),""))</f>
        <v/>
      </c>
      <c r="K145" t="str" cm="1">
        <f t="array" aca="1" ref="K145" ca="1">IF(ROW(D145)-K$15 &lt; K$14,D145,IF(ROW(D145) - K$15 -K$16 + 1 &lt; K$14,INDIRECT(ADDRESS(MOD(ROW(D145) - K$15, K$14) + K$15, COLUMN(D145))),""))</f>
        <v/>
      </c>
      <c r="L145" t="str" cm="1">
        <f t="array" aca="1" ref="L145" ca="1">IF(ROW(E145)-L$15 &lt; L$14,E145,IF(ROW(E145) - L$15 -L$16 + 1 &lt; L$14,INDIRECT(ADDRESS(MOD(ROW(E145) - L$15, L$14) + L$15, COLUMN(E145))),""))</f>
        <v/>
      </c>
      <c r="N145" t="str" cm="1">
        <f t="array" aca="1" ref="N145" ca="1">IF(A145&lt;&gt;"", SUMPRODUCT((OFFSET(A145,0,0,H$16,1)=$T$24) +0),"")</f>
        <v/>
      </c>
      <c r="O145" t="str" cm="1">
        <f t="array" aca="1" ref="O145" ca="1">IF(B145&lt;&gt;"", SUMPRODUCT((OFFSET(B145,0,0,I$16,1)=$T$24) +0),"")</f>
        <v/>
      </c>
      <c r="P145" t="str" cm="1">
        <f t="array" aca="1" ref="P145" ca="1">IF(C145&lt;&gt;"", SUMPRODUCT((OFFSET(C145,0,0,J$16,1)=$T$24) +0),"")</f>
        <v/>
      </c>
      <c r="Q145" t="str" cm="1">
        <f t="array" aca="1" ref="Q145" ca="1">IF(D145&lt;&gt;"", SUMPRODUCT((OFFSET(D145,0,0,K$16,1)=$T$24) +0),"")</f>
        <v/>
      </c>
      <c r="R145" t="str" cm="1">
        <f t="array" aca="1" ref="R145" ca="1">IF(E145&lt;&gt;"", SUMPRODUCT((OFFSET(E145,0,0,L$16,1)=$T$24) +0),"")</f>
        <v/>
      </c>
      <c r="AB145">
        <f t="shared" si="25"/>
        <v>1</v>
      </c>
      <c r="AC145">
        <f t="shared" si="25"/>
        <v>3</v>
      </c>
      <c r="AD145">
        <f t="shared" si="25"/>
        <v>1</v>
      </c>
      <c r="AE145">
        <f t="shared" si="25"/>
        <v>1</v>
      </c>
      <c r="AF145">
        <f t="shared" si="25"/>
        <v>0</v>
      </c>
      <c r="AG145">
        <f t="shared" si="26"/>
        <v>6</v>
      </c>
      <c r="AH145">
        <f t="shared" ca="1" si="27"/>
        <v>0</v>
      </c>
      <c r="AI145">
        <f>IF(ROW($AA145) - $AA$51 &lt; ($H$16+1)^5, IF(AG145 &gt;= BaseBonus!$C$16, AG145*BaseBonus!$E$31, 0), "")</f>
        <v>5.6343214877554777</v>
      </c>
      <c r="AJ145">
        <f t="shared" ca="1" si="28"/>
        <v>0</v>
      </c>
      <c r="AK145" s="44"/>
    </row>
    <row r="146" spans="8:37" x14ac:dyDescent="0.3">
      <c r="H146" t="str" cm="1">
        <f t="array" aca="1" ref="H146" ca="1">IF(ROW(A146)-H$15 &lt; H$14,A146,IF(ROW(A146) - H$15 -H$16 + 1 &lt; H$14,INDIRECT(ADDRESS(MOD(ROW(A146) - H$15, H$14) + H$15, COLUMN(A146))),""))</f>
        <v/>
      </c>
      <c r="I146" t="str" cm="1">
        <f t="array" aca="1" ref="I146" ca="1">IF(ROW(B146)-I$15 &lt; I$14,B146,IF(ROW(B146) - I$15 -I$16 + 1 &lt; I$14,INDIRECT(ADDRESS(MOD(ROW(B146) - I$15, I$14) + I$15, COLUMN(B146))),""))</f>
        <v/>
      </c>
      <c r="J146" t="str" cm="1">
        <f t="array" aca="1" ref="J146" ca="1">IF(ROW(C146)-J$15 &lt; J$14,C146,IF(ROW(C146) - J$15 -J$16 + 1 &lt; J$14,INDIRECT(ADDRESS(MOD(ROW(C146) - J$15, J$14) + J$15, COLUMN(C146))),""))</f>
        <v/>
      </c>
      <c r="K146" t="str" cm="1">
        <f t="array" aca="1" ref="K146" ca="1">IF(ROW(D146)-K$15 &lt; K$14,D146,IF(ROW(D146) - K$15 -K$16 + 1 &lt; K$14,INDIRECT(ADDRESS(MOD(ROW(D146) - K$15, K$14) + K$15, COLUMN(D146))),""))</f>
        <v/>
      </c>
      <c r="L146" t="str" cm="1">
        <f t="array" aca="1" ref="L146" ca="1">IF(ROW(E146)-L$15 &lt; L$14,E146,IF(ROW(E146) - L$15 -L$16 + 1 &lt; L$14,INDIRECT(ADDRESS(MOD(ROW(E146) - L$15, L$14) + L$15, COLUMN(E146))),""))</f>
        <v/>
      </c>
      <c r="N146" t="str" cm="1">
        <f t="array" aca="1" ref="N146" ca="1">IF(A146&lt;&gt;"", SUMPRODUCT((OFFSET(A146,0,0,H$16,1)=$T$24) +0),"")</f>
        <v/>
      </c>
      <c r="O146" t="str" cm="1">
        <f t="array" aca="1" ref="O146" ca="1">IF(B146&lt;&gt;"", SUMPRODUCT((OFFSET(B146,0,0,I$16,1)=$T$24) +0),"")</f>
        <v/>
      </c>
      <c r="P146" t="str" cm="1">
        <f t="array" aca="1" ref="P146" ca="1">IF(C146&lt;&gt;"", SUMPRODUCT((OFFSET(C146,0,0,J$16,1)=$T$24) +0),"")</f>
        <v/>
      </c>
      <c r="Q146" t="str" cm="1">
        <f t="array" aca="1" ref="Q146" ca="1">IF(D146&lt;&gt;"", SUMPRODUCT((OFFSET(D146,0,0,K$16,1)=$T$24) +0),"")</f>
        <v/>
      </c>
      <c r="R146" t="str" cm="1">
        <f t="array" aca="1" ref="R146" ca="1">IF(E146&lt;&gt;"", SUMPRODUCT((OFFSET(E146,0,0,L$16,1)=$T$24) +0),"")</f>
        <v/>
      </c>
      <c r="AB146">
        <f t="shared" si="25"/>
        <v>2</v>
      </c>
      <c r="AC146">
        <f t="shared" si="25"/>
        <v>3</v>
      </c>
      <c r="AD146">
        <f t="shared" si="25"/>
        <v>1</v>
      </c>
      <c r="AE146">
        <f t="shared" si="25"/>
        <v>1</v>
      </c>
      <c r="AF146">
        <f t="shared" si="25"/>
        <v>0</v>
      </c>
      <c r="AG146">
        <f t="shared" si="26"/>
        <v>7</v>
      </c>
      <c r="AH146">
        <f t="shared" ca="1" si="27"/>
        <v>0</v>
      </c>
      <c r="AI146">
        <f>IF(ROW($AA146) - $AA$51 &lt; ($H$16+1)^5, IF(AG146 &gt;= BaseBonus!$C$16, AG146*BaseBonus!$E$31, 0), "")</f>
        <v>6.5733750690480575</v>
      </c>
      <c r="AJ146">
        <f t="shared" ca="1" si="28"/>
        <v>0</v>
      </c>
      <c r="AK146" s="44"/>
    </row>
    <row r="147" spans="8:37" x14ac:dyDescent="0.3">
      <c r="H147" t="str" cm="1">
        <f t="array" aca="1" ref="H147" ca="1">IF(ROW(A147)-H$15 &lt; H$14,A147,IF(ROW(A147) - H$15 -H$16 + 1 &lt; H$14,INDIRECT(ADDRESS(MOD(ROW(A147) - H$15, H$14) + H$15, COLUMN(A147))),""))</f>
        <v/>
      </c>
      <c r="I147" t="str" cm="1">
        <f t="array" aca="1" ref="I147" ca="1">IF(ROW(B147)-I$15 &lt; I$14,B147,IF(ROW(B147) - I$15 -I$16 + 1 &lt; I$14,INDIRECT(ADDRESS(MOD(ROW(B147) - I$15, I$14) + I$15, COLUMN(B147))),""))</f>
        <v/>
      </c>
      <c r="J147" t="str" cm="1">
        <f t="array" aca="1" ref="J147" ca="1">IF(ROW(C147)-J$15 &lt; J$14,C147,IF(ROW(C147) - J$15 -J$16 + 1 &lt; J$14,INDIRECT(ADDRESS(MOD(ROW(C147) - J$15, J$14) + J$15, COLUMN(C147))),""))</f>
        <v/>
      </c>
      <c r="K147" t="str" cm="1">
        <f t="array" aca="1" ref="K147" ca="1">IF(ROW(D147)-K$15 &lt; K$14,D147,IF(ROW(D147) - K$15 -K$16 + 1 &lt; K$14,INDIRECT(ADDRESS(MOD(ROW(D147) - K$15, K$14) + K$15, COLUMN(D147))),""))</f>
        <v/>
      </c>
      <c r="L147" t="str" cm="1">
        <f t="array" aca="1" ref="L147" ca="1">IF(ROW(E147)-L$15 &lt; L$14,E147,IF(ROW(E147) - L$15 -L$16 + 1 &lt; L$14,INDIRECT(ADDRESS(MOD(ROW(E147) - L$15, L$14) + L$15, COLUMN(E147))),""))</f>
        <v/>
      </c>
      <c r="N147" t="str" cm="1">
        <f t="array" aca="1" ref="N147" ca="1">IF(A147&lt;&gt;"", SUMPRODUCT((OFFSET(A147,0,0,H$16,1)=$T$24) +0),"")</f>
        <v/>
      </c>
      <c r="O147" t="str" cm="1">
        <f t="array" aca="1" ref="O147" ca="1">IF(B147&lt;&gt;"", SUMPRODUCT((OFFSET(B147,0,0,I$16,1)=$T$24) +0),"")</f>
        <v/>
      </c>
      <c r="P147" t="str" cm="1">
        <f t="array" aca="1" ref="P147" ca="1">IF(C147&lt;&gt;"", SUMPRODUCT((OFFSET(C147,0,0,J$16,1)=$T$24) +0),"")</f>
        <v/>
      </c>
      <c r="Q147" t="str" cm="1">
        <f t="array" aca="1" ref="Q147" ca="1">IF(D147&lt;&gt;"", SUMPRODUCT((OFFSET(D147,0,0,K$16,1)=$T$24) +0),"")</f>
        <v/>
      </c>
      <c r="R147" t="str" cm="1">
        <f t="array" aca="1" ref="R147" ca="1">IF(E147&lt;&gt;"", SUMPRODUCT((OFFSET(E147,0,0,L$16,1)=$T$24) +0),"")</f>
        <v/>
      </c>
      <c r="AB147">
        <f t="shared" si="25"/>
        <v>3</v>
      </c>
      <c r="AC147">
        <f t="shared" si="25"/>
        <v>3</v>
      </c>
      <c r="AD147">
        <f t="shared" si="25"/>
        <v>1</v>
      </c>
      <c r="AE147">
        <f t="shared" si="25"/>
        <v>1</v>
      </c>
      <c r="AF147">
        <f t="shared" si="25"/>
        <v>0</v>
      </c>
      <c r="AG147">
        <f t="shared" si="26"/>
        <v>8</v>
      </c>
      <c r="AH147">
        <f t="shared" ca="1" si="27"/>
        <v>0</v>
      </c>
      <c r="AI147">
        <f>IF(ROW($AA147) - $AA$51 &lt; ($H$16+1)^5, IF(AG147 &gt;= BaseBonus!$C$16, AG147*BaseBonus!$E$31, 0), "")</f>
        <v>7.5124286503406372</v>
      </c>
      <c r="AJ147">
        <f t="shared" ca="1" si="28"/>
        <v>0</v>
      </c>
      <c r="AK147" s="44"/>
    </row>
    <row r="148" spans="8:37" x14ac:dyDescent="0.3">
      <c r="H148" t="str" cm="1">
        <f t="array" aca="1" ref="H148" ca="1">IF(ROW(A148)-H$15 &lt; H$14,A148,IF(ROW(A148) - H$15 -H$16 + 1 &lt; H$14,INDIRECT(ADDRESS(MOD(ROW(A148) - H$15, H$14) + H$15, COLUMN(A148))),""))</f>
        <v/>
      </c>
      <c r="I148" t="str" cm="1">
        <f t="array" aca="1" ref="I148" ca="1">IF(ROW(B148)-I$15 &lt; I$14,B148,IF(ROW(B148) - I$15 -I$16 + 1 &lt; I$14,INDIRECT(ADDRESS(MOD(ROW(B148) - I$15, I$14) + I$15, COLUMN(B148))),""))</f>
        <v/>
      </c>
      <c r="J148" t="str" cm="1">
        <f t="array" aca="1" ref="J148" ca="1">IF(ROW(C148)-J$15 &lt; J$14,C148,IF(ROW(C148) - J$15 -J$16 + 1 &lt; J$14,INDIRECT(ADDRESS(MOD(ROW(C148) - J$15, J$14) + J$15, COLUMN(C148))),""))</f>
        <v/>
      </c>
      <c r="K148" t="str" cm="1">
        <f t="array" aca="1" ref="K148" ca="1">IF(ROW(D148)-K$15 &lt; K$14,D148,IF(ROW(D148) - K$15 -K$16 + 1 &lt; K$14,INDIRECT(ADDRESS(MOD(ROW(D148) - K$15, K$14) + K$15, COLUMN(D148))),""))</f>
        <v/>
      </c>
      <c r="L148" t="str" cm="1">
        <f t="array" aca="1" ref="L148" ca="1">IF(ROW(E148)-L$15 &lt; L$14,E148,IF(ROW(E148) - L$15 -L$16 + 1 &lt; L$14,INDIRECT(ADDRESS(MOD(ROW(E148) - L$15, L$14) + L$15, COLUMN(E148))),""))</f>
        <v/>
      </c>
      <c r="N148" t="str" cm="1">
        <f t="array" aca="1" ref="N148" ca="1">IF(A148&lt;&gt;"", SUMPRODUCT((OFFSET(A148,0,0,H$16,1)=$T$24) +0),"")</f>
        <v/>
      </c>
      <c r="O148" t="str" cm="1">
        <f t="array" aca="1" ref="O148" ca="1">IF(B148&lt;&gt;"", SUMPRODUCT((OFFSET(B148,0,0,I$16,1)=$T$24) +0),"")</f>
        <v/>
      </c>
      <c r="P148" t="str" cm="1">
        <f t="array" aca="1" ref="P148" ca="1">IF(C148&lt;&gt;"", SUMPRODUCT((OFFSET(C148,0,0,J$16,1)=$T$24) +0),"")</f>
        <v/>
      </c>
      <c r="Q148" t="str" cm="1">
        <f t="array" aca="1" ref="Q148" ca="1">IF(D148&lt;&gt;"", SUMPRODUCT((OFFSET(D148,0,0,K$16,1)=$T$24) +0),"")</f>
        <v/>
      </c>
      <c r="R148" t="str" cm="1">
        <f t="array" aca="1" ref="R148" ca="1">IF(E148&lt;&gt;"", SUMPRODUCT((OFFSET(E148,0,0,L$16,1)=$T$24) +0),"")</f>
        <v/>
      </c>
      <c r="AB148">
        <f t="shared" si="25"/>
        <v>0</v>
      </c>
      <c r="AC148">
        <f t="shared" si="25"/>
        <v>0</v>
      </c>
      <c r="AD148">
        <f t="shared" si="25"/>
        <v>2</v>
      </c>
      <c r="AE148">
        <f t="shared" si="25"/>
        <v>1</v>
      </c>
      <c r="AF148">
        <f t="shared" si="25"/>
        <v>0</v>
      </c>
      <c r="AG148">
        <f t="shared" si="26"/>
        <v>3</v>
      </c>
      <c r="AH148">
        <f t="shared" ca="1" si="27"/>
        <v>0</v>
      </c>
      <c r="AI148">
        <f>IF(ROW($AA148) - $AA$51 &lt; ($H$16+1)^5, IF(AG148 &gt;= BaseBonus!$C$16, AG148*BaseBonus!$E$31, 0), "")</f>
        <v>0</v>
      </c>
      <c r="AJ148">
        <f t="shared" ca="1" si="28"/>
        <v>0</v>
      </c>
      <c r="AK148" s="44"/>
    </row>
    <row r="149" spans="8:37" x14ac:dyDescent="0.3">
      <c r="H149" t="str" cm="1">
        <f t="array" aca="1" ref="H149" ca="1">IF(ROW(A149)-H$15 &lt; H$14,A149,IF(ROW(A149) - H$15 -H$16 + 1 &lt; H$14,INDIRECT(ADDRESS(MOD(ROW(A149) - H$15, H$14) + H$15, COLUMN(A149))),""))</f>
        <v/>
      </c>
      <c r="I149" t="str" cm="1">
        <f t="array" aca="1" ref="I149" ca="1">IF(ROW(B149)-I$15 &lt; I$14,B149,IF(ROW(B149) - I$15 -I$16 + 1 &lt; I$14,INDIRECT(ADDRESS(MOD(ROW(B149) - I$15, I$14) + I$15, COLUMN(B149))),""))</f>
        <v/>
      </c>
      <c r="J149" t="str" cm="1">
        <f t="array" aca="1" ref="J149" ca="1">IF(ROW(C149)-J$15 &lt; J$14,C149,IF(ROW(C149) - J$15 -J$16 + 1 &lt; J$14,INDIRECT(ADDRESS(MOD(ROW(C149) - J$15, J$14) + J$15, COLUMN(C149))),""))</f>
        <v/>
      </c>
      <c r="K149" t="str" cm="1">
        <f t="array" aca="1" ref="K149" ca="1">IF(ROW(D149)-K$15 &lt; K$14,D149,IF(ROW(D149) - K$15 -K$16 + 1 &lt; K$14,INDIRECT(ADDRESS(MOD(ROW(D149) - K$15, K$14) + K$15, COLUMN(D149))),""))</f>
        <v/>
      </c>
      <c r="L149" t="str" cm="1">
        <f t="array" aca="1" ref="L149" ca="1">IF(ROW(E149)-L$15 &lt; L$14,E149,IF(ROW(E149) - L$15 -L$16 + 1 &lt; L$14,INDIRECT(ADDRESS(MOD(ROW(E149) - L$15, L$14) + L$15, COLUMN(E149))),""))</f>
        <v/>
      </c>
      <c r="N149" t="str" cm="1">
        <f t="array" aca="1" ref="N149" ca="1">IF(A149&lt;&gt;"", SUMPRODUCT((OFFSET(A149,0,0,H$16,1)=$T$24) +0),"")</f>
        <v/>
      </c>
      <c r="O149" t="str" cm="1">
        <f t="array" aca="1" ref="O149" ca="1">IF(B149&lt;&gt;"", SUMPRODUCT((OFFSET(B149,0,0,I$16,1)=$T$24) +0),"")</f>
        <v/>
      </c>
      <c r="P149" t="str" cm="1">
        <f t="array" aca="1" ref="P149" ca="1">IF(C149&lt;&gt;"", SUMPRODUCT((OFFSET(C149,0,0,J$16,1)=$T$24) +0),"")</f>
        <v/>
      </c>
      <c r="Q149" t="str" cm="1">
        <f t="array" aca="1" ref="Q149" ca="1">IF(D149&lt;&gt;"", SUMPRODUCT((OFFSET(D149,0,0,K$16,1)=$T$24) +0),"")</f>
        <v/>
      </c>
      <c r="R149" t="str" cm="1">
        <f t="array" aca="1" ref="R149" ca="1">IF(E149&lt;&gt;"", SUMPRODUCT((OFFSET(E149,0,0,L$16,1)=$T$24) +0),"")</f>
        <v/>
      </c>
      <c r="AB149">
        <f t="shared" si="25"/>
        <v>1</v>
      </c>
      <c r="AC149">
        <f t="shared" si="25"/>
        <v>0</v>
      </c>
      <c r="AD149">
        <f t="shared" si="25"/>
        <v>2</v>
      </c>
      <c r="AE149">
        <f t="shared" si="25"/>
        <v>1</v>
      </c>
      <c r="AF149">
        <f t="shared" si="25"/>
        <v>0</v>
      </c>
      <c r="AG149">
        <f t="shared" si="26"/>
        <v>4</v>
      </c>
      <c r="AH149">
        <f t="shared" ca="1" si="27"/>
        <v>0</v>
      </c>
      <c r="AI149">
        <f>IF(ROW($AA149) - $AA$51 &lt; ($H$16+1)^5, IF(AG149 &gt;= BaseBonus!$C$16, AG149*BaseBonus!$E$31, 0), "")</f>
        <v>0</v>
      </c>
      <c r="AJ149">
        <f t="shared" ca="1" si="28"/>
        <v>0</v>
      </c>
      <c r="AK149" s="44"/>
    </row>
    <row r="150" spans="8:37" x14ac:dyDescent="0.3">
      <c r="H150" t="str" cm="1">
        <f t="array" aca="1" ref="H150" ca="1">IF(ROW(A150)-H$15 &lt; H$14,A150,IF(ROW(A150) - H$15 -H$16 + 1 &lt; H$14,INDIRECT(ADDRESS(MOD(ROW(A150) - H$15, H$14) + H$15, COLUMN(A150))),""))</f>
        <v/>
      </c>
      <c r="I150" t="str" cm="1">
        <f t="array" aca="1" ref="I150" ca="1">IF(ROW(B150)-I$15 &lt; I$14,B150,IF(ROW(B150) - I$15 -I$16 + 1 &lt; I$14,INDIRECT(ADDRESS(MOD(ROW(B150) - I$15, I$14) + I$15, COLUMN(B150))),""))</f>
        <v/>
      </c>
      <c r="J150" t="str" cm="1">
        <f t="array" aca="1" ref="J150" ca="1">IF(ROW(C150)-J$15 &lt; J$14,C150,IF(ROW(C150) - J$15 -J$16 + 1 &lt; J$14,INDIRECT(ADDRESS(MOD(ROW(C150) - J$15, J$14) + J$15, COLUMN(C150))),""))</f>
        <v/>
      </c>
      <c r="K150" t="str" cm="1">
        <f t="array" aca="1" ref="K150" ca="1">IF(ROW(D150)-K$15 &lt; K$14,D150,IF(ROW(D150) - K$15 -K$16 + 1 &lt; K$14,INDIRECT(ADDRESS(MOD(ROW(D150) - K$15, K$14) + K$15, COLUMN(D150))),""))</f>
        <v/>
      </c>
      <c r="L150" t="str" cm="1">
        <f t="array" aca="1" ref="L150" ca="1">IF(ROW(E150)-L$15 &lt; L$14,E150,IF(ROW(E150) - L$15 -L$16 + 1 &lt; L$14,INDIRECT(ADDRESS(MOD(ROW(E150) - L$15, L$14) + L$15, COLUMN(E150))),""))</f>
        <v/>
      </c>
      <c r="N150" t="str" cm="1">
        <f t="array" aca="1" ref="N150" ca="1">IF(A150&lt;&gt;"", SUMPRODUCT((OFFSET(A150,0,0,H$16,1)=$T$24) +0),"")</f>
        <v/>
      </c>
      <c r="O150" t="str" cm="1">
        <f t="array" aca="1" ref="O150" ca="1">IF(B150&lt;&gt;"", SUMPRODUCT((OFFSET(B150,0,0,I$16,1)=$T$24) +0),"")</f>
        <v/>
      </c>
      <c r="P150" t="str" cm="1">
        <f t="array" aca="1" ref="P150" ca="1">IF(C150&lt;&gt;"", SUMPRODUCT((OFFSET(C150,0,0,J$16,1)=$T$24) +0),"")</f>
        <v/>
      </c>
      <c r="Q150" t="str" cm="1">
        <f t="array" aca="1" ref="Q150" ca="1">IF(D150&lt;&gt;"", SUMPRODUCT((OFFSET(D150,0,0,K$16,1)=$T$24) +0),"")</f>
        <v/>
      </c>
      <c r="R150" t="str" cm="1">
        <f t="array" aca="1" ref="R150" ca="1">IF(E150&lt;&gt;"", SUMPRODUCT((OFFSET(E150,0,0,L$16,1)=$T$24) +0),"")</f>
        <v/>
      </c>
      <c r="AB150">
        <f t="shared" si="25"/>
        <v>2</v>
      </c>
      <c r="AC150">
        <f t="shared" si="25"/>
        <v>0</v>
      </c>
      <c r="AD150">
        <f t="shared" si="25"/>
        <v>2</v>
      </c>
      <c r="AE150">
        <f t="shared" si="25"/>
        <v>1</v>
      </c>
      <c r="AF150">
        <f t="shared" si="25"/>
        <v>0</v>
      </c>
      <c r="AG150">
        <f t="shared" si="26"/>
        <v>5</v>
      </c>
      <c r="AH150">
        <f t="shared" ca="1" si="27"/>
        <v>0</v>
      </c>
      <c r="AI150">
        <f>IF(ROW($AA150) - $AA$51 &lt; ($H$16+1)^5, IF(AG150 &gt;= BaseBonus!$C$16, AG150*BaseBonus!$E$31, 0), "")</f>
        <v>4.6952679064628979</v>
      </c>
      <c r="AJ150">
        <f t="shared" ca="1" si="28"/>
        <v>0</v>
      </c>
      <c r="AK150" s="44"/>
    </row>
    <row r="151" spans="8:37" x14ac:dyDescent="0.3">
      <c r="H151" t="str" cm="1">
        <f t="array" aca="1" ref="H151" ca="1">IF(ROW(A151)-H$15 &lt; H$14,A151,IF(ROW(A151) - H$15 -H$16 + 1 &lt; H$14,INDIRECT(ADDRESS(MOD(ROW(A151) - H$15, H$14) + H$15, COLUMN(A151))),""))</f>
        <v/>
      </c>
      <c r="I151" t="str" cm="1">
        <f t="array" aca="1" ref="I151" ca="1">IF(ROW(B151)-I$15 &lt; I$14,B151,IF(ROW(B151) - I$15 -I$16 + 1 &lt; I$14,INDIRECT(ADDRESS(MOD(ROW(B151) - I$15, I$14) + I$15, COLUMN(B151))),""))</f>
        <v/>
      </c>
      <c r="J151" t="str" cm="1">
        <f t="array" aca="1" ref="J151" ca="1">IF(ROW(C151)-J$15 &lt; J$14,C151,IF(ROW(C151) - J$15 -J$16 + 1 &lt; J$14,INDIRECT(ADDRESS(MOD(ROW(C151) - J$15, J$14) + J$15, COLUMN(C151))),""))</f>
        <v/>
      </c>
      <c r="K151" t="str" cm="1">
        <f t="array" aca="1" ref="K151" ca="1">IF(ROW(D151)-K$15 &lt; K$14,D151,IF(ROW(D151) - K$15 -K$16 + 1 &lt; K$14,INDIRECT(ADDRESS(MOD(ROW(D151) - K$15, K$14) + K$15, COLUMN(D151))),""))</f>
        <v/>
      </c>
      <c r="L151" t="str" cm="1">
        <f t="array" aca="1" ref="L151" ca="1">IF(ROW(E151)-L$15 &lt; L$14,E151,IF(ROW(E151) - L$15 -L$16 + 1 &lt; L$14,INDIRECT(ADDRESS(MOD(ROW(E151) - L$15, L$14) + L$15, COLUMN(E151))),""))</f>
        <v/>
      </c>
      <c r="N151" t="str" cm="1">
        <f t="array" aca="1" ref="N151" ca="1">IF(A151&lt;&gt;"", SUMPRODUCT((OFFSET(A151,0,0,H$16,1)=$T$24) +0),"")</f>
        <v/>
      </c>
      <c r="O151" t="str" cm="1">
        <f t="array" aca="1" ref="O151" ca="1">IF(B151&lt;&gt;"", SUMPRODUCT((OFFSET(B151,0,0,I$16,1)=$T$24) +0),"")</f>
        <v/>
      </c>
      <c r="P151" t="str" cm="1">
        <f t="array" aca="1" ref="P151" ca="1">IF(C151&lt;&gt;"", SUMPRODUCT((OFFSET(C151,0,0,J$16,1)=$T$24) +0),"")</f>
        <v/>
      </c>
      <c r="Q151" t="str" cm="1">
        <f t="array" aca="1" ref="Q151" ca="1">IF(D151&lt;&gt;"", SUMPRODUCT((OFFSET(D151,0,0,K$16,1)=$T$24) +0),"")</f>
        <v/>
      </c>
      <c r="R151" t="str" cm="1">
        <f t="array" aca="1" ref="R151" ca="1">IF(E151&lt;&gt;"", SUMPRODUCT((OFFSET(E151,0,0,L$16,1)=$T$24) +0),"")</f>
        <v/>
      </c>
      <c r="AB151">
        <f t="shared" si="25"/>
        <v>3</v>
      </c>
      <c r="AC151">
        <f t="shared" si="25"/>
        <v>0</v>
      </c>
      <c r="AD151">
        <f t="shared" si="25"/>
        <v>2</v>
      </c>
      <c r="AE151">
        <f t="shared" si="25"/>
        <v>1</v>
      </c>
      <c r="AF151">
        <f t="shared" si="25"/>
        <v>0</v>
      </c>
      <c r="AG151">
        <f t="shared" si="26"/>
        <v>6</v>
      </c>
      <c r="AH151">
        <f t="shared" ca="1" si="27"/>
        <v>0</v>
      </c>
      <c r="AI151">
        <f>IF(ROW($AA151) - $AA$51 &lt; ($H$16+1)^5, IF(AG151 &gt;= BaseBonus!$C$16, AG151*BaseBonus!$E$31, 0), "")</f>
        <v>5.6343214877554777</v>
      </c>
      <c r="AJ151">
        <f t="shared" ca="1" si="28"/>
        <v>0</v>
      </c>
      <c r="AK151" s="44"/>
    </row>
    <row r="152" spans="8:37" x14ac:dyDescent="0.3">
      <c r="H152" t="str" cm="1">
        <f t="array" aca="1" ref="H152" ca="1">IF(ROW(A152)-H$15 &lt; H$14,A152,IF(ROW(A152) - H$15 -H$16 + 1 &lt; H$14,INDIRECT(ADDRESS(MOD(ROW(A152) - H$15, H$14) + H$15, COLUMN(A152))),""))</f>
        <v/>
      </c>
      <c r="I152" t="str" cm="1">
        <f t="array" aca="1" ref="I152" ca="1">IF(ROW(B152)-I$15 &lt; I$14,B152,IF(ROW(B152) - I$15 -I$16 + 1 &lt; I$14,INDIRECT(ADDRESS(MOD(ROW(B152) - I$15, I$14) + I$15, COLUMN(B152))),""))</f>
        <v/>
      </c>
      <c r="J152" t="str" cm="1">
        <f t="array" aca="1" ref="J152" ca="1">IF(ROW(C152)-J$15 &lt; J$14,C152,IF(ROW(C152) - J$15 -J$16 + 1 &lt; J$14,INDIRECT(ADDRESS(MOD(ROW(C152) - J$15, J$14) + J$15, COLUMN(C152))),""))</f>
        <v/>
      </c>
      <c r="K152" t="str" cm="1">
        <f t="array" aca="1" ref="K152" ca="1">IF(ROW(D152)-K$15 &lt; K$14,D152,IF(ROW(D152) - K$15 -K$16 + 1 &lt; K$14,INDIRECT(ADDRESS(MOD(ROW(D152) - K$15, K$14) + K$15, COLUMN(D152))),""))</f>
        <v/>
      </c>
      <c r="L152" t="str" cm="1">
        <f t="array" aca="1" ref="L152" ca="1">IF(ROW(E152)-L$15 &lt; L$14,E152,IF(ROW(E152) - L$15 -L$16 + 1 &lt; L$14,INDIRECT(ADDRESS(MOD(ROW(E152) - L$15, L$14) + L$15, COLUMN(E152))),""))</f>
        <v/>
      </c>
      <c r="N152" t="str" cm="1">
        <f t="array" aca="1" ref="N152" ca="1">IF(A152&lt;&gt;"", SUMPRODUCT((OFFSET(A152,0,0,H$16,1)=$T$24) +0),"")</f>
        <v/>
      </c>
      <c r="O152" t="str" cm="1">
        <f t="array" aca="1" ref="O152" ca="1">IF(B152&lt;&gt;"", SUMPRODUCT((OFFSET(B152,0,0,I$16,1)=$T$24) +0),"")</f>
        <v/>
      </c>
      <c r="P152" t="str" cm="1">
        <f t="array" aca="1" ref="P152" ca="1">IF(C152&lt;&gt;"", SUMPRODUCT((OFFSET(C152,0,0,J$16,1)=$T$24) +0),"")</f>
        <v/>
      </c>
      <c r="Q152" t="str" cm="1">
        <f t="array" aca="1" ref="Q152" ca="1">IF(D152&lt;&gt;"", SUMPRODUCT((OFFSET(D152,0,0,K$16,1)=$T$24) +0),"")</f>
        <v/>
      </c>
      <c r="R152" t="str" cm="1">
        <f t="array" aca="1" ref="R152" ca="1">IF(E152&lt;&gt;"", SUMPRODUCT((OFFSET(E152,0,0,L$16,1)=$T$24) +0),"")</f>
        <v/>
      </c>
      <c r="AB152">
        <f t="shared" si="25"/>
        <v>0</v>
      </c>
      <c r="AC152">
        <f t="shared" si="25"/>
        <v>1</v>
      </c>
      <c r="AD152">
        <f t="shared" si="25"/>
        <v>2</v>
      </c>
      <c r="AE152">
        <f t="shared" si="25"/>
        <v>1</v>
      </c>
      <c r="AF152">
        <f t="shared" si="25"/>
        <v>0</v>
      </c>
      <c r="AG152">
        <f t="shared" si="26"/>
        <v>4</v>
      </c>
      <c r="AH152">
        <f t="shared" ca="1" si="27"/>
        <v>0</v>
      </c>
      <c r="AI152">
        <f>IF(ROW($AA152) - $AA$51 &lt; ($H$16+1)^5, IF(AG152 &gt;= BaseBonus!$C$16, AG152*BaseBonus!$E$31, 0), "")</f>
        <v>0</v>
      </c>
      <c r="AJ152">
        <f t="shared" ca="1" si="28"/>
        <v>0</v>
      </c>
      <c r="AK152" s="44"/>
    </row>
    <row r="153" spans="8:37" x14ac:dyDescent="0.3">
      <c r="H153" t="str" cm="1">
        <f t="array" aca="1" ref="H153" ca="1">IF(ROW(A153)-H$15 &lt; H$14,A153,IF(ROW(A153) - H$15 -H$16 + 1 &lt; H$14,INDIRECT(ADDRESS(MOD(ROW(A153) - H$15, H$14) + H$15, COLUMN(A153))),""))</f>
        <v/>
      </c>
      <c r="I153" t="str" cm="1">
        <f t="array" aca="1" ref="I153" ca="1">IF(ROW(B153)-I$15 &lt; I$14,B153,IF(ROW(B153) - I$15 -I$16 + 1 &lt; I$14,INDIRECT(ADDRESS(MOD(ROW(B153) - I$15, I$14) + I$15, COLUMN(B153))),""))</f>
        <v/>
      </c>
      <c r="J153" t="str" cm="1">
        <f t="array" aca="1" ref="J153" ca="1">IF(ROW(C153)-J$15 &lt; J$14,C153,IF(ROW(C153) - J$15 -J$16 + 1 &lt; J$14,INDIRECT(ADDRESS(MOD(ROW(C153) - J$15, J$14) + J$15, COLUMN(C153))),""))</f>
        <v/>
      </c>
      <c r="K153" t="str" cm="1">
        <f t="array" aca="1" ref="K153" ca="1">IF(ROW(D153)-K$15 &lt; K$14,D153,IF(ROW(D153) - K$15 -K$16 + 1 &lt; K$14,INDIRECT(ADDRESS(MOD(ROW(D153) - K$15, K$14) + K$15, COLUMN(D153))),""))</f>
        <v/>
      </c>
      <c r="L153" t="str" cm="1">
        <f t="array" aca="1" ref="L153" ca="1">IF(ROW(E153)-L$15 &lt; L$14,E153,IF(ROW(E153) - L$15 -L$16 + 1 &lt; L$14,INDIRECT(ADDRESS(MOD(ROW(E153) - L$15, L$14) + L$15, COLUMN(E153))),""))</f>
        <v/>
      </c>
      <c r="N153" t="str" cm="1">
        <f t="array" aca="1" ref="N153" ca="1">IF(A153&lt;&gt;"", SUMPRODUCT((OFFSET(A153,0,0,H$16,1)=$T$24) +0),"")</f>
        <v/>
      </c>
      <c r="O153" t="str" cm="1">
        <f t="array" aca="1" ref="O153" ca="1">IF(B153&lt;&gt;"", SUMPRODUCT((OFFSET(B153,0,0,I$16,1)=$T$24) +0),"")</f>
        <v/>
      </c>
      <c r="P153" t="str" cm="1">
        <f t="array" aca="1" ref="P153" ca="1">IF(C153&lt;&gt;"", SUMPRODUCT((OFFSET(C153,0,0,J$16,1)=$T$24) +0),"")</f>
        <v/>
      </c>
      <c r="Q153" t="str" cm="1">
        <f t="array" aca="1" ref="Q153" ca="1">IF(D153&lt;&gt;"", SUMPRODUCT((OFFSET(D153,0,0,K$16,1)=$T$24) +0),"")</f>
        <v/>
      </c>
      <c r="R153" t="str" cm="1">
        <f t="array" aca="1" ref="R153" ca="1">IF(E153&lt;&gt;"", SUMPRODUCT((OFFSET(E153,0,0,L$16,1)=$T$24) +0),"")</f>
        <v/>
      </c>
      <c r="AB153">
        <f t="shared" si="25"/>
        <v>1</v>
      </c>
      <c r="AC153">
        <f t="shared" si="25"/>
        <v>1</v>
      </c>
      <c r="AD153">
        <f t="shared" si="25"/>
        <v>2</v>
      </c>
      <c r="AE153">
        <f t="shared" si="25"/>
        <v>1</v>
      </c>
      <c r="AF153">
        <f t="shared" si="25"/>
        <v>0</v>
      </c>
      <c r="AG153">
        <f t="shared" si="26"/>
        <v>5</v>
      </c>
      <c r="AH153">
        <f t="shared" ca="1" si="27"/>
        <v>0</v>
      </c>
      <c r="AI153">
        <f>IF(ROW($AA153) - $AA$51 &lt; ($H$16+1)^5, IF(AG153 &gt;= BaseBonus!$C$16, AG153*BaseBonus!$E$31, 0), "")</f>
        <v>4.6952679064628979</v>
      </c>
      <c r="AJ153">
        <f t="shared" ca="1" si="28"/>
        <v>0</v>
      </c>
      <c r="AK153" s="44"/>
    </row>
    <row r="154" spans="8:37" x14ac:dyDescent="0.3">
      <c r="H154" t="str" cm="1">
        <f t="array" aca="1" ref="H154" ca="1">IF(ROW(A154)-H$15 &lt; H$14,A154,IF(ROW(A154) - H$15 -H$16 + 1 &lt; H$14,INDIRECT(ADDRESS(MOD(ROW(A154) - H$15, H$14) + H$15, COLUMN(A154))),""))</f>
        <v/>
      </c>
      <c r="I154" t="str" cm="1">
        <f t="array" aca="1" ref="I154" ca="1">IF(ROW(B154)-I$15 &lt; I$14,B154,IF(ROW(B154) - I$15 -I$16 + 1 &lt; I$14,INDIRECT(ADDRESS(MOD(ROW(B154) - I$15, I$14) + I$15, COLUMN(B154))),""))</f>
        <v/>
      </c>
      <c r="J154" t="str" cm="1">
        <f t="array" aca="1" ref="J154" ca="1">IF(ROW(C154)-J$15 &lt; J$14,C154,IF(ROW(C154) - J$15 -J$16 + 1 &lt; J$14,INDIRECT(ADDRESS(MOD(ROW(C154) - J$15, J$14) + J$15, COLUMN(C154))),""))</f>
        <v/>
      </c>
      <c r="K154" t="str" cm="1">
        <f t="array" aca="1" ref="K154" ca="1">IF(ROW(D154)-K$15 &lt; K$14,D154,IF(ROW(D154) - K$15 -K$16 + 1 &lt; K$14,INDIRECT(ADDRESS(MOD(ROW(D154) - K$15, K$14) + K$15, COLUMN(D154))),""))</f>
        <v/>
      </c>
      <c r="L154" t="str" cm="1">
        <f t="array" aca="1" ref="L154" ca="1">IF(ROW(E154)-L$15 &lt; L$14,E154,IF(ROW(E154) - L$15 -L$16 + 1 &lt; L$14,INDIRECT(ADDRESS(MOD(ROW(E154) - L$15, L$14) + L$15, COLUMN(E154))),""))</f>
        <v/>
      </c>
      <c r="N154" t="str" cm="1">
        <f t="array" aca="1" ref="N154" ca="1">IF(A154&lt;&gt;"", SUMPRODUCT((OFFSET(A154,0,0,H$16,1)=$T$24) +0),"")</f>
        <v/>
      </c>
      <c r="O154" t="str" cm="1">
        <f t="array" aca="1" ref="O154" ca="1">IF(B154&lt;&gt;"", SUMPRODUCT((OFFSET(B154,0,0,I$16,1)=$T$24) +0),"")</f>
        <v/>
      </c>
      <c r="P154" t="str" cm="1">
        <f t="array" aca="1" ref="P154" ca="1">IF(C154&lt;&gt;"", SUMPRODUCT((OFFSET(C154,0,0,J$16,1)=$T$24) +0),"")</f>
        <v/>
      </c>
      <c r="Q154" t="str" cm="1">
        <f t="array" aca="1" ref="Q154" ca="1">IF(D154&lt;&gt;"", SUMPRODUCT((OFFSET(D154,0,0,K$16,1)=$T$24) +0),"")</f>
        <v/>
      </c>
      <c r="R154" t="str" cm="1">
        <f t="array" aca="1" ref="R154" ca="1">IF(E154&lt;&gt;"", SUMPRODUCT((OFFSET(E154,0,0,L$16,1)=$T$24) +0),"")</f>
        <v/>
      </c>
      <c r="AB154">
        <f t="shared" ref="AB154:AF204" si="29">IF(ROW()-$AA$51 &lt; (H$16+1)^5, MOD(_xlfn.FLOOR.MATH((ROW()-$AA$51)/AB$50), H$16+1), "")</f>
        <v>2</v>
      </c>
      <c r="AC154">
        <f t="shared" si="29"/>
        <v>1</v>
      </c>
      <c r="AD154">
        <f t="shared" si="29"/>
        <v>2</v>
      </c>
      <c r="AE154">
        <f t="shared" si="29"/>
        <v>1</v>
      </c>
      <c r="AF154">
        <f t="shared" si="29"/>
        <v>0</v>
      </c>
      <c r="AG154">
        <f t="shared" si="26"/>
        <v>6</v>
      </c>
      <c r="AH154">
        <f t="shared" ca="1" si="27"/>
        <v>0</v>
      </c>
      <c r="AI154">
        <f>IF(ROW($AA154) - $AA$51 &lt; ($H$16+1)^5, IF(AG154 &gt;= BaseBonus!$C$16, AG154*BaseBonus!$E$31, 0), "")</f>
        <v>5.6343214877554777</v>
      </c>
      <c r="AJ154">
        <f t="shared" ca="1" si="28"/>
        <v>0</v>
      </c>
      <c r="AK154" s="44"/>
    </row>
    <row r="155" spans="8:37" x14ac:dyDescent="0.3">
      <c r="H155" t="str" cm="1">
        <f t="array" aca="1" ref="H155" ca="1">IF(ROW(A155)-H$15 &lt; H$14,A155,IF(ROW(A155) - H$15 -H$16 + 1 &lt; H$14,INDIRECT(ADDRESS(MOD(ROW(A155) - H$15, H$14) + H$15, COLUMN(A155))),""))</f>
        <v/>
      </c>
      <c r="I155" t="str" cm="1">
        <f t="array" aca="1" ref="I155" ca="1">IF(ROW(B155)-I$15 &lt; I$14,B155,IF(ROW(B155) - I$15 -I$16 + 1 &lt; I$14,INDIRECT(ADDRESS(MOD(ROW(B155) - I$15, I$14) + I$15, COLUMN(B155))),""))</f>
        <v/>
      </c>
      <c r="J155" t="str" cm="1">
        <f t="array" aca="1" ref="J155" ca="1">IF(ROW(C155)-J$15 &lt; J$14,C155,IF(ROW(C155) - J$15 -J$16 + 1 &lt; J$14,INDIRECT(ADDRESS(MOD(ROW(C155) - J$15, J$14) + J$15, COLUMN(C155))),""))</f>
        <v/>
      </c>
      <c r="K155" t="str" cm="1">
        <f t="array" aca="1" ref="K155" ca="1">IF(ROW(D155)-K$15 &lt; K$14,D155,IF(ROW(D155) - K$15 -K$16 + 1 &lt; K$14,INDIRECT(ADDRESS(MOD(ROW(D155) - K$15, K$14) + K$15, COLUMN(D155))),""))</f>
        <v/>
      </c>
      <c r="L155" t="str" cm="1">
        <f t="array" aca="1" ref="L155" ca="1">IF(ROW(E155)-L$15 &lt; L$14,E155,IF(ROW(E155) - L$15 -L$16 + 1 &lt; L$14,INDIRECT(ADDRESS(MOD(ROW(E155) - L$15, L$14) + L$15, COLUMN(E155))),""))</f>
        <v/>
      </c>
      <c r="N155" t="str" cm="1">
        <f t="array" aca="1" ref="N155" ca="1">IF(A155&lt;&gt;"", SUMPRODUCT((OFFSET(A155,0,0,H$16,1)=$T$24) +0),"")</f>
        <v/>
      </c>
      <c r="O155" t="str" cm="1">
        <f t="array" aca="1" ref="O155" ca="1">IF(B155&lt;&gt;"", SUMPRODUCT((OFFSET(B155,0,0,I$16,1)=$T$24) +0),"")</f>
        <v/>
      </c>
      <c r="P155" t="str" cm="1">
        <f t="array" aca="1" ref="P155" ca="1">IF(C155&lt;&gt;"", SUMPRODUCT((OFFSET(C155,0,0,J$16,1)=$T$24) +0),"")</f>
        <v/>
      </c>
      <c r="Q155" t="str" cm="1">
        <f t="array" aca="1" ref="Q155" ca="1">IF(D155&lt;&gt;"", SUMPRODUCT((OFFSET(D155,0,0,K$16,1)=$T$24) +0),"")</f>
        <v/>
      </c>
      <c r="R155" t="str" cm="1">
        <f t="array" aca="1" ref="R155" ca="1">IF(E155&lt;&gt;"", SUMPRODUCT((OFFSET(E155,0,0,L$16,1)=$T$24) +0),"")</f>
        <v/>
      </c>
      <c r="AB155">
        <f t="shared" si="29"/>
        <v>3</v>
      </c>
      <c r="AC155">
        <f t="shared" si="29"/>
        <v>1</v>
      </c>
      <c r="AD155">
        <f t="shared" si="29"/>
        <v>2</v>
      </c>
      <c r="AE155">
        <f t="shared" si="29"/>
        <v>1</v>
      </c>
      <c r="AF155">
        <f t="shared" si="29"/>
        <v>0</v>
      </c>
      <c r="AG155">
        <f t="shared" si="26"/>
        <v>7</v>
      </c>
      <c r="AH155">
        <f t="shared" ca="1" si="27"/>
        <v>0</v>
      </c>
      <c r="AI155">
        <f>IF(ROW($AA155) - $AA$51 &lt; ($H$16+1)^5, IF(AG155 &gt;= BaseBonus!$C$16, AG155*BaseBonus!$E$31, 0), "")</f>
        <v>6.5733750690480575</v>
      </c>
      <c r="AJ155">
        <f t="shared" ca="1" si="28"/>
        <v>0</v>
      </c>
      <c r="AK155" s="44"/>
    </row>
    <row r="156" spans="8:37" x14ac:dyDescent="0.3">
      <c r="H156" t="str" cm="1">
        <f t="array" aca="1" ref="H156" ca="1">IF(ROW(A156)-H$15 &lt; H$14,A156,IF(ROW(A156) - H$15 -H$16 + 1 &lt; H$14,INDIRECT(ADDRESS(MOD(ROW(A156) - H$15, H$14) + H$15, COLUMN(A156))),""))</f>
        <v/>
      </c>
      <c r="I156" t="str" cm="1">
        <f t="array" aca="1" ref="I156" ca="1">IF(ROW(B156)-I$15 &lt; I$14,B156,IF(ROW(B156) - I$15 -I$16 + 1 &lt; I$14,INDIRECT(ADDRESS(MOD(ROW(B156) - I$15, I$14) + I$15, COLUMN(B156))),""))</f>
        <v/>
      </c>
      <c r="J156" t="str" cm="1">
        <f t="array" aca="1" ref="J156" ca="1">IF(ROW(C156)-J$15 &lt; J$14,C156,IF(ROW(C156) - J$15 -J$16 + 1 &lt; J$14,INDIRECT(ADDRESS(MOD(ROW(C156) - J$15, J$14) + J$15, COLUMN(C156))),""))</f>
        <v/>
      </c>
      <c r="K156" t="str" cm="1">
        <f t="array" aca="1" ref="K156" ca="1">IF(ROW(D156)-K$15 &lt; K$14,D156,IF(ROW(D156) - K$15 -K$16 + 1 &lt; K$14,INDIRECT(ADDRESS(MOD(ROW(D156) - K$15, K$14) + K$15, COLUMN(D156))),""))</f>
        <v/>
      </c>
      <c r="L156" t="str" cm="1">
        <f t="array" aca="1" ref="L156" ca="1">IF(ROW(E156)-L$15 &lt; L$14,E156,IF(ROW(E156) - L$15 -L$16 + 1 &lt; L$14,INDIRECT(ADDRESS(MOD(ROW(E156) - L$15, L$14) + L$15, COLUMN(E156))),""))</f>
        <v/>
      </c>
      <c r="N156" t="str" cm="1">
        <f t="array" aca="1" ref="N156" ca="1">IF(A156&lt;&gt;"", SUMPRODUCT((OFFSET(A156,0,0,H$16,1)=$T$24) +0),"")</f>
        <v/>
      </c>
      <c r="O156" t="str" cm="1">
        <f t="array" aca="1" ref="O156" ca="1">IF(B156&lt;&gt;"", SUMPRODUCT((OFFSET(B156,0,0,I$16,1)=$T$24) +0),"")</f>
        <v/>
      </c>
      <c r="P156" t="str" cm="1">
        <f t="array" aca="1" ref="P156" ca="1">IF(C156&lt;&gt;"", SUMPRODUCT((OFFSET(C156,0,0,J$16,1)=$T$24) +0),"")</f>
        <v/>
      </c>
      <c r="Q156" t="str" cm="1">
        <f t="array" aca="1" ref="Q156" ca="1">IF(D156&lt;&gt;"", SUMPRODUCT((OFFSET(D156,0,0,K$16,1)=$T$24) +0),"")</f>
        <v/>
      </c>
      <c r="R156" t="str" cm="1">
        <f t="array" aca="1" ref="R156" ca="1">IF(E156&lt;&gt;"", SUMPRODUCT((OFFSET(E156,0,0,L$16,1)=$T$24) +0),"")</f>
        <v/>
      </c>
      <c r="AB156">
        <f t="shared" si="29"/>
        <v>0</v>
      </c>
      <c r="AC156">
        <f t="shared" si="29"/>
        <v>2</v>
      </c>
      <c r="AD156">
        <f t="shared" si="29"/>
        <v>2</v>
      </c>
      <c r="AE156">
        <f t="shared" si="29"/>
        <v>1</v>
      </c>
      <c r="AF156">
        <f t="shared" si="29"/>
        <v>0</v>
      </c>
      <c r="AG156">
        <f t="shared" si="26"/>
        <v>5</v>
      </c>
      <c r="AH156">
        <f t="shared" ca="1" si="27"/>
        <v>0</v>
      </c>
      <c r="AI156">
        <f>IF(ROW($AA156) - $AA$51 &lt; ($H$16+1)^5, IF(AG156 &gt;= BaseBonus!$C$16, AG156*BaseBonus!$E$31, 0), "")</f>
        <v>4.6952679064628979</v>
      </c>
      <c r="AJ156">
        <f t="shared" ca="1" si="28"/>
        <v>0</v>
      </c>
      <c r="AK156" s="44"/>
    </row>
    <row r="157" spans="8:37" x14ac:dyDescent="0.3">
      <c r="H157" t="str" cm="1">
        <f t="array" aca="1" ref="H157" ca="1">IF(ROW(A157)-H$15 &lt; H$14,A157,IF(ROW(A157) - H$15 -H$16 + 1 &lt; H$14,INDIRECT(ADDRESS(MOD(ROW(A157) - H$15, H$14) + H$15, COLUMN(A157))),""))</f>
        <v/>
      </c>
      <c r="I157" t="str" cm="1">
        <f t="array" aca="1" ref="I157" ca="1">IF(ROW(B157)-I$15 &lt; I$14,B157,IF(ROW(B157) - I$15 -I$16 + 1 &lt; I$14,INDIRECT(ADDRESS(MOD(ROW(B157) - I$15, I$14) + I$15, COLUMN(B157))),""))</f>
        <v/>
      </c>
      <c r="J157" t="str" cm="1">
        <f t="array" aca="1" ref="J157" ca="1">IF(ROW(C157)-J$15 &lt; J$14,C157,IF(ROW(C157) - J$15 -J$16 + 1 &lt; J$14,INDIRECT(ADDRESS(MOD(ROW(C157) - J$15, J$14) + J$15, COLUMN(C157))),""))</f>
        <v/>
      </c>
      <c r="K157" t="str" cm="1">
        <f t="array" aca="1" ref="K157" ca="1">IF(ROW(D157)-K$15 &lt; K$14,D157,IF(ROW(D157) - K$15 -K$16 + 1 &lt; K$14,INDIRECT(ADDRESS(MOD(ROW(D157) - K$15, K$14) + K$15, COLUMN(D157))),""))</f>
        <v/>
      </c>
      <c r="L157" t="str" cm="1">
        <f t="array" aca="1" ref="L157" ca="1">IF(ROW(E157)-L$15 &lt; L$14,E157,IF(ROW(E157) - L$15 -L$16 + 1 &lt; L$14,INDIRECT(ADDRESS(MOD(ROW(E157) - L$15, L$14) + L$15, COLUMN(E157))),""))</f>
        <v/>
      </c>
      <c r="N157" t="str" cm="1">
        <f t="array" aca="1" ref="N157" ca="1">IF(A157&lt;&gt;"", SUMPRODUCT((OFFSET(A157,0,0,H$16,1)=$T$24) +0),"")</f>
        <v/>
      </c>
      <c r="O157" t="str" cm="1">
        <f t="array" aca="1" ref="O157" ca="1">IF(B157&lt;&gt;"", SUMPRODUCT((OFFSET(B157,0,0,I$16,1)=$T$24) +0),"")</f>
        <v/>
      </c>
      <c r="P157" t="str" cm="1">
        <f t="array" aca="1" ref="P157" ca="1">IF(C157&lt;&gt;"", SUMPRODUCT((OFFSET(C157,0,0,J$16,1)=$T$24) +0),"")</f>
        <v/>
      </c>
      <c r="Q157" t="str" cm="1">
        <f t="array" aca="1" ref="Q157" ca="1">IF(D157&lt;&gt;"", SUMPRODUCT((OFFSET(D157,0,0,K$16,1)=$T$24) +0),"")</f>
        <v/>
      </c>
      <c r="R157" t="str" cm="1">
        <f t="array" aca="1" ref="R157" ca="1">IF(E157&lt;&gt;"", SUMPRODUCT((OFFSET(E157,0,0,L$16,1)=$T$24) +0),"")</f>
        <v/>
      </c>
      <c r="AB157">
        <f t="shared" si="29"/>
        <v>1</v>
      </c>
      <c r="AC157">
        <f t="shared" si="29"/>
        <v>2</v>
      </c>
      <c r="AD157">
        <f t="shared" si="29"/>
        <v>2</v>
      </c>
      <c r="AE157">
        <f t="shared" si="29"/>
        <v>1</v>
      </c>
      <c r="AF157">
        <f t="shared" si="29"/>
        <v>0</v>
      </c>
      <c r="AG157">
        <f t="shared" si="26"/>
        <v>6</v>
      </c>
      <c r="AH157">
        <f t="shared" ca="1" si="27"/>
        <v>0</v>
      </c>
      <c r="AI157">
        <f>IF(ROW($AA157) - $AA$51 &lt; ($H$16+1)^5, IF(AG157 &gt;= BaseBonus!$C$16, AG157*BaseBonus!$E$31, 0), "")</f>
        <v>5.6343214877554777</v>
      </c>
      <c r="AJ157">
        <f t="shared" ca="1" si="28"/>
        <v>0</v>
      </c>
      <c r="AK157" s="44"/>
    </row>
    <row r="158" spans="8:37" x14ac:dyDescent="0.3">
      <c r="H158" t="str" cm="1">
        <f t="array" aca="1" ref="H158" ca="1">IF(ROW(A158)-H$15 &lt; H$14,A158,IF(ROW(A158) - H$15 -H$16 + 1 &lt; H$14,INDIRECT(ADDRESS(MOD(ROW(A158) - H$15, H$14) + H$15, COLUMN(A158))),""))</f>
        <v/>
      </c>
      <c r="I158" t="str" cm="1">
        <f t="array" aca="1" ref="I158" ca="1">IF(ROW(B158)-I$15 &lt; I$14,B158,IF(ROW(B158) - I$15 -I$16 + 1 &lt; I$14,INDIRECT(ADDRESS(MOD(ROW(B158) - I$15, I$14) + I$15, COLUMN(B158))),""))</f>
        <v/>
      </c>
      <c r="J158" t="str" cm="1">
        <f t="array" aca="1" ref="J158" ca="1">IF(ROW(C158)-J$15 &lt; J$14,C158,IF(ROW(C158) - J$15 -J$16 + 1 &lt; J$14,INDIRECT(ADDRESS(MOD(ROW(C158) - J$15, J$14) + J$15, COLUMN(C158))),""))</f>
        <v/>
      </c>
      <c r="K158" t="str" cm="1">
        <f t="array" aca="1" ref="K158" ca="1">IF(ROW(D158)-K$15 &lt; K$14,D158,IF(ROW(D158) - K$15 -K$16 + 1 &lt; K$14,INDIRECT(ADDRESS(MOD(ROW(D158) - K$15, K$14) + K$15, COLUMN(D158))),""))</f>
        <v/>
      </c>
      <c r="L158" t="str" cm="1">
        <f t="array" aca="1" ref="L158" ca="1">IF(ROW(E158)-L$15 &lt; L$14,E158,IF(ROW(E158) - L$15 -L$16 + 1 &lt; L$14,INDIRECT(ADDRESS(MOD(ROW(E158) - L$15, L$14) + L$15, COLUMN(E158))),""))</f>
        <v/>
      </c>
      <c r="N158" t="str" cm="1">
        <f t="array" aca="1" ref="N158" ca="1">IF(A158&lt;&gt;"", SUMPRODUCT((OFFSET(A158,0,0,H$16,1)=$T$24) +0),"")</f>
        <v/>
      </c>
      <c r="O158" t="str" cm="1">
        <f t="array" aca="1" ref="O158" ca="1">IF(B158&lt;&gt;"", SUMPRODUCT((OFFSET(B158,0,0,I$16,1)=$T$24) +0),"")</f>
        <v/>
      </c>
      <c r="P158" t="str" cm="1">
        <f t="array" aca="1" ref="P158" ca="1">IF(C158&lt;&gt;"", SUMPRODUCT((OFFSET(C158,0,0,J$16,1)=$T$24) +0),"")</f>
        <v/>
      </c>
      <c r="Q158" t="str" cm="1">
        <f t="array" aca="1" ref="Q158" ca="1">IF(D158&lt;&gt;"", SUMPRODUCT((OFFSET(D158,0,0,K$16,1)=$T$24) +0),"")</f>
        <v/>
      </c>
      <c r="R158" t="str" cm="1">
        <f t="array" aca="1" ref="R158" ca="1">IF(E158&lt;&gt;"", SUMPRODUCT((OFFSET(E158,0,0,L$16,1)=$T$24) +0),"")</f>
        <v/>
      </c>
      <c r="AB158">
        <f t="shared" si="29"/>
        <v>2</v>
      </c>
      <c r="AC158">
        <f t="shared" si="29"/>
        <v>2</v>
      </c>
      <c r="AD158">
        <f t="shared" si="29"/>
        <v>2</v>
      </c>
      <c r="AE158">
        <f t="shared" si="29"/>
        <v>1</v>
      </c>
      <c r="AF158">
        <f t="shared" si="29"/>
        <v>0</v>
      </c>
      <c r="AG158">
        <f t="shared" si="26"/>
        <v>7</v>
      </c>
      <c r="AH158">
        <f t="shared" ca="1" si="27"/>
        <v>0</v>
      </c>
      <c r="AI158">
        <f>IF(ROW($AA158) - $AA$51 &lt; ($H$16+1)^5, IF(AG158 &gt;= BaseBonus!$C$16, AG158*BaseBonus!$E$31, 0), "")</f>
        <v>6.5733750690480575</v>
      </c>
      <c r="AJ158">
        <f t="shared" ca="1" si="28"/>
        <v>0</v>
      </c>
      <c r="AK158" s="44"/>
    </row>
    <row r="159" spans="8:37" x14ac:dyDescent="0.3">
      <c r="H159" t="str" cm="1">
        <f t="array" aca="1" ref="H159" ca="1">IF(ROW(A159)-H$15 &lt; H$14,A159,IF(ROW(A159) - H$15 -H$16 + 1 &lt; H$14,INDIRECT(ADDRESS(MOD(ROW(A159) - H$15, H$14) + H$15, COLUMN(A159))),""))</f>
        <v/>
      </c>
      <c r="I159" t="str" cm="1">
        <f t="array" aca="1" ref="I159" ca="1">IF(ROW(B159)-I$15 &lt; I$14,B159,IF(ROW(B159) - I$15 -I$16 + 1 &lt; I$14,INDIRECT(ADDRESS(MOD(ROW(B159) - I$15, I$14) + I$15, COLUMN(B159))),""))</f>
        <v/>
      </c>
      <c r="J159" t="str" cm="1">
        <f t="array" aca="1" ref="J159" ca="1">IF(ROW(C159)-J$15 &lt; J$14,C159,IF(ROW(C159) - J$15 -J$16 + 1 &lt; J$14,INDIRECT(ADDRESS(MOD(ROW(C159) - J$15, J$14) + J$15, COLUMN(C159))),""))</f>
        <v/>
      </c>
      <c r="K159" t="str" cm="1">
        <f t="array" aca="1" ref="K159" ca="1">IF(ROW(D159)-K$15 &lt; K$14,D159,IF(ROW(D159) - K$15 -K$16 + 1 &lt; K$14,INDIRECT(ADDRESS(MOD(ROW(D159) - K$15, K$14) + K$15, COLUMN(D159))),""))</f>
        <v/>
      </c>
      <c r="L159" t="str" cm="1">
        <f t="array" aca="1" ref="L159" ca="1">IF(ROW(E159)-L$15 &lt; L$14,E159,IF(ROW(E159) - L$15 -L$16 + 1 &lt; L$14,INDIRECT(ADDRESS(MOD(ROW(E159) - L$15, L$14) + L$15, COLUMN(E159))),""))</f>
        <v/>
      </c>
      <c r="N159" t="str" cm="1">
        <f t="array" aca="1" ref="N159" ca="1">IF(A159&lt;&gt;"", SUMPRODUCT((OFFSET(A159,0,0,H$16,1)=$T$24) +0),"")</f>
        <v/>
      </c>
      <c r="O159" t="str" cm="1">
        <f t="array" aca="1" ref="O159" ca="1">IF(B159&lt;&gt;"", SUMPRODUCT((OFFSET(B159,0,0,I$16,1)=$T$24) +0),"")</f>
        <v/>
      </c>
      <c r="P159" t="str" cm="1">
        <f t="array" aca="1" ref="P159" ca="1">IF(C159&lt;&gt;"", SUMPRODUCT((OFFSET(C159,0,0,J$16,1)=$T$24) +0),"")</f>
        <v/>
      </c>
      <c r="Q159" t="str" cm="1">
        <f t="array" aca="1" ref="Q159" ca="1">IF(D159&lt;&gt;"", SUMPRODUCT((OFFSET(D159,0,0,K$16,1)=$T$24) +0),"")</f>
        <v/>
      </c>
      <c r="R159" t="str" cm="1">
        <f t="array" aca="1" ref="R159" ca="1">IF(E159&lt;&gt;"", SUMPRODUCT((OFFSET(E159,0,0,L$16,1)=$T$24) +0),"")</f>
        <v/>
      </c>
      <c r="AB159">
        <f t="shared" si="29"/>
        <v>3</v>
      </c>
      <c r="AC159">
        <f t="shared" si="29"/>
        <v>2</v>
      </c>
      <c r="AD159">
        <f t="shared" si="29"/>
        <v>2</v>
      </c>
      <c r="AE159">
        <f t="shared" si="29"/>
        <v>1</v>
      </c>
      <c r="AF159">
        <f t="shared" si="29"/>
        <v>0</v>
      </c>
      <c r="AG159">
        <f t="shared" si="26"/>
        <v>8</v>
      </c>
      <c r="AH159">
        <f t="shared" ca="1" si="27"/>
        <v>0</v>
      </c>
      <c r="AI159">
        <f>IF(ROW($AA159) - $AA$51 &lt; ($H$16+1)^5, IF(AG159 &gt;= BaseBonus!$C$16, AG159*BaseBonus!$E$31, 0), "")</f>
        <v>7.5124286503406372</v>
      </c>
      <c r="AJ159">
        <f t="shared" ca="1" si="28"/>
        <v>0</v>
      </c>
      <c r="AK159" s="44"/>
    </row>
    <row r="160" spans="8:37" x14ac:dyDescent="0.3">
      <c r="H160" t="str" cm="1">
        <f t="array" aca="1" ref="H160" ca="1">IF(ROW(A160)-H$15 &lt; H$14,A160,IF(ROW(A160) - H$15 -H$16 + 1 &lt; H$14,INDIRECT(ADDRESS(MOD(ROW(A160) - H$15, H$14) + H$15, COLUMN(A160))),""))</f>
        <v/>
      </c>
      <c r="I160" t="str" cm="1">
        <f t="array" aca="1" ref="I160" ca="1">IF(ROW(B160)-I$15 &lt; I$14,B160,IF(ROW(B160) - I$15 -I$16 + 1 &lt; I$14,INDIRECT(ADDRESS(MOD(ROW(B160) - I$15, I$14) + I$15, COLUMN(B160))),""))</f>
        <v/>
      </c>
      <c r="J160" t="str" cm="1">
        <f t="array" aca="1" ref="J160" ca="1">IF(ROW(C160)-J$15 &lt; J$14,C160,IF(ROW(C160) - J$15 -J$16 + 1 &lt; J$14,INDIRECT(ADDRESS(MOD(ROW(C160) - J$15, J$14) + J$15, COLUMN(C160))),""))</f>
        <v/>
      </c>
      <c r="K160" t="str" cm="1">
        <f t="array" aca="1" ref="K160" ca="1">IF(ROW(D160)-K$15 &lt; K$14,D160,IF(ROW(D160) - K$15 -K$16 + 1 &lt; K$14,INDIRECT(ADDRESS(MOD(ROW(D160) - K$15, K$14) + K$15, COLUMN(D160))),""))</f>
        <v/>
      </c>
      <c r="L160" t="str" cm="1">
        <f t="array" aca="1" ref="L160" ca="1">IF(ROW(E160)-L$15 &lt; L$14,E160,IF(ROW(E160) - L$15 -L$16 + 1 &lt; L$14,INDIRECT(ADDRESS(MOD(ROW(E160) - L$15, L$14) + L$15, COLUMN(E160))),""))</f>
        <v/>
      </c>
      <c r="N160" t="str" cm="1">
        <f t="array" aca="1" ref="N160" ca="1">IF(A160&lt;&gt;"", SUMPRODUCT((OFFSET(A160,0,0,H$16,1)=$T$24) +0),"")</f>
        <v/>
      </c>
      <c r="O160" t="str" cm="1">
        <f t="array" aca="1" ref="O160" ca="1">IF(B160&lt;&gt;"", SUMPRODUCT((OFFSET(B160,0,0,I$16,1)=$T$24) +0),"")</f>
        <v/>
      </c>
      <c r="P160" t="str" cm="1">
        <f t="array" aca="1" ref="P160" ca="1">IF(C160&lt;&gt;"", SUMPRODUCT((OFFSET(C160,0,0,J$16,1)=$T$24) +0),"")</f>
        <v/>
      </c>
      <c r="Q160" t="str" cm="1">
        <f t="array" aca="1" ref="Q160" ca="1">IF(D160&lt;&gt;"", SUMPRODUCT((OFFSET(D160,0,0,K$16,1)=$T$24) +0),"")</f>
        <v/>
      </c>
      <c r="R160" t="str" cm="1">
        <f t="array" aca="1" ref="R160" ca="1">IF(E160&lt;&gt;"", SUMPRODUCT((OFFSET(E160,0,0,L$16,1)=$T$24) +0),"")</f>
        <v/>
      </c>
      <c r="AB160">
        <f t="shared" si="29"/>
        <v>0</v>
      </c>
      <c r="AC160">
        <f t="shared" si="29"/>
        <v>3</v>
      </c>
      <c r="AD160">
        <f t="shared" si="29"/>
        <v>2</v>
      </c>
      <c r="AE160">
        <f t="shared" si="29"/>
        <v>1</v>
      </c>
      <c r="AF160">
        <f t="shared" si="29"/>
        <v>0</v>
      </c>
      <c r="AG160">
        <f t="shared" si="26"/>
        <v>6</v>
      </c>
      <c r="AH160">
        <f t="shared" ca="1" si="27"/>
        <v>0</v>
      </c>
      <c r="AI160">
        <f>IF(ROW($AA160) - $AA$51 &lt; ($H$16+1)^5, IF(AG160 &gt;= BaseBonus!$C$16, AG160*BaseBonus!$E$31, 0), "")</f>
        <v>5.6343214877554777</v>
      </c>
      <c r="AJ160">
        <f t="shared" ca="1" si="28"/>
        <v>0</v>
      </c>
      <c r="AK160" s="44"/>
    </row>
    <row r="161" spans="8:37" x14ac:dyDescent="0.3">
      <c r="H161" t="str" cm="1">
        <f t="array" aca="1" ref="H161" ca="1">IF(ROW(A161)-H$15 &lt; H$14,A161,IF(ROW(A161) - H$15 -H$16 + 1 &lt; H$14,INDIRECT(ADDRESS(MOD(ROW(A161) - H$15, H$14) + H$15, COLUMN(A161))),""))</f>
        <v/>
      </c>
      <c r="I161" t="str" cm="1">
        <f t="array" aca="1" ref="I161" ca="1">IF(ROW(B161)-I$15 &lt; I$14,B161,IF(ROW(B161) - I$15 -I$16 + 1 &lt; I$14,INDIRECT(ADDRESS(MOD(ROW(B161) - I$15, I$14) + I$15, COLUMN(B161))),""))</f>
        <v/>
      </c>
      <c r="J161" t="str" cm="1">
        <f t="array" aca="1" ref="J161" ca="1">IF(ROW(C161)-J$15 &lt; J$14,C161,IF(ROW(C161) - J$15 -J$16 + 1 &lt; J$14,INDIRECT(ADDRESS(MOD(ROW(C161) - J$15, J$14) + J$15, COLUMN(C161))),""))</f>
        <v/>
      </c>
      <c r="K161" t="str" cm="1">
        <f t="array" aca="1" ref="K161" ca="1">IF(ROW(D161)-K$15 &lt; K$14,D161,IF(ROW(D161) - K$15 -K$16 + 1 &lt; K$14,INDIRECT(ADDRESS(MOD(ROW(D161) - K$15, K$14) + K$15, COLUMN(D161))),""))</f>
        <v/>
      </c>
      <c r="L161" t="str" cm="1">
        <f t="array" aca="1" ref="L161" ca="1">IF(ROW(E161)-L$15 &lt; L$14,E161,IF(ROW(E161) - L$15 -L$16 + 1 &lt; L$14,INDIRECT(ADDRESS(MOD(ROW(E161) - L$15, L$14) + L$15, COLUMN(E161))),""))</f>
        <v/>
      </c>
      <c r="N161" t="str" cm="1">
        <f t="array" aca="1" ref="N161" ca="1">IF(A161&lt;&gt;"", SUMPRODUCT((OFFSET(A161,0,0,H$16,1)=$T$24) +0),"")</f>
        <v/>
      </c>
      <c r="O161" t="str" cm="1">
        <f t="array" aca="1" ref="O161" ca="1">IF(B161&lt;&gt;"", SUMPRODUCT((OFFSET(B161,0,0,I$16,1)=$T$24) +0),"")</f>
        <v/>
      </c>
      <c r="P161" t="str" cm="1">
        <f t="array" aca="1" ref="P161" ca="1">IF(C161&lt;&gt;"", SUMPRODUCT((OFFSET(C161,0,0,J$16,1)=$T$24) +0),"")</f>
        <v/>
      </c>
      <c r="Q161" t="str" cm="1">
        <f t="array" aca="1" ref="Q161" ca="1">IF(D161&lt;&gt;"", SUMPRODUCT((OFFSET(D161,0,0,K$16,1)=$T$24) +0),"")</f>
        <v/>
      </c>
      <c r="R161" t="str" cm="1">
        <f t="array" aca="1" ref="R161" ca="1">IF(E161&lt;&gt;"", SUMPRODUCT((OFFSET(E161,0,0,L$16,1)=$T$24) +0),"")</f>
        <v/>
      </c>
      <c r="AB161">
        <f t="shared" si="29"/>
        <v>1</v>
      </c>
      <c r="AC161">
        <f t="shared" si="29"/>
        <v>3</v>
      </c>
      <c r="AD161">
        <f t="shared" si="29"/>
        <v>2</v>
      </c>
      <c r="AE161">
        <f t="shared" si="29"/>
        <v>1</v>
      </c>
      <c r="AF161">
        <f t="shared" si="29"/>
        <v>0</v>
      </c>
      <c r="AG161">
        <f t="shared" si="26"/>
        <v>7</v>
      </c>
      <c r="AH161">
        <f t="shared" ca="1" si="27"/>
        <v>0</v>
      </c>
      <c r="AI161">
        <f>IF(ROW($AA161) - $AA$51 &lt; ($H$16+1)^5, IF(AG161 &gt;= BaseBonus!$C$16, AG161*BaseBonus!$E$31, 0), "")</f>
        <v>6.5733750690480575</v>
      </c>
      <c r="AJ161">
        <f t="shared" ca="1" si="28"/>
        <v>0</v>
      </c>
      <c r="AK161" s="44"/>
    </row>
    <row r="162" spans="8:37" x14ac:dyDescent="0.3">
      <c r="H162" t="str" cm="1">
        <f t="array" aca="1" ref="H162" ca="1">IF(ROW(A162)-H$15 &lt; H$14,A162,IF(ROW(A162) - H$15 -H$16 + 1 &lt; H$14,INDIRECT(ADDRESS(MOD(ROW(A162) - H$15, H$14) + H$15, COLUMN(A162))),""))</f>
        <v/>
      </c>
      <c r="I162" t="str" cm="1">
        <f t="array" aca="1" ref="I162" ca="1">IF(ROW(B162)-I$15 &lt; I$14,B162,IF(ROW(B162) - I$15 -I$16 + 1 &lt; I$14,INDIRECT(ADDRESS(MOD(ROW(B162) - I$15, I$14) + I$15, COLUMN(B162))),""))</f>
        <v/>
      </c>
      <c r="J162" t="str" cm="1">
        <f t="array" aca="1" ref="J162" ca="1">IF(ROW(C162)-J$15 &lt; J$14,C162,IF(ROW(C162) - J$15 -J$16 + 1 &lt; J$14,INDIRECT(ADDRESS(MOD(ROW(C162) - J$15, J$14) + J$15, COLUMN(C162))),""))</f>
        <v/>
      </c>
      <c r="K162" t="str" cm="1">
        <f t="array" aca="1" ref="K162" ca="1">IF(ROW(D162)-K$15 &lt; K$14,D162,IF(ROW(D162) - K$15 -K$16 + 1 &lt; K$14,INDIRECT(ADDRESS(MOD(ROW(D162) - K$15, K$14) + K$15, COLUMN(D162))),""))</f>
        <v/>
      </c>
      <c r="L162" t="str" cm="1">
        <f t="array" aca="1" ref="L162" ca="1">IF(ROW(E162)-L$15 &lt; L$14,E162,IF(ROW(E162) - L$15 -L$16 + 1 &lt; L$14,INDIRECT(ADDRESS(MOD(ROW(E162) - L$15, L$14) + L$15, COLUMN(E162))),""))</f>
        <v/>
      </c>
      <c r="N162" t="str" cm="1">
        <f t="array" aca="1" ref="N162" ca="1">IF(A162&lt;&gt;"", SUMPRODUCT((OFFSET(A162,0,0,H$16,1)=$T$24) +0),"")</f>
        <v/>
      </c>
      <c r="O162" t="str" cm="1">
        <f t="array" aca="1" ref="O162" ca="1">IF(B162&lt;&gt;"", SUMPRODUCT((OFFSET(B162,0,0,I$16,1)=$T$24) +0),"")</f>
        <v/>
      </c>
      <c r="P162" t="str" cm="1">
        <f t="array" aca="1" ref="P162" ca="1">IF(C162&lt;&gt;"", SUMPRODUCT((OFFSET(C162,0,0,J$16,1)=$T$24) +0),"")</f>
        <v/>
      </c>
      <c r="Q162" t="str" cm="1">
        <f t="array" aca="1" ref="Q162" ca="1">IF(D162&lt;&gt;"", SUMPRODUCT((OFFSET(D162,0,0,K$16,1)=$T$24) +0),"")</f>
        <v/>
      </c>
      <c r="R162" t="str" cm="1">
        <f t="array" aca="1" ref="R162" ca="1">IF(E162&lt;&gt;"", SUMPRODUCT((OFFSET(E162,0,0,L$16,1)=$T$24) +0),"")</f>
        <v/>
      </c>
      <c r="AB162">
        <f t="shared" si="29"/>
        <v>2</v>
      </c>
      <c r="AC162">
        <f t="shared" si="29"/>
        <v>3</v>
      </c>
      <c r="AD162">
        <f t="shared" si="29"/>
        <v>2</v>
      </c>
      <c r="AE162">
        <f t="shared" si="29"/>
        <v>1</v>
      </c>
      <c r="AF162">
        <f t="shared" si="29"/>
        <v>0</v>
      </c>
      <c r="AG162">
        <f t="shared" si="26"/>
        <v>8</v>
      </c>
      <c r="AH162">
        <f t="shared" ca="1" si="27"/>
        <v>0</v>
      </c>
      <c r="AI162">
        <f>IF(ROW($AA162) - $AA$51 &lt; ($H$16+1)^5, IF(AG162 &gt;= BaseBonus!$C$16, AG162*BaseBonus!$E$31, 0), "")</f>
        <v>7.5124286503406372</v>
      </c>
      <c r="AJ162">
        <f t="shared" ca="1" si="28"/>
        <v>0</v>
      </c>
      <c r="AK162" s="44"/>
    </row>
    <row r="163" spans="8:37" x14ac:dyDescent="0.3">
      <c r="H163" t="str" cm="1">
        <f t="array" aca="1" ref="H163" ca="1">IF(ROW(A163)-H$15 &lt; H$14,A163,IF(ROW(A163) - H$15 -H$16 + 1 &lt; H$14,INDIRECT(ADDRESS(MOD(ROW(A163) - H$15, H$14) + H$15, COLUMN(A163))),""))</f>
        <v/>
      </c>
      <c r="I163" t="str" cm="1">
        <f t="array" aca="1" ref="I163" ca="1">IF(ROW(B163)-I$15 &lt; I$14,B163,IF(ROW(B163) - I$15 -I$16 + 1 &lt; I$14,INDIRECT(ADDRESS(MOD(ROW(B163) - I$15, I$14) + I$15, COLUMN(B163))),""))</f>
        <v/>
      </c>
      <c r="J163" t="str" cm="1">
        <f t="array" aca="1" ref="J163" ca="1">IF(ROW(C163)-J$15 &lt; J$14,C163,IF(ROW(C163) - J$15 -J$16 + 1 &lt; J$14,INDIRECT(ADDRESS(MOD(ROW(C163) - J$15, J$14) + J$15, COLUMN(C163))),""))</f>
        <v/>
      </c>
      <c r="K163" t="str" cm="1">
        <f t="array" aca="1" ref="K163" ca="1">IF(ROW(D163)-K$15 &lt; K$14,D163,IF(ROW(D163) - K$15 -K$16 + 1 &lt; K$14,INDIRECT(ADDRESS(MOD(ROW(D163) - K$15, K$14) + K$15, COLUMN(D163))),""))</f>
        <v/>
      </c>
      <c r="L163" t="str" cm="1">
        <f t="array" aca="1" ref="L163" ca="1">IF(ROW(E163)-L$15 &lt; L$14,E163,IF(ROW(E163) - L$15 -L$16 + 1 &lt; L$14,INDIRECT(ADDRESS(MOD(ROW(E163) - L$15, L$14) + L$15, COLUMN(E163))),""))</f>
        <v/>
      </c>
      <c r="N163" t="str" cm="1">
        <f t="array" aca="1" ref="N163" ca="1">IF(A163&lt;&gt;"", SUMPRODUCT((OFFSET(A163,0,0,H$16,1)=$T$24) +0),"")</f>
        <v/>
      </c>
      <c r="O163" t="str" cm="1">
        <f t="array" aca="1" ref="O163" ca="1">IF(B163&lt;&gt;"", SUMPRODUCT((OFFSET(B163,0,0,I$16,1)=$T$24) +0),"")</f>
        <v/>
      </c>
      <c r="P163" t="str" cm="1">
        <f t="array" aca="1" ref="P163" ca="1">IF(C163&lt;&gt;"", SUMPRODUCT((OFFSET(C163,0,0,J$16,1)=$T$24) +0),"")</f>
        <v/>
      </c>
      <c r="Q163" t="str" cm="1">
        <f t="array" aca="1" ref="Q163" ca="1">IF(D163&lt;&gt;"", SUMPRODUCT((OFFSET(D163,0,0,K$16,1)=$T$24) +0),"")</f>
        <v/>
      </c>
      <c r="R163" t="str" cm="1">
        <f t="array" aca="1" ref="R163" ca="1">IF(E163&lt;&gt;"", SUMPRODUCT((OFFSET(E163,0,0,L$16,1)=$T$24) +0),"")</f>
        <v/>
      </c>
      <c r="AB163">
        <f t="shared" si="29"/>
        <v>3</v>
      </c>
      <c r="AC163">
        <f t="shared" si="29"/>
        <v>3</v>
      </c>
      <c r="AD163">
        <f t="shared" si="29"/>
        <v>2</v>
      </c>
      <c r="AE163">
        <f t="shared" si="29"/>
        <v>1</v>
      </c>
      <c r="AF163">
        <f t="shared" si="29"/>
        <v>0</v>
      </c>
      <c r="AG163">
        <f t="shared" si="26"/>
        <v>9</v>
      </c>
      <c r="AH163">
        <f t="shared" ca="1" si="27"/>
        <v>0</v>
      </c>
      <c r="AI163">
        <f>IF(ROW($AA163) - $AA$51 &lt; ($H$16+1)^5, IF(AG163 &gt;= BaseBonus!$C$16, AG163*BaseBonus!$E$31, 0), "")</f>
        <v>8.4514822316332161</v>
      </c>
      <c r="AJ163">
        <f t="shared" ca="1" si="28"/>
        <v>0</v>
      </c>
      <c r="AK163" s="44"/>
    </row>
    <row r="164" spans="8:37" x14ac:dyDescent="0.3">
      <c r="H164" t="str" cm="1">
        <f t="array" aca="1" ref="H164" ca="1">IF(ROW(A164)-H$15 &lt; H$14,A164,IF(ROW(A164) - H$15 -H$16 + 1 &lt; H$14,INDIRECT(ADDRESS(MOD(ROW(A164) - H$15, H$14) + H$15, COLUMN(A164))),""))</f>
        <v/>
      </c>
      <c r="I164" t="str" cm="1">
        <f t="array" aca="1" ref="I164" ca="1">IF(ROW(B164)-I$15 &lt; I$14,B164,IF(ROW(B164) - I$15 -I$16 + 1 &lt; I$14,INDIRECT(ADDRESS(MOD(ROW(B164) - I$15, I$14) + I$15, COLUMN(B164))),""))</f>
        <v/>
      </c>
      <c r="J164" t="str" cm="1">
        <f t="array" aca="1" ref="J164" ca="1">IF(ROW(C164)-J$15 &lt; J$14,C164,IF(ROW(C164) - J$15 -J$16 + 1 &lt; J$14,INDIRECT(ADDRESS(MOD(ROW(C164) - J$15, J$14) + J$15, COLUMN(C164))),""))</f>
        <v/>
      </c>
      <c r="K164" t="str" cm="1">
        <f t="array" aca="1" ref="K164" ca="1">IF(ROW(D164)-K$15 &lt; K$14,D164,IF(ROW(D164) - K$15 -K$16 + 1 &lt; K$14,INDIRECT(ADDRESS(MOD(ROW(D164) - K$15, K$14) + K$15, COLUMN(D164))),""))</f>
        <v/>
      </c>
      <c r="L164" t="str" cm="1">
        <f t="array" aca="1" ref="L164" ca="1">IF(ROW(E164)-L$15 &lt; L$14,E164,IF(ROW(E164) - L$15 -L$16 + 1 &lt; L$14,INDIRECT(ADDRESS(MOD(ROW(E164) - L$15, L$14) + L$15, COLUMN(E164))),""))</f>
        <v/>
      </c>
      <c r="N164" t="str" cm="1">
        <f t="array" aca="1" ref="N164" ca="1">IF(A164&lt;&gt;"", SUMPRODUCT((OFFSET(A164,0,0,H$16,1)=$T$24) +0),"")</f>
        <v/>
      </c>
      <c r="O164" t="str" cm="1">
        <f t="array" aca="1" ref="O164" ca="1">IF(B164&lt;&gt;"", SUMPRODUCT((OFFSET(B164,0,0,I$16,1)=$T$24) +0),"")</f>
        <v/>
      </c>
      <c r="P164" t="str" cm="1">
        <f t="array" aca="1" ref="P164" ca="1">IF(C164&lt;&gt;"", SUMPRODUCT((OFFSET(C164,0,0,J$16,1)=$T$24) +0),"")</f>
        <v/>
      </c>
      <c r="Q164" t="str" cm="1">
        <f t="array" aca="1" ref="Q164" ca="1">IF(D164&lt;&gt;"", SUMPRODUCT((OFFSET(D164,0,0,K$16,1)=$T$24) +0),"")</f>
        <v/>
      </c>
      <c r="R164" t="str" cm="1">
        <f t="array" aca="1" ref="R164" ca="1">IF(E164&lt;&gt;"", SUMPRODUCT((OFFSET(E164,0,0,L$16,1)=$T$24) +0),"")</f>
        <v/>
      </c>
      <c r="AB164">
        <f t="shared" si="29"/>
        <v>0</v>
      </c>
      <c r="AC164">
        <f t="shared" si="29"/>
        <v>0</v>
      </c>
      <c r="AD164">
        <f t="shared" si="29"/>
        <v>3</v>
      </c>
      <c r="AE164">
        <f t="shared" si="29"/>
        <v>1</v>
      </c>
      <c r="AF164">
        <f t="shared" si="29"/>
        <v>0</v>
      </c>
      <c r="AG164">
        <f t="shared" si="26"/>
        <v>4</v>
      </c>
      <c r="AH164">
        <f t="shared" ca="1" si="27"/>
        <v>0</v>
      </c>
      <c r="AI164">
        <f>IF(ROW($AA164) - $AA$51 &lt; ($H$16+1)^5, IF(AG164 &gt;= BaseBonus!$C$16, AG164*BaseBonus!$E$31, 0), "")</f>
        <v>0</v>
      </c>
      <c r="AJ164">
        <f t="shared" ca="1" si="28"/>
        <v>0</v>
      </c>
      <c r="AK164" s="44"/>
    </row>
    <row r="165" spans="8:37" x14ac:dyDescent="0.3">
      <c r="H165" t="str" cm="1">
        <f t="array" aca="1" ref="H165" ca="1">IF(ROW(A165)-H$15 &lt; H$14,A165,IF(ROW(A165) - H$15 -H$16 + 1 &lt; H$14,INDIRECT(ADDRESS(MOD(ROW(A165) - H$15, H$14) + H$15, COLUMN(A165))),""))</f>
        <v/>
      </c>
      <c r="I165" t="str" cm="1">
        <f t="array" aca="1" ref="I165" ca="1">IF(ROW(B165)-I$15 &lt; I$14,B165,IF(ROW(B165) - I$15 -I$16 + 1 &lt; I$14,INDIRECT(ADDRESS(MOD(ROW(B165) - I$15, I$14) + I$15, COLUMN(B165))),""))</f>
        <v/>
      </c>
      <c r="J165" t="str" cm="1">
        <f t="array" aca="1" ref="J165" ca="1">IF(ROW(C165)-J$15 &lt; J$14,C165,IF(ROW(C165) - J$15 -J$16 + 1 &lt; J$14,INDIRECT(ADDRESS(MOD(ROW(C165) - J$15, J$14) + J$15, COLUMN(C165))),""))</f>
        <v/>
      </c>
      <c r="K165" t="str" cm="1">
        <f t="array" aca="1" ref="K165" ca="1">IF(ROW(D165)-K$15 &lt; K$14,D165,IF(ROW(D165) - K$15 -K$16 + 1 &lt; K$14,INDIRECT(ADDRESS(MOD(ROW(D165) - K$15, K$14) + K$15, COLUMN(D165))),""))</f>
        <v/>
      </c>
      <c r="L165" t="str" cm="1">
        <f t="array" aca="1" ref="L165" ca="1">IF(ROW(E165)-L$15 &lt; L$14,E165,IF(ROW(E165) - L$15 -L$16 + 1 &lt; L$14,INDIRECT(ADDRESS(MOD(ROW(E165) - L$15, L$14) + L$15, COLUMN(E165))),""))</f>
        <v/>
      </c>
      <c r="N165" t="str" cm="1">
        <f t="array" aca="1" ref="N165" ca="1">IF(A165&lt;&gt;"", SUMPRODUCT((OFFSET(A165,0,0,H$16,1)=$T$24) +0),"")</f>
        <v/>
      </c>
      <c r="O165" t="str" cm="1">
        <f t="array" aca="1" ref="O165" ca="1">IF(B165&lt;&gt;"", SUMPRODUCT((OFFSET(B165,0,0,I$16,1)=$T$24) +0),"")</f>
        <v/>
      </c>
      <c r="P165" t="str" cm="1">
        <f t="array" aca="1" ref="P165" ca="1">IF(C165&lt;&gt;"", SUMPRODUCT((OFFSET(C165,0,0,J$16,1)=$T$24) +0),"")</f>
        <v/>
      </c>
      <c r="Q165" t="str" cm="1">
        <f t="array" aca="1" ref="Q165" ca="1">IF(D165&lt;&gt;"", SUMPRODUCT((OFFSET(D165,0,0,K$16,1)=$T$24) +0),"")</f>
        <v/>
      </c>
      <c r="R165" t="str" cm="1">
        <f t="array" aca="1" ref="R165" ca="1">IF(E165&lt;&gt;"", SUMPRODUCT((OFFSET(E165,0,0,L$16,1)=$T$24) +0),"")</f>
        <v/>
      </c>
      <c r="AB165">
        <f t="shared" si="29"/>
        <v>1</v>
      </c>
      <c r="AC165">
        <f t="shared" si="29"/>
        <v>0</v>
      </c>
      <c r="AD165">
        <f t="shared" si="29"/>
        <v>3</v>
      </c>
      <c r="AE165">
        <f t="shared" si="29"/>
        <v>1</v>
      </c>
      <c r="AF165">
        <f t="shared" si="29"/>
        <v>0</v>
      </c>
      <c r="AG165">
        <f t="shared" si="26"/>
        <v>5</v>
      </c>
      <c r="AH165">
        <f t="shared" ca="1" si="27"/>
        <v>0</v>
      </c>
      <c r="AI165">
        <f>IF(ROW($AA165) - $AA$51 &lt; ($H$16+1)^5, IF(AG165 &gt;= BaseBonus!$C$16, AG165*BaseBonus!$E$31, 0), "")</f>
        <v>4.6952679064628979</v>
      </c>
      <c r="AJ165">
        <f t="shared" ca="1" si="28"/>
        <v>0</v>
      </c>
      <c r="AK165" s="44"/>
    </row>
    <row r="166" spans="8:37" x14ac:dyDescent="0.3">
      <c r="H166" t="str" cm="1">
        <f t="array" aca="1" ref="H166" ca="1">IF(ROW(A166)-H$15 &lt; H$14,A166,IF(ROW(A166) - H$15 -H$16 + 1 &lt; H$14,INDIRECT(ADDRESS(MOD(ROW(A166) - H$15, H$14) + H$15, COLUMN(A166))),""))</f>
        <v/>
      </c>
      <c r="I166" t="str" cm="1">
        <f t="array" aca="1" ref="I166" ca="1">IF(ROW(B166)-I$15 &lt; I$14,B166,IF(ROW(B166) - I$15 -I$16 + 1 &lt; I$14,INDIRECT(ADDRESS(MOD(ROW(B166) - I$15, I$14) + I$15, COLUMN(B166))),""))</f>
        <v/>
      </c>
      <c r="J166" t="str" cm="1">
        <f t="array" aca="1" ref="J166" ca="1">IF(ROW(C166)-J$15 &lt; J$14,C166,IF(ROW(C166) - J$15 -J$16 + 1 &lt; J$14,INDIRECT(ADDRESS(MOD(ROW(C166) - J$15, J$14) + J$15, COLUMN(C166))),""))</f>
        <v/>
      </c>
      <c r="K166" t="str" cm="1">
        <f t="array" aca="1" ref="K166" ca="1">IF(ROW(D166)-K$15 &lt; K$14,D166,IF(ROW(D166) - K$15 -K$16 + 1 &lt; K$14,INDIRECT(ADDRESS(MOD(ROW(D166) - K$15, K$14) + K$15, COLUMN(D166))),""))</f>
        <v/>
      </c>
      <c r="L166" t="str" cm="1">
        <f t="array" aca="1" ref="L166" ca="1">IF(ROW(E166)-L$15 &lt; L$14,E166,IF(ROW(E166) - L$15 -L$16 + 1 &lt; L$14,INDIRECT(ADDRESS(MOD(ROW(E166) - L$15, L$14) + L$15, COLUMN(E166))),""))</f>
        <v/>
      </c>
      <c r="N166" t="str" cm="1">
        <f t="array" aca="1" ref="N166" ca="1">IF(A166&lt;&gt;"", SUMPRODUCT((OFFSET(A166,0,0,H$16,1)=$T$24) +0),"")</f>
        <v/>
      </c>
      <c r="O166" t="str" cm="1">
        <f t="array" aca="1" ref="O166" ca="1">IF(B166&lt;&gt;"", SUMPRODUCT((OFFSET(B166,0,0,I$16,1)=$T$24) +0),"")</f>
        <v/>
      </c>
      <c r="P166" t="str" cm="1">
        <f t="array" aca="1" ref="P166" ca="1">IF(C166&lt;&gt;"", SUMPRODUCT((OFFSET(C166,0,0,J$16,1)=$T$24) +0),"")</f>
        <v/>
      </c>
      <c r="Q166" t="str" cm="1">
        <f t="array" aca="1" ref="Q166" ca="1">IF(D166&lt;&gt;"", SUMPRODUCT((OFFSET(D166,0,0,K$16,1)=$T$24) +0),"")</f>
        <v/>
      </c>
      <c r="R166" t="str" cm="1">
        <f t="array" aca="1" ref="R166" ca="1">IF(E166&lt;&gt;"", SUMPRODUCT((OFFSET(E166,0,0,L$16,1)=$T$24) +0),"")</f>
        <v/>
      </c>
      <c r="AB166">
        <f t="shared" si="29"/>
        <v>2</v>
      </c>
      <c r="AC166">
        <f t="shared" si="29"/>
        <v>0</v>
      </c>
      <c r="AD166">
        <f t="shared" si="29"/>
        <v>3</v>
      </c>
      <c r="AE166">
        <f t="shared" si="29"/>
        <v>1</v>
      </c>
      <c r="AF166">
        <f t="shared" si="29"/>
        <v>0</v>
      </c>
      <c r="AG166">
        <f t="shared" si="26"/>
        <v>6</v>
      </c>
      <c r="AH166">
        <f t="shared" ca="1" si="27"/>
        <v>0</v>
      </c>
      <c r="AI166">
        <f>IF(ROW($AA166) - $AA$51 &lt; ($H$16+1)^5, IF(AG166 &gt;= BaseBonus!$C$16, AG166*BaseBonus!$E$31, 0), "")</f>
        <v>5.6343214877554777</v>
      </c>
      <c r="AJ166">
        <f t="shared" ca="1" si="28"/>
        <v>0</v>
      </c>
      <c r="AK166" s="44"/>
    </row>
    <row r="167" spans="8:37" x14ac:dyDescent="0.3">
      <c r="H167" t="str" cm="1">
        <f t="array" aca="1" ref="H167" ca="1">IF(ROW(A167)-H$15 &lt; H$14,A167,IF(ROW(A167) - H$15 -H$16 + 1 &lt; H$14,INDIRECT(ADDRESS(MOD(ROW(A167) - H$15, H$14) + H$15, COLUMN(A167))),""))</f>
        <v/>
      </c>
      <c r="I167" t="str" cm="1">
        <f t="array" aca="1" ref="I167" ca="1">IF(ROW(B167)-I$15 &lt; I$14,B167,IF(ROW(B167) - I$15 -I$16 + 1 &lt; I$14,INDIRECT(ADDRESS(MOD(ROW(B167) - I$15, I$14) + I$15, COLUMN(B167))),""))</f>
        <v/>
      </c>
      <c r="J167" t="str" cm="1">
        <f t="array" aca="1" ref="J167" ca="1">IF(ROW(C167)-J$15 &lt; J$14,C167,IF(ROW(C167) - J$15 -J$16 + 1 &lt; J$14,INDIRECT(ADDRESS(MOD(ROW(C167) - J$15, J$14) + J$15, COLUMN(C167))),""))</f>
        <v/>
      </c>
      <c r="K167" t="str" cm="1">
        <f t="array" aca="1" ref="K167" ca="1">IF(ROW(D167)-K$15 &lt; K$14,D167,IF(ROW(D167) - K$15 -K$16 + 1 &lt; K$14,INDIRECT(ADDRESS(MOD(ROW(D167) - K$15, K$14) + K$15, COLUMN(D167))),""))</f>
        <v/>
      </c>
      <c r="L167" t="str" cm="1">
        <f t="array" aca="1" ref="L167" ca="1">IF(ROW(E167)-L$15 &lt; L$14,E167,IF(ROW(E167) - L$15 -L$16 + 1 &lt; L$14,INDIRECT(ADDRESS(MOD(ROW(E167) - L$15, L$14) + L$15, COLUMN(E167))),""))</f>
        <v/>
      </c>
      <c r="N167" t="str" cm="1">
        <f t="array" aca="1" ref="N167" ca="1">IF(A167&lt;&gt;"", SUMPRODUCT((OFFSET(A167,0,0,H$16,1)=$T$24) +0),"")</f>
        <v/>
      </c>
      <c r="O167" t="str" cm="1">
        <f t="array" aca="1" ref="O167" ca="1">IF(B167&lt;&gt;"", SUMPRODUCT((OFFSET(B167,0,0,I$16,1)=$T$24) +0),"")</f>
        <v/>
      </c>
      <c r="P167" t="str" cm="1">
        <f t="array" aca="1" ref="P167" ca="1">IF(C167&lt;&gt;"", SUMPRODUCT((OFFSET(C167,0,0,J$16,1)=$T$24) +0),"")</f>
        <v/>
      </c>
      <c r="Q167" t="str" cm="1">
        <f t="array" aca="1" ref="Q167" ca="1">IF(D167&lt;&gt;"", SUMPRODUCT((OFFSET(D167,0,0,K$16,1)=$T$24) +0),"")</f>
        <v/>
      </c>
      <c r="R167" t="str" cm="1">
        <f t="array" aca="1" ref="R167" ca="1">IF(E167&lt;&gt;"", SUMPRODUCT((OFFSET(E167,0,0,L$16,1)=$T$24) +0),"")</f>
        <v/>
      </c>
      <c r="AB167">
        <f t="shared" si="29"/>
        <v>3</v>
      </c>
      <c r="AC167">
        <f t="shared" si="29"/>
        <v>0</v>
      </c>
      <c r="AD167">
        <f t="shared" si="29"/>
        <v>3</v>
      </c>
      <c r="AE167">
        <f t="shared" si="29"/>
        <v>1</v>
      </c>
      <c r="AF167">
        <f t="shared" si="29"/>
        <v>0</v>
      </c>
      <c r="AG167">
        <f t="shared" si="26"/>
        <v>7</v>
      </c>
      <c r="AH167">
        <f t="shared" ca="1" si="27"/>
        <v>0</v>
      </c>
      <c r="AI167">
        <f>IF(ROW($AA167) - $AA$51 &lt; ($H$16+1)^5, IF(AG167 &gt;= BaseBonus!$C$16, AG167*BaseBonus!$E$31, 0), "")</f>
        <v>6.5733750690480575</v>
      </c>
      <c r="AJ167">
        <f t="shared" ca="1" si="28"/>
        <v>0</v>
      </c>
      <c r="AK167" s="44"/>
    </row>
    <row r="168" spans="8:37" x14ac:dyDescent="0.3">
      <c r="H168" t="str" cm="1">
        <f t="array" aca="1" ref="H168" ca="1">IF(ROW(A168)-H$15 &lt; H$14,A168,IF(ROW(A168) - H$15 -H$16 + 1 &lt; H$14,INDIRECT(ADDRESS(MOD(ROW(A168) - H$15, H$14) + H$15, COLUMN(A168))),""))</f>
        <v/>
      </c>
      <c r="I168" t="str" cm="1">
        <f t="array" aca="1" ref="I168" ca="1">IF(ROW(B168)-I$15 &lt; I$14,B168,IF(ROW(B168) - I$15 -I$16 + 1 &lt; I$14,INDIRECT(ADDRESS(MOD(ROW(B168) - I$15, I$14) + I$15, COLUMN(B168))),""))</f>
        <v/>
      </c>
      <c r="J168" t="str" cm="1">
        <f t="array" aca="1" ref="J168" ca="1">IF(ROW(C168)-J$15 &lt; J$14,C168,IF(ROW(C168) - J$15 -J$16 + 1 &lt; J$14,INDIRECT(ADDRESS(MOD(ROW(C168) - J$15, J$14) + J$15, COLUMN(C168))),""))</f>
        <v/>
      </c>
      <c r="K168" t="str" cm="1">
        <f t="array" aca="1" ref="K168" ca="1">IF(ROW(D168)-K$15 &lt; K$14,D168,IF(ROW(D168) - K$15 -K$16 + 1 &lt; K$14,INDIRECT(ADDRESS(MOD(ROW(D168) - K$15, K$14) + K$15, COLUMN(D168))),""))</f>
        <v/>
      </c>
      <c r="L168" t="str" cm="1">
        <f t="array" aca="1" ref="L168" ca="1">IF(ROW(E168)-L$15 &lt; L$14,E168,IF(ROW(E168) - L$15 -L$16 + 1 &lt; L$14,INDIRECT(ADDRESS(MOD(ROW(E168) - L$15, L$14) + L$15, COLUMN(E168))),""))</f>
        <v/>
      </c>
      <c r="N168" t="str" cm="1">
        <f t="array" aca="1" ref="N168" ca="1">IF(A168&lt;&gt;"", SUMPRODUCT((OFFSET(A168,0,0,H$16,1)=$T$24) +0),"")</f>
        <v/>
      </c>
      <c r="O168" t="str" cm="1">
        <f t="array" aca="1" ref="O168" ca="1">IF(B168&lt;&gt;"", SUMPRODUCT((OFFSET(B168,0,0,I$16,1)=$T$24) +0),"")</f>
        <v/>
      </c>
      <c r="P168" t="str" cm="1">
        <f t="array" aca="1" ref="P168" ca="1">IF(C168&lt;&gt;"", SUMPRODUCT((OFFSET(C168,0,0,J$16,1)=$T$24) +0),"")</f>
        <v/>
      </c>
      <c r="Q168" t="str" cm="1">
        <f t="array" aca="1" ref="Q168" ca="1">IF(D168&lt;&gt;"", SUMPRODUCT((OFFSET(D168,0,0,K$16,1)=$T$24) +0),"")</f>
        <v/>
      </c>
      <c r="R168" t="str" cm="1">
        <f t="array" aca="1" ref="R168" ca="1">IF(E168&lt;&gt;"", SUMPRODUCT((OFFSET(E168,0,0,L$16,1)=$T$24) +0),"")</f>
        <v/>
      </c>
      <c r="AB168">
        <f t="shared" si="29"/>
        <v>0</v>
      </c>
      <c r="AC168">
        <f t="shared" si="29"/>
        <v>1</v>
      </c>
      <c r="AD168">
        <f t="shared" si="29"/>
        <v>3</v>
      </c>
      <c r="AE168">
        <f t="shared" si="29"/>
        <v>1</v>
      </c>
      <c r="AF168">
        <f t="shared" si="29"/>
        <v>0</v>
      </c>
      <c r="AG168">
        <f t="shared" si="26"/>
        <v>5</v>
      </c>
      <c r="AH168">
        <f t="shared" ca="1" si="27"/>
        <v>0</v>
      </c>
      <c r="AI168">
        <f>IF(ROW($AA168) - $AA$51 &lt; ($H$16+1)^5, IF(AG168 &gt;= BaseBonus!$C$16, AG168*BaseBonus!$E$31, 0), "")</f>
        <v>4.6952679064628979</v>
      </c>
      <c r="AJ168">
        <f t="shared" ca="1" si="28"/>
        <v>0</v>
      </c>
      <c r="AK168" s="44"/>
    </row>
    <row r="169" spans="8:37" x14ac:dyDescent="0.3">
      <c r="H169" t="str" cm="1">
        <f t="array" aca="1" ref="H169" ca="1">IF(ROW(A169)-H$15 &lt; H$14,A169,IF(ROW(A169) - H$15 -H$16 + 1 &lt; H$14,INDIRECT(ADDRESS(MOD(ROW(A169) - H$15, H$14) + H$15, COLUMN(A169))),""))</f>
        <v/>
      </c>
      <c r="I169" t="str" cm="1">
        <f t="array" aca="1" ref="I169" ca="1">IF(ROW(B169)-I$15 &lt; I$14,B169,IF(ROW(B169) - I$15 -I$16 + 1 &lt; I$14,INDIRECT(ADDRESS(MOD(ROW(B169) - I$15, I$14) + I$15, COLUMN(B169))),""))</f>
        <v/>
      </c>
      <c r="J169" t="str" cm="1">
        <f t="array" aca="1" ref="J169" ca="1">IF(ROW(C169)-J$15 &lt; J$14,C169,IF(ROW(C169) - J$15 -J$16 + 1 &lt; J$14,INDIRECT(ADDRESS(MOD(ROW(C169) - J$15, J$14) + J$15, COLUMN(C169))),""))</f>
        <v/>
      </c>
      <c r="K169" t="str" cm="1">
        <f t="array" aca="1" ref="K169" ca="1">IF(ROW(D169)-K$15 &lt; K$14,D169,IF(ROW(D169) - K$15 -K$16 + 1 &lt; K$14,INDIRECT(ADDRESS(MOD(ROW(D169) - K$15, K$14) + K$15, COLUMN(D169))),""))</f>
        <v/>
      </c>
      <c r="L169" t="str" cm="1">
        <f t="array" aca="1" ref="L169" ca="1">IF(ROW(E169)-L$15 &lt; L$14,E169,IF(ROW(E169) - L$15 -L$16 + 1 &lt; L$14,INDIRECT(ADDRESS(MOD(ROW(E169) - L$15, L$14) + L$15, COLUMN(E169))),""))</f>
        <v/>
      </c>
      <c r="N169" t="str" cm="1">
        <f t="array" aca="1" ref="N169" ca="1">IF(A169&lt;&gt;"", SUMPRODUCT((OFFSET(A169,0,0,H$16,1)=$T$24) +0),"")</f>
        <v/>
      </c>
      <c r="O169" t="str" cm="1">
        <f t="array" aca="1" ref="O169" ca="1">IF(B169&lt;&gt;"", SUMPRODUCT((OFFSET(B169,0,0,I$16,1)=$T$24) +0),"")</f>
        <v/>
      </c>
      <c r="P169" t="str" cm="1">
        <f t="array" aca="1" ref="P169" ca="1">IF(C169&lt;&gt;"", SUMPRODUCT((OFFSET(C169,0,0,J$16,1)=$T$24) +0),"")</f>
        <v/>
      </c>
      <c r="Q169" t="str" cm="1">
        <f t="array" aca="1" ref="Q169" ca="1">IF(D169&lt;&gt;"", SUMPRODUCT((OFFSET(D169,0,0,K$16,1)=$T$24) +0),"")</f>
        <v/>
      </c>
      <c r="R169" t="str" cm="1">
        <f t="array" aca="1" ref="R169" ca="1">IF(E169&lt;&gt;"", SUMPRODUCT((OFFSET(E169,0,0,L$16,1)=$T$24) +0),"")</f>
        <v/>
      </c>
      <c r="AB169">
        <f t="shared" si="29"/>
        <v>1</v>
      </c>
      <c r="AC169">
        <f t="shared" si="29"/>
        <v>1</v>
      </c>
      <c r="AD169">
        <f t="shared" si="29"/>
        <v>3</v>
      </c>
      <c r="AE169">
        <f t="shared" si="29"/>
        <v>1</v>
      </c>
      <c r="AF169">
        <f t="shared" si="29"/>
        <v>0</v>
      </c>
      <c r="AG169">
        <f t="shared" si="26"/>
        <v>6</v>
      </c>
      <c r="AH169">
        <f t="shared" ca="1" si="27"/>
        <v>0</v>
      </c>
      <c r="AI169">
        <f>IF(ROW($AA169) - $AA$51 &lt; ($H$16+1)^5, IF(AG169 &gt;= BaseBonus!$C$16, AG169*BaseBonus!$E$31, 0), "")</f>
        <v>5.6343214877554777</v>
      </c>
      <c r="AJ169">
        <f t="shared" ca="1" si="28"/>
        <v>0</v>
      </c>
      <c r="AK169" s="44"/>
    </row>
    <row r="170" spans="8:37" x14ac:dyDescent="0.3">
      <c r="H170" t="str" cm="1">
        <f t="array" aca="1" ref="H170" ca="1">IF(ROW(A170)-H$15 &lt; H$14,A170,IF(ROW(A170) - H$15 -H$16 + 1 &lt; H$14,INDIRECT(ADDRESS(MOD(ROW(A170) - H$15, H$14) + H$15, COLUMN(A170))),""))</f>
        <v/>
      </c>
      <c r="I170" t="str" cm="1">
        <f t="array" aca="1" ref="I170" ca="1">IF(ROW(B170)-I$15 &lt; I$14,B170,IF(ROW(B170) - I$15 -I$16 + 1 &lt; I$14,INDIRECT(ADDRESS(MOD(ROW(B170) - I$15, I$14) + I$15, COLUMN(B170))),""))</f>
        <v/>
      </c>
      <c r="J170" t="str" cm="1">
        <f t="array" aca="1" ref="J170" ca="1">IF(ROW(C170)-J$15 &lt; J$14,C170,IF(ROW(C170) - J$15 -J$16 + 1 &lt; J$14,INDIRECT(ADDRESS(MOD(ROW(C170) - J$15, J$14) + J$15, COLUMN(C170))),""))</f>
        <v/>
      </c>
      <c r="K170" t="str" cm="1">
        <f t="array" aca="1" ref="K170" ca="1">IF(ROW(D170)-K$15 &lt; K$14,D170,IF(ROW(D170) - K$15 -K$16 + 1 &lt; K$14,INDIRECT(ADDRESS(MOD(ROW(D170) - K$15, K$14) + K$15, COLUMN(D170))),""))</f>
        <v/>
      </c>
      <c r="L170" t="str" cm="1">
        <f t="array" aca="1" ref="L170" ca="1">IF(ROW(E170)-L$15 &lt; L$14,E170,IF(ROW(E170) - L$15 -L$16 + 1 &lt; L$14,INDIRECT(ADDRESS(MOD(ROW(E170) - L$15, L$14) + L$15, COLUMN(E170))),""))</f>
        <v/>
      </c>
      <c r="N170" t="str" cm="1">
        <f t="array" aca="1" ref="N170" ca="1">IF(A170&lt;&gt;"", SUMPRODUCT((OFFSET(A170,0,0,H$16,1)=$T$24) +0),"")</f>
        <v/>
      </c>
      <c r="O170" t="str" cm="1">
        <f t="array" aca="1" ref="O170" ca="1">IF(B170&lt;&gt;"", SUMPRODUCT((OFFSET(B170,0,0,I$16,1)=$T$24) +0),"")</f>
        <v/>
      </c>
      <c r="P170" t="str" cm="1">
        <f t="array" aca="1" ref="P170" ca="1">IF(C170&lt;&gt;"", SUMPRODUCT((OFFSET(C170,0,0,J$16,1)=$T$24) +0),"")</f>
        <v/>
      </c>
      <c r="Q170" t="str" cm="1">
        <f t="array" aca="1" ref="Q170" ca="1">IF(D170&lt;&gt;"", SUMPRODUCT((OFFSET(D170,0,0,K$16,1)=$T$24) +0),"")</f>
        <v/>
      </c>
      <c r="R170" t="str" cm="1">
        <f t="array" aca="1" ref="R170" ca="1">IF(E170&lt;&gt;"", SUMPRODUCT((OFFSET(E170,0,0,L$16,1)=$T$24) +0),"")</f>
        <v/>
      </c>
      <c r="AB170">
        <f t="shared" si="29"/>
        <v>2</v>
      </c>
      <c r="AC170">
        <f t="shared" si="29"/>
        <v>1</v>
      </c>
      <c r="AD170">
        <f t="shared" si="29"/>
        <v>3</v>
      </c>
      <c r="AE170">
        <f t="shared" si="29"/>
        <v>1</v>
      </c>
      <c r="AF170">
        <f t="shared" si="29"/>
        <v>0</v>
      </c>
      <c r="AG170">
        <f t="shared" si="26"/>
        <v>7</v>
      </c>
      <c r="AH170">
        <f t="shared" ca="1" si="27"/>
        <v>0</v>
      </c>
      <c r="AI170">
        <f>IF(ROW($AA170) - $AA$51 &lt; ($H$16+1)^5, IF(AG170 &gt;= BaseBonus!$C$16, AG170*BaseBonus!$E$31, 0), "")</f>
        <v>6.5733750690480575</v>
      </c>
      <c r="AJ170">
        <f t="shared" ca="1" si="28"/>
        <v>0</v>
      </c>
      <c r="AK170" s="44"/>
    </row>
    <row r="171" spans="8:37" x14ac:dyDescent="0.3">
      <c r="H171" t="str" cm="1">
        <f t="array" aca="1" ref="H171" ca="1">IF(ROW(A171)-H$15 &lt; H$14,A171,IF(ROW(A171) - H$15 -H$16 + 1 &lt; H$14,INDIRECT(ADDRESS(MOD(ROW(A171) - H$15, H$14) + H$15, COLUMN(A171))),""))</f>
        <v/>
      </c>
      <c r="I171" t="str" cm="1">
        <f t="array" aca="1" ref="I171" ca="1">IF(ROW(B171)-I$15 &lt; I$14,B171,IF(ROW(B171) - I$15 -I$16 + 1 &lt; I$14,INDIRECT(ADDRESS(MOD(ROW(B171) - I$15, I$14) + I$15, COLUMN(B171))),""))</f>
        <v/>
      </c>
      <c r="J171" t="str" cm="1">
        <f t="array" aca="1" ref="J171" ca="1">IF(ROW(C171)-J$15 &lt; J$14,C171,IF(ROW(C171) - J$15 -J$16 + 1 &lt; J$14,INDIRECT(ADDRESS(MOD(ROW(C171) - J$15, J$14) + J$15, COLUMN(C171))),""))</f>
        <v/>
      </c>
      <c r="K171" t="str" cm="1">
        <f t="array" aca="1" ref="K171" ca="1">IF(ROW(D171)-K$15 &lt; K$14,D171,IF(ROW(D171) - K$15 -K$16 + 1 &lt; K$14,INDIRECT(ADDRESS(MOD(ROW(D171) - K$15, K$14) + K$15, COLUMN(D171))),""))</f>
        <v/>
      </c>
      <c r="L171" t="str" cm="1">
        <f t="array" aca="1" ref="L171" ca="1">IF(ROW(E171)-L$15 &lt; L$14,E171,IF(ROW(E171) - L$15 -L$16 + 1 &lt; L$14,INDIRECT(ADDRESS(MOD(ROW(E171) - L$15, L$14) + L$15, COLUMN(E171))),""))</f>
        <v/>
      </c>
      <c r="N171" t="str" cm="1">
        <f t="array" aca="1" ref="N171" ca="1">IF(A171&lt;&gt;"", SUMPRODUCT((OFFSET(A171,0,0,H$16,1)=$T$24) +0),"")</f>
        <v/>
      </c>
      <c r="O171" t="str" cm="1">
        <f t="array" aca="1" ref="O171" ca="1">IF(B171&lt;&gt;"", SUMPRODUCT((OFFSET(B171,0,0,I$16,1)=$T$24) +0),"")</f>
        <v/>
      </c>
      <c r="P171" t="str" cm="1">
        <f t="array" aca="1" ref="P171" ca="1">IF(C171&lt;&gt;"", SUMPRODUCT((OFFSET(C171,0,0,J$16,1)=$T$24) +0),"")</f>
        <v/>
      </c>
      <c r="Q171" t="str" cm="1">
        <f t="array" aca="1" ref="Q171" ca="1">IF(D171&lt;&gt;"", SUMPRODUCT((OFFSET(D171,0,0,K$16,1)=$T$24) +0),"")</f>
        <v/>
      </c>
      <c r="R171" t="str" cm="1">
        <f t="array" aca="1" ref="R171" ca="1">IF(E171&lt;&gt;"", SUMPRODUCT((OFFSET(E171,0,0,L$16,1)=$T$24) +0),"")</f>
        <v/>
      </c>
      <c r="AB171">
        <f t="shared" si="29"/>
        <v>3</v>
      </c>
      <c r="AC171">
        <f t="shared" si="29"/>
        <v>1</v>
      </c>
      <c r="AD171">
        <f t="shared" si="29"/>
        <v>3</v>
      </c>
      <c r="AE171">
        <f t="shared" si="29"/>
        <v>1</v>
      </c>
      <c r="AF171">
        <f t="shared" si="29"/>
        <v>0</v>
      </c>
      <c r="AG171">
        <f t="shared" si="26"/>
        <v>8</v>
      </c>
      <c r="AH171">
        <f t="shared" ca="1" si="27"/>
        <v>0</v>
      </c>
      <c r="AI171">
        <f>IF(ROW($AA171) - $AA$51 &lt; ($H$16+1)^5, IF(AG171 &gt;= BaseBonus!$C$16, AG171*BaseBonus!$E$31, 0), "")</f>
        <v>7.5124286503406372</v>
      </c>
      <c r="AJ171">
        <f t="shared" ca="1" si="28"/>
        <v>0</v>
      </c>
      <c r="AK171" s="44"/>
    </row>
    <row r="172" spans="8:37" x14ac:dyDescent="0.3">
      <c r="H172" t="str" cm="1">
        <f t="array" aca="1" ref="H172" ca="1">IF(ROW(A172)-H$15 &lt; H$14,A172,IF(ROW(A172) - H$15 -H$16 + 1 &lt; H$14,INDIRECT(ADDRESS(MOD(ROW(A172) - H$15, H$14) + H$15, COLUMN(A172))),""))</f>
        <v/>
      </c>
      <c r="I172" t="str" cm="1">
        <f t="array" aca="1" ref="I172" ca="1">IF(ROW(B172)-I$15 &lt; I$14,B172,IF(ROW(B172) - I$15 -I$16 + 1 &lt; I$14,INDIRECT(ADDRESS(MOD(ROW(B172) - I$15, I$14) + I$15, COLUMN(B172))),""))</f>
        <v/>
      </c>
      <c r="J172" t="str" cm="1">
        <f t="array" aca="1" ref="J172" ca="1">IF(ROW(C172)-J$15 &lt; J$14,C172,IF(ROW(C172) - J$15 -J$16 + 1 &lt; J$14,INDIRECT(ADDRESS(MOD(ROW(C172) - J$15, J$14) + J$15, COLUMN(C172))),""))</f>
        <v/>
      </c>
      <c r="K172" t="str" cm="1">
        <f t="array" aca="1" ref="K172" ca="1">IF(ROW(D172)-K$15 &lt; K$14,D172,IF(ROW(D172) - K$15 -K$16 + 1 &lt; K$14,INDIRECT(ADDRESS(MOD(ROW(D172) - K$15, K$14) + K$15, COLUMN(D172))),""))</f>
        <v/>
      </c>
      <c r="L172" t="str" cm="1">
        <f t="array" aca="1" ref="L172" ca="1">IF(ROW(E172)-L$15 &lt; L$14,E172,IF(ROW(E172) - L$15 -L$16 + 1 &lt; L$14,INDIRECT(ADDRESS(MOD(ROW(E172) - L$15, L$14) + L$15, COLUMN(E172))),""))</f>
        <v/>
      </c>
      <c r="N172" t="str" cm="1">
        <f t="array" aca="1" ref="N172" ca="1">IF(A172&lt;&gt;"", SUMPRODUCT((OFFSET(A172,0,0,H$16,1)=$T$24) +0),"")</f>
        <v/>
      </c>
      <c r="O172" t="str" cm="1">
        <f t="array" aca="1" ref="O172" ca="1">IF(B172&lt;&gt;"", SUMPRODUCT((OFFSET(B172,0,0,I$16,1)=$T$24) +0),"")</f>
        <v/>
      </c>
      <c r="P172" t="str" cm="1">
        <f t="array" aca="1" ref="P172" ca="1">IF(C172&lt;&gt;"", SUMPRODUCT((OFFSET(C172,0,0,J$16,1)=$T$24) +0),"")</f>
        <v/>
      </c>
      <c r="Q172" t="str" cm="1">
        <f t="array" aca="1" ref="Q172" ca="1">IF(D172&lt;&gt;"", SUMPRODUCT((OFFSET(D172,0,0,K$16,1)=$T$24) +0),"")</f>
        <v/>
      </c>
      <c r="R172" t="str" cm="1">
        <f t="array" aca="1" ref="R172" ca="1">IF(E172&lt;&gt;"", SUMPRODUCT((OFFSET(E172,0,0,L$16,1)=$T$24) +0),"")</f>
        <v/>
      </c>
      <c r="AB172">
        <f t="shared" si="29"/>
        <v>0</v>
      </c>
      <c r="AC172">
        <f t="shared" si="29"/>
        <v>2</v>
      </c>
      <c r="AD172">
        <f t="shared" si="29"/>
        <v>3</v>
      </c>
      <c r="AE172">
        <f t="shared" si="29"/>
        <v>1</v>
      </c>
      <c r="AF172">
        <f t="shared" si="29"/>
        <v>0</v>
      </c>
      <c r="AG172">
        <f t="shared" si="26"/>
        <v>6</v>
      </c>
      <c r="AH172">
        <f t="shared" ca="1" si="27"/>
        <v>0</v>
      </c>
      <c r="AI172">
        <f>IF(ROW($AA172) - $AA$51 &lt; ($H$16+1)^5, IF(AG172 &gt;= BaseBonus!$C$16, AG172*BaseBonus!$E$31, 0), "")</f>
        <v>5.6343214877554777</v>
      </c>
      <c r="AJ172">
        <f t="shared" ca="1" si="28"/>
        <v>0</v>
      </c>
      <c r="AK172" s="44"/>
    </row>
    <row r="173" spans="8:37" x14ac:dyDescent="0.3">
      <c r="H173" t="str" cm="1">
        <f t="array" aca="1" ref="H173" ca="1">IF(ROW(A173)-H$15 &lt; H$14,A173,IF(ROW(A173) - H$15 -H$16 + 1 &lt; H$14,INDIRECT(ADDRESS(MOD(ROW(A173) - H$15, H$14) + H$15, COLUMN(A173))),""))</f>
        <v/>
      </c>
      <c r="I173" t="str" cm="1">
        <f t="array" aca="1" ref="I173" ca="1">IF(ROW(B173)-I$15 &lt; I$14,B173,IF(ROW(B173) - I$15 -I$16 + 1 &lt; I$14,INDIRECT(ADDRESS(MOD(ROW(B173) - I$15, I$14) + I$15, COLUMN(B173))),""))</f>
        <v/>
      </c>
      <c r="J173" t="str" cm="1">
        <f t="array" aca="1" ref="J173" ca="1">IF(ROW(C173)-J$15 &lt; J$14,C173,IF(ROW(C173) - J$15 -J$16 + 1 &lt; J$14,INDIRECT(ADDRESS(MOD(ROW(C173) - J$15, J$14) + J$15, COLUMN(C173))),""))</f>
        <v/>
      </c>
      <c r="K173" t="str" cm="1">
        <f t="array" aca="1" ref="K173" ca="1">IF(ROW(D173)-K$15 &lt; K$14,D173,IF(ROW(D173) - K$15 -K$16 + 1 &lt; K$14,INDIRECT(ADDRESS(MOD(ROW(D173) - K$15, K$14) + K$15, COLUMN(D173))),""))</f>
        <v/>
      </c>
      <c r="L173" t="str" cm="1">
        <f t="array" aca="1" ref="L173" ca="1">IF(ROW(E173)-L$15 &lt; L$14,E173,IF(ROW(E173) - L$15 -L$16 + 1 &lt; L$14,INDIRECT(ADDRESS(MOD(ROW(E173) - L$15, L$14) + L$15, COLUMN(E173))),""))</f>
        <v/>
      </c>
      <c r="N173" t="str" cm="1">
        <f t="array" aca="1" ref="N173" ca="1">IF(A173&lt;&gt;"", SUMPRODUCT((OFFSET(A173,0,0,H$16,1)=$T$24) +0),"")</f>
        <v/>
      </c>
      <c r="O173" t="str" cm="1">
        <f t="array" aca="1" ref="O173" ca="1">IF(B173&lt;&gt;"", SUMPRODUCT((OFFSET(B173,0,0,I$16,1)=$T$24) +0),"")</f>
        <v/>
      </c>
      <c r="P173" t="str" cm="1">
        <f t="array" aca="1" ref="P173" ca="1">IF(C173&lt;&gt;"", SUMPRODUCT((OFFSET(C173,0,0,J$16,1)=$T$24) +0),"")</f>
        <v/>
      </c>
      <c r="Q173" t="str" cm="1">
        <f t="array" aca="1" ref="Q173" ca="1">IF(D173&lt;&gt;"", SUMPRODUCT((OFFSET(D173,0,0,K$16,1)=$T$24) +0),"")</f>
        <v/>
      </c>
      <c r="R173" t="str" cm="1">
        <f t="array" aca="1" ref="R173" ca="1">IF(E173&lt;&gt;"", SUMPRODUCT((OFFSET(E173,0,0,L$16,1)=$T$24) +0),"")</f>
        <v/>
      </c>
      <c r="AB173">
        <f t="shared" si="29"/>
        <v>1</v>
      </c>
      <c r="AC173">
        <f t="shared" si="29"/>
        <v>2</v>
      </c>
      <c r="AD173">
        <f t="shared" si="29"/>
        <v>3</v>
      </c>
      <c r="AE173">
        <f t="shared" si="29"/>
        <v>1</v>
      </c>
      <c r="AF173">
        <f t="shared" si="29"/>
        <v>0</v>
      </c>
      <c r="AG173">
        <f t="shared" si="26"/>
        <v>7</v>
      </c>
      <c r="AH173">
        <f t="shared" ca="1" si="27"/>
        <v>0</v>
      </c>
      <c r="AI173">
        <f>IF(ROW($AA173) - $AA$51 &lt; ($H$16+1)^5, IF(AG173 &gt;= BaseBonus!$C$16, AG173*BaseBonus!$E$31, 0), "")</f>
        <v>6.5733750690480575</v>
      </c>
      <c r="AJ173">
        <f t="shared" ca="1" si="28"/>
        <v>0</v>
      </c>
      <c r="AK173" s="44"/>
    </row>
    <row r="174" spans="8:37" x14ac:dyDescent="0.3">
      <c r="H174" t="str" cm="1">
        <f t="array" aca="1" ref="H174" ca="1">IF(ROW(A174)-H$15 &lt; H$14,A174,IF(ROW(A174) - H$15 -H$16 + 1 &lt; H$14,INDIRECT(ADDRESS(MOD(ROW(A174) - H$15, H$14) + H$15, COLUMN(A174))),""))</f>
        <v/>
      </c>
      <c r="I174" t="str" cm="1">
        <f t="array" aca="1" ref="I174" ca="1">IF(ROW(B174)-I$15 &lt; I$14,B174,IF(ROW(B174) - I$15 -I$16 + 1 &lt; I$14,INDIRECT(ADDRESS(MOD(ROW(B174) - I$15, I$14) + I$15, COLUMN(B174))),""))</f>
        <v/>
      </c>
      <c r="J174" t="str" cm="1">
        <f t="array" aca="1" ref="J174" ca="1">IF(ROW(C174)-J$15 &lt; J$14,C174,IF(ROW(C174) - J$15 -J$16 + 1 &lt; J$14,INDIRECT(ADDRESS(MOD(ROW(C174) - J$15, J$14) + J$15, COLUMN(C174))),""))</f>
        <v/>
      </c>
      <c r="K174" t="str" cm="1">
        <f t="array" aca="1" ref="K174" ca="1">IF(ROW(D174)-K$15 &lt; K$14,D174,IF(ROW(D174) - K$15 -K$16 + 1 &lt; K$14,INDIRECT(ADDRESS(MOD(ROW(D174) - K$15, K$14) + K$15, COLUMN(D174))),""))</f>
        <v/>
      </c>
      <c r="L174" t="str" cm="1">
        <f t="array" aca="1" ref="L174" ca="1">IF(ROW(E174)-L$15 &lt; L$14,E174,IF(ROW(E174) - L$15 -L$16 + 1 &lt; L$14,INDIRECT(ADDRESS(MOD(ROW(E174) - L$15, L$14) + L$15, COLUMN(E174))),""))</f>
        <v/>
      </c>
      <c r="N174" t="str" cm="1">
        <f t="array" aca="1" ref="N174" ca="1">IF(A174&lt;&gt;"", SUMPRODUCT((OFFSET(A174,0,0,H$16,1)=$T$24) +0),"")</f>
        <v/>
      </c>
      <c r="O174" t="str" cm="1">
        <f t="array" aca="1" ref="O174" ca="1">IF(B174&lt;&gt;"", SUMPRODUCT((OFFSET(B174,0,0,I$16,1)=$T$24) +0),"")</f>
        <v/>
      </c>
      <c r="P174" t="str" cm="1">
        <f t="array" aca="1" ref="P174" ca="1">IF(C174&lt;&gt;"", SUMPRODUCT((OFFSET(C174,0,0,J$16,1)=$T$24) +0),"")</f>
        <v/>
      </c>
      <c r="Q174" t="str" cm="1">
        <f t="array" aca="1" ref="Q174" ca="1">IF(D174&lt;&gt;"", SUMPRODUCT((OFFSET(D174,0,0,K$16,1)=$T$24) +0),"")</f>
        <v/>
      </c>
      <c r="R174" t="str" cm="1">
        <f t="array" aca="1" ref="R174" ca="1">IF(E174&lt;&gt;"", SUMPRODUCT((OFFSET(E174,0,0,L$16,1)=$T$24) +0),"")</f>
        <v/>
      </c>
      <c r="AB174">
        <f t="shared" si="29"/>
        <v>2</v>
      </c>
      <c r="AC174">
        <f t="shared" si="29"/>
        <v>2</v>
      </c>
      <c r="AD174">
        <f t="shared" si="29"/>
        <v>3</v>
      </c>
      <c r="AE174">
        <f t="shared" si="29"/>
        <v>1</v>
      </c>
      <c r="AF174">
        <f t="shared" si="29"/>
        <v>0</v>
      </c>
      <c r="AG174">
        <f t="shared" si="26"/>
        <v>8</v>
      </c>
      <c r="AH174">
        <f t="shared" ca="1" si="27"/>
        <v>0</v>
      </c>
      <c r="AI174">
        <f>IF(ROW($AA174) - $AA$51 &lt; ($H$16+1)^5, IF(AG174 &gt;= BaseBonus!$C$16, AG174*BaseBonus!$E$31, 0), "")</f>
        <v>7.5124286503406372</v>
      </c>
      <c r="AJ174">
        <f t="shared" ca="1" si="28"/>
        <v>0</v>
      </c>
      <c r="AK174" s="44"/>
    </row>
    <row r="175" spans="8:37" x14ac:dyDescent="0.3">
      <c r="H175" t="str" cm="1">
        <f t="array" aca="1" ref="H175" ca="1">IF(ROW(A175)-H$15 &lt; H$14,A175,IF(ROW(A175) - H$15 -H$16 + 1 &lt; H$14,INDIRECT(ADDRESS(MOD(ROW(A175) - H$15, H$14) + H$15, COLUMN(A175))),""))</f>
        <v/>
      </c>
      <c r="I175" t="str" cm="1">
        <f t="array" aca="1" ref="I175" ca="1">IF(ROW(B175)-I$15 &lt; I$14,B175,IF(ROW(B175) - I$15 -I$16 + 1 &lt; I$14,INDIRECT(ADDRESS(MOD(ROW(B175) - I$15, I$14) + I$15, COLUMN(B175))),""))</f>
        <v/>
      </c>
      <c r="J175" t="str" cm="1">
        <f t="array" aca="1" ref="J175" ca="1">IF(ROW(C175)-J$15 &lt; J$14,C175,IF(ROW(C175) - J$15 -J$16 + 1 &lt; J$14,INDIRECT(ADDRESS(MOD(ROW(C175) - J$15, J$14) + J$15, COLUMN(C175))),""))</f>
        <v/>
      </c>
      <c r="K175" t="str" cm="1">
        <f t="array" aca="1" ref="K175" ca="1">IF(ROW(D175)-K$15 &lt; K$14,D175,IF(ROW(D175) - K$15 -K$16 + 1 &lt; K$14,INDIRECT(ADDRESS(MOD(ROW(D175) - K$15, K$14) + K$15, COLUMN(D175))),""))</f>
        <v/>
      </c>
      <c r="L175" t="str" cm="1">
        <f t="array" aca="1" ref="L175" ca="1">IF(ROW(E175)-L$15 &lt; L$14,E175,IF(ROW(E175) - L$15 -L$16 + 1 &lt; L$14,INDIRECT(ADDRESS(MOD(ROW(E175) - L$15, L$14) + L$15, COLUMN(E175))),""))</f>
        <v/>
      </c>
      <c r="N175" t="str" cm="1">
        <f t="array" aca="1" ref="N175" ca="1">IF(A175&lt;&gt;"", SUMPRODUCT((OFFSET(A175,0,0,H$16,1)=$T$24) +0),"")</f>
        <v/>
      </c>
      <c r="O175" t="str" cm="1">
        <f t="array" aca="1" ref="O175" ca="1">IF(B175&lt;&gt;"", SUMPRODUCT((OFFSET(B175,0,0,I$16,1)=$T$24) +0),"")</f>
        <v/>
      </c>
      <c r="P175" t="str" cm="1">
        <f t="array" aca="1" ref="P175" ca="1">IF(C175&lt;&gt;"", SUMPRODUCT((OFFSET(C175,0,0,J$16,1)=$T$24) +0),"")</f>
        <v/>
      </c>
      <c r="Q175" t="str" cm="1">
        <f t="array" aca="1" ref="Q175" ca="1">IF(D175&lt;&gt;"", SUMPRODUCT((OFFSET(D175,0,0,K$16,1)=$T$24) +0),"")</f>
        <v/>
      </c>
      <c r="R175" t="str" cm="1">
        <f t="array" aca="1" ref="R175" ca="1">IF(E175&lt;&gt;"", SUMPRODUCT((OFFSET(E175,0,0,L$16,1)=$T$24) +0),"")</f>
        <v/>
      </c>
      <c r="AB175">
        <f t="shared" si="29"/>
        <v>3</v>
      </c>
      <c r="AC175">
        <f t="shared" si="29"/>
        <v>2</v>
      </c>
      <c r="AD175">
        <f t="shared" si="29"/>
        <v>3</v>
      </c>
      <c r="AE175">
        <f t="shared" si="29"/>
        <v>1</v>
      </c>
      <c r="AF175">
        <f t="shared" si="29"/>
        <v>0</v>
      </c>
      <c r="AG175">
        <f t="shared" si="26"/>
        <v>9</v>
      </c>
      <c r="AH175">
        <f t="shared" ca="1" si="27"/>
        <v>0</v>
      </c>
      <c r="AI175">
        <f>IF(ROW($AA175) - $AA$51 &lt; ($H$16+1)^5, IF(AG175 &gt;= BaseBonus!$C$16, AG175*BaseBonus!$E$31, 0), "")</f>
        <v>8.4514822316332161</v>
      </c>
      <c r="AJ175">
        <f t="shared" ca="1" si="28"/>
        <v>0</v>
      </c>
      <c r="AK175" s="44"/>
    </row>
    <row r="176" spans="8:37" x14ac:dyDescent="0.3">
      <c r="H176" t="str" cm="1">
        <f t="array" aca="1" ref="H176" ca="1">IF(ROW(A176)-H$15 &lt; H$14,A176,IF(ROW(A176) - H$15 -H$16 + 1 &lt; H$14,INDIRECT(ADDRESS(MOD(ROW(A176) - H$15, H$14) + H$15, COLUMN(A176))),""))</f>
        <v/>
      </c>
      <c r="I176" t="str" cm="1">
        <f t="array" aca="1" ref="I176" ca="1">IF(ROW(B176)-I$15 &lt; I$14,B176,IF(ROW(B176) - I$15 -I$16 + 1 &lt; I$14,INDIRECT(ADDRESS(MOD(ROW(B176) - I$15, I$14) + I$15, COLUMN(B176))),""))</f>
        <v/>
      </c>
      <c r="J176" t="str" cm="1">
        <f t="array" aca="1" ref="J176" ca="1">IF(ROW(C176)-J$15 &lt; J$14,C176,IF(ROW(C176) - J$15 -J$16 + 1 &lt; J$14,INDIRECT(ADDRESS(MOD(ROW(C176) - J$15, J$14) + J$15, COLUMN(C176))),""))</f>
        <v/>
      </c>
      <c r="K176" t="str" cm="1">
        <f t="array" aca="1" ref="K176" ca="1">IF(ROW(D176)-K$15 &lt; K$14,D176,IF(ROW(D176) - K$15 -K$16 + 1 &lt; K$14,INDIRECT(ADDRESS(MOD(ROW(D176) - K$15, K$14) + K$15, COLUMN(D176))),""))</f>
        <v/>
      </c>
      <c r="L176" t="str" cm="1">
        <f t="array" aca="1" ref="L176" ca="1">IF(ROW(E176)-L$15 &lt; L$14,E176,IF(ROW(E176) - L$15 -L$16 + 1 &lt; L$14,INDIRECT(ADDRESS(MOD(ROW(E176) - L$15, L$14) + L$15, COLUMN(E176))),""))</f>
        <v/>
      </c>
      <c r="N176" t="str" cm="1">
        <f t="array" aca="1" ref="N176" ca="1">IF(A176&lt;&gt;"", SUMPRODUCT((OFFSET(A176,0,0,H$16,1)=$T$24) +0),"")</f>
        <v/>
      </c>
      <c r="O176" t="str" cm="1">
        <f t="array" aca="1" ref="O176" ca="1">IF(B176&lt;&gt;"", SUMPRODUCT((OFFSET(B176,0,0,I$16,1)=$T$24) +0),"")</f>
        <v/>
      </c>
      <c r="P176" t="str" cm="1">
        <f t="array" aca="1" ref="P176" ca="1">IF(C176&lt;&gt;"", SUMPRODUCT((OFFSET(C176,0,0,J$16,1)=$T$24) +0),"")</f>
        <v/>
      </c>
      <c r="Q176" t="str" cm="1">
        <f t="array" aca="1" ref="Q176" ca="1">IF(D176&lt;&gt;"", SUMPRODUCT((OFFSET(D176,0,0,K$16,1)=$T$24) +0),"")</f>
        <v/>
      </c>
      <c r="R176" t="str" cm="1">
        <f t="array" aca="1" ref="R176" ca="1">IF(E176&lt;&gt;"", SUMPRODUCT((OFFSET(E176,0,0,L$16,1)=$T$24) +0),"")</f>
        <v/>
      </c>
      <c r="AB176">
        <f t="shared" si="29"/>
        <v>0</v>
      </c>
      <c r="AC176">
        <f t="shared" si="29"/>
        <v>3</v>
      </c>
      <c r="AD176">
        <f t="shared" si="29"/>
        <v>3</v>
      </c>
      <c r="AE176">
        <f t="shared" si="29"/>
        <v>1</v>
      </c>
      <c r="AF176">
        <f t="shared" si="29"/>
        <v>0</v>
      </c>
      <c r="AG176">
        <f t="shared" si="26"/>
        <v>7</v>
      </c>
      <c r="AH176">
        <f t="shared" ca="1" si="27"/>
        <v>0</v>
      </c>
      <c r="AI176">
        <f>IF(ROW($AA176) - $AA$51 &lt; ($H$16+1)^5, IF(AG176 &gt;= BaseBonus!$C$16, AG176*BaseBonus!$E$31, 0), "")</f>
        <v>6.5733750690480575</v>
      </c>
      <c r="AJ176">
        <f t="shared" ca="1" si="28"/>
        <v>0</v>
      </c>
      <c r="AK176" s="44"/>
    </row>
    <row r="177" spans="8:37" x14ac:dyDescent="0.3">
      <c r="H177" t="str" cm="1">
        <f t="array" aca="1" ref="H177" ca="1">IF(ROW(A177)-H$15 &lt; H$14,A177,IF(ROW(A177) - H$15 -H$16 + 1 &lt; H$14,INDIRECT(ADDRESS(MOD(ROW(A177) - H$15, H$14) + H$15, COLUMN(A177))),""))</f>
        <v/>
      </c>
      <c r="I177" t="str" cm="1">
        <f t="array" aca="1" ref="I177" ca="1">IF(ROW(B177)-I$15 &lt; I$14,B177,IF(ROW(B177) - I$15 -I$16 + 1 &lt; I$14,INDIRECT(ADDRESS(MOD(ROW(B177) - I$15, I$14) + I$15, COLUMN(B177))),""))</f>
        <v/>
      </c>
      <c r="J177" t="str" cm="1">
        <f t="array" aca="1" ref="J177" ca="1">IF(ROW(C177)-J$15 &lt; J$14,C177,IF(ROW(C177) - J$15 -J$16 + 1 &lt; J$14,INDIRECT(ADDRESS(MOD(ROW(C177) - J$15, J$14) + J$15, COLUMN(C177))),""))</f>
        <v/>
      </c>
      <c r="K177" t="str" cm="1">
        <f t="array" aca="1" ref="K177" ca="1">IF(ROW(D177)-K$15 &lt; K$14,D177,IF(ROW(D177) - K$15 -K$16 + 1 &lt; K$14,INDIRECT(ADDRESS(MOD(ROW(D177) - K$15, K$14) + K$15, COLUMN(D177))),""))</f>
        <v/>
      </c>
      <c r="L177" t="str" cm="1">
        <f t="array" aca="1" ref="L177" ca="1">IF(ROW(E177)-L$15 &lt; L$14,E177,IF(ROW(E177) - L$15 -L$16 + 1 &lt; L$14,INDIRECT(ADDRESS(MOD(ROW(E177) - L$15, L$14) + L$15, COLUMN(E177))),""))</f>
        <v/>
      </c>
      <c r="N177" t="str" cm="1">
        <f t="array" aca="1" ref="N177" ca="1">IF(A177&lt;&gt;"", SUMPRODUCT((OFFSET(A177,0,0,H$16,1)=$T$24) +0),"")</f>
        <v/>
      </c>
      <c r="O177" t="str" cm="1">
        <f t="array" aca="1" ref="O177" ca="1">IF(B177&lt;&gt;"", SUMPRODUCT((OFFSET(B177,0,0,I$16,1)=$T$24) +0),"")</f>
        <v/>
      </c>
      <c r="P177" t="str" cm="1">
        <f t="array" aca="1" ref="P177" ca="1">IF(C177&lt;&gt;"", SUMPRODUCT((OFFSET(C177,0,0,J$16,1)=$T$24) +0),"")</f>
        <v/>
      </c>
      <c r="Q177" t="str" cm="1">
        <f t="array" aca="1" ref="Q177" ca="1">IF(D177&lt;&gt;"", SUMPRODUCT((OFFSET(D177,0,0,K$16,1)=$T$24) +0),"")</f>
        <v/>
      </c>
      <c r="R177" t="str" cm="1">
        <f t="array" aca="1" ref="R177" ca="1">IF(E177&lt;&gt;"", SUMPRODUCT((OFFSET(E177,0,0,L$16,1)=$T$24) +0),"")</f>
        <v/>
      </c>
      <c r="AB177">
        <f t="shared" si="29"/>
        <v>1</v>
      </c>
      <c r="AC177">
        <f t="shared" si="29"/>
        <v>3</v>
      </c>
      <c r="AD177">
        <f t="shared" si="29"/>
        <v>3</v>
      </c>
      <c r="AE177">
        <f t="shared" si="29"/>
        <v>1</v>
      </c>
      <c r="AF177">
        <f t="shared" si="29"/>
        <v>0</v>
      </c>
      <c r="AG177">
        <f t="shared" si="26"/>
        <v>8</v>
      </c>
      <c r="AH177">
        <f t="shared" ca="1" si="27"/>
        <v>0</v>
      </c>
      <c r="AI177">
        <f>IF(ROW($AA177) - $AA$51 &lt; ($H$16+1)^5, IF(AG177 &gt;= BaseBonus!$C$16, AG177*BaseBonus!$E$31, 0), "")</f>
        <v>7.5124286503406372</v>
      </c>
      <c r="AJ177">
        <f t="shared" ca="1" si="28"/>
        <v>0</v>
      </c>
      <c r="AK177" s="44"/>
    </row>
    <row r="178" spans="8:37" x14ac:dyDescent="0.3">
      <c r="H178" t="str" cm="1">
        <f t="array" aca="1" ref="H178" ca="1">IF(ROW(A178)-H$15 &lt; H$14,A178,IF(ROW(A178) - H$15 -H$16 + 1 &lt; H$14,INDIRECT(ADDRESS(MOD(ROW(A178) - H$15, H$14) + H$15, COLUMN(A178))),""))</f>
        <v/>
      </c>
      <c r="I178" t="str" cm="1">
        <f t="array" aca="1" ref="I178" ca="1">IF(ROW(B178)-I$15 &lt; I$14,B178,IF(ROW(B178) - I$15 -I$16 + 1 &lt; I$14,INDIRECT(ADDRESS(MOD(ROW(B178) - I$15, I$14) + I$15, COLUMN(B178))),""))</f>
        <v/>
      </c>
      <c r="J178" t="str" cm="1">
        <f t="array" aca="1" ref="J178" ca="1">IF(ROW(C178)-J$15 &lt; J$14,C178,IF(ROW(C178) - J$15 -J$16 + 1 &lt; J$14,INDIRECT(ADDRESS(MOD(ROW(C178) - J$15, J$14) + J$15, COLUMN(C178))),""))</f>
        <v/>
      </c>
      <c r="K178" t="str" cm="1">
        <f t="array" aca="1" ref="K178" ca="1">IF(ROW(D178)-K$15 &lt; K$14,D178,IF(ROW(D178) - K$15 -K$16 + 1 &lt; K$14,INDIRECT(ADDRESS(MOD(ROW(D178) - K$15, K$14) + K$15, COLUMN(D178))),""))</f>
        <v/>
      </c>
      <c r="L178" t="str" cm="1">
        <f t="array" aca="1" ref="L178" ca="1">IF(ROW(E178)-L$15 &lt; L$14,E178,IF(ROW(E178) - L$15 -L$16 + 1 &lt; L$14,INDIRECT(ADDRESS(MOD(ROW(E178) - L$15, L$14) + L$15, COLUMN(E178))),""))</f>
        <v/>
      </c>
      <c r="N178" t="str" cm="1">
        <f t="array" aca="1" ref="N178" ca="1">IF(A178&lt;&gt;"", SUMPRODUCT((OFFSET(A178,0,0,H$16,1)=$T$24) +0),"")</f>
        <v/>
      </c>
      <c r="O178" t="str" cm="1">
        <f t="array" aca="1" ref="O178" ca="1">IF(B178&lt;&gt;"", SUMPRODUCT((OFFSET(B178,0,0,I$16,1)=$T$24) +0),"")</f>
        <v/>
      </c>
      <c r="P178" t="str" cm="1">
        <f t="array" aca="1" ref="P178" ca="1">IF(C178&lt;&gt;"", SUMPRODUCT((OFFSET(C178,0,0,J$16,1)=$T$24) +0),"")</f>
        <v/>
      </c>
      <c r="Q178" t="str" cm="1">
        <f t="array" aca="1" ref="Q178" ca="1">IF(D178&lt;&gt;"", SUMPRODUCT((OFFSET(D178,0,0,K$16,1)=$T$24) +0),"")</f>
        <v/>
      </c>
      <c r="R178" t="str" cm="1">
        <f t="array" aca="1" ref="R178" ca="1">IF(E178&lt;&gt;"", SUMPRODUCT((OFFSET(E178,0,0,L$16,1)=$T$24) +0),"")</f>
        <v/>
      </c>
      <c r="AB178">
        <f t="shared" si="29"/>
        <v>2</v>
      </c>
      <c r="AC178">
        <f t="shared" si="29"/>
        <v>3</v>
      </c>
      <c r="AD178">
        <f t="shared" si="29"/>
        <v>3</v>
      </c>
      <c r="AE178">
        <f t="shared" si="29"/>
        <v>1</v>
      </c>
      <c r="AF178">
        <f t="shared" si="29"/>
        <v>0</v>
      </c>
      <c r="AG178">
        <f t="shared" si="26"/>
        <v>9</v>
      </c>
      <c r="AH178">
        <f t="shared" ca="1" si="27"/>
        <v>0</v>
      </c>
      <c r="AI178">
        <f>IF(ROW($AA178) - $AA$51 &lt; ($H$16+1)^5, IF(AG178 &gt;= BaseBonus!$C$16, AG178*BaseBonus!$E$31, 0), "")</f>
        <v>8.4514822316332161</v>
      </c>
      <c r="AJ178">
        <f t="shared" ca="1" si="28"/>
        <v>0</v>
      </c>
      <c r="AK178" s="44"/>
    </row>
    <row r="179" spans="8:37" x14ac:dyDescent="0.3">
      <c r="H179" t="str" cm="1">
        <f t="array" aca="1" ref="H179" ca="1">IF(ROW(A179)-H$15 &lt; H$14,A179,IF(ROW(A179) - H$15 -H$16 + 1 &lt; H$14,INDIRECT(ADDRESS(MOD(ROW(A179) - H$15, H$14) + H$15, COLUMN(A179))),""))</f>
        <v/>
      </c>
      <c r="I179" t="str" cm="1">
        <f t="array" aca="1" ref="I179" ca="1">IF(ROW(B179)-I$15 &lt; I$14,B179,IF(ROW(B179) - I$15 -I$16 + 1 &lt; I$14,INDIRECT(ADDRESS(MOD(ROW(B179) - I$15, I$14) + I$15, COLUMN(B179))),""))</f>
        <v/>
      </c>
      <c r="J179" t="str" cm="1">
        <f t="array" aca="1" ref="J179" ca="1">IF(ROW(C179)-J$15 &lt; J$14,C179,IF(ROW(C179) - J$15 -J$16 + 1 &lt; J$14,INDIRECT(ADDRESS(MOD(ROW(C179) - J$15, J$14) + J$15, COLUMN(C179))),""))</f>
        <v/>
      </c>
      <c r="K179" t="str" cm="1">
        <f t="array" aca="1" ref="K179" ca="1">IF(ROW(D179)-K$15 &lt; K$14,D179,IF(ROW(D179) - K$15 -K$16 + 1 &lt; K$14,INDIRECT(ADDRESS(MOD(ROW(D179) - K$15, K$14) + K$15, COLUMN(D179))),""))</f>
        <v/>
      </c>
      <c r="L179" t="str" cm="1">
        <f t="array" aca="1" ref="L179" ca="1">IF(ROW(E179)-L$15 &lt; L$14,E179,IF(ROW(E179) - L$15 -L$16 + 1 &lt; L$14,INDIRECT(ADDRESS(MOD(ROW(E179) - L$15, L$14) + L$15, COLUMN(E179))),""))</f>
        <v/>
      </c>
      <c r="N179" t="str" cm="1">
        <f t="array" aca="1" ref="N179" ca="1">IF(A179&lt;&gt;"", SUMPRODUCT((OFFSET(A179,0,0,H$16,1)=$T$24) +0),"")</f>
        <v/>
      </c>
      <c r="O179" t="str" cm="1">
        <f t="array" aca="1" ref="O179" ca="1">IF(B179&lt;&gt;"", SUMPRODUCT((OFFSET(B179,0,0,I$16,1)=$T$24) +0),"")</f>
        <v/>
      </c>
      <c r="P179" t="str" cm="1">
        <f t="array" aca="1" ref="P179" ca="1">IF(C179&lt;&gt;"", SUMPRODUCT((OFFSET(C179,0,0,J$16,1)=$T$24) +0),"")</f>
        <v/>
      </c>
      <c r="Q179" t="str" cm="1">
        <f t="array" aca="1" ref="Q179" ca="1">IF(D179&lt;&gt;"", SUMPRODUCT((OFFSET(D179,0,0,K$16,1)=$T$24) +0),"")</f>
        <v/>
      </c>
      <c r="R179" t="str" cm="1">
        <f t="array" aca="1" ref="R179" ca="1">IF(E179&lt;&gt;"", SUMPRODUCT((OFFSET(E179,0,0,L$16,1)=$T$24) +0),"")</f>
        <v/>
      </c>
      <c r="AB179">
        <f t="shared" si="29"/>
        <v>3</v>
      </c>
      <c r="AC179">
        <f t="shared" si="29"/>
        <v>3</v>
      </c>
      <c r="AD179">
        <f t="shared" si="29"/>
        <v>3</v>
      </c>
      <c r="AE179">
        <f t="shared" si="29"/>
        <v>1</v>
      </c>
      <c r="AF179">
        <f t="shared" si="29"/>
        <v>0</v>
      </c>
      <c r="AG179">
        <f t="shared" si="26"/>
        <v>10</v>
      </c>
      <c r="AH179">
        <f t="shared" ca="1" si="27"/>
        <v>0</v>
      </c>
      <c r="AI179">
        <f>IF(ROW($AA179) - $AA$51 &lt; ($H$16+1)^5, IF(AG179 &gt;= BaseBonus!$C$16, AG179*BaseBonus!$E$31, 0), "")</f>
        <v>9.3905358129257959</v>
      </c>
      <c r="AJ179">
        <f t="shared" ca="1" si="28"/>
        <v>0</v>
      </c>
      <c r="AK179" s="44"/>
    </row>
    <row r="180" spans="8:37" x14ac:dyDescent="0.3">
      <c r="H180" t="str" cm="1">
        <f t="array" aca="1" ref="H180" ca="1">IF(ROW(A180)-H$15 &lt; H$14,A180,IF(ROW(A180) - H$15 -H$16 + 1 &lt; H$14,INDIRECT(ADDRESS(MOD(ROW(A180) - H$15, H$14) + H$15, COLUMN(A180))),""))</f>
        <v/>
      </c>
      <c r="I180" t="str" cm="1">
        <f t="array" aca="1" ref="I180" ca="1">IF(ROW(B180)-I$15 &lt; I$14,B180,IF(ROW(B180) - I$15 -I$16 + 1 &lt; I$14,INDIRECT(ADDRESS(MOD(ROW(B180) - I$15, I$14) + I$15, COLUMN(B180))),""))</f>
        <v/>
      </c>
      <c r="J180" t="str" cm="1">
        <f t="array" aca="1" ref="J180" ca="1">IF(ROW(C180)-J$15 &lt; J$14,C180,IF(ROW(C180) - J$15 -J$16 + 1 &lt; J$14,INDIRECT(ADDRESS(MOD(ROW(C180) - J$15, J$14) + J$15, COLUMN(C180))),""))</f>
        <v/>
      </c>
      <c r="K180" t="str" cm="1">
        <f t="array" aca="1" ref="K180" ca="1">IF(ROW(D180)-K$15 &lt; K$14,D180,IF(ROW(D180) - K$15 -K$16 + 1 &lt; K$14,INDIRECT(ADDRESS(MOD(ROW(D180) - K$15, K$14) + K$15, COLUMN(D180))),""))</f>
        <v/>
      </c>
      <c r="L180" t="str" cm="1">
        <f t="array" aca="1" ref="L180" ca="1">IF(ROW(E180)-L$15 &lt; L$14,E180,IF(ROW(E180) - L$15 -L$16 + 1 &lt; L$14,INDIRECT(ADDRESS(MOD(ROW(E180) - L$15, L$14) + L$15, COLUMN(E180))),""))</f>
        <v/>
      </c>
      <c r="N180" t="str" cm="1">
        <f t="array" aca="1" ref="N180" ca="1">IF(A180&lt;&gt;"", SUMPRODUCT((OFFSET(A180,0,0,H$16,1)=$T$24) +0),"")</f>
        <v/>
      </c>
      <c r="O180" t="str" cm="1">
        <f t="array" aca="1" ref="O180" ca="1">IF(B180&lt;&gt;"", SUMPRODUCT((OFFSET(B180,0,0,I$16,1)=$T$24) +0),"")</f>
        <v/>
      </c>
      <c r="P180" t="str" cm="1">
        <f t="array" aca="1" ref="P180" ca="1">IF(C180&lt;&gt;"", SUMPRODUCT((OFFSET(C180,0,0,J$16,1)=$T$24) +0),"")</f>
        <v/>
      </c>
      <c r="Q180" t="str" cm="1">
        <f t="array" aca="1" ref="Q180" ca="1">IF(D180&lt;&gt;"", SUMPRODUCT((OFFSET(D180,0,0,K$16,1)=$T$24) +0),"")</f>
        <v/>
      </c>
      <c r="R180" t="str" cm="1">
        <f t="array" aca="1" ref="R180" ca="1">IF(E180&lt;&gt;"", SUMPRODUCT((OFFSET(E180,0,0,L$16,1)=$T$24) +0),"")</f>
        <v/>
      </c>
      <c r="AB180">
        <f t="shared" si="29"/>
        <v>0</v>
      </c>
      <c r="AC180">
        <f t="shared" si="29"/>
        <v>0</v>
      </c>
      <c r="AD180">
        <f t="shared" si="29"/>
        <v>0</v>
      </c>
      <c r="AE180">
        <f t="shared" si="29"/>
        <v>2</v>
      </c>
      <c r="AF180">
        <f t="shared" si="29"/>
        <v>0</v>
      </c>
      <c r="AG180">
        <f t="shared" ref="AG180:AG243" si="30">IF(ROW($AA180) - $AA$51 &lt; ($H$16+1)^5, SUM(AB180:AF180), "")</f>
        <v>2</v>
      </c>
      <c r="AH180">
        <f t="shared" ref="AH180:AH243" ca="1" si="31">IF(ROW($AA180) - $AA$51 &lt; (4)^5,
    (_xlfn.XLOOKUP(AB180,$T$51:$T$55,U$51:U$55,0)/U$27) * (_xlfn.XLOOKUP(AC180,$T$51:$T$55,V$51:V$55,0)/V$27) * (_xlfn.XLOOKUP(AD180,$T$51:$T$55,W$51:W$55,0)/W$27) * (_xlfn.XLOOKUP(AE180,$T$51:$T$55,X$51:X$55,0)/X$27) * (_xlfn.XLOOKUP(AF180,$T$51:$T$55,Y$51:Y$55,0)/Y$27),
"")</f>
        <v>1.5242876096225896E-2</v>
      </c>
      <c r="AI180">
        <f>IF(ROW($AA180) - $AA$51 &lt; ($H$16+1)^5, IF(AG180 &gt;= BaseBonus!$C$16, AG180*BaseBonus!$E$31, 0), "")</f>
        <v>0</v>
      </c>
      <c r="AJ180">
        <f t="shared" ref="AJ180:AJ243" ca="1" si="32">IF(ROW($AA180) - $AA$51 &lt; ($H$16+1)^5, AH180*AI180, "")</f>
        <v>0</v>
      </c>
      <c r="AK180" s="44"/>
    </row>
    <row r="181" spans="8:37" x14ac:dyDescent="0.3">
      <c r="H181" t="str" cm="1">
        <f t="array" aca="1" ref="H181" ca="1">IF(ROW(A181)-H$15 &lt; H$14,A181,IF(ROW(A181) - H$15 -H$16 + 1 &lt; H$14,INDIRECT(ADDRESS(MOD(ROW(A181) - H$15, H$14) + H$15, COLUMN(A181))),""))</f>
        <v/>
      </c>
      <c r="I181" t="str" cm="1">
        <f t="array" aca="1" ref="I181" ca="1">IF(ROW(B181)-I$15 &lt; I$14,B181,IF(ROW(B181) - I$15 -I$16 + 1 &lt; I$14,INDIRECT(ADDRESS(MOD(ROW(B181) - I$15, I$14) + I$15, COLUMN(B181))),""))</f>
        <v/>
      </c>
      <c r="J181" t="str" cm="1">
        <f t="array" aca="1" ref="J181" ca="1">IF(ROW(C181)-J$15 &lt; J$14,C181,IF(ROW(C181) - J$15 -J$16 + 1 &lt; J$14,INDIRECT(ADDRESS(MOD(ROW(C181) - J$15, J$14) + J$15, COLUMN(C181))),""))</f>
        <v/>
      </c>
      <c r="K181" t="str" cm="1">
        <f t="array" aca="1" ref="K181" ca="1">IF(ROW(D181)-K$15 &lt; K$14,D181,IF(ROW(D181) - K$15 -K$16 + 1 &lt; K$14,INDIRECT(ADDRESS(MOD(ROW(D181) - K$15, K$14) + K$15, COLUMN(D181))),""))</f>
        <v/>
      </c>
      <c r="L181" t="str" cm="1">
        <f t="array" aca="1" ref="L181" ca="1">IF(ROW(E181)-L$15 &lt; L$14,E181,IF(ROW(E181) - L$15 -L$16 + 1 &lt; L$14,INDIRECT(ADDRESS(MOD(ROW(E181) - L$15, L$14) + L$15, COLUMN(E181))),""))</f>
        <v/>
      </c>
      <c r="N181" t="str" cm="1">
        <f t="array" aca="1" ref="N181" ca="1">IF(A181&lt;&gt;"", SUMPRODUCT((OFFSET(A181,0,0,H$16,1)=$T$24) +0),"")</f>
        <v/>
      </c>
      <c r="O181" t="str" cm="1">
        <f t="array" aca="1" ref="O181" ca="1">IF(B181&lt;&gt;"", SUMPRODUCT((OFFSET(B181,0,0,I$16,1)=$T$24) +0),"")</f>
        <v/>
      </c>
      <c r="P181" t="str" cm="1">
        <f t="array" aca="1" ref="P181" ca="1">IF(C181&lt;&gt;"", SUMPRODUCT((OFFSET(C181,0,0,J$16,1)=$T$24) +0),"")</f>
        <v/>
      </c>
      <c r="Q181" t="str" cm="1">
        <f t="array" aca="1" ref="Q181" ca="1">IF(D181&lt;&gt;"", SUMPRODUCT((OFFSET(D181,0,0,K$16,1)=$T$24) +0),"")</f>
        <v/>
      </c>
      <c r="R181" t="str" cm="1">
        <f t="array" aca="1" ref="R181" ca="1">IF(E181&lt;&gt;"", SUMPRODUCT((OFFSET(E181,0,0,L$16,1)=$T$24) +0),"")</f>
        <v/>
      </c>
      <c r="AB181">
        <f t="shared" si="29"/>
        <v>1</v>
      </c>
      <c r="AC181">
        <f t="shared" si="29"/>
        <v>0</v>
      </c>
      <c r="AD181">
        <f t="shared" si="29"/>
        <v>0</v>
      </c>
      <c r="AE181">
        <f t="shared" si="29"/>
        <v>2</v>
      </c>
      <c r="AF181">
        <f t="shared" si="29"/>
        <v>0</v>
      </c>
      <c r="AG181">
        <f t="shared" si="30"/>
        <v>3</v>
      </c>
      <c r="AH181">
        <f t="shared" ca="1" si="31"/>
        <v>2.6509349732566777E-3</v>
      </c>
      <c r="AI181">
        <f>IF(ROW($AA181) - $AA$51 &lt; ($H$16+1)^5, IF(AG181 &gt;= BaseBonus!$C$16, AG181*BaseBonus!$E$31, 0), "")</f>
        <v>0</v>
      </c>
      <c r="AJ181">
        <f t="shared" ca="1" si="32"/>
        <v>0</v>
      </c>
      <c r="AK181" s="44"/>
    </row>
    <row r="182" spans="8:37" x14ac:dyDescent="0.3">
      <c r="H182" t="str" cm="1">
        <f t="array" aca="1" ref="H182" ca="1">IF(ROW(A182)-H$15 &lt; H$14,A182,IF(ROW(A182) - H$15 -H$16 + 1 &lt; H$14,INDIRECT(ADDRESS(MOD(ROW(A182) - H$15, H$14) + H$15, COLUMN(A182))),""))</f>
        <v/>
      </c>
      <c r="I182" t="str" cm="1">
        <f t="array" aca="1" ref="I182" ca="1">IF(ROW(B182)-I$15 &lt; I$14,B182,IF(ROW(B182) - I$15 -I$16 + 1 &lt; I$14,INDIRECT(ADDRESS(MOD(ROW(B182) - I$15, I$14) + I$15, COLUMN(B182))),""))</f>
        <v/>
      </c>
      <c r="J182" t="str" cm="1">
        <f t="array" aca="1" ref="J182" ca="1">IF(ROW(C182)-J$15 &lt; J$14,C182,IF(ROW(C182) - J$15 -J$16 + 1 &lt; J$14,INDIRECT(ADDRESS(MOD(ROW(C182) - J$15, J$14) + J$15, COLUMN(C182))),""))</f>
        <v/>
      </c>
      <c r="K182" t="str" cm="1">
        <f t="array" aca="1" ref="K182" ca="1">IF(ROW(D182)-K$15 &lt; K$14,D182,IF(ROW(D182) - K$15 -K$16 + 1 &lt; K$14,INDIRECT(ADDRESS(MOD(ROW(D182) - K$15, K$14) + K$15, COLUMN(D182))),""))</f>
        <v/>
      </c>
      <c r="L182" t="str" cm="1">
        <f t="array" aca="1" ref="L182" ca="1">IF(ROW(E182)-L$15 &lt; L$14,E182,IF(ROW(E182) - L$15 -L$16 + 1 &lt; L$14,INDIRECT(ADDRESS(MOD(ROW(E182) - L$15, L$14) + L$15, COLUMN(E182))),""))</f>
        <v/>
      </c>
      <c r="N182" t="str" cm="1">
        <f t="array" aca="1" ref="N182" ca="1">IF(A182&lt;&gt;"", SUMPRODUCT((OFFSET(A182,0,0,H$16,1)=$T$24) +0),"")</f>
        <v/>
      </c>
      <c r="O182" t="str" cm="1">
        <f t="array" aca="1" ref="O182" ca="1">IF(B182&lt;&gt;"", SUMPRODUCT((OFFSET(B182,0,0,I$16,1)=$T$24) +0),"")</f>
        <v/>
      </c>
      <c r="P182" t="str" cm="1">
        <f t="array" aca="1" ref="P182" ca="1">IF(C182&lt;&gt;"", SUMPRODUCT((OFFSET(C182,0,0,J$16,1)=$T$24) +0),"")</f>
        <v/>
      </c>
      <c r="Q182" t="str" cm="1">
        <f t="array" aca="1" ref="Q182" ca="1">IF(D182&lt;&gt;"", SUMPRODUCT((OFFSET(D182,0,0,K$16,1)=$T$24) +0),"")</f>
        <v/>
      </c>
      <c r="R182" t="str" cm="1">
        <f t="array" aca="1" ref="R182" ca="1">IF(E182&lt;&gt;"", SUMPRODUCT((OFFSET(E182,0,0,L$16,1)=$T$24) +0),"")</f>
        <v/>
      </c>
      <c r="AB182">
        <f t="shared" si="29"/>
        <v>2</v>
      </c>
      <c r="AC182">
        <f t="shared" si="29"/>
        <v>0</v>
      </c>
      <c r="AD182">
        <f t="shared" si="29"/>
        <v>0</v>
      </c>
      <c r="AE182">
        <f t="shared" si="29"/>
        <v>2</v>
      </c>
      <c r="AF182">
        <f t="shared" si="29"/>
        <v>0</v>
      </c>
      <c r="AG182">
        <f t="shared" si="30"/>
        <v>4</v>
      </c>
      <c r="AH182">
        <f t="shared" ca="1" si="31"/>
        <v>0</v>
      </c>
      <c r="AI182">
        <f>IF(ROW($AA182) - $AA$51 &lt; ($H$16+1)^5, IF(AG182 &gt;= BaseBonus!$C$16, AG182*BaseBonus!$E$31, 0), "")</f>
        <v>0</v>
      </c>
      <c r="AJ182">
        <f t="shared" ca="1" si="32"/>
        <v>0</v>
      </c>
      <c r="AK182" s="44"/>
    </row>
    <row r="183" spans="8:37" x14ac:dyDescent="0.3">
      <c r="H183" t="str" cm="1">
        <f t="array" aca="1" ref="H183" ca="1">IF(ROW(A183)-H$15 &lt; H$14,A183,IF(ROW(A183) - H$15 -H$16 + 1 &lt; H$14,INDIRECT(ADDRESS(MOD(ROW(A183) - H$15, H$14) + H$15, COLUMN(A183))),""))</f>
        <v/>
      </c>
      <c r="I183" t="str" cm="1">
        <f t="array" aca="1" ref="I183" ca="1">IF(ROW(B183)-I$15 &lt; I$14,B183,IF(ROW(B183) - I$15 -I$16 + 1 &lt; I$14,INDIRECT(ADDRESS(MOD(ROW(B183) - I$15, I$14) + I$15, COLUMN(B183))),""))</f>
        <v/>
      </c>
      <c r="J183" t="str" cm="1">
        <f t="array" aca="1" ref="J183" ca="1">IF(ROW(C183)-J$15 &lt; J$14,C183,IF(ROW(C183) - J$15 -J$16 + 1 &lt; J$14,INDIRECT(ADDRESS(MOD(ROW(C183) - J$15, J$14) + J$15, COLUMN(C183))),""))</f>
        <v/>
      </c>
      <c r="K183" t="str" cm="1">
        <f t="array" aca="1" ref="K183" ca="1">IF(ROW(D183)-K$15 &lt; K$14,D183,IF(ROW(D183) - K$15 -K$16 + 1 &lt; K$14,INDIRECT(ADDRESS(MOD(ROW(D183) - K$15, K$14) + K$15, COLUMN(D183))),""))</f>
        <v/>
      </c>
      <c r="L183" t="str" cm="1">
        <f t="array" aca="1" ref="L183" ca="1">IF(ROW(E183)-L$15 &lt; L$14,E183,IF(ROW(E183) - L$15 -L$16 + 1 &lt; L$14,INDIRECT(ADDRESS(MOD(ROW(E183) - L$15, L$14) + L$15, COLUMN(E183))),""))</f>
        <v/>
      </c>
      <c r="N183" t="str" cm="1">
        <f t="array" aca="1" ref="N183" ca="1">IF(A183&lt;&gt;"", SUMPRODUCT((OFFSET(A183,0,0,H$16,1)=$T$24) +0),"")</f>
        <v/>
      </c>
      <c r="O183" t="str" cm="1">
        <f t="array" aca="1" ref="O183" ca="1">IF(B183&lt;&gt;"", SUMPRODUCT((OFFSET(B183,0,0,I$16,1)=$T$24) +0),"")</f>
        <v/>
      </c>
      <c r="P183" t="str" cm="1">
        <f t="array" aca="1" ref="P183" ca="1">IF(C183&lt;&gt;"", SUMPRODUCT((OFFSET(C183,0,0,J$16,1)=$T$24) +0),"")</f>
        <v/>
      </c>
      <c r="Q183" t="str" cm="1">
        <f t="array" aca="1" ref="Q183" ca="1">IF(D183&lt;&gt;"", SUMPRODUCT((OFFSET(D183,0,0,K$16,1)=$T$24) +0),"")</f>
        <v/>
      </c>
      <c r="R183" t="str" cm="1">
        <f t="array" aca="1" ref="R183" ca="1">IF(E183&lt;&gt;"", SUMPRODUCT((OFFSET(E183,0,0,L$16,1)=$T$24) +0),"")</f>
        <v/>
      </c>
      <c r="AB183">
        <f t="shared" si="29"/>
        <v>3</v>
      </c>
      <c r="AC183">
        <f t="shared" si="29"/>
        <v>0</v>
      </c>
      <c r="AD183">
        <f t="shared" si="29"/>
        <v>0</v>
      </c>
      <c r="AE183">
        <f t="shared" si="29"/>
        <v>2</v>
      </c>
      <c r="AF183">
        <f t="shared" si="29"/>
        <v>0</v>
      </c>
      <c r="AG183">
        <f t="shared" si="30"/>
        <v>5</v>
      </c>
      <c r="AH183">
        <f t="shared" ca="1" si="31"/>
        <v>0</v>
      </c>
      <c r="AI183">
        <f>IF(ROW($AA183) - $AA$51 &lt; ($H$16+1)^5, IF(AG183 &gt;= BaseBonus!$C$16, AG183*BaseBonus!$E$31, 0), "")</f>
        <v>4.6952679064628979</v>
      </c>
      <c r="AJ183">
        <f t="shared" ca="1" si="32"/>
        <v>0</v>
      </c>
      <c r="AK183" s="44"/>
    </row>
    <row r="184" spans="8:37" x14ac:dyDescent="0.3">
      <c r="H184" t="str" cm="1">
        <f t="array" aca="1" ref="H184" ca="1">IF(ROW(A184)-H$15 &lt; H$14,A184,IF(ROW(A184) - H$15 -H$16 + 1 &lt; H$14,INDIRECT(ADDRESS(MOD(ROW(A184) - H$15, H$14) + H$15, COLUMN(A184))),""))</f>
        <v/>
      </c>
      <c r="I184" t="str" cm="1">
        <f t="array" aca="1" ref="I184" ca="1">IF(ROW(B184)-I$15 &lt; I$14,B184,IF(ROW(B184) - I$15 -I$16 + 1 &lt; I$14,INDIRECT(ADDRESS(MOD(ROW(B184) - I$15, I$14) + I$15, COLUMN(B184))),""))</f>
        <v/>
      </c>
      <c r="J184" t="str" cm="1">
        <f t="array" aca="1" ref="J184" ca="1">IF(ROW(C184)-J$15 &lt; J$14,C184,IF(ROW(C184) - J$15 -J$16 + 1 &lt; J$14,INDIRECT(ADDRESS(MOD(ROW(C184) - J$15, J$14) + J$15, COLUMN(C184))),""))</f>
        <v/>
      </c>
      <c r="K184" t="str" cm="1">
        <f t="array" aca="1" ref="K184" ca="1">IF(ROW(D184)-K$15 &lt; K$14,D184,IF(ROW(D184) - K$15 -K$16 + 1 &lt; K$14,INDIRECT(ADDRESS(MOD(ROW(D184) - K$15, K$14) + K$15, COLUMN(D184))),""))</f>
        <v/>
      </c>
      <c r="L184" t="str" cm="1">
        <f t="array" aca="1" ref="L184" ca="1">IF(ROW(E184)-L$15 &lt; L$14,E184,IF(ROW(E184) - L$15 -L$16 + 1 &lt; L$14,INDIRECT(ADDRESS(MOD(ROW(E184) - L$15, L$14) + L$15, COLUMN(E184))),""))</f>
        <v/>
      </c>
      <c r="N184" t="str" cm="1">
        <f t="array" aca="1" ref="N184" ca="1">IF(A184&lt;&gt;"", SUMPRODUCT((OFFSET(A184,0,0,H$16,1)=$T$24) +0),"")</f>
        <v/>
      </c>
      <c r="O184" t="str" cm="1">
        <f t="array" aca="1" ref="O184" ca="1">IF(B184&lt;&gt;"", SUMPRODUCT((OFFSET(B184,0,0,I$16,1)=$T$24) +0),"")</f>
        <v/>
      </c>
      <c r="P184" t="str" cm="1">
        <f t="array" aca="1" ref="P184" ca="1">IF(C184&lt;&gt;"", SUMPRODUCT((OFFSET(C184,0,0,J$16,1)=$T$24) +0),"")</f>
        <v/>
      </c>
      <c r="Q184" t="str" cm="1">
        <f t="array" aca="1" ref="Q184" ca="1">IF(D184&lt;&gt;"", SUMPRODUCT((OFFSET(D184,0,0,K$16,1)=$T$24) +0),"")</f>
        <v/>
      </c>
      <c r="R184" t="str" cm="1">
        <f t="array" aca="1" ref="R184" ca="1">IF(E184&lt;&gt;"", SUMPRODUCT((OFFSET(E184,0,0,L$16,1)=$T$24) +0),"")</f>
        <v/>
      </c>
      <c r="AB184">
        <f t="shared" si="29"/>
        <v>0</v>
      </c>
      <c r="AC184">
        <f t="shared" si="29"/>
        <v>1</v>
      </c>
      <c r="AD184">
        <f t="shared" si="29"/>
        <v>0</v>
      </c>
      <c r="AE184">
        <f t="shared" si="29"/>
        <v>2</v>
      </c>
      <c r="AF184">
        <f t="shared" si="29"/>
        <v>0</v>
      </c>
      <c r="AG184">
        <f t="shared" si="30"/>
        <v>3</v>
      </c>
      <c r="AH184">
        <f t="shared" ca="1" si="31"/>
        <v>2.0174394833240156E-3</v>
      </c>
      <c r="AI184">
        <f>IF(ROW($AA184) - $AA$51 &lt; ($H$16+1)^5, IF(AG184 &gt;= BaseBonus!$C$16, AG184*BaseBonus!$E$31, 0), "")</f>
        <v>0</v>
      </c>
      <c r="AJ184">
        <f t="shared" ca="1" si="32"/>
        <v>0</v>
      </c>
      <c r="AK184" s="44"/>
    </row>
    <row r="185" spans="8:37" x14ac:dyDescent="0.3">
      <c r="H185" t="str" cm="1">
        <f t="array" aca="1" ref="H185" ca="1">IF(ROW(A185)-H$15 &lt; H$14,A185,IF(ROW(A185) - H$15 -H$16 + 1 &lt; H$14,INDIRECT(ADDRESS(MOD(ROW(A185) - H$15, H$14) + H$15, COLUMN(A185))),""))</f>
        <v/>
      </c>
      <c r="I185" t="str" cm="1">
        <f t="array" aca="1" ref="I185" ca="1">IF(ROW(B185)-I$15 &lt; I$14,B185,IF(ROW(B185) - I$15 -I$16 + 1 &lt; I$14,INDIRECT(ADDRESS(MOD(ROW(B185) - I$15, I$14) + I$15, COLUMN(B185))),""))</f>
        <v/>
      </c>
      <c r="J185" t="str" cm="1">
        <f t="array" aca="1" ref="J185" ca="1">IF(ROW(C185)-J$15 &lt; J$14,C185,IF(ROW(C185) - J$15 -J$16 + 1 &lt; J$14,INDIRECT(ADDRESS(MOD(ROW(C185) - J$15, J$14) + J$15, COLUMN(C185))),""))</f>
        <v/>
      </c>
      <c r="K185" t="str" cm="1">
        <f t="array" aca="1" ref="K185" ca="1">IF(ROW(D185)-K$15 &lt; K$14,D185,IF(ROW(D185) - K$15 -K$16 + 1 &lt; K$14,INDIRECT(ADDRESS(MOD(ROW(D185) - K$15, K$14) + K$15, COLUMN(D185))),""))</f>
        <v/>
      </c>
      <c r="L185" t="str" cm="1">
        <f t="array" aca="1" ref="L185" ca="1">IF(ROW(E185)-L$15 &lt; L$14,E185,IF(ROW(E185) - L$15 -L$16 + 1 &lt; L$14,INDIRECT(ADDRESS(MOD(ROW(E185) - L$15, L$14) + L$15, COLUMN(E185))),""))</f>
        <v/>
      </c>
      <c r="N185" t="str" cm="1">
        <f t="array" aca="1" ref="N185" ca="1">IF(A185&lt;&gt;"", SUMPRODUCT((OFFSET(A185,0,0,H$16,1)=$T$24) +0),"")</f>
        <v/>
      </c>
      <c r="O185" t="str" cm="1">
        <f t="array" aca="1" ref="O185" ca="1">IF(B185&lt;&gt;"", SUMPRODUCT((OFFSET(B185,0,0,I$16,1)=$T$24) +0),"")</f>
        <v/>
      </c>
      <c r="P185" t="str" cm="1">
        <f t="array" aca="1" ref="P185" ca="1">IF(C185&lt;&gt;"", SUMPRODUCT((OFFSET(C185,0,0,J$16,1)=$T$24) +0),"")</f>
        <v/>
      </c>
      <c r="Q185" t="str" cm="1">
        <f t="array" aca="1" ref="Q185" ca="1">IF(D185&lt;&gt;"", SUMPRODUCT((OFFSET(D185,0,0,K$16,1)=$T$24) +0),"")</f>
        <v/>
      </c>
      <c r="R185" t="str" cm="1">
        <f t="array" aca="1" ref="R185" ca="1">IF(E185&lt;&gt;"", SUMPRODUCT((OFFSET(E185,0,0,L$16,1)=$T$24) +0),"")</f>
        <v/>
      </c>
      <c r="AB185">
        <f t="shared" si="29"/>
        <v>1</v>
      </c>
      <c r="AC185">
        <f t="shared" si="29"/>
        <v>1</v>
      </c>
      <c r="AD185">
        <f t="shared" si="29"/>
        <v>0</v>
      </c>
      <c r="AE185">
        <f t="shared" si="29"/>
        <v>2</v>
      </c>
      <c r="AF185">
        <f t="shared" si="29"/>
        <v>0</v>
      </c>
      <c r="AG185">
        <f t="shared" si="30"/>
        <v>4</v>
      </c>
      <c r="AH185">
        <f t="shared" ca="1" si="31"/>
        <v>3.5085904057808969E-4</v>
      </c>
      <c r="AI185">
        <f>IF(ROW($AA185) - $AA$51 &lt; ($H$16+1)^5, IF(AG185 &gt;= BaseBonus!$C$16, AG185*BaseBonus!$E$31, 0), "")</f>
        <v>0</v>
      </c>
      <c r="AJ185">
        <f t="shared" ca="1" si="32"/>
        <v>0</v>
      </c>
      <c r="AK185" s="44"/>
    </row>
    <row r="186" spans="8:37" x14ac:dyDescent="0.3">
      <c r="H186" t="str" cm="1">
        <f t="array" aca="1" ref="H186" ca="1">IF(ROW(A186)-H$15 &lt; H$14,A186,IF(ROW(A186) - H$15 -H$16 + 1 &lt; H$14,INDIRECT(ADDRESS(MOD(ROW(A186) - H$15, H$14) + H$15, COLUMN(A186))),""))</f>
        <v/>
      </c>
      <c r="I186" t="str" cm="1">
        <f t="array" aca="1" ref="I186" ca="1">IF(ROW(B186)-I$15 &lt; I$14,B186,IF(ROW(B186) - I$15 -I$16 + 1 &lt; I$14,INDIRECT(ADDRESS(MOD(ROW(B186) - I$15, I$14) + I$15, COLUMN(B186))),""))</f>
        <v/>
      </c>
      <c r="J186" t="str" cm="1">
        <f t="array" aca="1" ref="J186" ca="1">IF(ROW(C186)-J$15 &lt; J$14,C186,IF(ROW(C186) - J$15 -J$16 + 1 &lt; J$14,INDIRECT(ADDRESS(MOD(ROW(C186) - J$15, J$14) + J$15, COLUMN(C186))),""))</f>
        <v/>
      </c>
      <c r="K186" t="str" cm="1">
        <f t="array" aca="1" ref="K186" ca="1">IF(ROW(D186)-K$15 &lt; K$14,D186,IF(ROW(D186) - K$15 -K$16 + 1 &lt; K$14,INDIRECT(ADDRESS(MOD(ROW(D186) - K$15, K$14) + K$15, COLUMN(D186))),""))</f>
        <v/>
      </c>
      <c r="L186" t="str" cm="1">
        <f t="array" aca="1" ref="L186" ca="1">IF(ROW(E186)-L$15 &lt; L$14,E186,IF(ROW(E186) - L$15 -L$16 + 1 &lt; L$14,INDIRECT(ADDRESS(MOD(ROW(E186) - L$15, L$14) + L$15, COLUMN(E186))),""))</f>
        <v/>
      </c>
      <c r="N186" t="str" cm="1">
        <f t="array" aca="1" ref="N186" ca="1">IF(A186&lt;&gt;"", SUMPRODUCT((OFFSET(A186,0,0,H$16,1)=$T$24) +0),"")</f>
        <v/>
      </c>
      <c r="O186" t="str" cm="1">
        <f t="array" aca="1" ref="O186" ca="1">IF(B186&lt;&gt;"", SUMPRODUCT((OFFSET(B186,0,0,I$16,1)=$T$24) +0),"")</f>
        <v/>
      </c>
      <c r="P186" t="str" cm="1">
        <f t="array" aca="1" ref="P186" ca="1">IF(C186&lt;&gt;"", SUMPRODUCT((OFFSET(C186,0,0,J$16,1)=$T$24) +0),"")</f>
        <v/>
      </c>
      <c r="Q186" t="str" cm="1">
        <f t="array" aca="1" ref="Q186" ca="1">IF(D186&lt;&gt;"", SUMPRODUCT((OFFSET(D186,0,0,K$16,1)=$T$24) +0),"")</f>
        <v/>
      </c>
      <c r="R186" t="str" cm="1">
        <f t="array" aca="1" ref="R186" ca="1">IF(E186&lt;&gt;"", SUMPRODUCT((OFFSET(E186,0,0,L$16,1)=$T$24) +0),"")</f>
        <v/>
      </c>
      <c r="AB186">
        <f t="shared" si="29"/>
        <v>2</v>
      </c>
      <c r="AC186">
        <f t="shared" si="29"/>
        <v>1</v>
      </c>
      <c r="AD186">
        <f t="shared" si="29"/>
        <v>0</v>
      </c>
      <c r="AE186">
        <f t="shared" si="29"/>
        <v>2</v>
      </c>
      <c r="AF186">
        <f t="shared" si="29"/>
        <v>0</v>
      </c>
      <c r="AG186">
        <f t="shared" si="30"/>
        <v>5</v>
      </c>
      <c r="AH186">
        <f t="shared" ca="1" si="31"/>
        <v>0</v>
      </c>
      <c r="AI186">
        <f>IF(ROW($AA186) - $AA$51 &lt; ($H$16+1)^5, IF(AG186 &gt;= BaseBonus!$C$16, AG186*BaseBonus!$E$31, 0), "")</f>
        <v>4.6952679064628979</v>
      </c>
      <c r="AJ186">
        <f t="shared" ca="1" si="32"/>
        <v>0</v>
      </c>
      <c r="AK186" s="44"/>
    </row>
    <row r="187" spans="8:37" x14ac:dyDescent="0.3">
      <c r="H187" t="str" cm="1">
        <f t="array" aca="1" ref="H187" ca="1">IF(ROW(A187)-H$15 &lt; H$14,A187,IF(ROW(A187) - H$15 -H$16 + 1 &lt; H$14,INDIRECT(ADDRESS(MOD(ROW(A187) - H$15, H$14) + H$15, COLUMN(A187))),""))</f>
        <v/>
      </c>
      <c r="I187" t="str" cm="1">
        <f t="array" aca="1" ref="I187" ca="1">IF(ROW(B187)-I$15 &lt; I$14,B187,IF(ROW(B187) - I$15 -I$16 + 1 &lt; I$14,INDIRECT(ADDRESS(MOD(ROW(B187) - I$15, I$14) + I$15, COLUMN(B187))),""))</f>
        <v/>
      </c>
      <c r="J187" t="str" cm="1">
        <f t="array" aca="1" ref="J187" ca="1">IF(ROW(C187)-J$15 &lt; J$14,C187,IF(ROW(C187) - J$15 -J$16 + 1 &lt; J$14,INDIRECT(ADDRESS(MOD(ROW(C187) - J$15, J$14) + J$15, COLUMN(C187))),""))</f>
        <v/>
      </c>
      <c r="K187" t="str" cm="1">
        <f t="array" aca="1" ref="K187" ca="1">IF(ROW(D187)-K$15 &lt; K$14,D187,IF(ROW(D187) - K$15 -K$16 + 1 &lt; K$14,INDIRECT(ADDRESS(MOD(ROW(D187) - K$15, K$14) + K$15, COLUMN(D187))),""))</f>
        <v/>
      </c>
      <c r="L187" t="str" cm="1">
        <f t="array" aca="1" ref="L187" ca="1">IF(ROW(E187)-L$15 &lt; L$14,E187,IF(ROW(E187) - L$15 -L$16 + 1 &lt; L$14,INDIRECT(ADDRESS(MOD(ROW(E187) - L$15, L$14) + L$15, COLUMN(E187))),""))</f>
        <v/>
      </c>
      <c r="N187" t="str" cm="1">
        <f t="array" aca="1" ref="N187" ca="1">IF(A187&lt;&gt;"", SUMPRODUCT((OFFSET(A187,0,0,H$16,1)=$T$24) +0),"")</f>
        <v/>
      </c>
      <c r="O187" t="str" cm="1">
        <f t="array" aca="1" ref="O187" ca="1">IF(B187&lt;&gt;"", SUMPRODUCT((OFFSET(B187,0,0,I$16,1)=$T$24) +0),"")</f>
        <v/>
      </c>
      <c r="P187" t="str" cm="1">
        <f t="array" aca="1" ref="P187" ca="1">IF(C187&lt;&gt;"", SUMPRODUCT((OFFSET(C187,0,0,J$16,1)=$T$24) +0),"")</f>
        <v/>
      </c>
      <c r="Q187" t="str" cm="1">
        <f t="array" aca="1" ref="Q187" ca="1">IF(D187&lt;&gt;"", SUMPRODUCT((OFFSET(D187,0,0,K$16,1)=$T$24) +0),"")</f>
        <v/>
      </c>
      <c r="R187" t="str" cm="1">
        <f t="array" aca="1" ref="R187" ca="1">IF(E187&lt;&gt;"", SUMPRODUCT((OFFSET(E187,0,0,L$16,1)=$T$24) +0),"")</f>
        <v/>
      </c>
      <c r="AB187">
        <f t="shared" si="29"/>
        <v>3</v>
      </c>
      <c r="AC187">
        <f t="shared" si="29"/>
        <v>1</v>
      </c>
      <c r="AD187">
        <f t="shared" si="29"/>
        <v>0</v>
      </c>
      <c r="AE187">
        <f t="shared" si="29"/>
        <v>2</v>
      </c>
      <c r="AF187">
        <f t="shared" si="29"/>
        <v>0</v>
      </c>
      <c r="AG187">
        <f t="shared" si="30"/>
        <v>6</v>
      </c>
      <c r="AH187">
        <f t="shared" ca="1" si="31"/>
        <v>0</v>
      </c>
      <c r="AI187">
        <f>IF(ROW($AA187) - $AA$51 &lt; ($H$16+1)^5, IF(AG187 &gt;= BaseBonus!$C$16, AG187*BaseBonus!$E$31, 0), "")</f>
        <v>5.6343214877554777</v>
      </c>
      <c r="AJ187">
        <f t="shared" ca="1" si="32"/>
        <v>0</v>
      </c>
      <c r="AK187" s="44"/>
    </row>
    <row r="188" spans="8:37" x14ac:dyDescent="0.3">
      <c r="H188" t="str" cm="1">
        <f t="array" aca="1" ref="H188" ca="1">IF(ROW(A188)-H$15 &lt; H$14,A188,IF(ROW(A188) - H$15 -H$16 + 1 &lt; H$14,INDIRECT(ADDRESS(MOD(ROW(A188) - H$15, H$14) + H$15, COLUMN(A188))),""))</f>
        <v/>
      </c>
      <c r="I188" t="str" cm="1">
        <f t="array" aca="1" ref="I188" ca="1">IF(ROW(B188)-I$15 &lt; I$14,B188,IF(ROW(B188) - I$15 -I$16 + 1 &lt; I$14,INDIRECT(ADDRESS(MOD(ROW(B188) - I$15, I$14) + I$15, COLUMN(B188))),""))</f>
        <v/>
      </c>
      <c r="J188" t="str" cm="1">
        <f t="array" aca="1" ref="J188" ca="1">IF(ROW(C188)-J$15 &lt; J$14,C188,IF(ROW(C188) - J$15 -J$16 + 1 &lt; J$14,INDIRECT(ADDRESS(MOD(ROW(C188) - J$15, J$14) + J$15, COLUMN(C188))),""))</f>
        <v/>
      </c>
      <c r="K188" t="str" cm="1">
        <f t="array" aca="1" ref="K188" ca="1">IF(ROW(D188)-K$15 &lt; K$14,D188,IF(ROW(D188) - K$15 -K$16 + 1 &lt; K$14,INDIRECT(ADDRESS(MOD(ROW(D188) - K$15, K$14) + K$15, COLUMN(D188))),""))</f>
        <v/>
      </c>
      <c r="L188" t="str" cm="1">
        <f t="array" aca="1" ref="L188" ca="1">IF(ROW(E188)-L$15 &lt; L$14,E188,IF(ROW(E188) - L$15 -L$16 + 1 &lt; L$14,INDIRECT(ADDRESS(MOD(ROW(E188) - L$15, L$14) + L$15, COLUMN(E188))),""))</f>
        <v/>
      </c>
      <c r="N188" t="str" cm="1">
        <f t="array" aca="1" ref="N188" ca="1">IF(A188&lt;&gt;"", SUMPRODUCT((OFFSET(A188,0,0,H$16,1)=$T$24) +0),"")</f>
        <v/>
      </c>
      <c r="O188" t="str" cm="1">
        <f t="array" aca="1" ref="O188" ca="1">IF(B188&lt;&gt;"", SUMPRODUCT((OFFSET(B188,0,0,I$16,1)=$T$24) +0),"")</f>
        <v/>
      </c>
      <c r="P188" t="str" cm="1">
        <f t="array" aca="1" ref="P188" ca="1">IF(C188&lt;&gt;"", SUMPRODUCT((OFFSET(C188,0,0,J$16,1)=$T$24) +0),"")</f>
        <v/>
      </c>
      <c r="Q188" t="str" cm="1">
        <f t="array" aca="1" ref="Q188" ca="1">IF(D188&lt;&gt;"", SUMPRODUCT((OFFSET(D188,0,0,K$16,1)=$T$24) +0),"")</f>
        <v/>
      </c>
      <c r="R188" t="str" cm="1">
        <f t="array" aca="1" ref="R188" ca="1">IF(E188&lt;&gt;"", SUMPRODUCT((OFFSET(E188,0,0,L$16,1)=$T$24) +0),"")</f>
        <v/>
      </c>
      <c r="AB188">
        <f t="shared" si="29"/>
        <v>0</v>
      </c>
      <c r="AC188">
        <f t="shared" si="29"/>
        <v>2</v>
      </c>
      <c r="AD188">
        <f t="shared" si="29"/>
        <v>0</v>
      </c>
      <c r="AE188">
        <f t="shared" si="29"/>
        <v>2</v>
      </c>
      <c r="AF188">
        <f t="shared" si="29"/>
        <v>0</v>
      </c>
      <c r="AG188">
        <f t="shared" si="30"/>
        <v>4</v>
      </c>
      <c r="AH188">
        <f t="shared" ca="1" si="31"/>
        <v>0</v>
      </c>
      <c r="AI188">
        <f>IF(ROW($AA188) - $AA$51 &lt; ($H$16+1)^5, IF(AG188 &gt;= BaseBonus!$C$16, AG188*BaseBonus!$E$31, 0), "")</f>
        <v>0</v>
      </c>
      <c r="AJ188">
        <f t="shared" ca="1" si="32"/>
        <v>0</v>
      </c>
      <c r="AK188" s="44"/>
    </row>
    <row r="189" spans="8:37" x14ac:dyDescent="0.3">
      <c r="H189" t="str" cm="1">
        <f t="array" aca="1" ref="H189" ca="1">IF(ROW(A189)-H$15 &lt; H$14,A189,IF(ROW(A189) - H$15 -H$16 + 1 &lt; H$14,INDIRECT(ADDRESS(MOD(ROW(A189) - H$15, H$14) + H$15, COLUMN(A189))),""))</f>
        <v/>
      </c>
      <c r="I189" t="str" cm="1">
        <f t="array" aca="1" ref="I189" ca="1">IF(ROW(B189)-I$15 &lt; I$14,B189,IF(ROW(B189) - I$15 -I$16 + 1 &lt; I$14,INDIRECT(ADDRESS(MOD(ROW(B189) - I$15, I$14) + I$15, COLUMN(B189))),""))</f>
        <v/>
      </c>
      <c r="J189" t="str" cm="1">
        <f t="array" aca="1" ref="J189" ca="1">IF(ROW(C189)-J$15 &lt; J$14,C189,IF(ROW(C189) - J$15 -J$16 + 1 &lt; J$14,INDIRECT(ADDRESS(MOD(ROW(C189) - J$15, J$14) + J$15, COLUMN(C189))),""))</f>
        <v/>
      </c>
      <c r="K189" t="str" cm="1">
        <f t="array" aca="1" ref="K189" ca="1">IF(ROW(D189)-K$15 &lt; K$14,D189,IF(ROW(D189) - K$15 -K$16 + 1 &lt; K$14,INDIRECT(ADDRESS(MOD(ROW(D189) - K$15, K$14) + K$15, COLUMN(D189))),""))</f>
        <v/>
      </c>
      <c r="L189" t="str" cm="1">
        <f t="array" aca="1" ref="L189" ca="1">IF(ROW(E189)-L$15 &lt; L$14,E189,IF(ROW(E189) - L$15 -L$16 + 1 &lt; L$14,INDIRECT(ADDRESS(MOD(ROW(E189) - L$15, L$14) + L$15, COLUMN(E189))),""))</f>
        <v/>
      </c>
      <c r="N189" t="str" cm="1">
        <f t="array" aca="1" ref="N189" ca="1">IF(A189&lt;&gt;"", SUMPRODUCT((OFFSET(A189,0,0,H$16,1)=$T$24) +0),"")</f>
        <v/>
      </c>
      <c r="O189" t="str" cm="1">
        <f t="array" aca="1" ref="O189" ca="1">IF(B189&lt;&gt;"", SUMPRODUCT((OFFSET(B189,0,0,I$16,1)=$T$24) +0),"")</f>
        <v/>
      </c>
      <c r="P189" t="str" cm="1">
        <f t="array" aca="1" ref="P189" ca="1">IF(C189&lt;&gt;"", SUMPRODUCT((OFFSET(C189,0,0,J$16,1)=$T$24) +0),"")</f>
        <v/>
      </c>
      <c r="Q189" t="str" cm="1">
        <f t="array" aca="1" ref="Q189" ca="1">IF(D189&lt;&gt;"", SUMPRODUCT((OFFSET(D189,0,0,K$16,1)=$T$24) +0),"")</f>
        <v/>
      </c>
      <c r="R189" t="str" cm="1">
        <f t="array" aca="1" ref="R189" ca="1">IF(E189&lt;&gt;"", SUMPRODUCT((OFFSET(E189,0,0,L$16,1)=$T$24) +0),"")</f>
        <v/>
      </c>
      <c r="AB189">
        <f t="shared" si="29"/>
        <v>1</v>
      </c>
      <c r="AC189">
        <f t="shared" si="29"/>
        <v>2</v>
      </c>
      <c r="AD189">
        <f t="shared" si="29"/>
        <v>0</v>
      </c>
      <c r="AE189">
        <f t="shared" si="29"/>
        <v>2</v>
      </c>
      <c r="AF189">
        <f t="shared" si="29"/>
        <v>0</v>
      </c>
      <c r="AG189">
        <f t="shared" si="30"/>
        <v>5</v>
      </c>
      <c r="AH189">
        <f t="shared" ca="1" si="31"/>
        <v>0</v>
      </c>
      <c r="AI189">
        <f>IF(ROW($AA189) - $AA$51 &lt; ($H$16+1)^5, IF(AG189 &gt;= BaseBonus!$C$16, AG189*BaseBonus!$E$31, 0), "")</f>
        <v>4.6952679064628979</v>
      </c>
      <c r="AJ189">
        <f t="shared" ca="1" si="32"/>
        <v>0</v>
      </c>
      <c r="AK189" s="44"/>
    </row>
    <row r="190" spans="8:37" x14ac:dyDescent="0.3">
      <c r="H190" t="str" cm="1">
        <f t="array" aca="1" ref="H190" ca="1">IF(ROW(A190)-H$15 &lt; H$14,A190,IF(ROW(A190) - H$15 -H$16 + 1 &lt; H$14,INDIRECT(ADDRESS(MOD(ROW(A190) - H$15, H$14) + H$15, COLUMN(A190))),""))</f>
        <v/>
      </c>
      <c r="I190" t="str" cm="1">
        <f t="array" aca="1" ref="I190" ca="1">IF(ROW(B190)-I$15 &lt; I$14,B190,IF(ROW(B190) - I$15 -I$16 + 1 &lt; I$14,INDIRECT(ADDRESS(MOD(ROW(B190) - I$15, I$14) + I$15, COLUMN(B190))),""))</f>
        <v/>
      </c>
      <c r="J190" t="str" cm="1">
        <f t="array" aca="1" ref="J190" ca="1">IF(ROW(C190)-J$15 &lt; J$14,C190,IF(ROW(C190) - J$15 -J$16 + 1 &lt; J$14,INDIRECT(ADDRESS(MOD(ROW(C190) - J$15, J$14) + J$15, COLUMN(C190))),""))</f>
        <v/>
      </c>
      <c r="K190" t="str" cm="1">
        <f t="array" aca="1" ref="K190" ca="1">IF(ROW(D190)-K$15 &lt; K$14,D190,IF(ROW(D190) - K$15 -K$16 + 1 &lt; K$14,INDIRECT(ADDRESS(MOD(ROW(D190) - K$15, K$14) + K$15, COLUMN(D190))),""))</f>
        <v/>
      </c>
      <c r="L190" t="str" cm="1">
        <f t="array" aca="1" ref="L190" ca="1">IF(ROW(E190)-L$15 &lt; L$14,E190,IF(ROW(E190) - L$15 -L$16 + 1 &lt; L$14,INDIRECT(ADDRESS(MOD(ROW(E190) - L$15, L$14) + L$15, COLUMN(E190))),""))</f>
        <v/>
      </c>
      <c r="N190" t="str" cm="1">
        <f t="array" aca="1" ref="N190" ca="1">IF(A190&lt;&gt;"", SUMPRODUCT((OFFSET(A190,0,0,H$16,1)=$T$24) +0),"")</f>
        <v/>
      </c>
      <c r="O190" t="str" cm="1">
        <f t="array" aca="1" ref="O190" ca="1">IF(B190&lt;&gt;"", SUMPRODUCT((OFFSET(B190,0,0,I$16,1)=$T$24) +0),"")</f>
        <v/>
      </c>
      <c r="P190" t="str" cm="1">
        <f t="array" aca="1" ref="P190" ca="1">IF(C190&lt;&gt;"", SUMPRODUCT((OFFSET(C190,0,0,J$16,1)=$T$24) +0),"")</f>
        <v/>
      </c>
      <c r="Q190" t="str" cm="1">
        <f t="array" aca="1" ref="Q190" ca="1">IF(D190&lt;&gt;"", SUMPRODUCT((OFFSET(D190,0,0,K$16,1)=$T$24) +0),"")</f>
        <v/>
      </c>
      <c r="R190" t="str" cm="1">
        <f t="array" aca="1" ref="R190" ca="1">IF(E190&lt;&gt;"", SUMPRODUCT((OFFSET(E190,0,0,L$16,1)=$T$24) +0),"")</f>
        <v/>
      </c>
      <c r="AB190">
        <f t="shared" si="29"/>
        <v>2</v>
      </c>
      <c r="AC190">
        <f t="shared" si="29"/>
        <v>2</v>
      </c>
      <c r="AD190">
        <f t="shared" si="29"/>
        <v>0</v>
      </c>
      <c r="AE190">
        <f t="shared" si="29"/>
        <v>2</v>
      </c>
      <c r="AF190">
        <f t="shared" si="29"/>
        <v>0</v>
      </c>
      <c r="AG190">
        <f t="shared" si="30"/>
        <v>6</v>
      </c>
      <c r="AH190">
        <f t="shared" ca="1" si="31"/>
        <v>0</v>
      </c>
      <c r="AI190">
        <f>IF(ROW($AA190) - $AA$51 &lt; ($H$16+1)^5, IF(AG190 &gt;= BaseBonus!$C$16, AG190*BaseBonus!$E$31, 0), "")</f>
        <v>5.6343214877554777</v>
      </c>
      <c r="AJ190">
        <f t="shared" ca="1" si="32"/>
        <v>0</v>
      </c>
      <c r="AK190" s="44"/>
    </row>
    <row r="191" spans="8:37" x14ac:dyDescent="0.3">
      <c r="H191" t="str" cm="1">
        <f t="array" aca="1" ref="H191" ca="1">IF(ROW(A191)-H$15 &lt; H$14,A191,IF(ROW(A191) - H$15 -H$16 + 1 &lt; H$14,INDIRECT(ADDRESS(MOD(ROW(A191) - H$15, H$14) + H$15, COLUMN(A191))),""))</f>
        <v/>
      </c>
      <c r="I191" t="str" cm="1">
        <f t="array" aca="1" ref="I191" ca="1">IF(ROW(B191)-I$15 &lt; I$14,B191,IF(ROW(B191) - I$15 -I$16 + 1 &lt; I$14,INDIRECT(ADDRESS(MOD(ROW(B191) - I$15, I$14) + I$15, COLUMN(B191))),""))</f>
        <v/>
      </c>
      <c r="J191" t="str" cm="1">
        <f t="array" aca="1" ref="J191" ca="1">IF(ROW(C191)-J$15 &lt; J$14,C191,IF(ROW(C191) - J$15 -J$16 + 1 &lt; J$14,INDIRECT(ADDRESS(MOD(ROW(C191) - J$15, J$14) + J$15, COLUMN(C191))),""))</f>
        <v/>
      </c>
      <c r="K191" t="str" cm="1">
        <f t="array" aca="1" ref="K191" ca="1">IF(ROW(D191)-K$15 &lt; K$14,D191,IF(ROW(D191) - K$15 -K$16 + 1 &lt; K$14,INDIRECT(ADDRESS(MOD(ROW(D191) - K$15, K$14) + K$15, COLUMN(D191))),""))</f>
        <v/>
      </c>
      <c r="L191" t="str" cm="1">
        <f t="array" aca="1" ref="L191" ca="1">IF(ROW(E191)-L$15 &lt; L$14,E191,IF(ROW(E191) - L$15 -L$16 + 1 &lt; L$14,INDIRECT(ADDRESS(MOD(ROW(E191) - L$15, L$14) + L$15, COLUMN(E191))),""))</f>
        <v/>
      </c>
      <c r="N191" t="str" cm="1">
        <f t="array" aca="1" ref="N191" ca="1">IF(A191&lt;&gt;"", SUMPRODUCT((OFFSET(A191,0,0,H$16,1)=$T$24) +0),"")</f>
        <v/>
      </c>
      <c r="O191" t="str" cm="1">
        <f t="array" aca="1" ref="O191" ca="1">IF(B191&lt;&gt;"", SUMPRODUCT((OFFSET(B191,0,0,I$16,1)=$T$24) +0),"")</f>
        <v/>
      </c>
      <c r="P191" t="str" cm="1">
        <f t="array" aca="1" ref="P191" ca="1">IF(C191&lt;&gt;"", SUMPRODUCT((OFFSET(C191,0,0,J$16,1)=$T$24) +0),"")</f>
        <v/>
      </c>
      <c r="Q191" t="str" cm="1">
        <f t="array" aca="1" ref="Q191" ca="1">IF(D191&lt;&gt;"", SUMPRODUCT((OFFSET(D191,0,0,K$16,1)=$T$24) +0),"")</f>
        <v/>
      </c>
      <c r="R191" t="str" cm="1">
        <f t="array" aca="1" ref="R191" ca="1">IF(E191&lt;&gt;"", SUMPRODUCT((OFFSET(E191,0,0,L$16,1)=$T$24) +0),"")</f>
        <v/>
      </c>
      <c r="AB191">
        <f t="shared" si="29"/>
        <v>3</v>
      </c>
      <c r="AC191">
        <f t="shared" si="29"/>
        <v>2</v>
      </c>
      <c r="AD191">
        <f t="shared" si="29"/>
        <v>0</v>
      </c>
      <c r="AE191">
        <f t="shared" si="29"/>
        <v>2</v>
      </c>
      <c r="AF191">
        <f t="shared" si="29"/>
        <v>0</v>
      </c>
      <c r="AG191">
        <f t="shared" si="30"/>
        <v>7</v>
      </c>
      <c r="AH191">
        <f t="shared" ca="1" si="31"/>
        <v>0</v>
      </c>
      <c r="AI191">
        <f>IF(ROW($AA191) - $AA$51 &lt; ($H$16+1)^5, IF(AG191 &gt;= BaseBonus!$C$16, AG191*BaseBonus!$E$31, 0), "")</f>
        <v>6.5733750690480575</v>
      </c>
      <c r="AJ191">
        <f t="shared" ca="1" si="32"/>
        <v>0</v>
      </c>
      <c r="AK191" s="44"/>
    </row>
    <row r="192" spans="8:37" x14ac:dyDescent="0.3">
      <c r="H192" t="str" cm="1">
        <f t="array" aca="1" ref="H192" ca="1">IF(ROW(A192)-H$15 &lt; H$14,A192,IF(ROW(A192) - H$15 -H$16 + 1 &lt; H$14,INDIRECT(ADDRESS(MOD(ROW(A192) - H$15, H$14) + H$15, COLUMN(A192))),""))</f>
        <v/>
      </c>
      <c r="I192" t="str" cm="1">
        <f t="array" aca="1" ref="I192" ca="1">IF(ROW(B192)-I$15 &lt; I$14,B192,IF(ROW(B192) - I$15 -I$16 + 1 &lt; I$14,INDIRECT(ADDRESS(MOD(ROW(B192) - I$15, I$14) + I$15, COLUMN(B192))),""))</f>
        <v/>
      </c>
      <c r="J192" t="str" cm="1">
        <f t="array" aca="1" ref="J192" ca="1">IF(ROW(C192)-J$15 &lt; J$14,C192,IF(ROW(C192) - J$15 -J$16 + 1 &lt; J$14,INDIRECT(ADDRESS(MOD(ROW(C192) - J$15, J$14) + J$15, COLUMN(C192))),""))</f>
        <v/>
      </c>
      <c r="K192" t="str" cm="1">
        <f t="array" aca="1" ref="K192" ca="1">IF(ROW(D192)-K$15 &lt; K$14,D192,IF(ROW(D192) - K$15 -K$16 + 1 &lt; K$14,INDIRECT(ADDRESS(MOD(ROW(D192) - K$15, K$14) + K$15, COLUMN(D192))),""))</f>
        <v/>
      </c>
      <c r="L192" t="str" cm="1">
        <f t="array" aca="1" ref="L192" ca="1">IF(ROW(E192)-L$15 &lt; L$14,E192,IF(ROW(E192) - L$15 -L$16 + 1 &lt; L$14,INDIRECT(ADDRESS(MOD(ROW(E192) - L$15, L$14) + L$15, COLUMN(E192))),""))</f>
        <v/>
      </c>
      <c r="N192" t="str" cm="1">
        <f t="array" aca="1" ref="N192" ca="1">IF(A192&lt;&gt;"", SUMPRODUCT((OFFSET(A192,0,0,H$16,1)=$T$24) +0),"")</f>
        <v/>
      </c>
      <c r="O192" t="str" cm="1">
        <f t="array" aca="1" ref="O192" ca="1">IF(B192&lt;&gt;"", SUMPRODUCT((OFFSET(B192,0,0,I$16,1)=$T$24) +0),"")</f>
        <v/>
      </c>
      <c r="P192" t="str" cm="1">
        <f t="array" aca="1" ref="P192" ca="1">IF(C192&lt;&gt;"", SUMPRODUCT((OFFSET(C192,0,0,J$16,1)=$T$24) +0),"")</f>
        <v/>
      </c>
      <c r="Q192" t="str" cm="1">
        <f t="array" aca="1" ref="Q192" ca="1">IF(D192&lt;&gt;"", SUMPRODUCT((OFFSET(D192,0,0,K$16,1)=$T$24) +0),"")</f>
        <v/>
      </c>
      <c r="R192" t="str" cm="1">
        <f t="array" aca="1" ref="R192" ca="1">IF(E192&lt;&gt;"", SUMPRODUCT((OFFSET(E192,0,0,L$16,1)=$T$24) +0),"")</f>
        <v/>
      </c>
      <c r="AB192">
        <f t="shared" si="29"/>
        <v>0</v>
      </c>
      <c r="AC192">
        <f t="shared" si="29"/>
        <v>3</v>
      </c>
      <c r="AD192">
        <f t="shared" si="29"/>
        <v>0</v>
      </c>
      <c r="AE192">
        <f t="shared" si="29"/>
        <v>2</v>
      </c>
      <c r="AF192">
        <f t="shared" si="29"/>
        <v>0</v>
      </c>
      <c r="AG192">
        <f t="shared" si="30"/>
        <v>5</v>
      </c>
      <c r="AH192">
        <f t="shared" ca="1" si="31"/>
        <v>0</v>
      </c>
      <c r="AI192">
        <f>IF(ROW($AA192) - $AA$51 &lt; ($H$16+1)^5, IF(AG192 &gt;= BaseBonus!$C$16, AG192*BaseBonus!$E$31, 0), "")</f>
        <v>4.6952679064628979</v>
      </c>
      <c r="AJ192">
        <f t="shared" ca="1" si="32"/>
        <v>0</v>
      </c>
      <c r="AK192" s="44"/>
    </row>
    <row r="193" spans="8:37" x14ac:dyDescent="0.3">
      <c r="H193" t="str" cm="1">
        <f t="array" aca="1" ref="H193" ca="1">IF(ROW(A193)-H$15 &lt; H$14,A193,IF(ROW(A193) - H$15 -H$16 + 1 &lt; H$14,INDIRECT(ADDRESS(MOD(ROW(A193) - H$15, H$14) + H$15, COLUMN(A193))),""))</f>
        <v/>
      </c>
      <c r="I193" t="str" cm="1">
        <f t="array" aca="1" ref="I193" ca="1">IF(ROW(B193)-I$15 &lt; I$14,B193,IF(ROW(B193) - I$15 -I$16 + 1 &lt; I$14,INDIRECT(ADDRESS(MOD(ROW(B193) - I$15, I$14) + I$15, COLUMN(B193))),""))</f>
        <v/>
      </c>
      <c r="J193" t="str" cm="1">
        <f t="array" aca="1" ref="J193" ca="1">IF(ROW(C193)-J$15 &lt; J$14,C193,IF(ROW(C193) - J$15 -J$16 + 1 &lt; J$14,INDIRECT(ADDRESS(MOD(ROW(C193) - J$15, J$14) + J$15, COLUMN(C193))),""))</f>
        <v/>
      </c>
      <c r="K193" t="str" cm="1">
        <f t="array" aca="1" ref="K193" ca="1">IF(ROW(D193)-K$15 &lt; K$14,D193,IF(ROW(D193) - K$15 -K$16 + 1 &lt; K$14,INDIRECT(ADDRESS(MOD(ROW(D193) - K$15, K$14) + K$15, COLUMN(D193))),""))</f>
        <v/>
      </c>
      <c r="L193" t="str" cm="1">
        <f t="array" aca="1" ref="L193" ca="1">IF(ROW(E193)-L$15 &lt; L$14,E193,IF(ROW(E193) - L$15 -L$16 + 1 &lt; L$14,INDIRECT(ADDRESS(MOD(ROW(E193) - L$15, L$14) + L$15, COLUMN(E193))),""))</f>
        <v/>
      </c>
      <c r="N193" t="str" cm="1">
        <f t="array" aca="1" ref="N193" ca="1">IF(A193&lt;&gt;"", SUMPRODUCT((OFFSET(A193,0,0,H$16,1)=$T$24) +0),"")</f>
        <v/>
      </c>
      <c r="O193" t="str" cm="1">
        <f t="array" aca="1" ref="O193" ca="1">IF(B193&lt;&gt;"", SUMPRODUCT((OFFSET(B193,0,0,I$16,1)=$T$24) +0),"")</f>
        <v/>
      </c>
      <c r="P193" t="str" cm="1">
        <f t="array" aca="1" ref="P193" ca="1">IF(C193&lt;&gt;"", SUMPRODUCT((OFFSET(C193,0,0,J$16,1)=$T$24) +0),"")</f>
        <v/>
      </c>
      <c r="Q193" t="str" cm="1">
        <f t="array" aca="1" ref="Q193" ca="1">IF(D193&lt;&gt;"", SUMPRODUCT((OFFSET(D193,0,0,K$16,1)=$T$24) +0),"")</f>
        <v/>
      </c>
      <c r="R193" t="str" cm="1">
        <f t="array" aca="1" ref="R193" ca="1">IF(E193&lt;&gt;"", SUMPRODUCT((OFFSET(E193,0,0,L$16,1)=$T$24) +0),"")</f>
        <v/>
      </c>
      <c r="AB193">
        <f t="shared" si="29"/>
        <v>1</v>
      </c>
      <c r="AC193">
        <f t="shared" si="29"/>
        <v>3</v>
      </c>
      <c r="AD193">
        <f t="shared" si="29"/>
        <v>0</v>
      </c>
      <c r="AE193">
        <f t="shared" si="29"/>
        <v>2</v>
      </c>
      <c r="AF193">
        <f t="shared" si="29"/>
        <v>0</v>
      </c>
      <c r="AG193">
        <f t="shared" si="30"/>
        <v>6</v>
      </c>
      <c r="AH193">
        <f t="shared" ca="1" si="31"/>
        <v>0</v>
      </c>
      <c r="AI193">
        <f>IF(ROW($AA193) - $AA$51 &lt; ($H$16+1)^5, IF(AG193 &gt;= BaseBonus!$C$16, AG193*BaseBonus!$E$31, 0), "")</f>
        <v>5.6343214877554777</v>
      </c>
      <c r="AJ193">
        <f t="shared" ca="1" si="32"/>
        <v>0</v>
      </c>
      <c r="AK193" s="44"/>
    </row>
    <row r="194" spans="8:37" x14ac:dyDescent="0.3">
      <c r="H194" t="str" cm="1">
        <f t="array" aca="1" ref="H194" ca="1">IF(ROW(A194)-H$15 &lt; H$14,A194,IF(ROW(A194) - H$15 -H$16 + 1 &lt; H$14,INDIRECT(ADDRESS(MOD(ROW(A194) - H$15, H$14) + H$15, COLUMN(A194))),""))</f>
        <v/>
      </c>
      <c r="I194" t="str" cm="1">
        <f t="array" aca="1" ref="I194" ca="1">IF(ROW(B194)-I$15 &lt; I$14,B194,IF(ROW(B194) - I$15 -I$16 + 1 &lt; I$14,INDIRECT(ADDRESS(MOD(ROW(B194) - I$15, I$14) + I$15, COLUMN(B194))),""))</f>
        <v/>
      </c>
      <c r="J194" t="str" cm="1">
        <f t="array" aca="1" ref="J194" ca="1">IF(ROW(C194)-J$15 &lt; J$14,C194,IF(ROW(C194) - J$15 -J$16 + 1 &lt; J$14,INDIRECT(ADDRESS(MOD(ROW(C194) - J$15, J$14) + J$15, COLUMN(C194))),""))</f>
        <v/>
      </c>
      <c r="K194" t="str" cm="1">
        <f t="array" aca="1" ref="K194" ca="1">IF(ROW(D194)-K$15 &lt; K$14,D194,IF(ROW(D194) - K$15 -K$16 + 1 &lt; K$14,INDIRECT(ADDRESS(MOD(ROW(D194) - K$15, K$14) + K$15, COLUMN(D194))),""))</f>
        <v/>
      </c>
      <c r="L194" t="str" cm="1">
        <f t="array" aca="1" ref="L194" ca="1">IF(ROW(E194)-L$15 &lt; L$14,E194,IF(ROW(E194) - L$15 -L$16 + 1 &lt; L$14,INDIRECT(ADDRESS(MOD(ROW(E194) - L$15, L$14) + L$15, COLUMN(E194))),""))</f>
        <v/>
      </c>
      <c r="N194" t="str" cm="1">
        <f t="array" aca="1" ref="N194" ca="1">IF(A194&lt;&gt;"", SUMPRODUCT((OFFSET(A194,0,0,H$16,1)=$T$24) +0),"")</f>
        <v/>
      </c>
      <c r="O194" t="str" cm="1">
        <f t="array" aca="1" ref="O194" ca="1">IF(B194&lt;&gt;"", SUMPRODUCT((OFFSET(B194,0,0,I$16,1)=$T$24) +0),"")</f>
        <v/>
      </c>
      <c r="P194" t="str" cm="1">
        <f t="array" aca="1" ref="P194" ca="1">IF(C194&lt;&gt;"", SUMPRODUCT((OFFSET(C194,0,0,J$16,1)=$T$24) +0),"")</f>
        <v/>
      </c>
      <c r="Q194" t="str" cm="1">
        <f t="array" aca="1" ref="Q194" ca="1">IF(D194&lt;&gt;"", SUMPRODUCT((OFFSET(D194,0,0,K$16,1)=$T$24) +0),"")</f>
        <v/>
      </c>
      <c r="R194" t="str" cm="1">
        <f t="array" aca="1" ref="R194" ca="1">IF(E194&lt;&gt;"", SUMPRODUCT((OFFSET(E194,0,0,L$16,1)=$T$24) +0),"")</f>
        <v/>
      </c>
      <c r="AB194">
        <f t="shared" si="29"/>
        <v>2</v>
      </c>
      <c r="AC194">
        <f t="shared" si="29"/>
        <v>3</v>
      </c>
      <c r="AD194">
        <f t="shared" si="29"/>
        <v>0</v>
      </c>
      <c r="AE194">
        <f t="shared" si="29"/>
        <v>2</v>
      </c>
      <c r="AF194">
        <f t="shared" si="29"/>
        <v>0</v>
      </c>
      <c r="AG194">
        <f t="shared" si="30"/>
        <v>7</v>
      </c>
      <c r="AH194">
        <f t="shared" ca="1" si="31"/>
        <v>0</v>
      </c>
      <c r="AI194">
        <f>IF(ROW($AA194) - $AA$51 &lt; ($H$16+1)^5, IF(AG194 &gt;= BaseBonus!$C$16, AG194*BaseBonus!$E$31, 0), "")</f>
        <v>6.5733750690480575</v>
      </c>
      <c r="AJ194">
        <f t="shared" ca="1" si="32"/>
        <v>0</v>
      </c>
      <c r="AK194" s="44"/>
    </row>
    <row r="195" spans="8:37" x14ac:dyDescent="0.3">
      <c r="H195" t="str" cm="1">
        <f t="array" aca="1" ref="H195" ca="1">IF(ROW(A195)-H$15 &lt; H$14,A195,IF(ROW(A195) - H$15 -H$16 + 1 &lt; H$14,INDIRECT(ADDRESS(MOD(ROW(A195) - H$15, H$14) + H$15, COLUMN(A195))),""))</f>
        <v/>
      </c>
      <c r="I195" t="str" cm="1">
        <f t="array" aca="1" ref="I195" ca="1">IF(ROW(B195)-I$15 &lt; I$14,B195,IF(ROW(B195) - I$15 -I$16 + 1 &lt; I$14,INDIRECT(ADDRESS(MOD(ROW(B195) - I$15, I$14) + I$15, COLUMN(B195))),""))</f>
        <v/>
      </c>
      <c r="J195" t="str" cm="1">
        <f t="array" aca="1" ref="J195" ca="1">IF(ROW(C195)-J$15 &lt; J$14,C195,IF(ROW(C195) - J$15 -J$16 + 1 &lt; J$14,INDIRECT(ADDRESS(MOD(ROW(C195) - J$15, J$14) + J$15, COLUMN(C195))),""))</f>
        <v/>
      </c>
      <c r="K195" t="str" cm="1">
        <f t="array" aca="1" ref="K195" ca="1">IF(ROW(D195)-K$15 &lt; K$14,D195,IF(ROW(D195) - K$15 -K$16 + 1 &lt; K$14,INDIRECT(ADDRESS(MOD(ROW(D195) - K$15, K$14) + K$15, COLUMN(D195))),""))</f>
        <v/>
      </c>
      <c r="L195" t="str" cm="1">
        <f t="array" aca="1" ref="L195" ca="1">IF(ROW(E195)-L$15 &lt; L$14,E195,IF(ROW(E195) - L$15 -L$16 + 1 &lt; L$14,INDIRECT(ADDRESS(MOD(ROW(E195) - L$15, L$14) + L$15, COLUMN(E195))),""))</f>
        <v/>
      </c>
      <c r="N195" t="str" cm="1">
        <f t="array" aca="1" ref="N195" ca="1">IF(A195&lt;&gt;"", SUMPRODUCT((OFFSET(A195,0,0,H$16,1)=$T$24) +0),"")</f>
        <v/>
      </c>
      <c r="O195" t="str" cm="1">
        <f t="array" aca="1" ref="O195" ca="1">IF(B195&lt;&gt;"", SUMPRODUCT((OFFSET(B195,0,0,I$16,1)=$T$24) +0),"")</f>
        <v/>
      </c>
      <c r="P195" t="str" cm="1">
        <f t="array" aca="1" ref="P195" ca="1">IF(C195&lt;&gt;"", SUMPRODUCT((OFFSET(C195,0,0,J$16,1)=$T$24) +0),"")</f>
        <v/>
      </c>
      <c r="Q195" t="str" cm="1">
        <f t="array" aca="1" ref="Q195" ca="1">IF(D195&lt;&gt;"", SUMPRODUCT((OFFSET(D195,0,0,K$16,1)=$T$24) +0),"")</f>
        <v/>
      </c>
      <c r="R195" t="str" cm="1">
        <f t="array" aca="1" ref="R195" ca="1">IF(E195&lt;&gt;"", SUMPRODUCT((OFFSET(E195,0,0,L$16,1)=$T$24) +0),"")</f>
        <v/>
      </c>
      <c r="AB195">
        <f t="shared" si="29"/>
        <v>3</v>
      </c>
      <c r="AC195">
        <f t="shared" si="29"/>
        <v>3</v>
      </c>
      <c r="AD195">
        <f t="shared" si="29"/>
        <v>0</v>
      </c>
      <c r="AE195">
        <f t="shared" si="29"/>
        <v>2</v>
      </c>
      <c r="AF195">
        <f t="shared" si="29"/>
        <v>0</v>
      </c>
      <c r="AG195">
        <f t="shared" si="30"/>
        <v>8</v>
      </c>
      <c r="AH195">
        <f t="shared" ca="1" si="31"/>
        <v>0</v>
      </c>
      <c r="AI195">
        <f>IF(ROW($AA195) - $AA$51 &lt; ($H$16+1)^5, IF(AG195 &gt;= BaseBonus!$C$16, AG195*BaseBonus!$E$31, 0), "")</f>
        <v>7.5124286503406372</v>
      </c>
      <c r="AJ195">
        <f t="shared" ca="1" si="32"/>
        <v>0</v>
      </c>
      <c r="AK195" s="44"/>
    </row>
    <row r="196" spans="8:37" x14ac:dyDescent="0.3">
      <c r="H196" t="str" cm="1">
        <f t="array" aca="1" ref="H196" ca="1">IF(ROW(A196)-H$15 &lt; H$14,A196,IF(ROW(A196) - H$15 -H$16 + 1 &lt; H$14,INDIRECT(ADDRESS(MOD(ROW(A196) - H$15, H$14) + H$15, COLUMN(A196))),""))</f>
        <v/>
      </c>
      <c r="I196" t="str" cm="1">
        <f t="array" aca="1" ref="I196" ca="1">IF(ROW(B196)-I$15 &lt; I$14,B196,IF(ROW(B196) - I$15 -I$16 + 1 &lt; I$14,INDIRECT(ADDRESS(MOD(ROW(B196) - I$15, I$14) + I$15, COLUMN(B196))),""))</f>
        <v/>
      </c>
      <c r="J196" t="str" cm="1">
        <f t="array" aca="1" ref="J196" ca="1">IF(ROW(C196)-J$15 &lt; J$14,C196,IF(ROW(C196) - J$15 -J$16 + 1 &lt; J$14,INDIRECT(ADDRESS(MOD(ROW(C196) - J$15, J$14) + J$15, COLUMN(C196))),""))</f>
        <v/>
      </c>
      <c r="L196" t="str" cm="1">
        <f t="array" aca="1" ref="L196" ca="1">IF(ROW(E196)-L$15 &lt; L$14,E196,IF(ROW(E196) - L$15 -L$16 + 1 &lt; L$14,INDIRECT(ADDRESS(MOD(ROW(E196) - L$15, L$14) + L$15, COLUMN(E196))),""))</f>
        <v/>
      </c>
      <c r="N196" t="str" cm="1">
        <f t="array" aca="1" ref="N196" ca="1">IF(A196&lt;&gt;"", SUMPRODUCT((OFFSET(A196,0,0,H$16,1)=$T$24) +0),"")</f>
        <v/>
      </c>
      <c r="O196" t="str" cm="1">
        <f t="array" aca="1" ref="O196" ca="1">IF(B196&lt;&gt;"", SUMPRODUCT((OFFSET(B196,0,0,I$16,1)=$T$24) +0),"")</f>
        <v/>
      </c>
      <c r="P196" t="str" cm="1">
        <f t="array" aca="1" ref="P196" ca="1">IF(C196&lt;&gt;"", SUMPRODUCT((OFFSET(C196,0,0,J$16,1)=$T$24) +0),"")</f>
        <v/>
      </c>
      <c r="Q196" t="str" cm="1">
        <f t="array" aca="1" ref="Q196" ca="1">IF(D196&lt;&gt;"", SUMPRODUCT((OFFSET(D196,0,0,K$16,1)=$T$24) +0),"")</f>
        <v/>
      </c>
      <c r="R196" t="str" cm="1">
        <f t="array" aca="1" ref="R196" ca="1">IF(E196&lt;&gt;"", SUMPRODUCT((OFFSET(E196,0,0,L$16,1)=$T$24) +0),"")</f>
        <v/>
      </c>
      <c r="AB196">
        <f t="shared" si="29"/>
        <v>0</v>
      </c>
      <c r="AC196">
        <f t="shared" si="29"/>
        <v>0</v>
      </c>
      <c r="AD196">
        <f t="shared" si="29"/>
        <v>1</v>
      </c>
      <c r="AE196">
        <f t="shared" si="29"/>
        <v>2</v>
      </c>
      <c r="AF196">
        <f t="shared" si="29"/>
        <v>0</v>
      </c>
      <c r="AG196">
        <f t="shared" si="30"/>
        <v>3</v>
      </c>
      <c r="AH196">
        <f t="shared" ca="1" si="31"/>
        <v>1.8792586967949733E-3</v>
      </c>
      <c r="AI196">
        <f>IF(ROW($AA196) - $AA$51 &lt; ($H$16+1)^5, IF(AG196 &gt;= BaseBonus!$C$16, AG196*BaseBonus!$E$31, 0), "")</f>
        <v>0</v>
      </c>
      <c r="AJ196">
        <f t="shared" ca="1" si="32"/>
        <v>0</v>
      </c>
      <c r="AK196" s="44"/>
    </row>
    <row r="197" spans="8:37" x14ac:dyDescent="0.3">
      <c r="H197" t="str" cm="1">
        <f t="array" aca="1" ref="H197" ca="1">IF(ROW(A197)-H$15 &lt; H$14,A197,IF(ROW(A197) - H$15 -H$16 + 1 &lt; H$14,INDIRECT(ADDRESS(MOD(ROW(A197) - H$15, H$14) + H$15, COLUMN(A197))),""))</f>
        <v/>
      </c>
      <c r="I197" t="str" cm="1">
        <f t="array" aca="1" ref="I197" ca="1">IF(ROW(B197)-I$15 &lt; I$14,B197,IF(ROW(B197) - I$15 -I$16 + 1 &lt; I$14,INDIRECT(ADDRESS(MOD(ROW(B197) - I$15, I$14) + I$15, COLUMN(B197))),""))</f>
        <v/>
      </c>
      <c r="J197" t="str" cm="1">
        <f t="array" aca="1" ref="J197" ca="1">IF(ROW(C197)-J$15 &lt; J$14,C197,IF(ROW(C197) - J$15 -J$16 + 1 &lt; J$14,INDIRECT(ADDRESS(MOD(ROW(C197) - J$15, J$14) + J$15, COLUMN(C197))),""))</f>
        <v/>
      </c>
      <c r="L197" t="str" cm="1">
        <f t="array" aca="1" ref="L197" ca="1">IF(ROW(E197)-L$15 &lt; L$14,E197,IF(ROW(E197) - L$15 -L$16 + 1 &lt; L$14,INDIRECT(ADDRESS(MOD(ROW(E197) - L$15, L$14) + L$15, COLUMN(E197))),""))</f>
        <v/>
      </c>
      <c r="N197" t="str" cm="1">
        <f t="array" aca="1" ref="N197" ca="1">IF(A197&lt;&gt;"", SUMPRODUCT((OFFSET(A197,0,0,H$16,1)=$T$24) +0),"")</f>
        <v/>
      </c>
      <c r="O197" t="str" cm="1">
        <f t="array" aca="1" ref="O197" ca="1">IF(B197&lt;&gt;"", SUMPRODUCT((OFFSET(B197,0,0,I$16,1)=$T$24) +0),"")</f>
        <v/>
      </c>
      <c r="P197" t="str" cm="1">
        <f t="array" aca="1" ref="P197" ca="1">IF(C197&lt;&gt;"", SUMPRODUCT((OFFSET(C197,0,0,J$16,1)=$T$24) +0),"")</f>
        <v/>
      </c>
      <c r="Q197" t="str" cm="1">
        <f t="array" aca="1" ref="Q197" ca="1">IF(D197&lt;&gt;"", SUMPRODUCT((OFFSET(D197,0,0,K$16,1)=$T$24) +0),"")</f>
        <v/>
      </c>
      <c r="R197" t="str" cm="1">
        <f t="array" aca="1" ref="R197" ca="1">IF(E197&lt;&gt;"", SUMPRODUCT((OFFSET(E197,0,0,L$16,1)=$T$24) +0),"")</f>
        <v/>
      </c>
      <c r="AB197">
        <f t="shared" si="29"/>
        <v>1</v>
      </c>
      <c r="AC197">
        <f t="shared" si="29"/>
        <v>0</v>
      </c>
      <c r="AD197">
        <f t="shared" si="29"/>
        <v>1</v>
      </c>
      <c r="AE197">
        <f t="shared" si="29"/>
        <v>2</v>
      </c>
      <c r="AF197">
        <f t="shared" si="29"/>
        <v>0</v>
      </c>
      <c r="AG197">
        <f t="shared" si="30"/>
        <v>4</v>
      </c>
      <c r="AH197">
        <f t="shared" ca="1" si="31"/>
        <v>3.2682759944260414E-4</v>
      </c>
      <c r="AI197">
        <f>IF(ROW($AA197) - $AA$51 &lt; ($H$16+1)^5, IF(AG197 &gt;= BaseBonus!$C$16, AG197*BaseBonus!$E$31, 0), "")</f>
        <v>0</v>
      </c>
      <c r="AJ197">
        <f t="shared" ca="1" si="32"/>
        <v>0</v>
      </c>
      <c r="AK197" s="44"/>
    </row>
    <row r="198" spans="8:37" x14ac:dyDescent="0.3">
      <c r="H198" t="str" cm="1">
        <f t="array" aca="1" ref="H198" ca="1">IF(ROW(A198)-H$15 &lt; H$14,A198,IF(ROW(A198) - H$15 -H$16 + 1 &lt; H$14,INDIRECT(ADDRESS(MOD(ROW(A198) - H$15, H$14) + H$15, COLUMN(A198))),""))</f>
        <v/>
      </c>
      <c r="I198" t="str" cm="1">
        <f t="array" aca="1" ref="I198" ca="1">IF(ROW(B198)-I$15 &lt; I$14,B198,IF(ROW(B198) - I$15 -I$16 + 1 &lt; I$14,INDIRECT(ADDRESS(MOD(ROW(B198) - I$15, I$14) + I$15, COLUMN(B198))),""))</f>
        <v/>
      </c>
      <c r="J198" t="str" cm="1">
        <f t="array" aca="1" ref="J198" ca="1">IF(ROW(C198)-J$15 &lt; J$14,C198,IF(ROW(C198) - J$15 -J$16 + 1 &lt; J$14,INDIRECT(ADDRESS(MOD(ROW(C198) - J$15, J$14) + J$15, COLUMN(C198))),""))</f>
        <v/>
      </c>
      <c r="N198" t="str" cm="1">
        <f t="array" aca="1" ref="N198" ca="1">IF(A198&lt;&gt;"", SUMPRODUCT((OFFSET(A198,0,0,H$16,1)=$T$24) +0),"")</f>
        <v/>
      </c>
      <c r="O198" t="str" cm="1">
        <f t="array" aca="1" ref="O198" ca="1">IF(B198&lt;&gt;"", SUMPRODUCT((OFFSET(B198,0,0,I$16,1)=$T$24) +0),"")</f>
        <v/>
      </c>
      <c r="P198" t="str" cm="1">
        <f t="array" aca="1" ref="P198" ca="1">IF(C198&lt;&gt;"", SUMPRODUCT((OFFSET(C198,0,0,J$16,1)=$T$24) +0),"")</f>
        <v/>
      </c>
      <c r="Q198" t="str" cm="1">
        <f t="array" aca="1" ref="Q198" ca="1">IF(D198&lt;&gt;"", SUMPRODUCT((OFFSET(D198,0,0,K$16,1)=$T$24) +0),"")</f>
        <v/>
      </c>
      <c r="R198" t="str" cm="1">
        <f t="array" aca="1" ref="R198" ca="1">IF(E198&lt;&gt;"", SUMPRODUCT((OFFSET(E198,0,0,L$16,1)=$T$24) +0),"")</f>
        <v/>
      </c>
      <c r="AB198">
        <f t="shared" si="29"/>
        <v>2</v>
      </c>
      <c r="AC198">
        <f t="shared" si="29"/>
        <v>0</v>
      </c>
      <c r="AD198">
        <f t="shared" si="29"/>
        <v>1</v>
      </c>
      <c r="AE198">
        <f t="shared" si="29"/>
        <v>2</v>
      </c>
      <c r="AF198">
        <f t="shared" si="29"/>
        <v>0</v>
      </c>
      <c r="AG198">
        <f t="shared" si="30"/>
        <v>5</v>
      </c>
      <c r="AH198">
        <f t="shared" ca="1" si="31"/>
        <v>0</v>
      </c>
      <c r="AI198">
        <f>IF(ROW($AA198) - $AA$51 &lt; ($H$16+1)^5, IF(AG198 &gt;= BaseBonus!$C$16, AG198*BaseBonus!$E$31, 0), "")</f>
        <v>4.6952679064628979</v>
      </c>
      <c r="AJ198">
        <f t="shared" ca="1" si="32"/>
        <v>0</v>
      </c>
      <c r="AK198" s="44"/>
    </row>
    <row r="199" spans="8:37" x14ac:dyDescent="0.3">
      <c r="H199" t="str" cm="1">
        <f t="array" aca="1" ref="H199" ca="1">IF(ROW(A199)-H$15 &lt; H$14,A199,IF(ROW(A199) - H$15 -H$16 + 1 &lt; H$14,INDIRECT(ADDRESS(MOD(ROW(A199) - H$15, H$14) + H$15, COLUMN(A199))),""))</f>
        <v/>
      </c>
      <c r="I199" t="str" cm="1">
        <f t="array" aca="1" ref="I199" ca="1">IF(ROW(B199)-I$15 &lt; I$14,B199,IF(ROW(B199) - I$15 -I$16 + 1 &lt; I$14,INDIRECT(ADDRESS(MOD(ROW(B199) - I$15, I$14) + I$15, COLUMN(B199))),""))</f>
        <v/>
      </c>
      <c r="J199" t="str" cm="1">
        <f t="array" aca="1" ref="J199" ca="1">IF(ROW(C199)-J$15 &lt; J$14,C199,IF(ROW(C199) - J$15 -J$16 + 1 &lt; J$14,INDIRECT(ADDRESS(MOD(ROW(C199) - J$15, J$14) + J$15, COLUMN(C199))),""))</f>
        <v/>
      </c>
      <c r="N199" t="str" cm="1">
        <f t="array" aca="1" ref="N199" ca="1">IF(A199&lt;&gt;"", SUMPRODUCT((OFFSET(A199,0,0,H$16,1)=$T$24) +0),"")</f>
        <v/>
      </c>
      <c r="O199" t="str" cm="1">
        <f t="array" aca="1" ref="O199" ca="1">IF(B199&lt;&gt;"", SUMPRODUCT((OFFSET(B199,0,0,I$16,1)=$T$24) +0),"")</f>
        <v/>
      </c>
      <c r="P199" t="str" cm="1">
        <f t="array" aca="1" ref="P199" ca="1">IF(C199&lt;&gt;"", SUMPRODUCT((OFFSET(C199,0,0,J$16,1)=$T$24) +0),"")</f>
        <v/>
      </c>
      <c r="Q199" t="str" cm="1">
        <f t="array" aca="1" ref="Q199" ca="1">IF(D199&lt;&gt;"", SUMPRODUCT((OFFSET(D199,0,0,K$16,1)=$T$24) +0),"")</f>
        <v/>
      </c>
      <c r="R199" t="str" cm="1">
        <f t="array" aca="1" ref="R199" ca="1">IF(E199&lt;&gt;"", SUMPRODUCT((OFFSET(E199,0,0,L$16,1)=$T$24) +0),"")</f>
        <v/>
      </c>
      <c r="AB199">
        <f t="shared" si="29"/>
        <v>3</v>
      </c>
      <c r="AC199">
        <f t="shared" si="29"/>
        <v>0</v>
      </c>
      <c r="AD199">
        <f t="shared" si="29"/>
        <v>1</v>
      </c>
      <c r="AE199">
        <f t="shared" si="29"/>
        <v>2</v>
      </c>
      <c r="AF199">
        <f t="shared" si="29"/>
        <v>0</v>
      </c>
      <c r="AG199">
        <f t="shared" si="30"/>
        <v>6</v>
      </c>
      <c r="AH199">
        <f t="shared" ca="1" si="31"/>
        <v>0</v>
      </c>
      <c r="AI199">
        <f>IF(ROW($AA199) - $AA$51 &lt; ($H$16+1)^5, IF(AG199 &gt;= BaseBonus!$C$16, AG199*BaseBonus!$E$31, 0), "")</f>
        <v>5.6343214877554777</v>
      </c>
      <c r="AJ199">
        <f t="shared" ca="1" si="32"/>
        <v>0</v>
      </c>
      <c r="AK199" s="44"/>
    </row>
    <row r="200" spans="8:37" x14ac:dyDescent="0.3">
      <c r="H200" t="str" cm="1">
        <f t="array" aca="1" ref="H200" ca="1">IF(ROW(A200)-H$15 &lt; H$14,A200,IF(ROW(A200) - H$15 -H$16 + 1 &lt; H$14,INDIRECT(ADDRESS(MOD(ROW(A200) - H$15, H$14) + H$15, COLUMN(A200))),""))</f>
        <v/>
      </c>
      <c r="I200" t="str" cm="1">
        <f t="array" aca="1" ref="I200" ca="1">IF(ROW(B200)-I$15 &lt; I$14,B200,IF(ROW(B200) - I$15 -I$16 + 1 &lt; I$14,INDIRECT(ADDRESS(MOD(ROW(B200) - I$15, I$14) + I$15, COLUMN(B200))),""))</f>
        <v/>
      </c>
      <c r="J200" t="str" cm="1">
        <f t="array" aca="1" ref="J200" ca="1">IF(ROW(C200)-J$15 &lt; J$14,C200,IF(ROW(C200) - J$15 -J$16 + 1 &lt; J$14,INDIRECT(ADDRESS(MOD(ROW(C200) - J$15, J$14) + J$15, COLUMN(C200))),""))</f>
        <v/>
      </c>
      <c r="N200" t="str" cm="1">
        <f t="array" aca="1" ref="N200" ca="1">IF(A200&lt;&gt;"", SUMPRODUCT((OFFSET(A200,0,0,H$16,1)=$T$24) +0),"")</f>
        <v/>
      </c>
      <c r="O200" t="str" cm="1">
        <f t="array" aca="1" ref="O200" ca="1">IF(B200&lt;&gt;"", SUMPRODUCT((OFFSET(B200,0,0,I$16,1)=$T$24) +0),"")</f>
        <v/>
      </c>
      <c r="P200" t="str" cm="1">
        <f t="array" aca="1" ref="P200" ca="1">IF(C200&lt;&gt;"", SUMPRODUCT((OFFSET(C200,0,0,J$16,1)=$T$24) +0),"")</f>
        <v/>
      </c>
      <c r="Q200" t="str" cm="1">
        <f t="array" aca="1" ref="Q200" ca="1">IF(D200&lt;&gt;"", SUMPRODUCT((OFFSET(D200,0,0,K$16,1)=$T$24) +0),"")</f>
        <v/>
      </c>
      <c r="R200" t="str" cm="1">
        <f t="array" aca="1" ref="R200" ca="1">IF(E200&lt;&gt;"", SUMPRODUCT((OFFSET(E200,0,0,L$16,1)=$T$24) +0),"")</f>
        <v/>
      </c>
      <c r="AB200">
        <f t="shared" si="29"/>
        <v>0</v>
      </c>
      <c r="AC200">
        <f t="shared" si="29"/>
        <v>1</v>
      </c>
      <c r="AD200">
        <f t="shared" si="29"/>
        <v>1</v>
      </c>
      <c r="AE200">
        <f t="shared" si="29"/>
        <v>2</v>
      </c>
      <c r="AF200">
        <f t="shared" si="29"/>
        <v>0</v>
      </c>
      <c r="AG200">
        <f t="shared" si="30"/>
        <v>4</v>
      </c>
      <c r="AH200">
        <f t="shared" ca="1" si="31"/>
        <v>2.4872541575227591E-4</v>
      </c>
      <c r="AI200">
        <f>IF(ROW($AA200) - $AA$51 &lt; ($H$16+1)^5, IF(AG200 &gt;= BaseBonus!$C$16, AG200*BaseBonus!$E$31, 0), "")</f>
        <v>0</v>
      </c>
      <c r="AJ200">
        <f t="shared" ca="1" si="32"/>
        <v>0</v>
      </c>
      <c r="AK200" s="44"/>
    </row>
    <row r="201" spans="8:37" x14ac:dyDescent="0.3">
      <c r="H201" t="str" cm="1">
        <f t="array" aca="1" ref="H201" ca="1">IF(ROW(A201)-H$15 &lt; H$14,A201,IF(ROW(A201) - H$15 -H$16 + 1 &lt; H$14,INDIRECT(ADDRESS(MOD(ROW(A201) - H$15, H$14) + H$15, COLUMN(A201))),""))</f>
        <v/>
      </c>
      <c r="I201" t="str" cm="1">
        <f t="array" aca="1" ref="I201" ca="1">IF(ROW(B201)-I$15 &lt; I$14,B201,IF(ROW(B201) - I$15 -I$16 + 1 &lt; I$14,INDIRECT(ADDRESS(MOD(ROW(B201) - I$15, I$14) + I$15, COLUMN(B201))),""))</f>
        <v/>
      </c>
      <c r="J201" t="str" cm="1">
        <f t="array" aca="1" ref="J201" ca="1">IF(ROW(C201)-J$15 &lt; J$14,C201,IF(ROW(C201) - J$15 -J$16 + 1 &lt; J$14,INDIRECT(ADDRESS(MOD(ROW(C201) - J$15, J$14) + J$15, COLUMN(C201))),""))</f>
        <v/>
      </c>
      <c r="N201" t="str" cm="1">
        <f t="array" aca="1" ref="N201" ca="1">IF(A201&lt;&gt;"", SUMPRODUCT((OFFSET(A201,0,0,H$16,1)=$T$24) +0),"")</f>
        <v/>
      </c>
      <c r="O201" t="str" cm="1">
        <f t="array" aca="1" ref="O201" ca="1">IF(B201&lt;&gt;"", SUMPRODUCT((OFFSET(B201,0,0,I$16,1)=$T$24) +0),"")</f>
        <v/>
      </c>
      <c r="P201" t="str" cm="1">
        <f t="array" aca="1" ref="P201" ca="1">IF(C201&lt;&gt;"", SUMPRODUCT((OFFSET(C201,0,0,J$16,1)=$T$24) +0),"")</f>
        <v/>
      </c>
      <c r="Q201" t="str" cm="1">
        <f t="array" aca="1" ref="Q201" ca="1">IF(D201&lt;&gt;"", SUMPRODUCT((OFFSET(D201,0,0,K$16,1)=$T$24) +0),"")</f>
        <v/>
      </c>
      <c r="R201" t="str" cm="1">
        <f t="array" aca="1" ref="R201" ca="1">IF(E201&lt;&gt;"", SUMPRODUCT((OFFSET(E201,0,0,L$16,1)=$T$24) +0),"")</f>
        <v/>
      </c>
      <c r="AB201">
        <f t="shared" si="29"/>
        <v>1</v>
      </c>
      <c r="AC201">
        <f t="shared" si="29"/>
        <v>1</v>
      </c>
      <c r="AD201">
        <f t="shared" si="29"/>
        <v>1</v>
      </c>
      <c r="AE201">
        <f t="shared" si="29"/>
        <v>2</v>
      </c>
      <c r="AF201">
        <f t="shared" si="29"/>
        <v>0</v>
      </c>
      <c r="AG201">
        <f t="shared" si="30"/>
        <v>5</v>
      </c>
      <c r="AH201">
        <f t="shared" ca="1" si="31"/>
        <v>4.3256594043874076E-5</v>
      </c>
      <c r="AI201">
        <f>IF(ROW($AA201) - $AA$51 &lt; ($H$16+1)^5, IF(AG201 &gt;= BaseBonus!$C$16, AG201*BaseBonus!$E$31, 0), "")</f>
        <v>4.6952679064628979</v>
      </c>
      <c r="AJ201">
        <f t="shared" ca="1" si="32"/>
        <v>2.031012977570961E-4</v>
      </c>
      <c r="AK201" s="44"/>
    </row>
    <row r="202" spans="8:37" x14ac:dyDescent="0.3">
      <c r="AB202">
        <f t="shared" si="29"/>
        <v>2</v>
      </c>
      <c r="AC202">
        <f t="shared" si="29"/>
        <v>1</v>
      </c>
      <c r="AD202">
        <f t="shared" si="29"/>
        <v>1</v>
      </c>
      <c r="AE202">
        <f t="shared" si="29"/>
        <v>2</v>
      </c>
      <c r="AF202">
        <f t="shared" si="29"/>
        <v>0</v>
      </c>
      <c r="AG202">
        <f t="shared" si="30"/>
        <v>6</v>
      </c>
      <c r="AH202">
        <f t="shared" ca="1" si="31"/>
        <v>0</v>
      </c>
      <c r="AI202">
        <f>IF(ROW($AA202) - $AA$51 &lt; ($H$16+1)^5, IF(AG202 &gt;= BaseBonus!$C$16, AG202*BaseBonus!$E$31, 0), "")</f>
        <v>5.6343214877554777</v>
      </c>
      <c r="AJ202">
        <f t="shared" ca="1" si="32"/>
        <v>0</v>
      </c>
      <c r="AK202" s="44"/>
    </row>
    <row r="203" spans="8:37" x14ac:dyDescent="0.3">
      <c r="AB203">
        <f t="shared" si="29"/>
        <v>3</v>
      </c>
      <c r="AC203">
        <f t="shared" si="29"/>
        <v>1</v>
      </c>
      <c r="AD203">
        <f t="shared" si="29"/>
        <v>1</v>
      </c>
      <c r="AE203">
        <f t="shared" si="29"/>
        <v>2</v>
      </c>
      <c r="AF203">
        <f t="shared" si="29"/>
        <v>0</v>
      </c>
      <c r="AG203">
        <f t="shared" si="30"/>
        <v>7</v>
      </c>
      <c r="AH203">
        <f t="shared" ca="1" si="31"/>
        <v>0</v>
      </c>
      <c r="AI203">
        <f>IF(ROW($AA203) - $AA$51 &lt; ($H$16+1)^5, IF(AG203 &gt;= BaseBonus!$C$16, AG203*BaseBonus!$E$31, 0), "")</f>
        <v>6.5733750690480575</v>
      </c>
      <c r="AJ203">
        <f t="shared" ca="1" si="32"/>
        <v>0</v>
      </c>
      <c r="AK203" s="44"/>
    </row>
    <row r="204" spans="8:37" x14ac:dyDescent="0.3">
      <c r="AB204">
        <f t="shared" si="29"/>
        <v>0</v>
      </c>
      <c r="AC204">
        <f t="shared" si="29"/>
        <v>2</v>
      </c>
      <c r="AD204">
        <f t="shared" si="29"/>
        <v>1</v>
      </c>
      <c r="AE204">
        <f t="shared" si="29"/>
        <v>2</v>
      </c>
      <c r="AF204">
        <f t="shared" si="29"/>
        <v>0</v>
      </c>
      <c r="AG204">
        <f t="shared" si="30"/>
        <v>5</v>
      </c>
      <c r="AH204">
        <f t="shared" ca="1" si="31"/>
        <v>0</v>
      </c>
      <c r="AI204">
        <f>IF(ROW($AA204) - $AA$51 &lt; ($H$16+1)^5, IF(AG204 &gt;= BaseBonus!$C$16, AG204*BaseBonus!$E$31, 0), "")</f>
        <v>4.6952679064628979</v>
      </c>
      <c r="AJ204">
        <f t="shared" ca="1" si="32"/>
        <v>0</v>
      </c>
      <c r="AK204" s="44"/>
    </row>
    <row r="205" spans="8:37" x14ac:dyDescent="0.3">
      <c r="AB205">
        <f t="shared" ref="AB205:AF255" si="33">IF(ROW()-$AA$51 &lt; (H$16+1)^5, MOD(_xlfn.FLOOR.MATH((ROW()-$AA$51)/AB$50), H$16+1), "")</f>
        <v>1</v>
      </c>
      <c r="AC205">
        <f t="shared" si="33"/>
        <v>2</v>
      </c>
      <c r="AD205">
        <f t="shared" si="33"/>
        <v>1</v>
      </c>
      <c r="AE205">
        <f t="shared" si="33"/>
        <v>2</v>
      </c>
      <c r="AF205">
        <f t="shared" si="33"/>
        <v>0</v>
      </c>
      <c r="AG205">
        <f t="shared" si="30"/>
        <v>6</v>
      </c>
      <c r="AH205">
        <f t="shared" ca="1" si="31"/>
        <v>0</v>
      </c>
      <c r="AI205">
        <f>IF(ROW($AA205) - $AA$51 &lt; ($H$16+1)^5, IF(AG205 &gt;= BaseBonus!$C$16, AG205*BaseBonus!$E$31, 0), "")</f>
        <v>5.6343214877554777</v>
      </c>
      <c r="AJ205">
        <f t="shared" ca="1" si="32"/>
        <v>0</v>
      </c>
      <c r="AK205" s="44"/>
    </row>
    <row r="206" spans="8:37" x14ac:dyDescent="0.3">
      <c r="AB206">
        <f t="shared" si="33"/>
        <v>2</v>
      </c>
      <c r="AC206">
        <f t="shared" si="33"/>
        <v>2</v>
      </c>
      <c r="AD206">
        <f t="shared" si="33"/>
        <v>1</v>
      </c>
      <c r="AE206">
        <f t="shared" si="33"/>
        <v>2</v>
      </c>
      <c r="AF206">
        <f t="shared" si="33"/>
        <v>0</v>
      </c>
      <c r="AG206">
        <f t="shared" si="30"/>
        <v>7</v>
      </c>
      <c r="AH206">
        <f t="shared" ca="1" si="31"/>
        <v>0</v>
      </c>
      <c r="AI206">
        <f>IF(ROW($AA206) - $AA$51 &lt; ($H$16+1)^5, IF(AG206 &gt;= BaseBonus!$C$16, AG206*BaseBonus!$E$31, 0), "")</f>
        <v>6.5733750690480575</v>
      </c>
      <c r="AJ206">
        <f t="shared" ca="1" si="32"/>
        <v>0</v>
      </c>
      <c r="AK206" s="44"/>
    </row>
    <row r="207" spans="8:37" x14ac:dyDescent="0.3">
      <c r="AB207">
        <f t="shared" si="33"/>
        <v>3</v>
      </c>
      <c r="AC207">
        <f t="shared" si="33"/>
        <v>2</v>
      </c>
      <c r="AD207">
        <f t="shared" si="33"/>
        <v>1</v>
      </c>
      <c r="AE207">
        <f t="shared" si="33"/>
        <v>2</v>
      </c>
      <c r="AF207">
        <f t="shared" si="33"/>
        <v>0</v>
      </c>
      <c r="AG207">
        <f t="shared" si="30"/>
        <v>8</v>
      </c>
      <c r="AH207">
        <f t="shared" ca="1" si="31"/>
        <v>0</v>
      </c>
      <c r="AI207">
        <f>IF(ROW($AA207) - $AA$51 &lt; ($H$16+1)^5, IF(AG207 &gt;= BaseBonus!$C$16, AG207*BaseBonus!$E$31, 0), "")</f>
        <v>7.5124286503406372</v>
      </c>
      <c r="AJ207">
        <f t="shared" ca="1" si="32"/>
        <v>0</v>
      </c>
      <c r="AK207" s="44"/>
    </row>
    <row r="208" spans="8:37" x14ac:dyDescent="0.3">
      <c r="AB208">
        <f t="shared" si="33"/>
        <v>0</v>
      </c>
      <c r="AC208">
        <f t="shared" si="33"/>
        <v>3</v>
      </c>
      <c r="AD208">
        <f t="shared" si="33"/>
        <v>1</v>
      </c>
      <c r="AE208">
        <f t="shared" si="33"/>
        <v>2</v>
      </c>
      <c r="AF208">
        <f t="shared" si="33"/>
        <v>0</v>
      </c>
      <c r="AG208">
        <f t="shared" si="30"/>
        <v>6</v>
      </c>
      <c r="AH208">
        <f t="shared" ca="1" si="31"/>
        <v>0</v>
      </c>
      <c r="AI208">
        <f>IF(ROW($AA208) - $AA$51 &lt; ($H$16+1)^5, IF(AG208 &gt;= BaseBonus!$C$16, AG208*BaseBonus!$E$31, 0), "")</f>
        <v>5.6343214877554777</v>
      </c>
      <c r="AJ208">
        <f t="shared" ca="1" si="32"/>
        <v>0</v>
      </c>
      <c r="AK208" s="44"/>
    </row>
    <row r="209" spans="28:37" x14ac:dyDescent="0.3">
      <c r="AB209">
        <f t="shared" si="33"/>
        <v>1</v>
      </c>
      <c r="AC209">
        <f t="shared" si="33"/>
        <v>3</v>
      </c>
      <c r="AD209">
        <f t="shared" si="33"/>
        <v>1</v>
      </c>
      <c r="AE209">
        <f t="shared" si="33"/>
        <v>2</v>
      </c>
      <c r="AF209">
        <f t="shared" si="33"/>
        <v>0</v>
      </c>
      <c r="AG209">
        <f t="shared" si="30"/>
        <v>7</v>
      </c>
      <c r="AH209">
        <f t="shared" ca="1" si="31"/>
        <v>0</v>
      </c>
      <c r="AI209">
        <f>IF(ROW($AA209) - $AA$51 &lt; ($H$16+1)^5, IF(AG209 &gt;= BaseBonus!$C$16, AG209*BaseBonus!$E$31, 0), "")</f>
        <v>6.5733750690480575</v>
      </c>
      <c r="AJ209">
        <f t="shared" ca="1" si="32"/>
        <v>0</v>
      </c>
      <c r="AK209" s="44"/>
    </row>
    <row r="210" spans="28:37" x14ac:dyDescent="0.3">
      <c r="AB210">
        <f t="shared" si="33"/>
        <v>2</v>
      </c>
      <c r="AC210">
        <f t="shared" si="33"/>
        <v>3</v>
      </c>
      <c r="AD210">
        <f t="shared" si="33"/>
        <v>1</v>
      </c>
      <c r="AE210">
        <f t="shared" si="33"/>
        <v>2</v>
      </c>
      <c r="AF210">
        <f t="shared" si="33"/>
        <v>0</v>
      </c>
      <c r="AG210">
        <f t="shared" si="30"/>
        <v>8</v>
      </c>
      <c r="AH210">
        <f t="shared" ca="1" si="31"/>
        <v>0</v>
      </c>
      <c r="AI210">
        <f>IF(ROW($AA210) - $AA$51 &lt; ($H$16+1)^5, IF(AG210 &gt;= BaseBonus!$C$16, AG210*BaseBonus!$E$31, 0), "")</f>
        <v>7.5124286503406372</v>
      </c>
      <c r="AJ210">
        <f t="shared" ca="1" si="32"/>
        <v>0</v>
      </c>
      <c r="AK210" s="44"/>
    </row>
    <row r="211" spans="28:37" x14ac:dyDescent="0.3">
      <c r="AB211">
        <f t="shared" si="33"/>
        <v>3</v>
      </c>
      <c r="AC211">
        <f t="shared" si="33"/>
        <v>3</v>
      </c>
      <c r="AD211">
        <f t="shared" si="33"/>
        <v>1</v>
      </c>
      <c r="AE211">
        <f t="shared" si="33"/>
        <v>2</v>
      </c>
      <c r="AF211">
        <f t="shared" si="33"/>
        <v>0</v>
      </c>
      <c r="AG211">
        <f t="shared" si="30"/>
        <v>9</v>
      </c>
      <c r="AH211">
        <f t="shared" ca="1" si="31"/>
        <v>0</v>
      </c>
      <c r="AI211">
        <f>IF(ROW($AA211) - $AA$51 &lt; ($H$16+1)^5, IF(AG211 &gt;= BaseBonus!$C$16, AG211*BaseBonus!$E$31, 0), "")</f>
        <v>8.4514822316332161</v>
      </c>
      <c r="AJ211">
        <f t="shared" ca="1" si="32"/>
        <v>0</v>
      </c>
      <c r="AK211" s="44"/>
    </row>
    <row r="212" spans="28:37" x14ac:dyDescent="0.3">
      <c r="AB212">
        <f t="shared" si="33"/>
        <v>0</v>
      </c>
      <c r="AC212">
        <f t="shared" si="33"/>
        <v>0</v>
      </c>
      <c r="AD212">
        <f t="shared" si="33"/>
        <v>2</v>
      </c>
      <c r="AE212">
        <f t="shared" si="33"/>
        <v>2</v>
      </c>
      <c r="AF212">
        <f t="shared" si="33"/>
        <v>0</v>
      </c>
      <c r="AG212">
        <f t="shared" si="30"/>
        <v>4</v>
      </c>
      <c r="AH212">
        <f t="shared" ca="1" si="31"/>
        <v>0</v>
      </c>
      <c r="AI212">
        <f>IF(ROW($AA212) - $AA$51 &lt; ($H$16+1)^5, IF(AG212 &gt;= BaseBonus!$C$16, AG212*BaseBonus!$E$31, 0), "")</f>
        <v>0</v>
      </c>
      <c r="AJ212">
        <f t="shared" ca="1" si="32"/>
        <v>0</v>
      </c>
      <c r="AK212" s="44"/>
    </row>
    <row r="213" spans="28:37" x14ac:dyDescent="0.3">
      <c r="AB213">
        <f t="shared" si="33"/>
        <v>1</v>
      </c>
      <c r="AC213">
        <f t="shared" si="33"/>
        <v>0</v>
      </c>
      <c r="AD213">
        <f t="shared" si="33"/>
        <v>2</v>
      </c>
      <c r="AE213">
        <f t="shared" si="33"/>
        <v>2</v>
      </c>
      <c r="AF213">
        <f t="shared" si="33"/>
        <v>0</v>
      </c>
      <c r="AG213">
        <f t="shared" si="30"/>
        <v>5</v>
      </c>
      <c r="AH213">
        <f t="shared" ca="1" si="31"/>
        <v>0</v>
      </c>
      <c r="AI213">
        <f>IF(ROW($AA213) - $AA$51 &lt; ($H$16+1)^5, IF(AG213 &gt;= BaseBonus!$C$16, AG213*BaseBonus!$E$31, 0), "")</f>
        <v>4.6952679064628979</v>
      </c>
      <c r="AJ213">
        <f t="shared" ca="1" si="32"/>
        <v>0</v>
      </c>
      <c r="AK213" s="44"/>
    </row>
    <row r="214" spans="28:37" x14ac:dyDescent="0.3">
      <c r="AB214">
        <f t="shared" si="33"/>
        <v>2</v>
      </c>
      <c r="AC214">
        <f t="shared" si="33"/>
        <v>0</v>
      </c>
      <c r="AD214">
        <f t="shared" si="33"/>
        <v>2</v>
      </c>
      <c r="AE214">
        <f t="shared" si="33"/>
        <v>2</v>
      </c>
      <c r="AF214">
        <f t="shared" si="33"/>
        <v>0</v>
      </c>
      <c r="AG214">
        <f t="shared" si="30"/>
        <v>6</v>
      </c>
      <c r="AH214">
        <f t="shared" ca="1" si="31"/>
        <v>0</v>
      </c>
      <c r="AI214">
        <f>IF(ROW($AA214) - $AA$51 &lt; ($H$16+1)^5, IF(AG214 &gt;= BaseBonus!$C$16, AG214*BaseBonus!$E$31, 0), "")</f>
        <v>5.6343214877554777</v>
      </c>
      <c r="AJ214">
        <f t="shared" ca="1" si="32"/>
        <v>0</v>
      </c>
      <c r="AK214" s="44"/>
    </row>
    <row r="215" spans="28:37" x14ac:dyDescent="0.3">
      <c r="AB215">
        <f t="shared" si="33"/>
        <v>3</v>
      </c>
      <c r="AC215">
        <f t="shared" si="33"/>
        <v>0</v>
      </c>
      <c r="AD215">
        <f t="shared" si="33"/>
        <v>2</v>
      </c>
      <c r="AE215">
        <f t="shared" si="33"/>
        <v>2</v>
      </c>
      <c r="AF215">
        <f t="shared" si="33"/>
        <v>0</v>
      </c>
      <c r="AG215">
        <f t="shared" si="30"/>
        <v>7</v>
      </c>
      <c r="AH215">
        <f t="shared" ca="1" si="31"/>
        <v>0</v>
      </c>
      <c r="AI215">
        <f>IF(ROW($AA215) - $AA$51 &lt; ($H$16+1)^5, IF(AG215 &gt;= BaseBonus!$C$16, AG215*BaseBonus!$E$31, 0), "")</f>
        <v>6.5733750690480575</v>
      </c>
      <c r="AJ215">
        <f t="shared" ca="1" si="32"/>
        <v>0</v>
      </c>
      <c r="AK215" s="44"/>
    </row>
    <row r="216" spans="28:37" x14ac:dyDescent="0.3">
      <c r="AB216">
        <f t="shared" si="33"/>
        <v>0</v>
      </c>
      <c r="AC216">
        <f t="shared" si="33"/>
        <v>1</v>
      </c>
      <c r="AD216">
        <f t="shared" si="33"/>
        <v>2</v>
      </c>
      <c r="AE216">
        <f t="shared" si="33"/>
        <v>2</v>
      </c>
      <c r="AF216">
        <f t="shared" si="33"/>
        <v>0</v>
      </c>
      <c r="AG216">
        <f t="shared" si="30"/>
        <v>5</v>
      </c>
      <c r="AH216">
        <f t="shared" ca="1" si="31"/>
        <v>0</v>
      </c>
      <c r="AI216">
        <f>IF(ROW($AA216) - $AA$51 &lt; ($H$16+1)^5, IF(AG216 &gt;= BaseBonus!$C$16, AG216*BaseBonus!$E$31, 0), "")</f>
        <v>4.6952679064628979</v>
      </c>
      <c r="AJ216">
        <f t="shared" ca="1" si="32"/>
        <v>0</v>
      </c>
      <c r="AK216" s="44"/>
    </row>
    <row r="217" spans="28:37" x14ac:dyDescent="0.3">
      <c r="AB217">
        <f t="shared" si="33"/>
        <v>1</v>
      </c>
      <c r="AC217">
        <f t="shared" si="33"/>
        <v>1</v>
      </c>
      <c r="AD217">
        <f t="shared" si="33"/>
        <v>2</v>
      </c>
      <c r="AE217">
        <f t="shared" si="33"/>
        <v>2</v>
      </c>
      <c r="AF217">
        <f t="shared" si="33"/>
        <v>0</v>
      </c>
      <c r="AG217">
        <f t="shared" si="30"/>
        <v>6</v>
      </c>
      <c r="AH217">
        <f t="shared" ca="1" si="31"/>
        <v>0</v>
      </c>
      <c r="AI217">
        <f>IF(ROW($AA217) - $AA$51 &lt; ($H$16+1)^5, IF(AG217 &gt;= BaseBonus!$C$16, AG217*BaseBonus!$E$31, 0), "")</f>
        <v>5.6343214877554777</v>
      </c>
      <c r="AJ217">
        <f t="shared" ca="1" si="32"/>
        <v>0</v>
      </c>
      <c r="AK217" s="44"/>
    </row>
    <row r="218" spans="28:37" x14ac:dyDescent="0.3">
      <c r="AB218">
        <f t="shared" si="33"/>
        <v>2</v>
      </c>
      <c r="AC218">
        <f t="shared" si="33"/>
        <v>1</v>
      </c>
      <c r="AD218">
        <f t="shared" si="33"/>
        <v>2</v>
      </c>
      <c r="AE218">
        <f t="shared" si="33"/>
        <v>2</v>
      </c>
      <c r="AF218">
        <f t="shared" si="33"/>
        <v>0</v>
      </c>
      <c r="AG218">
        <f t="shared" si="30"/>
        <v>7</v>
      </c>
      <c r="AH218">
        <f t="shared" ca="1" si="31"/>
        <v>0</v>
      </c>
      <c r="AI218">
        <f>IF(ROW($AA218) - $AA$51 &lt; ($H$16+1)^5, IF(AG218 &gt;= BaseBonus!$C$16, AG218*BaseBonus!$E$31, 0), "")</f>
        <v>6.5733750690480575</v>
      </c>
      <c r="AJ218">
        <f t="shared" ca="1" si="32"/>
        <v>0</v>
      </c>
      <c r="AK218" s="44"/>
    </row>
    <row r="219" spans="28:37" x14ac:dyDescent="0.3">
      <c r="AB219">
        <f t="shared" si="33"/>
        <v>3</v>
      </c>
      <c r="AC219">
        <f t="shared" si="33"/>
        <v>1</v>
      </c>
      <c r="AD219">
        <f t="shared" si="33"/>
        <v>2</v>
      </c>
      <c r="AE219">
        <f t="shared" si="33"/>
        <v>2</v>
      </c>
      <c r="AF219">
        <f t="shared" si="33"/>
        <v>0</v>
      </c>
      <c r="AG219">
        <f t="shared" si="30"/>
        <v>8</v>
      </c>
      <c r="AH219">
        <f t="shared" ca="1" si="31"/>
        <v>0</v>
      </c>
      <c r="AI219">
        <f>IF(ROW($AA219) - $AA$51 &lt; ($H$16+1)^5, IF(AG219 &gt;= BaseBonus!$C$16, AG219*BaseBonus!$E$31, 0), "")</f>
        <v>7.5124286503406372</v>
      </c>
      <c r="AJ219">
        <f t="shared" ca="1" si="32"/>
        <v>0</v>
      </c>
      <c r="AK219" s="44"/>
    </row>
    <row r="220" spans="28:37" x14ac:dyDescent="0.3">
      <c r="AB220">
        <f t="shared" si="33"/>
        <v>0</v>
      </c>
      <c r="AC220">
        <f t="shared" si="33"/>
        <v>2</v>
      </c>
      <c r="AD220">
        <f t="shared" si="33"/>
        <v>2</v>
      </c>
      <c r="AE220">
        <f t="shared" si="33"/>
        <v>2</v>
      </c>
      <c r="AF220">
        <f t="shared" si="33"/>
        <v>0</v>
      </c>
      <c r="AG220">
        <f t="shared" si="30"/>
        <v>6</v>
      </c>
      <c r="AH220">
        <f t="shared" ca="1" si="31"/>
        <v>0</v>
      </c>
      <c r="AI220">
        <f>IF(ROW($AA220) - $AA$51 &lt; ($H$16+1)^5, IF(AG220 &gt;= BaseBonus!$C$16, AG220*BaseBonus!$E$31, 0), "")</f>
        <v>5.6343214877554777</v>
      </c>
      <c r="AJ220">
        <f t="shared" ca="1" si="32"/>
        <v>0</v>
      </c>
      <c r="AK220" s="44"/>
    </row>
    <row r="221" spans="28:37" x14ac:dyDescent="0.3">
      <c r="AB221">
        <f t="shared" si="33"/>
        <v>1</v>
      </c>
      <c r="AC221">
        <f t="shared" si="33"/>
        <v>2</v>
      </c>
      <c r="AD221">
        <f t="shared" si="33"/>
        <v>2</v>
      </c>
      <c r="AE221">
        <f t="shared" si="33"/>
        <v>2</v>
      </c>
      <c r="AF221">
        <f t="shared" si="33"/>
        <v>0</v>
      </c>
      <c r="AG221">
        <f t="shared" si="30"/>
        <v>7</v>
      </c>
      <c r="AH221">
        <f t="shared" ca="1" si="31"/>
        <v>0</v>
      </c>
      <c r="AI221">
        <f>IF(ROW($AA221) - $AA$51 &lt; ($H$16+1)^5, IF(AG221 &gt;= BaseBonus!$C$16, AG221*BaseBonus!$E$31, 0), "")</f>
        <v>6.5733750690480575</v>
      </c>
      <c r="AJ221">
        <f t="shared" ca="1" si="32"/>
        <v>0</v>
      </c>
      <c r="AK221" s="44"/>
    </row>
    <row r="222" spans="28:37" x14ac:dyDescent="0.3">
      <c r="AB222">
        <f t="shared" si="33"/>
        <v>2</v>
      </c>
      <c r="AC222">
        <f t="shared" si="33"/>
        <v>2</v>
      </c>
      <c r="AD222">
        <f t="shared" si="33"/>
        <v>2</v>
      </c>
      <c r="AE222">
        <f t="shared" si="33"/>
        <v>2</v>
      </c>
      <c r="AF222">
        <f t="shared" si="33"/>
        <v>0</v>
      </c>
      <c r="AG222">
        <f t="shared" si="30"/>
        <v>8</v>
      </c>
      <c r="AH222">
        <f t="shared" ca="1" si="31"/>
        <v>0</v>
      </c>
      <c r="AI222">
        <f>IF(ROW($AA222) - $AA$51 &lt; ($H$16+1)^5, IF(AG222 &gt;= BaseBonus!$C$16, AG222*BaseBonus!$E$31, 0), "")</f>
        <v>7.5124286503406372</v>
      </c>
      <c r="AJ222">
        <f t="shared" ca="1" si="32"/>
        <v>0</v>
      </c>
      <c r="AK222" s="44"/>
    </row>
    <row r="223" spans="28:37" x14ac:dyDescent="0.3">
      <c r="AB223">
        <f t="shared" si="33"/>
        <v>3</v>
      </c>
      <c r="AC223">
        <f t="shared" si="33"/>
        <v>2</v>
      </c>
      <c r="AD223">
        <f t="shared" si="33"/>
        <v>2</v>
      </c>
      <c r="AE223">
        <f t="shared" si="33"/>
        <v>2</v>
      </c>
      <c r="AF223">
        <f t="shared" si="33"/>
        <v>0</v>
      </c>
      <c r="AG223">
        <f t="shared" si="30"/>
        <v>9</v>
      </c>
      <c r="AH223">
        <f t="shared" ca="1" si="31"/>
        <v>0</v>
      </c>
      <c r="AI223">
        <f>IF(ROW($AA223) - $AA$51 &lt; ($H$16+1)^5, IF(AG223 &gt;= BaseBonus!$C$16, AG223*BaseBonus!$E$31, 0), "")</f>
        <v>8.4514822316332161</v>
      </c>
      <c r="AJ223">
        <f t="shared" ca="1" si="32"/>
        <v>0</v>
      </c>
      <c r="AK223" s="44"/>
    </row>
    <row r="224" spans="28:37" x14ac:dyDescent="0.3">
      <c r="AB224">
        <f t="shared" si="33"/>
        <v>0</v>
      </c>
      <c r="AC224">
        <f t="shared" si="33"/>
        <v>3</v>
      </c>
      <c r="AD224">
        <f t="shared" si="33"/>
        <v>2</v>
      </c>
      <c r="AE224">
        <f t="shared" si="33"/>
        <v>2</v>
      </c>
      <c r="AF224">
        <f t="shared" si="33"/>
        <v>0</v>
      </c>
      <c r="AG224">
        <f t="shared" si="30"/>
        <v>7</v>
      </c>
      <c r="AH224">
        <f t="shared" ca="1" si="31"/>
        <v>0</v>
      </c>
      <c r="AI224">
        <f>IF(ROW($AA224) - $AA$51 &lt; ($H$16+1)^5, IF(AG224 &gt;= BaseBonus!$C$16, AG224*BaseBonus!$E$31, 0), "")</f>
        <v>6.5733750690480575</v>
      </c>
      <c r="AJ224">
        <f t="shared" ca="1" si="32"/>
        <v>0</v>
      </c>
      <c r="AK224" s="44"/>
    </row>
    <row r="225" spans="28:37" x14ac:dyDescent="0.3">
      <c r="AB225">
        <f t="shared" si="33"/>
        <v>1</v>
      </c>
      <c r="AC225">
        <f t="shared" si="33"/>
        <v>3</v>
      </c>
      <c r="AD225">
        <f t="shared" si="33"/>
        <v>2</v>
      </c>
      <c r="AE225">
        <f t="shared" si="33"/>
        <v>2</v>
      </c>
      <c r="AF225">
        <f t="shared" si="33"/>
        <v>0</v>
      </c>
      <c r="AG225">
        <f t="shared" si="30"/>
        <v>8</v>
      </c>
      <c r="AH225">
        <f t="shared" ca="1" si="31"/>
        <v>0</v>
      </c>
      <c r="AI225">
        <f>IF(ROW($AA225) - $AA$51 &lt; ($H$16+1)^5, IF(AG225 &gt;= BaseBonus!$C$16, AG225*BaseBonus!$E$31, 0), "")</f>
        <v>7.5124286503406372</v>
      </c>
      <c r="AJ225">
        <f t="shared" ca="1" si="32"/>
        <v>0</v>
      </c>
      <c r="AK225" s="44"/>
    </row>
    <row r="226" spans="28:37" x14ac:dyDescent="0.3">
      <c r="AB226">
        <f t="shared" si="33"/>
        <v>2</v>
      </c>
      <c r="AC226">
        <f t="shared" si="33"/>
        <v>3</v>
      </c>
      <c r="AD226">
        <f t="shared" si="33"/>
        <v>2</v>
      </c>
      <c r="AE226">
        <f t="shared" si="33"/>
        <v>2</v>
      </c>
      <c r="AF226">
        <f t="shared" si="33"/>
        <v>0</v>
      </c>
      <c r="AG226">
        <f t="shared" si="30"/>
        <v>9</v>
      </c>
      <c r="AH226">
        <f t="shared" ca="1" si="31"/>
        <v>0</v>
      </c>
      <c r="AI226">
        <f>IF(ROW($AA226) - $AA$51 &lt; ($H$16+1)^5, IF(AG226 &gt;= BaseBonus!$C$16, AG226*BaseBonus!$E$31, 0), "")</f>
        <v>8.4514822316332161</v>
      </c>
      <c r="AJ226">
        <f t="shared" ca="1" si="32"/>
        <v>0</v>
      </c>
      <c r="AK226" s="44"/>
    </row>
    <row r="227" spans="28:37" x14ac:dyDescent="0.3">
      <c r="AB227">
        <f t="shared" si="33"/>
        <v>3</v>
      </c>
      <c r="AC227">
        <f t="shared" si="33"/>
        <v>3</v>
      </c>
      <c r="AD227">
        <f t="shared" si="33"/>
        <v>2</v>
      </c>
      <c r="AE227">
        <f t="shared" si="33"/>
        <v>2</v>
      </c>
      <c r="AF227">
        <f t="shared" si="33"/>
        <v>0</v>
      </c>
      <c r="AG227">
        <f t="shared" si="30"/>
        <v>10</v>
      </c>
      <c r="AH227">
        <f t="shared" ca="1" si="31"/>
        <v>0</v>
      </c>
      <c r="AI227">
        <f>IF(ROW($AA227) - $AA$51 &lt; ($H$16+1)^5, IF(AG227 &gt;= BaseBonus!$C$16, AG227*BaseBonus!$E$31, 0), "")</f>
        <v>9.3905358129257959</v>
      </c>
      <c r="AJ227">
        <f t="shared" ca="1" si="32"/>
        <v>0</v>
      </c>
      <c r="AK227" s="44"/>
    </row>
    <row r="228" spans="28:37" x14ac:dyDescent="0.3">
      <c r="AB228">
        <f t="shared" si="33"/>
        <v>0</v>
      </c>
      <c r="AC228">
        <f t="shared" si="33"/>
        <v>0</v>
      </c>
      <c r="AD228">
        <f t="shared" si="33"/>
        <v>3</v>
      </c>
      <c r="AE228">
        <f t="shared" si="33"/>
        <v>2</v>
      </c>
      <c r="AF228">
        <f t="shared" si="33"/>
        <v>0</v>
      </c>
      <c r="AG228">
        <f t="shared" si="30"/>
        <v>5</v>
      </c>
      <c r="AH228">
        <f t="shared" ca="1" si="31"/>
        <v>0</v>
      </c>
      <c r="AI228">
        <f>IF(ROW($AA228) - $AA$51 &lt; ($H$16+1)^5, IF(AG228 &gt;= BaseBonus!$C$16, AG228*BaseBonus!$E$31, 0), "")</f>
        <v>4.6952679064628979</v>
      </c>
      <c r="AJ228">
        <f t="shared" ca="1" si="32"/>
        <v>0</v>
      </c>
      <c r="AK228" s="44"/>
    </row>
    <row r="229" spans="28:37" x14ac:dyDescent="0.3">
      <c r="AB229">
        <f t="shared" si="33"/>
        <v>1</v>
      </c>
      <c r="AC229">
        <f t="shared" si="33"/>
        <v>0</v>
      </c>
      <c r="AD229">
        <f t="shared" si="33"/>
        <v>3</v>
      </c>
      <c r="AE229">
        <f t="shared" si="33"/>
        <v>2</v>
      </c>
      <c r="AF229">
        <f t="shared" si="33"/>
        <v>0</v>
      </c>
      <c r="AG229">
        <f t="shared" si="30"/>
        <v>6</v>
      </c>
      <c r="AH229">
        <f t="shared" ca="1" si="31"/>
        <v>0</v>
      </c>
      <c r="AI229">
        <f>IF(ROW($AA229) - $AA$51 &lt; ($H$16+1)^5, IF(AG229 &gt;= BaseBonus!$C$16, AG229*BaseBonus!$E$31, 0), "")</f>
        <v>5.6343214877554777</v>
      </c>
      <c r="AJ229">
        <f t="shared" ca="1" si="32"/>
        <v>0</v>
      </c>
      <c r="AK229" s="44"/>
    </row>
    <row r="230" spans="28:37" x14ac:dyDescent="0.3">
      <c r="AB230">
        <f t="shared" si="33"/>
        <v>2</v>
      </c>
      <c r="AC230">
        <f t="shared" si="33"/>
        <v>0</v>
      </c>
      <c r="AD230">
        <f t="shared" si="33"/>
        <v>3</v>
      </c>
      <c r="AE230">
        <f t="shared" si="33"/>
        <v>2</v>
      </c>
      <c r="AF230">
        <f t="shared" si="33"/>
        <v>0</v>
      </c>
      <c r="AG230">
        <f t="shared" si="30"/>
        <v>7</v>
      </c>
      <c r="AH230">
        <f t="shared" ca="1" si="31"/>
        <v>0</v>
      </c>
      <c r="AI230">
        <f>IF(ROW($AA230) - $AA$51 &lt; ($H$16+1)^5, IF(AG230 &gt;= BaseBonus!$C$16, AG230*BaseBonus!$E$31, 0), "")</f>
        <v>6.5733750690480575</v>
      </c>
      <c r="AJ230">
        <f t="shared" ca="1" si="32"/>
        <v>0</v>
      </c>
      <c r="AK230" s="44"/>
    </row>
    <row r="231" spans="28:37" x14ac:dyDescent="0.3">
      <c r="AB231">
        <f t="shared" si="33"/>
        <v>3</v>
      </c>
      <c r="AC231">
        <f t="shared" si="33"/>
        <v>0</v>
      </c>
      <c r="AD231">
        <f t="shared" si="33"/>
        <v>3</v>
      </c>
      <c r="AE231">
        <f t="shared" si="33"/>
        <v>2</v>
      </c>
      <c r="AF231">
        <f t="shared" si="33"/>
        <v>0</v>
      </c>
      <c r="AG231">
        <f t="shared" si="30"/>
        <v>8</v>
      </c>
      <c r="AH231">
        <f t="shared" ca="1" si="31"/>
        <v>0</v>
      </c>
      <c r="AI231">
        <f>IF(ROW($AA231) - $AA$51 &lt; ($H$16+1)^5, IF(AG231 &gt;= BaseBonus!$C$16, AG231*BaseBonus!$E$31, 0), "")</f>
        <v>7.5124286503406372</v>
      </c>
      <c r="AJ231">
        <f t="shared" ca="1" si="32"/>
        <v>0</v>
      </c>
      <c r="AK231" s="44"/>
    </row>
    <row r="232" spans="28:37" x14ac:dyDescent="0.3">
      <c r="AB232">
        <f t="shared" si="33"/>
        <v>0</v>
      </c>
      <c r="AC232">
        <f t="shared" si="33"/>
        <v>1</v>
      </c>
      <c r="AD232">
        <f t="shared" si="33"/>
        <v>3</v>
      </c>
      <c r="AE232">
        <f t="shared" si="33"/>
        <v>2</v>
      </c>
      <c r="AF232">
        <f t="shared" si="33"/>
        <v>0</v>
      </c>
      <c r="AG232">
        <f t="shared" si="30"/>
        <v>6</v>
      </c>
      <c r="AH232">
        <f t="shared" ca="1" si="31"/>
        <v>0</v>
      </c>
      <c r="AI232">
        <f>IF(ROW($AA232) - $AA$51 &lt; ($H$16+1)^5, IF(AG232 &gt;= BaseBonus!$C$16, AG232*BaseBonus!$E$31, 0), "")</f>
        <v>5.6343214877554777</v>
      </c>
      <c r="AJ232">
        <f t="shared" ca="1" si="32"/>
        <v>0</v>
      </c>
      <c r="AK232" s="44"/>
    </row>
    <row r="233" spans="28:37" x14ac:dyDescent="0.3">
      <c r="AB233">
        <f t="shared" si="33"/>
        <v>1</v>
      </c>
      <c r="AC233">
        <f t="shared" si="33"/>
        <v>1</v>
      </c>
      <c r="AD233">
        <f t="shared" si="33"/>
        <v>3</v>
      </c>
      <c r="AE233">
        <f t="shared" si="33"/>
        <v>2</v>
      </c>
      <c r="AF233">
        <f t="shared" si="33"/>
        <v>0</v>
      </c>
      <c r="AG233">
        <f t="shared" si="30"/>
        <v>7</v>
      </c>
      <c r="AH233">
        <f t="shared" ca="1" si="31"/>
        <v>0</v>
      </c>
      <c r="AI233">
        <f>IF(ROW($AA233) - $AA$51 &lt; ($H$16+1)^5, IF(AG233 &gt;= BaseBonus!$C$16, AG233*BaseBonus!$E$31, 0), "")</f>
        <v>6.5733750690480575</v>
      </c>
      <c r="AJ233">
        <f t="shared" ca="1" si="32"/>
        <v>0</v>
      </c>
      <c r="AK233" s="44"/>
    </row>
    <row r="234" spans="28:37" x14ac:dyDescent="0.3">
      <c r="AB234">
        <f t="shared" si="33"/>
        <v>2</v>
      </c>
      <c r="AC234">
        <f t="shared" si="33"/>
        <v>1</v>
      </c>
      <c r="AD234">
        <f t="shared" si="33"/>
        <v>3</v>
      </c>
      <c r="AE234">
        <f t="shared" si="33"/>
        <v>2</v>
      </c>
      <c r="AF234">
        <f t="shared" si="33"/>
        <v>0</v>
      </c>
      <c r="AG234">
        <f t="shared" si="30"/>
        <v>8</v>
      </c>
      <c r="AH234">
        <f t="shared" ca="1" si="31"/>
        <v>0</v>
      </c>
      <c r="AI234">
        <f>IF(ROW($AA234) - $AA$51 &lt; ($H$16+1)^5, IF(AG234 &gt;= BaseBonus!$C$16, AG234*BaseBonus!$E$31, 0), "")</f>
        <v>7.5124286503406372</v>
      </c>
      <c r="AJ234">
        <f t="shared" ca="1" si="32"/>
        <v>0</v>
      </c>
      <c r="AK234" s="44"/>
    </row>
    <row r="235" spans="28:37" x14ac:dyDescent="0.3">
      <c r="AB235">
        <f t="shared" si="33"/>
        <v>3</v>
      </c>
      <c r="AC235">
        <f t="shared" si="33"/>
        <v>1</v>
      </c>
      <c r="AD235">
        <f t="shared" si="33"/>
        <v>3</v>
      </c>
      <c r="AE235">
        <f t="shared" si="33"/>
        <v>2</v>
      </c>
      <c r="AF235">
        <f t="shared" si="33"/>
        <v>0</v>
      </c>
      <c r="AG235">
        <f t="shared" si="30"/>
        <v>9</v>
      </c>
      <c r="AH235">
        <f t="shared" ca="1" si="31"/>
        <v>0</v>
      </c>
      <c r="AI235">
        <f>IF(ROW($AA235) - $AA$51 &lt; ($H$16+1)^5, IF(AG235 &gt;= BaseBonus!$C$16, AG235*BaseBonus!$E$31, 0), "")</f>
        <v>8.4514822316332161</v>
      </c>
      <c r="AJ235">
        <f t="shared" ca="1" si="32"/>
        <v>0</v>
      </c>
      <c r="AK235" s="44"/>
    </row>
    <row r="236" spans="28:37" x14ac:dyDescent="0.3">
      <c r="AB236">
        <f t="shared" si="33"/>
        <v>0</v>
      </c>
      <c r="AC236">
        <f t="shared" si="33"/>
        <v>2</v>
      </c>
      <c r="AD236">
        <f t="shared" si="33"/>
        <v>3</v>
      </c>
      <c r="AE236">
        <f t="shared" si="33"/>
        <v>2</v>
      </c>
      <c r="AF236">
        <f t="shared" si="33"/>
        <v>0</v>
      </c>
      <c r="AG236">
        <f t="shared" si="30"/>
        <v>7</v>
      </c>
      <c r="AH236">
        <f t="shared" ca="1" si="31"/>
        <v>0</v>
      </c>
      <c r="AI236">
        <f>IF(ROW($AA236) - $AA$51 &lt; ($H$16+1)^5, IF(AG236 &gt;= BaseBonus!$C$16, AG236*BaseBonus!$E$31, 0), "")</f>
        <v>6.5733750690480575</v>
      </c>
      <c r="AJ236">
        <f t="shared" ca="1" si="32"/>
        <v>0</v>
      </c>
      <c r="AK236" s="44"/>
    </row>
    <row r="237" spans="28:37" x14ac:dyDescent="0.3">
      <c r="AB237">
        <f t="shared" si="33"/>
        <v>1</v>
      </c>
      <c r="AC237">
        <f t="shared" si="33"/>
        <v>2</v>
      </c>
      <c r="AD237">
        <f t="shared" si="33"/>
        <v>3</v>
      </c>
      <c r="AE237">
        <f t="shared" si="33"/>
        <v>2</v>
      </c>
      <c r="AF237">
        <f t="shared" si="33"/>
        <v>0</v>
      </c>
      <c r="AG237">
        <f t="shared" si="30"/>
        <v>8</v>
      </c>
      <c r="AH237">
        <f t="shared" ca="1" si="31"/>
        <v>0</v>
      </c>
      <c r="AI237">
        <f>IF(ROW($AA237) - $AA$51 &lt; ($H$16+1)^5, IF(AG237 &gt;= BaseBonus!$C$16, AG237*BaseBonus!$E$31, 0), "")</f>
        <v>7.5124286503406372</v>
      </c>
      <c r="AJ237">
        <f t="shared" ca="1" si="32"/>
        <v>0</v>
      </c>
      <c r="AK237" s="44"/>
    </row>
    <row r="238" spans="28:37" x14ac:dyDescent="0.3">
      <c r="AB238">
        <f t="shared" si="33"/>
        <v>2</v>
      </c>
      <c r="AC238">
        <f t="shared" si="33"/>
        <v>2</v>
      </c>
      <c r="AD238">
        <f t="shared" si="33"/>
        <v>3</v>
      </c>
      <c r="AE238">
        <f t="shared" si="33"/>
        <v>2</v>
      </c>
      <c r="AF238">
        <f t="shared" si="33"/>
        <v>0</v>
      </c>
      <c r="AG238">
        <f t="shared" si="30"/>
        <v>9</v>
      </c>
      <c r="AH238">
        <f t="shared" ca="1" si="31"/>
        <v>0</v>
      </c>
      <c r="AI238">
        <f>IF(ROW($AA238) - $AA$51 &lt; ($H$16+1)^5, IF(AG238 &gt;= BaseBonus!$C$16, AG238*BaseBonus!$E$31, 0), "")</f>
        <v>8.4514822316332161</v>
      </c>
      <c r="AJ238">
        <f t="shared" ca="1" si="32"/>
        <v>0</v>
      </c>
      <c r="AK238" s="44"/>
    </row>
    <row r="239" spans="28:37" x14ac:dyDescent="0.3">
      <c r="AB239">
        <f t="shared" si="33"/>
        <v>3</v>
      </c>
      <c r="AC239">
        <f t="shared" si="33"/>
        <v>2</v>
      </c>
      <c r="AD239">
        <f t="shared" si="33"/>
        <v>3</v>
      </c>
      <c r="AE239">
        <f t="shared" si="33"/>
        <v>2</v>
      </c>
      <c r="AF239">
        <f t="shared" si="33"/>
        <v>0</v>
      </c>
      <c r="AG239">
        <f t="shared" si="30"/>
        <v>10</v>
      </c>
      <c r="AH239">
        <f t="shared" ca="1" si="31"/>
        <v>0</v>
      </c>
      <c r="AI239">
        <f>IF(ROW($AA239) - $AA$51 &lt; ($H$16+1)^5, IF(AG239 &gt;= BaseBonus!$C$16, AG239*BaseBonus!$E$31, 0), "")</f>
        <v>9.3905358129257959</v>
      </c>
      <c r="AJ239">
        <f t="shared" ca="1" si="32"/>
        <v>0</v>
      </c>
      <c r="AK239" s="44"/>
    </row>
    <row r="240" spans="28:37" x14ac:dyDescent="0.3">
      <c r="AB240">
        <f t="shared" si="33"/>
        <v>0</v>
      </c>
      <c r="AC240">
        <f t="shared" si="33"/>
        <v>3</v>
      </c>
      <c r="AD240">
        <f t="shared" si="33"/>
        <v>3</v>
      </c>
      <c r="AE240">
        <f t="shared" si="33"/>
        <v>2</v>
      </c>
      <c r="AF240">
        <f t="shared" si="33"/>
        <v>0</v>
      </c>
      <c r="AG240">
        <f t="shared" si="30"/>
        <v>8</v>
      </c>
      <c r="AH240">
        <f t="shared" ca="1" si="31"/>
        <v>0</v>
      </c>
      <c r="AI240">
        <f>IF(ROW($AA240) - $AA$51 &lt; ($H$16+1)^5, IF(AG240 &gt;= BaseBonus!$C$16, AG240*BaseBonus!$E$31, 0), "")</f>
        <v>7.5124286503406372</v>
      </c>
      <c r="AJ240">
        <f t="shared" ca="1" si="32"/>
        <v>0</v>
      </c>
      <c r="AK240" s="44"/>
    </row>
    <row r="241" spans="28:37" x14ac:dyDescent="0.3">
      <c r="AB241">
        <f t="shared" si="33"/>
        <v>1</v>
      </c>
      <c r="AC241">
        <f t="shared" si="33"/>
        <v>3</v>
      </c>
      <c r="AD241">
        <f t="shared" si="33"/>
        <v>3</v>
      </c>
      <c r="AE241">
        <f t="shared" si="33"/>
        <v>2</v>
      </c>
      <c r="AF241">
        <f t="shared" si="33"/>
        <v>0</v>
      </c>
      <c r="AG241">
        <f t="shared" si="30"/>
        <v>9</v>
      </c>
      <c r="AH241">
        <f t="shared" ca="1" si="31"/>
        <v>0</v>
      </c>
      <c r="AI241">
        <f>IF(ROW($AA241) - $AA$51 &lt; ($H$16+1)^5, IF(AG241 &gt;= BaseBonus!$C$16, AG241*BaseBonus!$E$31, 0), "")</f>
        <v>8.4514822316332161</v>
      </c>
      <c r="AJ241">
        <f t="shared" ca="1" si="32"/>
        <v>0</v>
      </c>
      <c r="AK241" s="44"/>
    </row>
    <row r="242" spans="28:37" x14ac:dyDescent="0.3">
      <c r="AB242">
        <f t="shared" si="33"/>
        <v>2</v>
      </c>
      <c r="AC242">
        <f t="shared" si="33"/>
        <v>3</v>
      </c>
      <c r="AD242">
        <f t="shared" si="33"/>
        <v>3</v>
      </c>
      <c r="AE242">
        <f t="shared" si="33"/>
        <v>2</v>
      </c>
      <c r="AF242">
        <f t="shared" si="33"/>
        <v>0</v>
      </c>
      <c r="AG242">
        <f t="shared" si="30"/>
        <v>10</v>
      </c>
      <c r="AH242">
        <f t="shared" ca="1" si="31"/>
        <v>0</v>
      </c>
      <c r="AI242">
        <f>IF(ROW($AA242) - $AA$51 &lt; ($H$16+1)^5, IF(AG242 &gt;= BaseBonus!$C$16, AG242*BaseBonus!$E$31, 0), "")</f>
        <v>9.3905358129257959</v>
      </c>
      <c r="AJ242">
        <f t="shared" ca="1" si="32"/>
        <v>0</v>
      </c>
      <c r="AK242" s="44"/>
    </row>
    <row r="243" spans="28:37" x14ac:dyDescent="0.3">
      <c r="AB243">
        <f t="shared" si="33"/>
        <v>3</v>
      </c>
      <c r="AC243">
        <f t="shared" si="33"/>
        <v>3</v>
      </c>
      <c r="AD243">
        <f t="shared" si="33"/>
        <v>3</v>
      </c>
      <c r="AE243">
        <f t="shared" si="33"/>
        <v>2</v>
      </c>
      <c r="AF243">
        <f t="shared" si="33"/>
        <v>0</v>
      </c>
      <c r="AG243">
        <f t="shared" si="30"/>
        <v>11</v>
      </c>
      <c r="AH243">
        <f t="shared" ca="1" si="31"/>
        <v>0</v>
      </c>
      <c r="AI243">
        <f>IF(ROW($AA243) - $AA$51 &lt; ($H$16+1)^5, IF(AG243 &gt;= BaseBonus!$C$16, AG243*BaseBonus!$E$31, 0), "")</f>
        <v>10.329589394218376</v>
      </c>
      <c r="AJ243">
        <f t="shared" ca="1" si="32"/>
        <v>0</v>
      </c>
      <c r="AK243" s="44"/>
    </row>
    <row r="244" spans="28:37" x14ac:dyDescent="0.3">
      <c r="AB244">
        <f t="shared" si="33"/>
        <v>0</v>
      </c>
      <c r="AC244">
        <f t="shared" si="33"/>
        <v>0</v>
      </c>
      <c r="AD244">
        <f t="shared" si="33"/>
        <v>0</v>
      </c>
      <c r="AE244">
        <f t="shared" si="33"/>
        <v>3</v>
      </c>
      <c r="AF244">
        <f t="shared" si="33"/>
        <v>0</v>
      </c>
      <c r="AG244">
        <f t="shared" ref="AG244:AG307" si="34">IF(ROW($AA244) - $AA$51 &lt; ($H$16+1)^5, SUM(AB244:AF244), "")</f>
        <v>3</v>
      </c>
      <c r="AH244">
        <f t="shared" ref="AH244:AH307" ca="1" si="35">IF(ROW($AA244) - $AA$51 &lt; (4)^5,
    (_xlfn.XLOOKUP(AB244,$T$51:$T$55,U$51:U$55,0)/U$27) * (_xlfn.XLOOKUP(AC244,$T$51:$T$55,V$51:V$55,0)/V$27) * (_xlfn.XLOOKUP(AD244,$T$51:$T$55,W$51:W$55,0)/W$27) * (_xlfn.XLOOKUP(AE244,$T$51:$T$55,X$51:X$55,0)/X$27) * (_xlfn.XLOOKUP(AF244,$T$51:$T$55,Y$51:Y$55,0)/Y$27),
"")</f>
        <v>0</v>
      </c>
      <c r="AI244">
        <f>IF(ROW($AA244) - $AA$51 &lt; ($H$16+1)^5, IF(AG244 &gt;= BaseBonus!$C$16, AG244*BaseBonus!$E$31, 0), "")</f>
        <v>0</v>
      </c>
      <c r="AJ244">
        <f t="shared" ref="AJ244:AJ307" ca="1" si="36">IF(ROW($AA244) - $AA$51 &lt; ($H$16+1)^5, AH244*AI244, "")</f>
        <v>0</v>
      </c>
      <c r="AK244" s="44"/>
    </row>
    <row r="245" spans="28:37" x14ac:dyDescent="0.3">
      <c r="AB245">
        <f t="shared" si="33"/>
        <v>1</v>
      </c>
      <c r="AC245">
        <f t="shared" si="33"/>
        <v>0</v>
      </c>
      <c r="AD245">
        <f t="shared" si="33"/>
        <v>0</v>
      </c>
      <c r="AE245">
        <f t="shared" si="33"/>
        <v>3</v>
      </c>
      <c r="AF245">
        <f t="shared" si="33"/>
        <v>0</v>
      </c>
      <c r="AG245">
        <f t="shared" si="34"/>
        <v>4</v>
      </c>
      <c r="AH245">
        <f t="shared" ca="1" si="35"/>
        <v>0</v>
      </c>
      <c r="AI245">
        <f>IF(ROW($AA245) - $AA$51 &lt; ($H$16+1)^5, IF(AG245 &gt;= BaseBonus!$C$16, AG245*BaseBonus!$E$31, 0), "")</f>
        <v>0</v>
      </c>
      <c r="AJ245">
        <f t="shared" ca="1" si="36"/>
        <v>0</v>
      </c>
      <c r="AK245" s="44"/>
    </row>
    <row r="246" spans="28:37" x14ac:dyDescent="0.3">
      <c r="AB246">
        <f t="shared" si="33"/>
        <v>2</v>
      </c>
      <c r="AC246">
        <f t="shared" si="33"/>
        <v>0</v>
      </c>
      <c r="AD246">
        <f t="shared" si="33"/>
        <v>0</v>
      </c>
      <c r="AE246">
        <f t="shared" si="33"/>
        <v>3</v>
      </c>
      <c r="AF246">
        <f t="shared" si="33"/>
        <v>0</v>
      </c>
      <c r="AG246">
        <f t="shared" si="34"/>
        <v>5</v>
      </c>
      <c r="AH246">
        <f t="shared" ca="1" si="35"/>
        <v>0</v>
      </c>
      <c r="AI246">
        <f>IF(ROW($AA246) - $AA$51 &lt; ($H$16+1)^5, IF(AG246 &gt;= BaseBonus!$C$16, AG246*BaseBonus!$E$31, 0), "")</f>
        <v>4.6952679064628979</v>
      </c>
      <c r="AJ246">
        <f t="shared" ca="1" si="36"/>
        <v>0</v>
      </c>
      <c r="AK246" s="44"/>
    </row>
    <row r="247" spans="28:37" x14ac:dyDescent="0.3">
      <c r="AB247">
        <f t="shared" si="33"/>
        <v>3</v>
      </c>
      <c r="AC247">
        <f t="shared" si="33"/>
        <v>0</v>
      </c>
      <c r="AD247">
        <f t="shared" si="33"/>
        <v>0</v>
      </c>
      <c r="AE247">
        <f t="shared" si="33"/>
        <v>3</v>
      </c>
      <c r="AF247">
        <f t="shared" si="33"/>
        <v>0</v>
      </c>
      <c r="AG247">
        <f t="shared" si="34"/>
        <v>6</v>
      </c>
      <c r="AH247">
        <f t="shared" ca="1" si="35"/>
        <v>0</v>
      </c>
      <c r="AI247">
        <f>IF(ROW($AA247) - $AA$51 &lt; ($H$16+1)^5, IF(AG247 &gt;= BaseBonus!$C$16, AG247*BaseBonus!$E$31, 0), "")</f>
        <v>5.6343214877554777</v>
      </c>
      <c r="AJ247">
        <f t="shared" ca="1" si="36"/>
        <v>0</v>
      </c>
      <c r="AK247" s="44"/>
    </row>
    <row r="248" spans="28:37" x14ac:dyDescent="0.3">
      <c r="AB248">
        <f t="shared" si="33"/>
        <v>0</v>
      </c>
      <c r="AC248">
        <f t="shared" si="33"/>
        <v>1</v>
      </c>
      <c r="AD248">
        <f t="shared" si="33"/>
        <v>0</v>
      </c>
      <c r="AE248">
        <f t="shared" si="33"/>
        <v>3</v>
      </c>
      <c r="AF248">
        <f t="shared" si="33"/>
        <v>0</v>
      </c>
      <c r="AG248">
        <f t="shared" si="34"/>
        <v>4</v>
      </c>
      <c r="AH248">
        <f t="shared" ca="1" si="35"/>
        <v>0</v>
      </c>
      <c r="AI248">
        <f>IF(ROW($AA248) - $AA$51 &lt; ($H$16+1)^5, IF(AG248 &gt;= BaseBonus!$C$16, AG248*BaseBonus!$E$31, 0), "")</f>
        <v>0</v>
      </c>
      <c r="AJ248">
        <f t="shared" ca="1" si="36"/>
        <v>0</v>
      </c>
      <c r="AK248" s="44"/>
    </row>
    <row r="249" spans="28:37" x14ac:dyDescent="0.3">
      <c r="AB249">
        <f t="shared" si="33"/>
        <v>1</v>
      </c>
      <c r="AC249">
        <f t="shared" si="33"/>
        <v>1</v>
      </c>
      <c r="AD249">
        <f t="shared" si="33"/>
        <v>0</v>
      </c>
      <c r="AE249">
        <f t="shared" si="33"/>
        <v>3</v>
      </c>
      <c r="AF249">
        <f t="shared" si="33"/>
        <v>0</v>
      </c>
      <c r="AG249">
        <f t="shared" si="34"/>
        <v>5</v>
      </c>
      <c r="AH249">
        <f t="shared" ca="1" si="35"/>
        <v>0</v>
      </c>
      <c r="AI249">
        <f>IF(ROW($AA249) - $AA$51 &lt; ($H$16+1)^5, IF(AG249 &gt;= BaseBonus!$C$16, AG249*BaseBonus!$E$31, 0), "")</f>
        <v>4.6952679064628979</v>
      </c>
      <c r="AJ249">
        <f t="shared" ca="1" si="36"/>
        <v>0</v>
      </c>
      <c r="AK249" s="44"/>
    </row>
    <row r="250" spans="28:37" x14ac:dyDescent="0.3">
      <c r="AB250">
        <f t="shared" si="33"/>
        <v>2</v>
      </c>
      <c r="AC250">
        <f t="shared" si="33"/>
        <v>1</v>
      </c>
      <c r="AD250">
        <f t="shared" si="33"/>
        <v>0</v>
      </c>
      <c r="AE250">
        <f t="shared" si="33"/>
        <v>3</v>
      </c>
      <c r="AF250">
        <f t="shared" si="33"/>
        <v>0</v>
      </c>
      <c r="AG250">
        <f t="shared" si="34"/>
        <v>6</v>
      </c>
      <c r="AH250">
        <f t="shared" ca="1" si="35"/>
        <v>0</v>
      </c>
      <c r="AI250">
        <f>IF(ROW($AA250) - $AA$51 &lt; ($H$16+1)^5, IF(AG250 &gt;= BaseBonus!$C$16, AG250*BaseBonus!$E$31, 0), "")</f>
        <v>5.6343214877554777</v>
      </c>
      <c r="AJ250">
        <f t="shared" ca="1" si="36"/>
        <v>0</v>
      </c>
      <c r="AK250" s="44"/>
    </row>
    <row r="251" spans="28:37" x14ac:dyDescent="0.3">
      <c r="AB251">
        <f t="shared" si="33"/>
        <v>3</v>
      </c>
      <c r="AC251">
        <f t="shared" si="33"/>
        <v>1</v>
      </c>
      <c r="AD251">
        <f t="shared" si="33"/>
        <v>0</v>
      </c>
      <c r="AE251">
        <f t="shared" si="33"/>
        <v>3</v>
      </c>
      <c r="AF251">
        <f t="shared" si="33"/>
        <v>0</v>
      </c>
      <c r="AG251">
        <f t="shared" si="34"/>
        <v>7</v>
      </c>
      <c r="AH251">
        <f t="shared" ca="1" si="35"/>
        <v>0</v>
      </c>
      <c r="AI251">
        <f>IF(ROW($AA251) - $AA$51 &lt; ($H$16+1)^5, IF(AG251 &gt;= BaseBonus!$C$16, AG251*BaseBonus!$E$31, 0), "")</f>
        <v>6.5733750690480575</v>
      </c>
      <c r="AJ251">
        <f t="shared" ca="1" si="36"/>
        <v>0</v>
      </c>
      <c r="AK251" s="44"/>
    </row>
    <row r="252" spans="28:37" x14ac:dyDescent="0.3">
      <c r="AB252">
        <f t="shared" si="33"/>
        <v>0</v>
      </c>
      <c r="AC252">
        <f t="shared" si="33"/>
        <v>2</v>
      </c>
      <c r="AD252">
        <f t="shared" si="33"/>
        <v>0</v>
      </c>
      <c r="AE252">
        <f t="shared" si="33"/>
        <v>3</v>
      </c>
      <c r="AF252">
        <f t="shared" si="33"/>
        <v>0</v>
      </c>
      <c r="AG252">
        <f t="shared" si="34"/>
        <v>5</v>
      </c>
      <c r="AH252">
        <f t="shared" ca="1" si="35"/>
        <v>0</v>
      </c>
      <c r="AI252">
        <f>IF(ROW($AA252) - $AA$51 &lt; ($H$16+1)^5, IF(AG252 &gt;= BaseBonus!$C$16, AG252*BaseBonus!$E$31, 0), "")</f>
        <v>4.6952679064628979</v>
      </c>
      <c r="AJ252">
        <f t="shared" ca="1" si="36"/>
        <v>0</v>
      </c>
      <c r="AK252" s="44"/>
    </row>
    <row r="253" spans="28:37" x14ac:dyDescent="0.3">
      <c r="AB253">
        <f t="shared" si="33"/>
        <v>1</v>
      </c>
      <c r="AC253">
        <f t="shared" si="33"/>
        <v>2</v>
      </c>
      <c r="AD253">
        <f t="shared" si="33"/>
        <v>0</v>
      </c>
      <c r="AE253">
        <f t="shared" si="33"/>
        <v>3</v>
      </c>
      <c r="AF253">
        <f t="shared" si="33"/>
        <v>0</v>
      </c>
      <c r="AG253">
        <f t="shared" si="34"/>
        <v>6</v>
      </c>
      <c r="AH253">
        <f t="shared" ca="1" si="35"/>
        <v>0</v>
      </c>
      <c r="AI253">
        <f>IF(ROW($AA253) - $AA$51 &lt; ($H$16+1)^5, IF(AG253 &gt;= BaseBonus!$C$16, AG253*BaseBonus!$E$31, 0), "")</f>
        <v>5.6343214877554777</v>
      </c>
      <c r="AJ253">
        <f t="shared" ca="1" si="36"/>
        <v>0</v>
      </c>
      <c r="AK253" s="44"/>
    </row>
    <row r="254" spans="28:37" x14ac:dyDescent="0.3">
      <c r="AB254">
        <f t="shared" si="33"/>
        <v>2</v>
      </c>
      <c r="AC254">
        <f t="shared" si="33"/>
        <v>2</v>
      </c>
      <c r="AD254">
        <f t="shared" si="33"/>
        <v>0</v>
      </c>
      <c r="AE254">
        <f t="shared" si="33"/>
        <v>3</v>
      </c>
      <c r="AF254">
        <f t="shared" si="33"/>
        <v>0</v>
      </c>
      <c r="AG254">
        <f t="shared" si="34"/>
        <v>7</v>
      </c>
      <c r="AH254">
        <f t="shared" ca="1" si="35"/>
        <v>0</v>
      </c>
      <c r="AI254">
        <f>IF(ROW($AA254) - $AA$51 &lt; ($H$16+1)^5, IF(AG254 &gt;= BaseBonus!$C$16, AG254*BaseBonus!$E$31, 0), "")</f>
        <v>6.5733750690480575</v>
      </c>
      <c r="AJ254">
        <f t="shared" ca="1" si="36"/>
        <v>0</v>
      </c>
      <c r="AK254" s="44"/>
    </row>
    <row r="255" spans="28:37" x14ac:dyDescent="0.3">
      <c r="AB255">
        <f t="shared" si="33"/>
        <v>3</v>
      </c>
      <c r="AC255">
        <f t="shared" si="33"/>
        <v>2</v>
      </c>
      <c r="AD255">
        <f t="shared" si="33"/>
        <v>0</v>
      </c>
      <c r="AE255">
        <f t="shared" si="33"/>
        <v>3</v>
      </c>
      <c r="AF255">
        <f t="shared" si="33"/>
        <v>0</v>
      </c>
      <c r="AG255">
        <f t="shared" si="34"/>
        <v>8</v>
      </c>
      <c r="AH255">
        <f t="shared" ca="1" si="35"/>
        <v>0</v>
      </c>
      <c r="AI255">
        <f>IF(ROW($AA255) - $AA$51 &lt; ($H$16+1)^5, IF(AG255 &gt;= BaseBonus!$C$16, AG255*BaseBonus!$E$31, 0), "")</f>
        <v>7.5124286503406372</v>
      </c>
      <c r="AJ255">
        <f t="shared" ca="1" si="36"/>
        <v>0</v>
      </c>
      <c r="AK255" s="44"/>
    </row>
    <row r="256" spans="28:37" x14ac:dyDescent="0.3">
      <c r="AB256">
        <f t="shared" ref="AB256:AF306" si="37">IF(ROW()-$AA$51 &lt; (H$16+1)^5, MOD(_xlfn.FLOOR.MATH((ROW()-$AA$51)/AB$50), H$16+1), "")</f>
        <v>0</v>
      </c>
      <c r="AC256">
        <f t="shared" si="37"/>
        <v>3</v>
      </c>
      <c r="AD256">
        <f t="shared" si="37"/>
        <v>0</v>
      </c>
      <c r="AE256">
        <f t="shared" si="37"/>
        <v>3</v>
      </c>
      <c r="AF256">
        <f t="shared" si="37"/>
        <v>0</v>
      </c>
      <c r="AG256">
        <f t="shared" si="34"/>
        <v>6</v>
      </c>
      <c r="AH256">
        <f t="shared" ca="1" si="35"/>
        <v>0</v>
      </c>
      <c r="AI256">
        <f>IF(ROW($AA256) - $AA$51 &lt; ($H$16+1)^5, IF(AG256 &gt;= BaseBonus!$C$16, AG256*BaseBonus!$E$31, 0), "")</f>
        <v>5.6343214877554777</v>
      </c>
      <c r="AJ256">
        <f t="shared" ca="1" si="36"/>
        <v>0</v>
      </c>
      <c r="AK256" s="44"/>
    </row>
    <row r="257" spans="28:37" x14ac:dyDescent="0.3">
      <c r="AB257">
        <f t="shared" si="37"/>
        <v>1</v>
      </c>
      <c r="AC257">
        <f t="shared" si="37"/>
        <v>3</v>
      </c>
      <c r="AD257">
        <f t="shared" si="37"/>
        <v>0</v>
      </c>
      <c r="AE257">
        <f t="shared" si="37"/>
        <v>3</v>
      </c>
      <c r="AF257">
        <f t="shared" si="37"/>
        <v>0</v>
      </c>
      <c r="AG257">
        <f t="shared" si="34"/>
        <v>7</v>
      </c>
      <c r="AH257">
        <f t="shared" ca="1" si="35"/>
        <v>0</v>
      </c>
      <c r="AI257">
        <f>IF(ROW($AA257) - $AA$51 &lt; ($H$16+1)^5, IF(AG257 &gt;= BaseBonus!$C$16, AG257*BaseBonus!$E$31, 0), "")</f>
        <v>6.5733750690480575</v>
      </c>
      <c r="AJ257">
        <f t="shared" ca="1" si="36"/>
        <v>0</v>
      </c>
      <c r="AK257" s="44"/>
    </row>
    <row r="258" spans="28:37" x14ac:dyDescent="0.3">
      <c r="AB258">
        <f t="shared" si="37"/>
        <v>2</v>
      </c>
      <c r="AC258">
        <f t="shared" si="37"/>
        <v>3</v>
      </c>
      <c r="AD258">
        <f t="shared" si="37"/>
        <v>0</v>
      </c>
      <c r="AE258">
        <f t="shared" si="37"/>
        <v>3</v>
      </c>
      <c r="AF258">
        <f t="shared" si="37"/>
        <v>0</v>
      </c>
      <c r="AG258">
        <f t="shared" si="34"/>
        <v>8</v>
      </c>
      <c r="AH258">
        <f t="shared" ca="1" si="35"/>
        <v>0</v>
      </c>
      <c r="AI258">
        <f>IF(ROW($AA258) - $AA$51 &lt; ($H$16+1)^5, IF(AG258 &gt;= BaseBonus!$C$16, AG258*BaseBonus!$E$31, 0), "")</f>
        <v>7.5124286503406372</v>
      </c>
      <c r="AJ258">
        <f t="shared" ca="1" si="36"/>
        <v>0</v>
      </c>
      <c r="AK258" s="44"/>
    </row>
    <row r="259" spans="28:37" x14ac:dyDescent="0.3">
      <c r="AB259">
        <f t="shared" si="37"/>
        <v>3</v>
      </c>
      <c r="AC259">
        <f t="shared" si="37"/>
        <v>3</v>
      </c>
      <c r="AD259">
        <f t="shared" si="37"/>
        <v>0</v>
      </c>
      <c r="AE259">
        <f t="shared" si="37"/>
        <v>3</v>
      </c>
      <c r="AF259">
        <f t="shared" si="37"/>
        <v>0</v>
      </c>
      <c r="AG259">
        <f t="shared" si="34"/>
        <v>9</v>
      </c>
      <c r="AH259">
        <f t="shared" ca="1" si="35"/>
        <v>0</v>
      </c>
      <c r="AI259">
        <f>IF(ROW($AA259) - $AA$51 &lt; ($H$16+1)^5, IF(AG259 &gt;= BaseBonus!$C$16, AG259*BaseBonus!$E$31, 0), "")</f>
        <v>8.4514822316332161</v>
      </c>
      <c r="AJ259">
        <f t="shared" ca="1" si="36"/>
        <v>0</v>
      </c>
      <c r="AK259" s="44"/>
    </row>
    <row r="260" spans="28:37" x14ac:dyDescent="0.3">
      <c r="AB260">
        <f t="shared" si="37"/>
        <v>0</v>
      </c>
      <c r="AC260">
        <f t="shared" si="37"/>
        <v>0</v>
      </c>
      <c r="AD260">
        <f t="shared" si="37"/>
        <v>1</v>
      </c>
      <c r="AE260">
        <f t="shared" si="37"/>
        <v>3</v>
      </c>
      <c r="AF260">
        <f t="shared" si="37"/>
        <v>0</v>
      </c>
      <c r="AG260">
        <f t="shared" si="34"/>
        <v>4</v>
      </c>
      <c r="AH260">
        <f t="shared" ca="1" si="35"/>
        <v>0</v>
      </c>
      <c r="AI260">
        <f>IF(ROW($AA260) - $AA$51 &lt; ($H$16+1)^5, IF(AG260 &gt;= BaseBonus!$C$16, AG260*BaseBonus!$E$31, 0), "")</f>
        <v>0</v>
      </c>
      <c r="AJ260">
        <f t="shared" ca="1" si="36"/>
        <v>0</v>
      </c>
      <c r="AK260" s="44"/>
    </row>
    <row r="261" spans="28:37" x14ac:dyDescent="0.3">
      <c r="AB261">
        <f t="shared" si="37"/>
        <v>1</v>
      </c>
      <c r="AC261">
        <f t="shared" si="37"/>
        <v>0</v>
      </c>
      <c r="AD261">
        <f t="shared" si="37"/>
        <v>1</v>
      </c>
      <c r="AE261">
        <f t="shared" si="37"/>
        <v>3</v>
      </c>
      <c r="AF261">
        <f t="shared" si="37"/>
        <v>0</v>
      </c>
      <c r="AG261">
        <f t="shared" si="34"/>
        <v>5</v>
      </c>
      <c r="AH261">
        <f t="shared" ca="1" si="35"/>
        <v>0</v>
      </c>
      <c r="AI261">
        <f>IF(ROW($AA261) - $AA$51 &lt; ($H$16+1)^5, IF(AG261 &gt;= BaseBonus!$C$16, AG261*BaseBonus!$E$31, 0), "")</f>
        <v>4.6952679064628979</v>
      </c>
      <c r="AJ261">
        <f t="shared" ca="1" si="36"/>
        <v>0</v>
      </c>
      <c r="AK261" s="44"/>
    </row>
    <row r="262" spans="28:37" x14ac:dyDescent="0.3">
      <c r="AB262">
        <f t="shared" si="37"/>
        <v>2</v>
      </c>
      <c r="AC262">
        <f t="shared" si="37"/>
        <v>0</v>
      </c>
      <c r="AD262">
        <f t="shared" si="37"/>
        <v>1</v>
      </c>
      <c r="AE262">
        <f t="shared" si="37"/>
        <v>3</v>
      </c>
      <c r="AF262">
        <f t="shared" si="37"/>
        <v>0</v>
      </c>
      <c r="AG262">
        <f t="shared" si="34"/>
        <v>6</v>
      </c>
      <c r="AH262">
        <f t="shared" ca="1" si="35"/>
        <v>0</v>
      </c>
      <c r="AI262">
        <f>IF(ROW($AA262) - $AA$51 &lt; ($H$16+1)^5, IF(AG262 &gt;= BaseBonus!$C$16, AG262*BaseBonus!$E$31, 0), "")</f>
        <v>5.6343214877554777</v>
      </c>
      <c r="AJ262">
        <f t="shared" ca="1" si="36"/>
        <v>0</v>
      </c>
      <c r="AK262" s="44"/>
    </row>
    <row r="263" spans="28:37" x14ac:dyDescent="0.3">
      <c r="AB263">
        <f t="shared" si="37"/>
        <v>3</v>
      </c>
      <c r="AC263">
        <f t="shared" si="37"/>
        <v>0</v>
      </c>
      <c r="AD263">
        <f t="shared" si="37"/>
        <v>1</v>
      </c>
      <c r="AE263">
        <f t="shared" si="37"/>
        <v>3</v>
      </c>
      <c r="AF263">
        <f t="shared" si="37"/>
        <v>0</v>
      </c>
      <c r="AG263">
        <f t="shared" si="34"/>
        <v>7</v>
      </c>
      <c r="AH263">
        <f t="shared" ca="1" si="35"/>
        <v>0</v>
      </c>
      <c r="AI263">
        <f>IF(ROW($AA263) - $AA$51 &lt; ($H$16+1)^5, IF(AG263 &gt;= BaseBonus!$C$16, AG263*BaseBonus!$E$31, 0), "")</f>
        <v>6.5733750690480575</v>
      </c>
      <c r="AJ263">
        <f t="shared" ca="1" si="36"/>
        <v>0</v>
      </c>
      <c r="AK263" s="44"/>
    </row>
    <row r="264" spans="28:37" x14ac:dyDescent="0.3">
      <c r="AB264">
        <f t="shared" si="37"/>
        <v>0</v>
      </c>
      <c r="AC264">
        <f t="shared" si="37"/>
        <v>1</v>
      </c>
      <c r="AD264">
        <f t="shared" si="37"/>
        <v>1</v>
      </c>
      <c r="AE264">
        <f t="shared" si="37"/>
        <v>3</v>
      </c>
      <c r="AF264">
        <f t="shared" si="37"/>
        <v>0</v>
      </c>
      <c r="AG264">
        <f t="shared" si="34"/>
        <v>5</v>
      </c>
      <c r="AH264">
        <f t="shared" ca="1" si="35"/>
        <v>0</v>
      </c>
      <c r="AI264">
        <f>IF(ROW($AA264) - $AA$51 &lt; ($H$16+1)^5, IF(AG264 &gt;= BaseBonus!$C$16, AG264*BaseBonus!$E$31, 0), "")</f>
        <v>4.6952679064628979</v>
      </c>
      <c r="AJ264">
        <f t="shared" ca="1" si="36"/>
        <v>0</v>
      </c>
      <c r="AK264" s="44"/>
    </row>
    <row r="265" spans="28:37" x14ac:dyDescent="0.3">
      <c r="AB265">
        <f t="shared" si="37"/>
        <v>1</v>
      </c>
      <c r="AC265">
        <f t="shared" si="37"/>
        <v>1</v>
      </c>
      <c r="AD265">
        <f t="shared" si="37"/>
        <v>1</v>
      </c>
      <c r="AE265">
        <f t="shared" si="37"/>
        <v>3</v>
      </c>
      <c r="AF265">
        <f t="shared" si="37"/>
        <v>0</v>
      </c>
      <c r="AG265">
        <f t="shared" si="34"/>
        <v>6</v>
      </c>
      <c r="AH265">
        <f t="shared" ca="1" si="35"/>
        <v>0</v>
      </c>
      <c r="AI265">
        <f>IF(ROW($AA265) - $AA$51 &lt; ($H$16+1)^5, IF(AG265 &gt;= BaseBonus!$C$16, AG265*BaseBonus!$E$31, 0), "")</f>
        <v>5.6343214877554777</v>
      </c>
      <c r="AJ265">
        <f t="shared" ca="1" si="36"/>
        <v>0</v>
      </c>
      <c r="AK265" s="44"/>
    </row>
    <row r="266" spans="28:37" x14ac:dyDescent="0.3">
      <c r="AB266">
        <f t="shared" si="37"/>
        <v>2</v>
      </c>
      <c r="AC266">
        <f t="shared" si="37"/>
        <v>1</v>
      </c>
      <c r="AD266">
        <f t="shared" si="37"/>
        <v>1</v>
      </c>
      <c r="AE266">
        <f t="shared" si="37"/>
        <v>3</v>
      </c>
      <c r="AF266">
        <f t="shared" si="37"/>
        <v>0</v>
      </c>
      <c r="AG266">
        <f t="shared" si="34"/>
        <v>7</v>
      </c>
      <c r="AH266">
        <f t="shared" ca="1" si="35"/>
        <v>0</v>
      </c>
      <c r="AI266">
        <f>IF(ROW($AA266) - $AA$51 &lt; ($H$16+1)^5, IF(AG266 &gt;= BaseBonus!$C$16, AG266*BaseBonus!$E$31, 0), "")</f>
        <v>6.5733750690480575</v>
      </c>
      <c r="AJ266">
        <f t="shared" ca="1" si="36"/>
        <v>0</v>
      </c>
      <c r="AK266" s="44"/>
    </row>
    <row r="267" spans="28:37" x14ac:dyDescent="0.3">
      <c r="AB267">
        <f t="shared" si="37"/>
        <v>3</v>
      </c>
      <c r="AC267">
        <f t="shared" si="37"/>
        <v>1</v>
      </c>
      <c r="AD267">
        <f t="shared" si="37"/>
        <v>1</v>
      </c>
      <c r="AE267">
        <f t="shared" si="37"/>
        <v>3</v>
      </c>
      <c r="AF267">
        <f t="shared" si="37"/>
        <v>0</v>
      </c>
      <c r="AG267">
        <f t="shared" si="34"/>
        <v>8</v>
      </c>
      <c r="AH267">
        <f t="shared" ca="1" si="35"/>
        <v>0</v>
      </c>
      <c r="AI267">
        <f>IF(ROW($AA267) - $AA$51 &lt; ($H$16+1)^5, IF(AG267 &gt;= BaseBonus!$C$16, AG267*BaseBonus!$E$31, 0), "")</f>
        <v>7.5124286503406372</v>
      </c>
      <c r="AJ267">
        <f t="shared" ca="1" si="36"/>
        <v>0</v>
      </c>
      <c r="AK267" s="44"/>
    </row>
    <row r="268" spans="28:37" x14ac:dyDescent="0.3">
      <c r="AB268">
        <f t="shared" si="37"/>
        <v>0</v>
      </c>
      <c r="AC268">
        <f t="shared" si="37"/>
        <v>2</v>
      </c>
      <c r="AD268">
        <f t="shared" si="37"/>
        <v>1</v>
      </c>
      <c r="AE268">
        <f t="shared" si="37"/>
        <v>3</v>
      </c>
      <c r="AF268">
        <f t="shared" si="37"/>
        <v>0</v>
      </c>
      <c r="AG268">
        <f t="shared" si="34"/>
        <v>6</v>
      </c>
      <c r="AH268">
        <f t="shared" ca="1" si="35"/>
        <v>0</v>
      </c>
      <c r="AI268">
        <f>IF(ROW($AA268) - $AA$51 &lt; ($H$16+1)^5, IF(AG268 &gt;= BaseBonus!$C$16, AG268*BaseBonus!$E$31, 0), "")</f>
        <v>5.6343214877554777</v>
      </c>
      <c r="AJ268">
        <f t="shared" ca="1" si="36"/>
        <v>0</v>
      </c>
      <c r="AK268" s="44"/>
    </row>
    <row r="269" spans="28:37" x14ac:dyDescent="0.3">
      <c r="AB269">
        <f t="shared" si="37"/>
        <v>1</v>
      </c>
      <c r="AC269">
        <f t="shared" si="37"/>
        <v>2</v>
      </c>
      <c r="AD269">
        <f t="shared" si="37"/>
        <v>1</v>
      </c>
      <c r="AE269">
        <f t="shared" si="37"/>
        <v>3</v>
      </c>
      <c r="AF269">
        <f t="shared" si="37"/>
        <v>0</v>
      </c>
      <c r="AG269">
        <f t="shared" si="34"/>
        <v>7</v>
      </c>
      <c r="AH269">
        <f t="shared" ca="1" si="35"/>
        <v>0</v>
      </c>
      <c r="AI269">
        <f>IF(ROW($AA269) - $AA$51 &lt; ($H$16+1)^5, IF(AG269 &gt;= BaseBonus!$C$16, AG269*BaseBonus!$E$31, 0), "")</f>
        <v>6.5733750690480575</v>
      </c>
      <c r="AJ269">
        <f t="shared" ca="1" si="36"/>
        <v>0</v>
      </c>
      <c r="AK269" s="44"/>
    </row>
    <row r="270" spans="28:37" x14ac:dyDescent="0.3">
      <c r="AB270">
        <f t="shared" si="37"/>
        <v>2</v>
      </c>
      <c r="AC270">
        <f t="shared" si="37"/>
        <v>2</v>
      </c>
      <c r="AD270">
        <f t="shared" si="37"/>
        <v>1</v>
      </c>
      <c r="AE270">
        <f t="shared" si="37"/>
        <v>3</v>
      </c>
      <c r="AF270">
        <f t="shared" si="37"/>
        <v>0</v>
      </c>
      <c r="AG270">
        <f t="shared" si="34"/>
        <v>8</v>
      </c>
      <c r="AH270">
        <f t="shared" ca="1" si="35"/>
        <v>0</v>
      </c>
      <c r="AI270">
        <f>IF(ROW($AA270) - $AA$51 &lt; ($H$16+1)^5, IF(AG270 &gt;= BaseBonus!$C$16, AG270*BaseBonus!$E$31, 0), "")</f>
        <v>7.5124286503406372</v>
      </c>
      <c r="AJ270">
        <f t="shared" ca="1" si="36"/>
        <v>0</v>
      </c>
      <c r="AK270" s="44"/>
    </row>
    <row r="271" spans="28:37" x14ac:dyDescent="0.3">
      <c r="AB271">
        <f t="shared" si="37"/>
        <v>3</v>
      </c>
      <c r="AC271">
        <f t="shared" si="37"/>
        <v>2</v>
      </c>
      <c r="AD271">
        <f t="shared" si="37"/>
        <v>1</v>
      </c>
      <c r="AE271">
        <f t="shared" si="37"/>
        <v>3</v>
      </c>
      <c r="AF271">
        <f t="shared" si="37"/>
        <v>0</v>
      </c>
      <c r="AG271">
        <f t="shared" si="34"/>
        <v>9</v>
      </c>
      <c r="AH271">
        <f t="shared" ca="1" si="35"/>
        <v>0</v>
      </c>
      <c r="AI271">
        <f>IF(ROW($AA271) - $AA$51 &lt; ($H$16+1)^5, IF(AG271 &gt;= BaseBonus!$C$16, AG271*BaseBonus!$E$31, 0), "")</f>
        <v>8.4514822316332161</v>
      </c>
      <c r="AJ271">
        <f t="shared" ca="1" si="36"/>
        <v>0</v>
      </c>
      <c r="AK271" s="44"/>
    </row>
    <row r="272" spans="28:37" x14ac:dyDescent="0.3">
      <c r="AB272">
        <f t="shared" si="37"/>
        <v>0</v>
      </c>
      <c r="AC272">
        <f t="shared" si="37"/>
        <v>3</v>
      </c>
      <c r="AD272">
        <f t="shared" si="37"/>
        <v>1</v>
      </c>
      <c r="AE272">
        <f t="shared" si="37"/>
        <v>3</v>
      </c>
      <c r="AF272">
        <f t="shared" si="37"/>
        <v>0</v>
      </c>
      <c r="AG272">
        <f t="shared" si="34"/>
        <v>7</v>
      </c>
      <c r="AH272">
        <f t="shared" ca="1" si="35"/>
        <v>0</v>
      </c>
      <c r="AI272">
        <f>IF(ROW($AA272) - $AA$51 &lt; ($H$16+1)^5, IF(AG272 &gt;= BaseBonus!$C$16, AG272*BaseBonus!$E$31, 0), "")</f>
        <v>6.5733750690480575</v>
      </c>
      <c r="AJ272">
        <f t="shared" ca="1" si="36"/>
        <v>0</v>
      </c>
      <c r="AK272" s="44"/>
    </row>
    <row r="273" spans="28:37" x14ac:dyDescent="0.3">
      <c r="AB273">
        <f t="shared" si="37"/>
        <v>1</v>
      </c>
      <c r="AC273">
        <f t="shared" si="37"/>
        <v>3</v>
      </c>
      <c r="AD273">
        <f t="shared" si="37"/>
        <v>1</v>
      </c>
      <c r="AE273">
        <f t="shared" si="37"/>
        <v>3</v>
      </c>
      <c r="AF273">
        <f t="shared" si="37"/>
        <v>0</v>
      </c>
      <c r="AG273">
        <f t="shared" si="34"/>
        <v>8</v>
      </c>
      <c r="AH273">
        <f t="shared" ca="1" si="35"/>
        <v>0</v>
      </c>
      <c r="AI273">
        <f>IF(ROW($AA273) - $AA$51 &lt; ($H$16+1)^5, IF(AG273 &gt;= BaseBonus!$C$16, AG273*BaseBonus!$E$31, 0), "")</f>
        <v>7.5124286503406372</v>
      </c>
      <c r="AJ273">
        <f t="shared" ca="1" si="36"/>
        <v>0</v>
      </c>
      <c r="AK273" s="44"/>
    </row>
    <row r="274" spans="28:37" x14ac:dyDescent="0.3">
      <c r="AB274">
        <f t="shared" si="37"/>
        <v>2</v>
      </c>
      <c r="AC274">
        <f t="shared" si="37"/>
        <v>3</v>
      </c>
      <c r="AD274">
        <f t="shared" si="37"/>
        <v>1</v>
      </c>
      <c r="AE274">
        <f t="shared" si="37"/>
        <v>3</v>
      </c>
      <c r="AF274">
        <f t="shared" si="37"/>
        <v>0</v>
      </c>
      <c r="AG274">
        <f t="shared" si="34"/>
        <v>9</v>
      </c>
      <c r="AH274">
        <f t="shared" ca="1" si="35"/>
        <v>0</v>
      </c>
      <c r="AI274">
        <f>IF(ROW($AA274) - $AA$51 &lt; ($H$16+1)^5, IF(AG274 &gt;= BaseBonus!$C$16, AG274*BaseBonus!$E$31, 0), "")</f>
        <v>8.4514822316332161</v>
      </c>
      <c r="AJ274">
        <f t="shared" ca="1" si="36"/>
        <v>0</v>
      </c>
      <c r="AK274" s="44"/>
    </row>
    <row r="275" spans="28:37" x14ac:dyDescent="0.3">
      <c r="AB275">
        <f t="shared" si="37"/>
        <v>3</v>
      </c>
      <c r="AC275">
        <f t="shared" si="37"/>
        <v>3</v>
      </c>
      <c r="AD275">
        <f t="shared" si="37"/>
        <v>1</v>
      </c>
      <c r="AE275">
        <f t="shared" si="37"/>
        <v>3</v>
      </c>
      <c r="AF275">
        <f t="shared" si="37"/>
        <v>0</v>
      </c>
      <c r="AG275">
        <f t="shared" si="34"/>
        <v>10</v>
      </c>
      <c r="AH275">
        <f t="shared" ca="1" si="35"/>
        <v>0</v>
      </c>
      <c r="AI275">
        <f>IF(ROW($AA275) - $AA$51 &lt; ($H$16+1)^5, IF(AG275 &gt;= BaseBonus!$C$16, AG275*BaseBonus!$E$31, 0), "")</f>
        <v>9.3905358129257959</v>
      </c>
      <c r="AJ275">
        <f t="shared" ca="1" si="36"/>
        <v>0</v>
      </c>
      <c r="AK275" s="44"/>
    </row>
    <row r="276" spans="28:37" x14ac:dyDescent="0.3">
      <c r="AB276">
        <f t="shared" si="37"/>
        <v>0</v>
      </c>
      <c r="AC276">
        <f t="shared" si="37"/>
        <v>0</v>
      </c>
      <c r="AD276">
        <f t="shared" si="37"/>
        <v>2</v>
      </c>
      <c r="AE276">
        <f t="shared" si="37"/>
        <v>3</v>
      </c>
      <c r="AF276">
        <f t="shared" si="37"/>
        <v>0</v>
      </c>
      <c r="AG276">
        <f t="shared" si="34"/>
        <v>5</v>
      </c>
      <c r="AH276">
        <f t="shared" ca="1" si="35"/>
        <v>0</v>
      </c>
      <c r="AI276">
        <f>IF(ROW($AA276) - $AA$51 &lt; ($H$16+1)^5, IF(AG276 &gt;= BaseBonus!$C$16, AG276*BaseBonus!$E$31, 0), "")</f>
        <v>4.6952679064628979</v>
      </c>
      <c r="AJ276">
        <f t="shared" ca="1" si="36"/>
        <v>0</v>
      </c>
      <c r="AK276" s="44"/>
    </row>
    <row r="277" spans="28:37" x14ac:dyDescent="0.3">
      <c r="AB277">
        <f t="shared" si="37"/>
        <v>1</v>
      </c>
      <c r="AC277">
        <f t="shared" si="37"/>
        <v>0</v>
      </c>
      <c r="AD277">
        <f t="shared" si="37"/>
        <v>2</v>
      </c>
      <c r="AE277">
        <f t="shared" si="37"/>
        <v>3</v>
      </c>
      <c r="AF277">
        <f t="shared" si="37"/>
        <v>0</v>
      </c>
      <c r="AG277">
        <f t="shared" si="34"/>
        <v>6</v>
      </c>
      <c r="AH277">
        <f t="shared" ca="1" si="35"/>
        <v>0</v>
      </c>
      <c r="AI277">
        <f>IF(ROW($AA277) - $AA$51 &lt; ($H$16+1)^5, IF(AG277 &gt;= BaseBonus!$C$16, AG277*BaseBonus!$E$31, 0), "")</f>
        <v>5.6343214877554777</v>
      </c>
      <c r="AJ277">
        <f t="shared" ca="1" si="36"/>
        <v>0</v>
      </c>
      <c r="AK277" s="44"/>
    </row>
    <row r="278" spans="28:37" x14ac:dyDescent="0.3">
      <c r="AB278">
        <f t="shared" si="37"/>
        <v>2</v>
      </c>
      <c r="AC278">
        <f t="shared" si="37"/>
        <v>0</v>
      </c>
      <c r="AD278">
        <f t="shared" si="37"/>
        <v>2</v>
      </c>
      <c r="AE278">
        <f t="shared" si="37"/>
        <v>3</v>
      </c>
      <c r="AF278">
        <f t="shared" si="37"/>
        <v>0</v>
      </c>
      <c r="AG278">
        <f t="shared" si="34"/>
        <v>7</v>
      </c>
      <c r="AH278">
        <f t="shared" ca="1" si="35"/>
        <v>0</v>
      </c>
      <c r="AI278">
        <f>IF(ROW($AA278) - $AA$51 &lt; ($H$16+1)^5, IF(AG278 &gt;= BaseBonus!$C$16, AG278*BaseBonus!$E$31, 0), "")</f>
        <v>6.5733750690480575</v>
      </c>
      <c r="AJ278">
        <f t="shared" ca="1" si="36"/>
        <v>0</v>
      </c>
      <c r="AK278" s="44"/>
    </row>
    <row r="279" spans="28:37" x14ac:dyDescent="0.3">
      <c r="AB279">
        <f t="shared" si="37"/>
        <v>3</v>
      </c>
      <c r="AC279">
        <f t="shared" si="37"/>
        <v>0</v>
      </c>
      <c r="AD279">
        <f t="shared" si="37"/>
        <v>2</v>
      </c>
      <c r="AE279">
        <f t="shared" si="37"/>
        <v>3</v>
      </c>
      <c r="AF279">
        <f t="shared" si="37"/>
        <v>0</v>
      </c>
      <c r="AG279">
        <f t="shared" si="34"/>
        <v>8</v>
      </c>
      <c r="AH279">
        <f t="shared" ca="1" si="35"/>
        <v>0</v>
      </c>
      <c r="AI279">
        <f>IF(ROW($AA279) - $AA$51 &lt; ($H$16+1)^5, IF(AG279 &gt;= BaseBonus!$C$16, AG279*BaseBonus!$E$31, 0), "")</f>
        <v>7.5124286503406372</v>
      </c>
      <c r="AJ279">
        <f t="shared" ca="1" si="36"/>
        <v>0</v>
      </c>
      <c r="AK279" s="44"/>
    </row>
    <row r="280" spans="28:37" x14ac:dyDescent="0.3">
      <c r="AB280">
        <f t="shared" si="37"/>
        <v>0</v>
      </c>
      <c r="AC280">
        <f t="shared" si="37"/>
        <v>1</v>
      </c>
      <c r="AD280">
        <f t="shared" si="37"/>
        <v>2</v>
      </c>
      <c r="AE280">
        <f t="shared" si="37"/>
        <v>3</v>
      </c>
      <c r="AF280">
        <f t="shared" si="37"/>
        <v>0</v>
      </c>
      <c r="AG280">
        <f t="shared" si="34"/>
        <v>6</v>
      </c>
      <c r="AH280">
        <f t="shared" ca="1" si="35"/>
        <v>0</v>
      </c>
      <c r="AI280">
        <f>IF(ROW($AA280) - $AA$51 &lt; ($H$16+1)^5, IF(AG280 &gt;= BaseBonus!$C$16, AG280*BaseBonus!$E$31, 0), "")</f>
        <v>5.6343214877554777</v>
      </c>
      <c r="AJ280">
        <f t="shared" ca="1" si="36"/>
        <v>0</v>
      </c>
      <c r="AK280" s="44"/>
    </row>
    <row r="281" spans="28:37" x14ac:dyDescent="0.3">
      <c r="AB281">
        <f t="shared" si="37"/>
        <v>1</v>
      </c>
      <c r="AC281">
        <f t="shared" si="37"/>
        <v>1</v>
      </c>
      <c r="AD281">
        <f t="shared" si="37"/>
        <v>2</v>
      </c>
      <c r="AE281">
        <f t="shared" si="37"/>
        <v>3</v>
      </c>
      <c r="AF281">
        <f t="shared" si="37"/>
        <v>0</v>
      </c>
      <c r="AG281">
        <f t="shared" si="34"/>
        <v>7</v>
      </c>
      <c r="AH281">
        <f t="shared" ca="1" si="35"/>
        <v>0</v>
      </c>
      <c r="AI281">
        <f>IF(ROW($AA281) - $AA$51 &lt; ($H$16+1)^5, IF(AG281 &gt;= BaseBonus!$C$16, AG281*BaseBonus!$E$31, 0), "")</f>
        <v>6.5733750690480575</v>
      </c>
      <c r="AJ281">
        <f t="shared" ca="1" si="36"/>
        <v>0</v>
      </c>
      <c r="AK281" s="44"/>
    </row>
    <row r="282" spans="28:37" x14ac:dyDescent="0.3">
      <c r="AB282">
        <f t="shared" si="37"/>
        <v>2</v>
      </c>
      <c r="AC282">
        <f t="shared" si="37"/>
        <v>1</v>
      </c>
      <c r="AD282">
        <f t="shared" si="37"/>
        <v>2</v>
      </c>
      <c r="AE282">
        <f t="shared" si="37"/>
        <v>3</v>
      </c>
      <c r="AF282">
        <f t="shared" si="37"/>
        <v>0</v>
      </c>
      <c r="AG282">
        <f t="shared" si="34"/>
        <v>8</v>
      </c>
      <c r="AH282">
        <f t="shared" ca="1" si="35"/>
        <v>0</v>
      </c>
      <c r="AI282">
        <f>IF(ROW($AA282) - $AA$51 &lt; ($H$16+1)^5, IF(AG282 &gt;= BaseBonus!$C$16, AG282*BaseBonus!$E$31, 0), "")</f>
        <v>7.5124286503406372</v>
      </c>
      <c r="AJ282">
        <f t="shared" ca="1" si="36"/>
        <v>0</v>
      </c>
      <c r="AK282" s="44"/>
    </row>
    <row r="283" spans="28:37" x14ac:dyDescent="0.3">
      <c r="AB283">
        <f t="shared" si="37"/>
        <v>3</v>
      </c>
      <c r="AC283">
        <f t="shared" si="37"/>
        <v>1</v>
      </c>
      <c r="AD283">
        <f t="shared" si="37"/>
        <v>2</v>
      </c>
      <c r="AE283">
        <f t="shared" si="37"/>
        <v>3</v>
      </c>
      <c r="AF283">
        <f t="shared" si="37"/>
        <v>0</v>
      </c>
      <c r="AG283">
        <f t="shared" si="34"/>
        <v>9</v>
      </c>
      <c r="AH283">
        <f t="shared" ca="1" si="35"/>
        <v>0</v>
      </c>
      <c r="AI283">
        <f>IF(ROW($AA283) - $AA$51 &lt; ($H$16+1)^5, IF(AG283 &gt;= BaseBonus!$C$16, AG283*BaseBonus!$E$31, 0), "")</f>
        <v>8.4514822316332161</v>
      </c>
      <c r="AJ283">
        <f t="shared" ca="1" si="36"/>
        <v>0</v>
      </c>
      <c r="AK283" s="44"/>
    </row>
    <row r="284" spans="28:37" x14ac:dyDescent="0.3">
      <c r="AB284">
        <f t="shared" si="37"/>
        <v>0</v>
      </c>
      <c r="AC284">
        <f t="shared" si="37"/>
        <v>2</v>
      </c>
      <c r="AD284">
        <f t="shared" si="37"/>
        <v>2</v>
      </c>
      <c r="AE284">
        <f t="shared" si="37"/>
        <v>3</v>
      </c>
      <c r="AF284">
        <f t="shared" si="37"/>
        <v>0</v>
      </c>
      <c r="AG284">
        <f t="shared" si="34"/>
        <v>7</v>
      </c>
      <c r="AH284">
        <f t="shared" ca="1" si="35"/>
        <v>0</v>
      </c>
      <c r="AI284">
        <f>IF(ROW($AA284) - $AA$51 &lt; ($H$16+1)^5, IF(AG284 &gt;= BaseBonus!$C$16, AG284*BaseBonus!$E$31, 0), "")</f>
        <v>6.5733750690480575</v>
      </c>
      <c r="AJ284">
        <f t="shared" ca="1" si="36"/>
        <v>0</v>
      </c>
      <c r="AK284" s="44"/>
    </row>
    <row r="285" spans="28:37" x14ac:dyDescent="0.3">
      <c r="AB285">
        <f t="shared" si="37"/>
        <v>1</v>
      </c>
      <c r="AC285">
        <f t="shared" si="37"/>
        <v>2</v>
      </c>
      <c r="AD285">
        <f t="shared" si="37"/>
        <v>2</v>
      </c>
      <c r="AE285">
        <f t="shared" si="37"/>
        <v>3</v>
      </c>
      <c r="AF285">
        <f t="shared" si="37"/>
        <v>0</v>
      </c>
      <c r="AG285">
        <f t="shared" si="34"/>
        <v>8</v>
      </c>
      <c r="AH285">
        <f t="shared" ca="1" si="35"/>
        <v>0</v>
      </c>
      <c r="AI285">
        <f>IF(ROW($AA285) - $AA$51 &lt; ($H$16+1)^5, IF(AG285 &gt;= BaseBonus!$C$16, AG285*BaseBonus!$E$31, 0), "")</f>
        <v>7.5124286503406372</v>
      </c>
      <c r="AJ285">
        <f t="shared" ca="1" si="36"/>
        <v>0</v>
      </c>
      <c r="AK285" s="44"/>
    </row>
    <row r="286" spans="28:37" x14ac:dyDescent="0.3">
      <c r="AB286">
        <f t="shared" si="37"/>
        <v>2</v>
      </c>
      <c r="AC286">
        <f t="shared" si="37"/>
        <v>2</v>
      </c>
      <c r="AD286">
        <f t="shared" si="37"/>
        <v>2</v>
      </c>
      <c r="AE286">
        <f t="shared" si="37"/>
        <v>3</v>
      </c>
      <c r="AF286">
        <f t="shared" si="37"/>
        <v>0</v>
      </c>
      <c r="AG286">
        <f t="shared" si="34"/>
        <v>9</v>
      </c>
      <c r="AH286">
        <f t="shared" ca="1" si="35"/>
        <v>0</v>
      </c>
      <c r="AI286">
        <f>IF(ROW($AA286) - $AA$51 &lt; ($H$16+1)^5, IF(AG286 &gt;= BaseBonus!$C$16, AG286*BaseBonus!$E$31, 0), "")</f>
        <v>8.4514822316332161</v>
      </c>
      <c r="AJ286">
        <f t="shared" ca="1" si="36"/>
        <v>0</v>
      </c>
      <c r="AK286" s="44"/>
    </row>
    <row r="287" spans="28:37" x14ac:dyDescent="0.3">
      <c r="AB287">
        <f t="shared" si="37"/>
        <v>3</v>
      </c>
      <c r="AC287">
        <f t="shared" si="37"/>
        <v>2</v>
      </c>
      <c r="AD287">
        <f t="shared" si="37"/>
        <v>2</v>
      </c>
      <c r="AE287">
        <f t="shared" si="37"/>
        <v>3</v>
      </c>
      <c r="AF287">
        <f t="shared" si="37"/>
        <v>0</v>
      </c>
      <c r="AG287">
        <f t="shared" si="34"/>
        <v>10</v>
      </c>
      <c r="AH287">
        <f t="shared" ca="1" si="35"/>
        <v>0</v>
      </c>
      <c r="AI287">
        <f>IF(ROW($AA287) - $AA$51 &lt; ($H$16+1)^5, IF(AG287 &gt;= BaseBonus!$C$16, AG287*BaseBonus!$E$31, 0), "")</f>
        <v>9.3905358129257959</v>
      </c>
      <c r="AJ287">
        <f t="shared" ca="1" si="36"/>
        <v>0</v>
      </c>
      <c r="AK287" s="44"/>
    </row>
    <row r="288" spans="28:37" x14ac:dyDescent="0.3">
      <c r="AB288">
        <f t="shared" si="37"/>
        <v>0</v>
      </c>
      <c r="AC288">
        <f t="shared" si="37"/>
        <v>3</v>
      </c>
      <c r="AD288">
        <f t="shared" si="37"/>
        <v>2</v>
      </c>
      <c r="AE288">
        <f t="shared" si="37"/>
        <v>3</v>
      </c>
      <c r="AF288">
        <f t="shared" si="37"/>
        <v>0</v>
      </c>
      <c r="AG288">
        <f t="shared" si="34"/>
        <v>8</v>
      </c>
      <c r="AH288">
        <f t="shared" ca="1" si="35"/>
        <v>0</v>
      </c>
      <c r="AI288">
        <f>IF(ROW($AA288) - $AA$51 &lt; ($H$16+1)^5, IF(AG288 &gt;= BaseBonus!$C$16, AG288*BaseBonus!$E$31, 0), "")</f>
        <v>7.5124286503406372</v>
      </c>
      <c r="AJ288">
        <f t="shared" ca="1" si="36"/>
        <v>0</v>
      </c>
    </row>
    <row r="289" spans="28:36" x14ac:dyDescent="0.3">
      <c r="AB289">
        <f t="shared" si="37"/>
        <v>1</v>
      </c>
      <c r="AC289">
        <f t="shared" si="37"/>
        <v>3</v>
      </c>
      <c r="AD289">
        <f t="shared" si="37"/>
        <v>2</v>
      </c>
      <c r="AE289">
        <f t="shared" si="37"/>
        <v>3</v>
      </c>
      <c r="AF289">
        <f t="shared" si="37"/>
        <v>0</v>
      </c>
      <c r="AG289">
        <f t="shared" si="34"/>
        <v>9</v>
      </c>
      <c r="AH289">
        <f t="shared" ca="1" si="35"/>
        <v>0</v>
      </c>
      <c r="AI289">
        <f>IF(ROW($AA289) - $AA$51 &lt; ($H$16+1)^5, IF(AG289 &gt;= BaseBonus!$C$16, AG289*BaseBonus!$E$31, 0), "")</f>
        <v>8.4514822316332161</v>
      </c>
      <c r="AJ289">
        <f t="shared" ca="1" si="36"/>
        <v>0</v>
      </c>
    </row>
    <row r="290" spans="28:36" x14ac:dyDescent="0.3">
      <c r="AB290">
        <f t="shared" si="37"/>
        <v>2</v>
      </c>
      <c r="AC290">
        <f t="shared" si="37"/>
        <v>3</v>
      </c>
      <c r="AD290">
        <f t="shared" si="37"/>
        <v>2</v>
      </c>
      <c r="AE290">
        <f t="shared" si="37"/>
        <v>3</v>
      </c>
      <c r="AF290">
        <f t="shared" si="37"/>
        <v>0</v>
      </c>
      <c r="AG290">
        <f t="shared" si="34"/>
        <v>10</v>
      </c>
      <c r="AH290">
        <f t="shared" ca="1" si="35"/>
        <v>0</v>
      </c>
      <c r="AI290">
        <f>IF(ROW($AA290) - $AA$51 &lt; ($H$16+1)^5, IF(AG290 &gt;= BaseBonus!$C$16, AG290*BaseBonus!$E$31, 0), "")</f>
        <v>9.3905358129257959</v>
      </c>
      <c r="AJ290">
        <f t="shared" ca="1" si="36"/>
        <v>0</v>
      </c>
    </row>
    <row r="291" spans="28:36" x14ac:dyDescent="0.3">
      <c r="AB291">
        <f t="shared" si="37"/>
        <v>3</v>
      </c>
      <c r="AC291">
        <f t="shared" si="37"/>
        <v>3</v>
      </c>
      <c r="AD291">
        <f t="shared" si="37"/>
        <v>2</v>
      </c>
      <c r="AE291">
        <f t="shared" si="37"/>
        <v>3</v>
      </c>
      <c r="AF291">
        <f t="shared" si="37"/>
        <v>0</v>
      </c>
      <c r="AG291">
        <f t="shared" si="34"/>
        <v>11</v>
      </c>
      <c r="AH291">
        <f t="shared" ca="1" si="35"/>
        <v>0</v>
      </c>
      <c r="AI291">
        <f>IF(ROW($AA291) - $AA$51 &lt; ($H$16+1)^5, IF(AG291 &gt;= BaseBonus!$C$16, AG291*BaseBonus!$E$31, 0), "")</f>
        <v>10.329589394218376</v>
      </c>
      <c r="AJ291">
        <f t="shared" ca="1" si="36"/>
        <v>0</v>
      </c>
    </row>
    <row r="292" spans="28:36" x14ac:dyDescent="0.3">
      <c r="AB292">
        <f t="shared" si="37"/>
        <v>0</v>
      </c>
      <c r="AC292">
        <f t="shared" si="37"/>
        <v>0</v>
      </c>
      <c r="AD292">
        <f t="shared" si="37"/>
        <v>3</v>
      </c>
      <c r="AE292">
        <f t="shared" si="37"/>
        <v>3</v>
      </c>
      <c r="AF292">
        <f t="shared" si="37"/>
        <v>0</v>
      </c>
      <c r="AG292">
        <f t="shared" si="34"/>
        <v>6</v>
      </c>
      <c r="AH292">
        <f t="shared" ca="1" si="35"/>
        <v>0</v>
      </c>
      <c r="AI292">
        <f>IF(ROW($AA292) - $AA$51 &lt; ($H$16+1)^5, IF(AG292 &gt;= BaseBonus!$C$16, AG292*BaseBonus!$E$31, 0), "")</f>
        <v>5.6343214877554777</v>
      </c>
      <c r="AJ292">
        <f t="shared" ca="1" si="36"/>
        <v>0</v>
      </c>
    </row>
    <row r="293" spans="28:36" x14ac:dyDescent="0.3">
      <c r="AB293">
        <f t="shared" si="37"/>
        <v>1</v>
      </c>
      <c r="AC293">
        <f t="shared" si="37"/>
        <v>0</v>
      </c>
      <c r="AD293">
        <f t="shared" si="37"/>
        <v>3</v>
      </c>
      <c r="AE293">
        <f t="shared" si="37"/>
        <v>3</v>
      </c>
      <c r="AF293">
        <f t="shared" si="37"/>
        <v>0</v>
      </c>
      <c r="AG293">
        <f t="shared" si="34"/>
        <v>7</v>
      </c>
      <c r="AH293">
        <f t="shared" ca="1" si="35"/>
        <v>0</v>
      </c>
      <c r="AI293">
        <f>IF(ROW($AA293) - $AA$51 &lt; ($H$16+1)^5, IF(AG293 &gt;= BaseBonus!$C$16, AG293*BaseBonus!$E$31, 0), "")</f>
        <v>6.5733750690480575</v>
      </c>
      <c r="AJ293">
        <f t="shared" ca="1" si="36"/>
        <v>0</v>
      </c>
    </row>
    <row r="294" spans="28:36" x14ac:dyDescent="0.3">
      <c r="AB294">
        <f t="shared" si="37"/>
        <v>2</v>
      </c>
      <c r="AC294">
        <f t="shared" si="37"/>
        <v>0</v>
      </c>
      <c r="AD294">
        <f t="shared" si="37"/>
        <v>3</v>
      </c>
      <c r="AE294">
        <f t="shared" si="37"/>
        <v>3</v>
      </c>
      <c r="AF294">
        <f t="shared" si="37"/>
        <v>0</v>
      </c>
      <c r="AG294">
        <f t="shared" si="34"/>
        <v>8</v>
      </c>
      <c r="AH294">
        <f t="shared" ca="1" si="35"/>
        <v>0</v>
      </c>
      <c r="AI294">
        <f>IF(ROW($AA294) - $AA$51 &lt; ($H$16+1)^5, IF(AG294 &gt;= BaseBonus!$C$16, AG294*BaseBonus!$E$31, 0), "")</f>
        <v>7.5124286503406372</v>
      </c>
      <c r="AJ294">
        <f t="shared" ca="1" si="36"/>
        <v>0</v>
      </c>
    </row>
    <row r="295" spans="28:36" x14ac:dyDescent="0.3">
      <c r="AB295">
        <f t="shared" si="37"/>
        <v>3</v>
      </c>
      <c r="AC295">
        <f t="shared" si="37"/>
        <v>0</v>
      </c>
      <c r="AD295">
        <f t="shared" si="37"/>
        <v>3</v>
      </c>
      <c r="AE295">
        <f t="shared" si="37"/>
        <v>3</v>
      </c>
      <c r="AF295">
        <f t="shared" si="37"/>
        <v>0</v>
      </c>
      <c r="AG295">
        <f t="shared" si="34"/>
        <v>9</v>
      </c>
      <c r="AH295">
        <f t="shared" ca="1" si="35"/>
        <v>0</v>
      </c>
      <c r="AI295">
        <f>IF(ROW($AA295) - $AA$51 &lt; ($H$16+1)^5, IF(AG295 &gt;= BaseBonus!$C$16, AG295*BaseBonus!$E$31, 0), "")</f>
        <v>8.4514822316332161</v>
      </c>
      <c r="AJ295">
        <f t="shared" ca="1" si="36"/>
        <v>0</v>
      </c>
    </row>
    <row r="296" spans="28:36" x14ac:dyDescent="0.3">
      <c r="AB296">
        <f t="shared" si="37"/>
        <v>0</v>
      </c>
      <c r="AC296">
        <f t="shared" si="37"/>
        <v>1</v>
      </c>
      <c r="AD296">
        <f t="shared" si="37"/>
        <v>3</v>
      </c>
      <c r="AE296">
        <f t="shared" si="37"/>
        <v>3</v>
      </c>
      <c r="AF296">
        <f t="shared" si="37"/>
        <v>0</v>
      </c>
      <c r="AG296">
        <f t="shared" si="34"/>
        <v>7</v>
      </c>
      <c r="AH296">
        <f t="shared" ca="1" si="35"/>
        <v>0</v>
      </c>
      <c r="AI296">
        <f>IF(ROW($AA296) - $AA$51 &lt; ($H$16+1)^5, IF(AG296 &gt;= BaseBonus!$C$16, AG296*BaseBonus!$E$31, 0), "")</f>
        <v>6.5733750690480575</v>
      </c>
      <c r="AJ296">
        <f t="shared" ca="1" si="36"/>
        <v>0</v>
      </c>
    </row>
    <row r="297" spans="28:36" x14ac:dyDescent="0.3">
      <c r="AB297">
        <f t="shared" si="37"/>
        <v>1</v>
      </c>
      <c r="AC297">
        <f t="shared" si="37"/>
        <v>1</v>
      </c>
      <c r="AD297">
        <f t="shared" si="37"/>
        <v>3</v>
      </c>
      <c r="AE297">
        <f t="shared" si="37"/>
        <v>3</v>
      </c>
      <c r="AF297">
        <f t="shared" si="37"/>
        <v>0</v>
      </c>
      <c r="AG297">
        <f t="shared" si="34"/>
        <v>8</v>
      </c>
      <c r="AH297">
        <f t="shared" ca="1" si="35"/>
        <v>0</v>
      </c>
      <c r="AI297">
        <f>IF(ROW($AA297) - $AA$51 &lt; ($H$16+1)^5, IF(AG297 &gt;= BaseBonus!$C$16, AG297*BaseBonus!$E$31, 0), "")</f>
        <v>7.5124286503406372</v>
      </c>
      <c r="AJ297">
        <f t="shared" ca="1" si="36"/>
        <v>0</v>
      </c>
    </row>
    <row r="298" spans="28:36" x14ac:dyDescent="0.3">
      <c r="AB298">
        <f t="shared" si="37"/>
        <v>2</v>
      </c>
      <c r="AC298">
        <f t="shared" si="37"/>
        <v>1</v>
      </c>
      <c r="AD298">
        <f t="shared" si="37"/>
        <v>3</v>
      </c>
      <c r="AE298">
        <f t="shared" si="37"/>
        <v>3</v>
      </c>
      <c r="AF298">
        <f t="shared" si="37"/>
        <v>0</v>
      </c>
      <c r="AG298">
        <f t="shared" si="34"/>
        <v>9</v>
      </c>
      <c r="AH298">
        <f t="shared" ca="1" si="35"/>
        <v>0</v>
      </c>
      <c r="AI298">
        <f>IF(ROW($AA298) - $AA$51 &lt; ($H$16+1)^5, IF(AG298 &gt;= BaseBonus!$C$16, AG298*BaseBonus!$E$31, 0), "")</f>
        <v>8.4514822316332161</v>
      </c>
      <c r="AJ298">
        <f t="shared" ca="1" si="36"/>
        <v>0</v>
      </c>
    </row>
    <row r="299" spans="28:36" x14ac:dyDescent="0.3">
      <c r="AB299">
        <f t="shared" si="37"/>
        <v>3</v>
      </c>
      <c r="AC299">
        <f t="shared" si="37"/>
        <v>1</v>
      </c>
      <c r="AD299">
        <f t="shared" si="37"/>
        <v>3</v>
      </c>
      <c r="AE299">
        <f t="shared" si="37"/>
        <v>3</v>
      </c>
      <c r="AF299">
        <f t="shared" si="37"/>
        <v>0</v>
      </c>
      <c r="AG299">
        <f t="shared" si="34"/>
        <v>10</v>
      </c>
      <c r="AH299">
        <f t="shared" ca="1" si="35"/>
        <v>0</v>
      </c>
      <c r="AI299">
        <f>IF(ROW($AA299) - $AA$51 &lt; ($H$16+1)^5, IF(AG299 &gt;= BaseBonus!$C$16, AG299*BaseBonus!$E$31, 0), "")</f>
        <v>9.3905358129257959</v>
      </c>
      <c r="AJ299">
        <f t="shared" ca="1" si="36"/>
        <v>0</v>
      </c>
    </row>
    <row r="300" spans="28:36" x14ac:dyDescent="0.3">
      <c r="AB300">
        <f t="shared" si="37"/>
        <v>0</v>
      </c>
      <c r="AC300">
        <f t="shared" si="37"/>
        <v>2</v>
      </c>
      <c r="AD300">
        <f t="shared" si="37"/>
        <v>3</v>
      </c>
      <c r="AE300">
        <f t="shared" si="37"/>
        <v>3</v>
      </c>
      <c r="AF300">
        <f t="shared" si="37"/>
        <v>0</v>
      </c>
      <c r="AG300">
        <f t="shared" si="34"/>
        <v>8</v>
      </c>
      <c r="AH300">
        <f t="shared" ca="1" si="35"/>
        <v>0</v>
      </c>
      <c r="AI300">
        <f>IF(ROW($AA300) - $AA$51 &lt; ($H$16+1)^5, IF(AG300 &gt;= BaseBonus!$C$16, AG300*BaseBonus!$E$31, 0), "")</f>
        <v>7.5124286503406372</v>
      </c>
      <c r="AJ300">
        <f t="shared" ca="1" si="36"/>
        <v>0</v>
      </c>
    </row>
    <row r="301" spans="28:36" x14ac:dyDescent="0.3">
      <c r="AB301">
        <f t="shared" si="37"/>
        <v>1</v>
      </c>
      <c r="AC301">
        <f t="shared" si="37"/>
        <v>2</v>
      </c>
      <c r="AD301">
        <f t="shared" si="37"/>
        <v>3</v>
      </c>
      <c r="AE301">
        <f t="shared" si="37"/>
        <v>3</v>
      </c>
      <c r="AF301">
        <f t="shared" si="37"/>
        <v>0</v>
      </c>
      <c r="AG301">
        <f t="shared" si="34"/>
        <v>9</v>
      </c>
      <c r="AH301">
        <f t="shared" ca="1" si="35"/>
        <v>0</v>
      </c>
      <c r="AI301">
        <f>IF(ROW($AA301) - $AA$51 &lt; ($H$16+1)^5, IF(AG301 &gt;= BaseBonus!$C$16, AG301*BaseBonus!$E$31, 0), "")</f>
        <v>8.4514822316332161</v>
      </c>
      <c r="AJ301">
        <f t="shared" ca="1" si="36"/>
        <v>0</v>
      </c>
    </row>
    <row r="302" spans="28:36" x14ac:dyDescent="0.3">
      <c r="AB302">
        <f t="shared" si="37"/>
        <v>2</v>
      </c>
      <c r="AC302">
        <f t="shared" si="37"/>
        <v>2</v>
      </c>
      <c r="AD302">
        <f t="shared" si="37"/>
        <v>3</v>
      </c>
      <c r="AE302">
        <f t="shared" si="37"/>
        <v>3</v>
      </c>
      <c r="AF302">
        <f t="shared" si="37"/>
        <v>0</v>
      </c>
      <c r="AG302">
        <f t="shared" si="34"/>
        <v>10</v>
      </c>
      <c r="AH302">
        <f t="shared" ca="1" si="35"/>
        <v>0</v>
      </c>
      <c r="AI302">
        <f>IF(ROW($AA302) - $AA$51 &lt; ($H$16+1)^5, IF(AG302 &gt;= BaseBonus!$C$16, AG302*BaseBonus!$E$31, 0), "")</f>
        <v>9.3905358129257959</v>
      </c>
      <c r="AJ302">
        <f t="shared" ca="1" si="36"/>
        <v>0</v>
      </c>
    </row>
    <row r="303" spans="28:36" x14ac:dyDescent="0.3">
      <c r="AB303">
        <f t="shared" si="37"/>
        <v>3</v>
      </c>
      <c r="AC303">
        <f t="shared" si="37"/>
        <v>2</v>
      </c>
      <c r="AD303">
        <f t="shared" si="37"/>
        <v>3</v>
      </c>
      <c r="AE303">
        <f t="shared" si="37"/>
        <v>3</v>
      </c>
      <c r="AF303">
        <f t="shared" si="37"/>
        <v>0</v>
      </c>
      <c r="AG303">
        <f t="shared" si="34"/>
        <v>11</v>
      </c>
      <c r="AH303">
        <f t="shared" ca="1" si="35"/>
        <v>0</v>
      </c>
      <c r="AI303">
        <f>IF(ROW($AA303) - $AA$51 &lt; ($H$16+1)^5, IF(AG303 &gt;= BaseBonus!$C$16, AG303*BaseBonus!$E$31, 0), "")</f>
        <v>10.329589394218376</v>
      </c>
      <c r="AJ303">
        <f t="shared" ca="1" si="36"/>
        <v>0</v>
      </c>
    </row>
    <row r="304" spans="28:36" x14ac:dyDescent="0.3">
      <c r="AB304">
        <f t="shared" si="37"/>
        <v>0</v>
      </c>
      <c r="AC304">
        <f t="shared" si="37"/>
        <v>3</v>
      </c>
      <c r="AD304">
        <f t="shared" si="37"/>
        <v>3</v>
      </c>
      <c r="AE304">
        <f t="shared" si="37"/>
        <v>3</v>
      </c>
      <c r="AF304">
        <f t="shared" si="37"/>
        <v>0</v>
      </c>
      <c r="AG304">
        <f t="shared" si="34"/>
        <v>9</v>
      </c>
      <c r="AH304">
        <f t="shared" ca="1" si="35"/>
        <v>0</v>
      </c>
      <c r="AI304">
        <f>IF(ROW($AA304) - $AA$51 &lt; ($H$16+1)^5, IF(AG304 &gt;= BaseBonus!$C$16, AG304*BaseBonus!$E$31, 0), "")</f>
        <v>8.4514822316332161</v>
      </c>
      <c r="AJ304">
        <f t="shared" ca="1" si="36"/>
        <v>0</v>
      </c>
    </row>
    <row r="305" spans="28:36" x14ac:dyDescent="0.3">
      <c r="AB305">
        <f t="shared" si="37"/>
        <v>1</v>
      </c>
      <c r="AC305">
        <f t="shared" si="37"/>
        <v>3</v>
      </c>
      <c r="AD305">
        <f t="shared" si="37"/>
        <v>3</v>
      </c>
      <c r="AE305">
        <f t="shared" si="37"/>
        <v>3</v>
      </c>
      <c r="AF305">
        <f t="shared" si="37"/>
        <v>0</v>
      </c>
      <c r="AG305">
        <f t="shared" si="34"/>
        <v>10</v>
      </c>
      <c r="AH305">
        <f t="shared" ca="1" si="35"/>
        <v>0</v>
      </c>
      <c r="AI305">
        <f>IF(ROW($AA305) - $AA$51 &lt; ($H$16+1)^5, IF(AG305 &gt;= BaseBonus!$C$16, AG305*BaseBonus!$E$31, 0), "")</f>
        <v>9.3905358129257959</v>
      </c>
      <c r="AJ305">
        <f t="shared" ca="1" si="36"/>
        <v>0</v>
      </c>
    </row>
    <row r="306" spans="28:36" x14ac:dyDescent="0.3">
      <c r="AB306">
        <f t="shared" si="37"/>
        <v>2</v>
      </c>
      <c r="AC306">
        <f t="shared" si="37"/>
        <v>3</v>
      </c>
      <c r="AD306">
        <f t="shared" si="37"/>
        <v>3</v>
      </c>
      <c r="AE306">
        <f t="shared" si="37"/>
        <v>3</v>
      </c>
      <c r="AF306">
        <f t="shared" si="37"/>
        <v>0</v>
      </c>
      <c r="AG306">
        <f t="shared" si="34"/>
        <v>11</v>
      </c>
      <c r="AH306">
        <f t="shared" ca="1" si="35"/>
        <v>0</v>
      </c>
      <c r="AI306">
        <f>IF(ROW($AA306) - $AA$51 &lt; ($H$16+1)^5, IF(AG306 &gt;= BaseBonus!$C$16, AG306*BaseBonus!$E$31, 0), "")</f>
        <v>10.329589394218376</v>
      </c>
      <c r="AJ306">
        <f t="shared" ca="1" si="36"/>
        <v>0</v>
      </c>
    </row>
    <row r="307" spans="28:36" x14ac:dyDescent="0.3">
      <c r="AB307">
        <f t="shared" ref="AB307:AF357" si="38">IF(ROW()-$AA$51 &lt; (H$16+1)^5, MOD(_xlfn.FLOOR.MATH((ROW()-$AA$51)/AB$50), H$16+1), "")</f>
        <v>3</v>
      </c>
      <c r="AC307">
        <f t="shared" si="38"/>
        <v>3</v>
      </c>
      <c r="AD307">
        <f t="shared" si="38"/>
        <v>3</v>
      </c>
      <c r="AE307">
        <f t="shared" si="38"/>
        <v>3</v>
      </c>
      <c r="AF307">
        <f t="shared" si="38"/>
        <v>0</v>
      </c>
      <c r="AG307">
        <f t="shared" si="34"/>
        <v>12</v>
      </c>
      <c r="AH307">
        <f t="shared" ca="1" si="35"/>
        <v>0</v>
      </c>
      <c r="AI307">
        <f>IF(ROW($AA307) - $AA$51 &lt; ($H$16+1)^5, IF(AG307 &gt;= BaseBonus!$C$16, AG307*BaseBonus!$E$31, 0), "")</f>
        <v>11.268642975510955</v>
      </c>
      <c r="AJ307">
        <f t="shared" ca="1" si="36"/>
        <v>0</v>
      </c>
    </row>
    <row r="308" spans="28:36" x14ac:dyDescent="0.3">
      <c r="AB308">
        <f t="shared" si="38"/>
        <v>0</v>
      </c>
      <c r="AC308">
        <f t="shared" si="38"/>
        <v>0</v>
      </c>
      <c r="AD308">
        <f t="shared" si="38"/>
        <v>0</v>
      </c>
      <c r="AE308">
        <f t="shared" si="38"/>
        <v>0</v>
      </c>
      <c r="AF308">
        <f t="shared" si="38"/>
        <v>1</v>
      </c>
      <c r="AG308">
        <f t="shared" ref="AG308:AG371" si="39">IF(ROW($AA308) - $AA$51 &lt; ($H$16+1)^5, SUM(AB308:AF308), "")</f>
        <v>1</v>
      </c>
      <c r="AH308">
        <f t="shared" ref="AH308:AH371" ca="1" si="40">IF(ROW($AA308) - $AA$51 &lt; (4)^5,
    (_xlfn.XLOOKUP(AB308,$T$51:$T$55,U$51:U$55,0)/U$27) * (_xlfn.XLOOKUP(AC308,$T$51:$T$55,V$51:V$55,0)/V$27) * (_xlfn.XLOOKUP(AD308,$T$51:$T$55,W$51:W$55,0)/W$27) * (_xlfn.XLOOKUP(AE308,$T$51:$T$55,X$51:X$55,0)/X$27) * (_xlfn.XLOOKUP(AF308,$T$51:$T$55,Y$51:Y$55,0)/Y$27),
"")</f>
        <v>0.14147294376809658</v>
      </c>
      <c r="AI308">
        <f>IF(ROW($AA308) - $AA$51 &lt; ($H$16+1)^5, IF(AG308 &gt;= BaseBonus!$C$16, AG308*BaseBonus!$E$31, 0), "")</f>
        <v>0</v>
      </c>
      <c r="AJ308">
        <f t="shared" ref="AJ308:AJ371" ca="1" si="41">IF(ROW($AA308) - $AA$51 &lt; ($H$16+1)^5, AH308*AI308, "")</f>
        <v>0</v>
      </c>
    </row>
    <row r="309" spans="28:36" x14ac:dyDescent="0.3">
      <c r="AB309">
        <f t="shared" si="38"/>
        <v>1</v>
      </c>
      <c r="AC309">
        <f t="shared" si="38"/>
        <v>0</v>
      </c>
      <c r="AD309">
        <f t="shared" si="38"/>
        <v>0</v>
      </c>
      <c r="AE309">
        <f t="shared" si="38"/>
        <v>0</v>
      </c>
      <c r="AF309">
        <f t="shared" si="38"/>
        <v>1</v>
      </c>
      <c r="AG309">
        <f t="shared" si="39"/>
        <v>2</v>
      </c>
      <c r="AH309">
        <f t="shared" ca="1" si="40"/>
        <v>2.4603990220538538E-2</v>
      </c>
      <c r="AI309">
        <f>IF(ROW($AA309) - $AA$51 &lt; ($H$16+1)^5, IF(AG309 &gt;= BaseBonus!$C$16, AG309*BaseBonus!$E$31, 0), "")</f>
        <v>0</v>
      </c>
      <c r="AJ309">
        <f t="shared" ca="1" si="41"/>
        <v>0</v>
      </c>
    </row>
    <row r="310" spans="28:36" x14ac:dyDescent="0.3">
      <c r="AB310">
        <f t="shared" si="38"/>
        <v>2</v>
      </c>
      <c r="AC310">
        <f t="shared" si="38"/>
        <v>0</v>
      </c>
      <c r="AD310">
        <f t="shared" si="38"/>
        <v>0</v>
      </c>
      <c r="AE310">
        <f t="shared" si="38"/>
        <v>0</v>
      </c>
      <c r="AF310">
        <f t="shared" si="38"/>
        <v>1</v>
      </c>
      <c r="AG310">
        <f t="shared" si="39"/>
        <v>3</v>
      </c>
      <c r="AH310">
        <f t="shared" ca="1" si="40"/>
        <v>0</v>
      </c>
      <c r="AI310">
        <f>IF(ROW($AA310) - $AA$51 &lt; ($H$16+1)^5, IF(AG310 &gt;= BaseBonus!$C$16, AG310*BaseBonus!$E$31, 0), "")</f>
        <v>0</v>
      </c>
      <c r="AJ310">
        <f t="shared" ca="1" si="41"/>
        <v>0</v>
      </c>
    </row>
    <row r="311" spans="28:36" x14ac:dyDescent="0.3">
      <c r="AB311">
        <f t="shared" si="38"/>
        <v>3</v>
      </c>
      <c r="AC311">
        <f t="shared" si="38"/>
        <v>0</v>
      </c>
      <c r="AD311">
        <f t="shared" si="38"/>
        <v>0</v>
      </c>
      <c r="AE311">
        <f t="shared" si="38"/>
        <v>0</v>
      </c>
      <c r="AF311">
        <f t="shared" si="38"/>
        <v>1</v>
      </c>
      <c r="AG311">
        <f t="shared" si="39"/>
        <v>4</v>
      </c>
      <c r="AH311">
        <f t="shared" ca="1" si="40"/>
        <v>0</v>
      </c>
      <c r="AI311">
        <f>IF(ROW($AA311) - $AA$51 &lt; ($H$16+1)^5, IF(AG311 &gt;= BaseBonus!$C$16, AG311*BaseBonus!$E$31, 0), "")</f>
        <v>0</v>
      </c>
      <c r="AJ311">
        <f t="shared" ca="1" si="41"/>
        <v>0</v>
      </c>
    </row>
    <row r="312" spans="28:36" x14ac:dyDescent="0.3">
      <c r="AB312">
        <f t="shared" si="38"/>
        <v>0</v>
      </c>
      <c r="AC312">
        <f t="shared" si="38"/>
        <v>1</v>
      </c>
      <c r="AD312">
        <f t="shared" si="38"/>
        <v>0</v>
      </c>
      <c r="AE312">
        <f t="shared" si="38"/>
        <v>0</v>
      </c>
      <c r="AF312">
        <f t="shared" si="38"/>
        <v>1</v>
      </c>
      <c r="AG312">
        <f t="shared" si="39"/>
        <v>2</v>
      </c>
      <c r="AH312">
        <f t="shared" ca="1" si="40"/>
        <v>1.8724360204601019E-2</v>
      </c>
      <c r="AI312">
        <f>IF(ROW($AA312) - $AA$51 &lt; ($H$16+1)^5, IF(AG312 &gt;= BaseBonus!$C$16, AG312*BaseBonus!$E$31, 0), "")</f>
        <v>0</v>
      </c>
      <c r="AJ312">
        <f t="shared" ca="1" si="41"/>
        <v>0</v>
      </c>
    </row>
    <row r="313" spans="28:36" x14ac:dyDescent="0.3">
      <c r="AB313">
        <f t="shared" si="38"/>
        <v>1</v>
      </c>
      <c r="AC313">
        <f t="shared" si="38"/>
        <v>1</v>
      </c>
      <c r="AD313">
        <f t="shared" si="38"/>
        <v>0</v>
      </c>
      <c r="AE313">
        <f t="shared" si="38"/>
        <v>0</v>
      </c>
      <c r="AF313">
        <f t="shared" si="38"/>
        <v>1</v>
      </c>
      <c r="AG313">
        <f t="shared" si="39"/>
        <v>3</v>
      </c>
      <c r="AH313">
        <f t="shared" ca="1" si="40"/>
        <v>3.2564104703653946E-3</v>
      </c>
      <c r="AI313">
        <f>IF(ROW($AA313) - $AA$51 &lt; ($H$16+1)^5, IF(AG313 &gt;= BaseBonus!$C$16, AG313*BaseBonus!$E$31, 0), "")</f>
        <v>0</v>
      </c>
      <c r="AJ313">
        <f t="shared" ca="1" si="41"/>
        <v>0</v>
      </c>
    </row>
    <row r="314" spans="28:36" x14ac:dyDescent="0.3">
      <c r="AB314">
        <f t="shared" si="38"/>
        <v>2</v>
      </c>
      <c r="AC314">
        <f t="shared" si="38"/>
        <v>1</v>
      </c>
      <c r="AD314">
        <f t="shared" si="38"/>
        <v>0</v>
      </c>
      <c r="AE314">
        <f t="shared" si="38"/>
        <v>0</v>
      </c>
      <c r="AF314">
        <f t="shared" si="38"/>
        <v>1</v>
      </c>
      <c r="AG314">
        <f t="shared" si="39"/>
        <v>4</v>
      </c>
      <c r="AH314">
        <f t="shared" ca="1" si="40"/>
        <v>0</v>
      </c>
      <c r="AI314">
        <f>IF(ROW($AA314) - $AA$51 &lt; ($H$16+1)^5, IF(AG314 &gt;= BaseBonus!$C$16, AG314*BaseBonus!$E$31, 0), "")</f>
        <v>0</v>
      </c>
      <c r="AJ314">
        <f t="shared" ca="1" si="41"/>
        <v>0</v>
      </c>
    </row>
    <row r="315" spans="28:36" x14ac:dyDescent="0.3">
      <c r="AB315">
        <f t="shared" si="38"/>
        <v>3</v>
      </c>
      <c r="AC315">
        <f t="shared" si="38"/>
        <v>1</v>
      </c>
      <c r="AD315">
        <f t="shared" si="38"/>
        <v>0</v>
      </c>
      <c r="AE315">
        <f t="shared" si="38"/>
        <v>0</v>
      </c>
      <c r="AF315">
        <f t="shared" si="38"/>
        <v>1</v>
      </c>
      <c r="AG315">
        <f t="shared" si="39"/>
        <v>5</v>
      </c>
      <c r="AH315">
        <f t="shared" ca="1" si="40"/>
        <v>0</v>
      </c>
      <c r="AI315">
        <f>IF(ROW($AA315) - $AA$51 &lt; ($H$16+1)^5, IF(AG315 &gt;= BaseBonus!$C$16, AG315*BaseBonus!$E$31, 0), "")</f>
        <v>4.6952679064628979</v>
      </c>
      <c r="AJ315">
        <f t="shared" ca="1" si="41"/>
        <v>0</v>
      </c>
    </row>
    <row r="316" spans="28:36" x14ac:dyDescent="0.3">
      <c r="AB316">
        <f t="shared" si="38"/>
        <v>0</v>
      </c>
      <c r="AC316">
        <f t="shared" si="38"/>
        <v>2</v>
      </c>
      <c r="AD316">
        <f t="shared" si="38"/>
        <v>0</v>
      </c>
      <c r="AE316">
        <f t="shared" si="38"/>
        <v>0</v>
      </c>
      <c r="AF316">
        <f t="shared" si="38"/>
        <v>1</v>
      </c>
      <c r="AG316">
        <f t="shared" si="39"/>
        <v>3</v>
      </c>
      <c r="AH316">
        <f t="shared" ca="1" si="40"/>
        <v>0</v>
      </c>
      <c r="AI316">
        <f>IF(ROW($AA316) - $AA$51 &lt; ($H$16+1)^5, IF(AG316 &gt;= BaseBonus!$C$16, AG316*BaseBonus!$E$31, 0), "")</f>
        <v>0</v>
      </c>
      <c r="AJ316">
        <f t="shared" ca="1" si="41"/>
        <v>0</v>
      </c>
    </row>
    <row r="317" spans="28:36" x14ac:dyDescent="0.3">
      <c r="AB317">
        <f t="shared" si="38"/>
        <v>1</v>
      </c>
      <c r="AC317">
        <f t="shared" si="38"/>
        <v>2</v>
      </c>
      <c r="AD317">
        <f t="shared" si="38"/>
        <v>0</v>
      </c>
      <c r="AE317">
        <f t="shared" si="38"/>
        <v>0</v>
      </c>
      <c r="AF317">
        <f t="shared" si="38"/>
        <v>1</v>
      </c>
      <c r="AG317">
        <f t="shared" si="39"/>
        <v>4</v>
      </c>
      <c r="AH317">
        <f t="shared" ca="1" si="40"/>
        <v>0</v>
      </c>
      <c r="AI317">
        <f>IF(ROW($AA317) - $AA$51 &lt; ($H$16+1)^5, IF(AG317 &gt;= BaseBonus!$C$16, AG317*BaseBonus!$E$31, 0), "")</f>
        <v>0</v>
      </c>
      <c r="AJ317">
        <f t="shared" ca="1" si="41"/>
        <v>0</v>
      </c>
    </row>
    <row r="318" spans="28:36" x14ac:dyDescent="0.3">
      <c r="AB318">
        <f t="shared" si="38"/>
        <v>2</v>
      </c>
      <c r="AC318">
        <f t="shared" si="38"/>
        <v>2</v>
      </c>
      <c r="AD318">
        <f t="shared" si="38"/>
        <v>0</v>
      </c>
      <c r="AE318">
        <f t="shared" si="38"/>
        <v>0</v>
      </c>
      <c r="AF318">
        <f t="shared" si="38"/>
        <v>1</v>
      </c>
      <c r="AG318">
        <f t="shared" si="39"/>
        <v>5</v>
      </c>
      <c r="AH318">
        <f t="shared" ca="1" si="40"/>
        <v>0</v>
      </c>
      <c r="AI318">
        <f>IF(ROW($AA318) - $AA$51 &lt; ($H$16+1)^5, IF(AG318 &gt;= BaseBonus!$C$16, AG318*BaseBonus!$E$31, 0), "")</f>
        <v>4.6952679064628979</v>
      </c>
      <c r="AJ318">
        <f t="shared" ca="1" si="41"/>
        <v>0</v>
      </c>
    </row>
    <row r="319" spans="28:36" x14ac:dyDescent="0.3">
      <c r="AB319">
        <f t="shared" si="38"/>
        <v>3</v>
      </c>
      <c r="AC319">
        <f t="shared" si="38"/>
        <v>2</v>
      </c>
      <c r="AD319">
        <f t="shared" si="38"/>
        <v>0</v>
      </c>
      <c r="AE319">
        <f t="shared" si="38"/>
        <v>0</v>
      </c>
      <c r="AF319">
        <f t="shared" si="38"/>
        <v>1</v>
      </c>
      <c r="AG319">
        <f t="shared" si="39"/>
        <v>6</v>
      </c>
      <c r="AH319">
        <f t="shared" ca="1" si="40"/>
        <v>0</v>
      </c>
      <c r="AI319">
        <f>IF(ROW($AA319) - $AA$51 &lt; ($H$16+1)^5, IF(AG319 &gt;= BaseBonus!$C$16, AG319*BaseBonus!$E$31, 0), "")</f>
        <v>5.6343214877554777</v>
      </c>
      <c r="AJ319">
        <f t="shared" ca="1" si="41"/>
        <v>0</v>
      </c>
    </row>
    <row r="320" spans="28:36" x14ac:dyDescent="0.3">
      <c r="AB320">
        <f t="shared" si="38"/>
        <v>0</v>
      </c>
      <c r="AC320">
        <f t="shared" si="38"/>
        <v>3</v>
      </c>
      <c r="AD320">
        <f t="shared" si="38"/>
        <v>0</v>
      </c>
      <c r="AE320">
        <f t="shared" si="38"/>
        <v>0</v>
      </c>
      <c r="AF320">
        <f t="shared" si="38"/>
        <v>1</v>
      </c>
      <c r="AG320">
        <f t="shared" si="39"/>
        <v>4</v>
      </c>
      <c r="AH320">
        <f t="shared" ca="1" si="40"/>
        <v>0</v>
      </c>
      <c r="AI320">
        <f>IF(ROW($AA320) - $AA$51 &lt; ($H$16+1)^5, IF(AG320 &gt;= BaseBonus!$C$16, AG320*BaseBonus!$E$31, 0), "")</f>
        <v>0</v>
      </c>
      <c r="AJ320">
        <f t="shared" ca="1" si="41"/>
        <v>0</v>
      </c>
    </row>
    <row r="321" spans="28:36" x14ac:dyDescent="0.3">
      <c r="AB321">
        <f t="shared" si="38"/>
        <v>1</v>
      </c>
      <c r="AC321">
        <f t="shared" si="38"/>
        <v>3</v>
      </c>
      <c r="AD321">
        <f t="shared" si="38"/>
        <v>0</v>
      </c>
      <c r="AE321">
        <f t="shared" si="38"/>
        <v>0</v>
      </c>
      <c r="AF321">
        <f t="shared" si="38"/>
        <v>1</v>
      </c>
      <c r="AG321">
        <f t="shared" si="39"/>
        <v>5</v>
      </c>
      <c r="AH321">
        <f t="shared" ca="1" si="40"/>
        <v>0</v>
      </c>
      <c r="AI321">
        <f>IF(ROW($AA321) - $AA$51 &lt; ($H$16+1)^5, IF(AG321 &gt;= BaseBonus!$C$16, AG321*BaseBonus!$E$31, 0), "")</f>
        <v>4.6952679064628979</v>
      </c>
      <c r="AJ321">
        <f t="shared" ca="1" si="41"/>
        <v>0</v>
      </c>
    </row>
    <row r="322" spans="28:36" x14ac:dyDescent="0.3">
      <c r="AB322">
        <f t="shared" si="38"/>
        <v>2</v>
      </c>
      <c r="AC322">
        <f t="shared" si="38"/>
        <v>3</v>
      </c>
      <c r="AD322">
        <f t="shared" si="38"/>
        <v>0</v>
      </c>
      <c r="AE322">
        <f t="shared" si="38"/>
        <v>0</v>
      </c>
      <c r="AF322">
        <f t="shared" si="38"/>
        <v>1</v>
      </c>
      <c r="AG322">
        <f t="shared" si="39"/>
        <v>6</v>
      </c>
      <c r="AH322">
        <f t="shared" ca="1" si="40"/>
        <v>0</v>
      </c>
      <c r="AI322">
        <f>IF(ROW($AA322) - $AA$51 &lt; ($H$16+1)^5, IF(AG322 &gt;= BaseBonus!$C$16, AG322*BaseBonus!$E$31, 0), "")</f>
        <v>5.6343214877554777</v>
      </c>
      <c r="AJ322">
        <f t="shared" ca="1" si="41"/>
        <v>0</v>
      </c>
    </row>
    <row r="323" spans="28:36" x14ac:dyDescent="0.3">
      <c r="AB323">
        <f t="shared" si="38"/>
        <v>3</v>
      </c>
      <c r="AC323">
        <f t="shared" si="38"/>
        <v>3</v>
      </c>
      <c r="AD323">
        <f t="shared" si="38"/>
        <v>0</v>
      </c>
      <c r="AE323">
        <f t="shared" si="38"/>
        <v>0</v>
      </c>
      <c r="AF323">
        <f t="shared" si="38"/>
        <v>1</v>
      </c>
      <c r="AG323">
        <f t="shared" si="39"/>
        <v>7</v>
      </c>
      <c r="AH323">
        <f t="shared" ca="1" si="40"/>
        <v>0</v>
      </c>
      <c r="AI323">
        <f>IF(ROW($AA323) - $AA$51 &lt; ($H$16+1)^5, IF(AG323 &gt;= BaseBonus!$C$16, AG323*BaseBonus!$E$31, 0), "")</f>
        <v>6.5733750690480575</v>
      </c>
      <c r="AJ323">
        <f t="shared" ca="1" si="41"/>
        <v>0</v>
      </c>
    </row>
    <row r="324" spans="28:36" x14ac:dyDescent="0.3">
      <c r="AB324">
        <f t="shared" si="38"/>
        <v>0</v>
      </c>
      <c r="AC324">
        <f t="shared" si="38"/>
        <v>0</v>
      </c>
      <c r="AD324">
        <f t="shared" si="38"/>
        <v>1</v>
      </c>
      <c r="AE324">
        <f t="shared" si="38"/>
        <v>0</v>
      </c>
      <c r="AF324">
        <f t="shared" si="38"/>
        <v>1</v>
      </c>
      <c r="AG324">
        <f t="shared" si="39"/>
        <v>2</v>
      </c>
      <c r="AH324">
        <f t="shared" ca="1" si="40"/>
        <v>1.7441869779628343E-2</v>
      </c>
      <c r="AI324">
        <f>IF(ROW($AA324) - $AA$51 &lt; ($H$16+1)^5, IF(AG324 &gt;= BaseBonus!$C$16, AG324*BaseBonus!$E$31, 0), "")</f>
        <v>0</v>
      </c>
      <c r="AJ324">
        <f t="shared" ca="1" si="41"/>
        <v>0</v>
      </c>
    </row>
    <row r="325" spans="28:36" x14ac:dyDescent="0.3">
      <c r="AB325">
        <f t="shared" si="38"/>
        <v>1</v>
      </c>
      <c r="AC325">
        <f t="shared" si="38"/>
        <v>0</v>
      </c>
      <c r="AD325">
        <f t="shared" si="38"/>
        <v>1</v>
      </c>
      <c r="AE325">
        <f t="shared" si="38"/>
        <v>0</v>
      </c>
      <c r="AF325">
        <f t="shared" si="38"/>
        <v>1</v>
      </c>
      <c r="AG325">
        <f t="shared" si="39"/>
        <v>3</v>
      </c>
      <c r="AH325">
        <f t="shared" ca="1" si="40"/>
        <v>3.0333686573266691E-3</v>
      </c>
      <c r="AI325">
        <f>IF(ROW($AA325) - $AA$51 &lt; ($H$16+1)^5, IF(AG325 &gt;= BaseBonus!$C$16, AG325*BaseBonus!$E$31, 0), "")</f>
        <v>0</v>
      </c>
      <c r="AJ325">
        <f t="shared" ca="1" si="41"/>
        <v>0</v>
      </c>
    </row>
    <row r="326" spans="28:36" x14ac:dyDescent="0.3">
      <c r="AB326">
        <f t="shared" si="38"/>
        <v>2</v>
      </c>
      <c r="AC326">
        <f t="shared" si="38"/>
        <v>0</v>
      </c>
      <c r="AD326">
        <f t="shared" si="38"/>
        <v>1</v>
      </c>
      <c r="AE326">
        <f t="shared" si="38"/>
        <v>0</v>
      </c>
      <c r="AF326">
        <f t="shared" si="38"/>
        <v>1</v>
      </c>
      <c r="AG326">
        <f t="shared" si="39"/>
        <v>4</v>
      </c>
      <c r="AH326">
        <f t="shared" ca="1" si="40"/>
        <v>0</v>
      </c>
      <c r="AI326">
        <f>IF(ROW($AA326) - $AA$51 &lt; ($H$16+1)^5, IF(AG326 &gt;= BaseBonus!$C$16, AG326*BaseBonus!$E$31, 0), "")</f>
        <v>0</v>
      </c>
      <c r="AJ326">
        <f t="shared" ca="1" si="41"/>
        <v>0</v>
      </c>
    </row>
    <row r="327" spans="28:36" x14ac:dyDescent="0.3">
      <c r="AB327">
        <f t="shared" si="38"/>
        <v>3</v>
      </c>
      <c r="AC327">
        <f t="shared" si="38"/>
        <v>0</v>
      </c>
      <c r="AD327">
        <f t="shared" si="38"/>
        <v>1</v>
      </c>
      <c r="AE327">
        <f t="shared" si="38"/>
        <v>0</v>
      </c>
      <c r="AF327">
        <f t="shared" si="38"/>
        <v>1</v>
      </c>
      <c r="AG327">
        <f t="shared" si="39"/>
        <v>5</v>
      </c>
      <c r="AH327">
        <f t="shared" ca="1" si="40"/>
        <v>0</v>
      </c>
      <c r="AI327">
        <f>IF(ROW($AA327) - $AA$51 &lt; ($H$16+1)^5, IF(AG327 &gt;= BaseBonus!$C$16, AG327*BaseBonus!$E$31, 0), "")</f>
        <v>4.6952679064628979</v>
      </c>
      <c r="AJ327">
        <f t="shared" ca="1" si="41"/>
        <v>0</v>
      </c>
    </row>
    <row r="328" spans="28:36" x14ac:dyDescent="0.3">
      <c r="AB328">
        <f t="shared" si="38"/>
        <v>0</v>
      </c>
      <c r="AC328">
        <f t="shared" si="38"/>
        <v>1</v>
      </c>
      <c r="AD328">
        <f t="shared" si="38"/>
        <v>1</v>
      </c>
      <c r="AE328">
        <f t="shared" si="38"/>
        <v>0</v>
      </c>
      <c r="AF328">
        <f t="shared" si="38"/>
        <v>1</v>
      </c>
      <c r="AG328">
        <f t="shared" si="39"/>
        <v>3</v>
      </c>
      <c r="AH328">
        <f t="shared" ca="1" si="40"/>
        <v>2.3084827649508107E-3</v>
      </c>
      <c r="AI328">
        <f>IF(ROW($AA328) - $AA$51 &lt; ($H$16+1)^5, IF(AG328 &gt;= BaseBonus!$C$16, AG328*BaseBonus!$E$31, 0), "")</f>
        <v>0</v>
      </c>
      <c r="AJ328">
        <f t="shared" ca="1" si="41"/>
        <v>0</v>
      </c>
    </row>
    <row r="329" spans="28:36" x14ac:dyDescent="0.3">
      <c r="AB329">
        <f t="shared" si="38"/>
        <v>1</v>
      </c>
      <c r="AC329">
        <f t="shared" si="38"/>
        <v>1</v>
      </c>
      <c r="AD329">
        <f t="shared" si="38"/>
        <v>1</v>
      </c>
      <c r="AE329">
        <f t="shared" si="38"/>
        <v>0</v>
      </c>
      <c r="AF329">
        <f t="shared" si="38"/>
        <v>1</v>
      </c>
      <c r="AG329">
        <f t="shared" si="39"/>
        <v>4</v>
      </c>
      <c r="AH329">
        <f t="shared" ca="1" si="40"/>
        <v>4.0147526346970622E-4</v>
      </c>
      <c r="AI329">
        <f>IF(ROW($AA329) - $AA$51 &lt; ($H$16+1)^5, IF(AG329 &gt;= BaseBonus!$C$16, AG329*BaseBonus!$E$31, 0), "")</f>
        <v>0</v>
      </c>
      <c r="AJ329">
        <f t="shared" ca="1" si="41"/>
        <v>0</v>
      </c>
    </row>
    <row r="330" spans="28:36" x14ac:dyDescent="0.3">
      <c r="AB330">
        <f t="shared" si="38"/>
        <v>2</v>
      </c>
      <c r="AC330">
        <f t="shared" si="38"/>
        <v>1</v>
      </c>
      <c r="AD330">
        <f t="shared" si="38"/>
        <v>1</v>
      </c>
      <c r="AE330">
        <f t="shared" si="38"/>
        <v>0</v>
      </c>
      <c r="AF330">
        <f t="shared" si="38"/>
        <v>1</v>
      </c>
      <c r="AG330">
        <f t="shared" si="39"/>
        <v>5</v>
      </c>
      <c r="AH330">
        <f t="shared" ca="1" si="40"/>
        <v>0</v>
      </c>
      <c r="AI330">
        <f>IF(ROW($AA330) - $AA$51 &lt; ($H$16+1)^5, IF(AG330 &gt;= BaseBonus!$C$16, AG330*BaseBonus!$E$31, 0), "")</f>
        <v>4.6952679064628979</v>
      </c>
      <c r="AJ330">
        <f t="shared" ca="1" si="41"/>
        <v>0</v>
      </c>
    </row>
    <row r="331" spans="28:36" x14ac:dyDescent="0.3">
      <c r="AB331">
        <f t="shared" si="38"/>
        <v>3</v>
      </c>
      <c r="AC331">
        <f t="shared" si="38"/>
        <v>1</v>
      </c>
      <c r="AD331">
        <f t="shared" si="38"/>
        <v>1</v>
      </c>
      <c r="AE331">
        <f t="shared" si="38"/>
        <v>0</v>
      </c>
      <c r="AF331">
        <f t="shared" si="38"/>
        <v>1</v>
      </c>
      <c r="AG331">
        <f t="shared" si="39"/>
        <v>6</v>
      </c>
      <c r="AH331">
        <f t="shared" ca="1" si="40"/>
        <v>0</v>
      </c>
      <c r="AI331">
        <f>IF(ROW($AA331) - $AA$51 &lt; ($H$16+1)^5, IF(AG331 &gt;= BaseBonus!$C$16, AG331*BaseBonus!$E$31, 0), "")</f>
        <v>5.6343214877554777</v>
      </c>
      <c r="AJ331">
        <f t="shared" ca="1" si="41"/>
        <v>0</v>
      </c>
    </row>
    <row r="332" spans="28:36" x14ac:dyDescent="0.3">
      <c r="AB332">
        <f t="shared" si="38"/>
        <v>0</v>
      </c>
      <c r="AC332">
        <f t="shared" si="38"/>
        <v>2</v>
      </c>
      <c r="AD332">
        <f t="shared" si="38"/>
        <v>1</v>
      </c>
      <c r="AE332">
        <f t="shared" si="38"/>
        <v>0</v>
      </c>
      <c r="AF332">
        <f t="shared" si="38"/>
        <v>1</v>
      </c>
      <c r="AG332">
        <f t="shared" si="39"/>
        <v>4</v>
      </c>
      <c r="AH332">
        <f t="shared" ca="1" si="40"/>
        <v>0</v>
      </c>
      <c r="AI332">
        <f>IF(ROW($AA332) - $AA$51 &lt; ($H$16+1)^5, IF(AG332 &gt;= BaseBonus!$C$16, AG332*BaseBonus!$E$31, 0), "")</f>
        <v>0</v>
      </c>
      <c r="AJ332">
        <f t="shared" ca="1" si="41"/>
        <v>0</v>
      </c>
    </row>
    <row r="333" spans="28:36" x14ac:dyDescent="0.3">
      <c r="AB333">
        <f t="shared" si="38"/>
        <v>1</v>
      </c>
      <c r="AC333">
        <f t="shared" si="38"/>
        <v>2</v>
      </c>
      <c r="AD333">
        <f t="shared" si="38"/>
        <v>1</v>
      </c>
      <c r="AE333">
        <f t="shared" si="38"/>
        <v>0</v>
      </c>
      <c r="AF333">
        <f t="shared" si="38"/>
        <v>1</v>
      </c>
      <c r="AG333">
        <f t="shared" si="39"/>
        <v>5</v>
      </c>
      <c r="AH333">
        <f t="shared" ca="1" si="40"/>
        <v>0</v>
      </c>
      <c r="AI333">
        <f>IF(ROW($AA333) - $AA$51 &lt; ($H$16+1)^5, IF(AG333 &gt;= BaseBonus!$C$16, AG333*BaseBonus!$E$31, 0), "")</f>
        <v>4.6952679064628979</v>
      </c>
      <c r="AJ333">
        <f t="shared" ca="1" si="41"/>
        <v>0</v>
      </c>
    </row>
    <row r="334" spans="28:36" x14ac:dyDescent="0.3">
      <c r="AB334">
        <f t="shared" si="38"/>
        <v>2</v>
      </c>
      <c r="AC334">
        <f t="shared" si="38"/>
        <v>2</v>
      </c>
      <c r="AD334">
        <f t="shared" si="38"/>
        <v>1</v>
      </c>
      <c r="AE334">
        <f t="shared" si="38"/>
        <v>0</v>
      </c>
      <c r="AF334">
        <f t="shared" si="38"/>
        <v>1</v>
      </c>
      <c r="AG334">
        <f t="shared" si="39"/>
        <v>6</v>
      </c>
      <c r="AH334">
        <f t="shared" ca="1" si="40"/>
        <v>0</v>
      </c>
      <c r="AI334">
        <f>IF(ROW($AA334) - $AA$51 &lt; ($H$16+1)^5, IF(AG334 &gt;= BaseBonus!$C$16, AG334*BaseBonus!$E$31, 0), "")</f>
        <v>5.6343214877554777</v>
      </c>
      <c r="AJ334">
        <f t="shared" ca="1" si="41"/>
        <v>0</v>
      </c>
    </row>
    <row r="335" spans="28:36" x14ac:dyDescent="0.3">
      <c r="AB335">
        <f t="shared" si="38"/>
        <v>3</v>
      </c>
      <c r="AC335">
        <f t="shared" si="38"/>
        <v>2</v>
      </c>
      <c r="AD335">
        <f t="shared" si="38"/>
        <v>1</v>
      </c>
      <c r="AE335">
        <f t="shared" si="38"/>
        <v>0</v>
      </c>
      <c r="AF335">
        <f t="shared" si="38"/>
        <v>1</v>
      </c>
      <c r="AG335">
        <f t="shared" si="39"/>
        <v>7</v>
      </c>
      <c r="AH335">
        <f t="shared" ca="1" si="40"/>
        <v>0</v>
      </c>
      <c r="AI335">
        <f>IF(ROW($AA335) - $AA$51 &lt; ($H$16+1)^5, IF(AG335 &gt;= BaseBonus!$C$16, AG335*BaseBonus!$E$31, 0), "")</f>
        <v>6.5733750690480575</v>
      </c>
      <c r="AJ335">
        <f t="shared" ca="1" si="41"/>
        <v>0</v>
      </c>
    </row>
    <row r="336" spans="28:36" x14ac:dyDescent="0.3">
      <c r="AB336">
        <f t="shared" si="38"/>
        <v>0</v>
      </c>
      <c r="AC336">
        <f t="shared" si="38"/>
        <v>3</v>
      </c>
      <c r="AD336">
        <f t="shared" si="38"/>
        <v>1</v>
      </c>
      <c r="AE336">
        <f t="shared" si="38"/>
        <v>0</v>
      </c>
      <c r="AF336">
        <f t="shared" si="38"/>
        <v>1</v>
      </c>
      <c r="AG336">
        <f t="shared" si="39"/>
        <v>5</v>
      </c>
      <c r="AH336">
        <f t="shared" ca="1" si="40"/>
        <v>0</v>
      </c>
      <c r="AI336">
        <f>IF(ROW($AA336) - $AA$51 &lt; ($H$16+1)^5, IF(AG336 &gt;= BaseBonus!$C$16, AG336*BaseBonus!$E$31, 0), "")</f>
        <v>4.6952679064628979</v>
      </c>
      <c r="AJ336">
        <f t="shared" ca="1" si="41"/>
        <v>0</v>
      </c>
    </row>
    <row r="337" spans="28:36" x14ac:dyDescent="0.3">
      <c r="AB337">
        <f t="shared" si="38"/>
        <v>1</v>
      </c>
      <c r="AC337">
        <f t="shared" si="38"/>
        <v>3</v>
      </c>
      <c r="AD337">
        <f t="shared" si="38"/>
        <v>1</v>
      </c>
      <c r="AE337">
        <f t="shared" si="38"/>
        <v>0</v>
      </c>
      <c r="AF337">
        <f t="shared" si="38"/>
        <v>1</v>
      </c>
      <c r="AG337">
        <f t="shared" si="39"/>
        <v>6</v>
      </c>
      <c r="AH337">
        <f t="shared" ca="1" si="40"/>
        <v>0</v>
      </c>
      <c r="AI337">
        <f>IF(ROW($AA337) - $AA$51 &lt; ($H$16+1)^5, IF(AG337 &gt;= BaseBonus!$C$16, AG337*BaseBonus!$E$31, 0), "")</f>
        <v>5.6343214877554777</v>
      </c>
      <c r="AJ337">
        <f t="shared" ca="1" si="41"/>
        <v>0</v>
      </c>
    </row>
    <row r="338" spans="28:36" x14ac:dyDescent="0.3">
      <c r="AB338">
        <f t="shared" si="38"/>
        <v>2</v>
      </c>
      <c r="AC338">
        <f t="shared" si="38"/>
        <v>3</v>
      </c>
      <c r="AD338">
        <f t="shared" si="38"/>
        <v>1</v>
      </c>
      <c r="AE338">
        <f t="shared" si="38"/>
        <v>0</v>
      </c>
      <c r="AF338">
        <f t="shared" si="38"/>
        <v>1</v>
      </c>
      <c r="AG338">
        <f t="shared" si="39"/>
        <v>7</v>
      </c>
      <c r="AH338">
        <f t="shared" ca="1" si="40"/>
        <v>0</v>
      </c>
      <c r="AI338">
        <f>IF(ROW($AA338) - $AA$51 &lt; ($H$16+1)^5, IF(AG338 &gt;= BaseBonus!$C$16, AG338*BaseBonus!$E$31, 0), "")</f>
        <v>6.5733750690480575</v>
      </c>
      <c r="AJ338">
        <f t="shared" ca="1" si="41"/>
        <v>0</v>
      </c>
    </row>
    <row r="339" spans="28:36" x14ac:dyDescent="0.3">
      <c r="AB339">
        <f t="shared" si="38"/>
        <v>3</v>
      </c>
      <c r="AC339">
        <f t="shared" si="38"/>
        <v>3</v>
      </c>
      <c r="AD339">
        <f t="shared" si="38"/>
        <v>1</v>
      </c>
      <c r="AE339">
        <f t="shared" si="38"/>
        <v>0</v>
      </c>
      <c r="AF339">
        <f t="shared" si="38"/>
        <v>1</v>
      </c>
      <c r="AG339">
        <f t="shared" si="39"/>
        <v>8</v>
      </c>
      <c r="AH339">
        <f t="shared" ca="1" si="40"/>
        <v>0</v>
      </c>
      <c r="AI339">
        <f>IF(ROW($AA339) - $AA$51 &lt; ($H$16+1)^5, IF(AG339 &gt;= BaseBonus!$C$16, AG339*BaseBonus!$E$31, 0), "")</f>
        <v>7.5124286503406372</v>
      </c>
      <c r="AJ339">
        <f t="shared" ca="1" si="41"/>
        <v>0</v>
      </c>
    </row>
    <row r="340" spans="28:36" x14ac:dyDescent="0.3">
      <c r="AB340">
        <f t="shared" si="38"/>
        <v>0</v>
      </c>
      <c r="AC340">
        <f t="shared" si="38"/>
        <v>0</v>
      </c>
      <c r="AD340">
        <f t="shared" si="38"/>
        <v>2</v>
      </c>
      <c r="AE340">
        <f t="shared" si="38"/>
        <v>0</v>
      </c>
      <c r="AF340">
        <f t="shared" si="38"/>
        <v>1</v>
      </c>
      <c r="AG340">
        <f t="shared" si="39"/>
        <v>3</v>
      </c>
      <c r="AH340">
        <f t="shared" ca="1" si="40"/>
        <v>0</v>
      </c>
      <c r="AI340">
        <f>IF(ROW($AA340) - $AA$51 &lt; ($H$16+1)^5, IF(AG340 &gt;= BaseBonus!$C$16, AG340*BaseBonus!$E$31, 0), "")</f>
        <v>0</v>
      </c>
      <c r="AJ340">
        <f t="shared" ca="1" si="41"/>
        <v>0</v>
      </c>
    </row>
    <row r="341" spans="28:36" x14ac:dyDescent="0.3">
      <c r="AB341">
        <f t="shared" si="38"/>
        <v>1</v>
      </c>
      <c r="AC341">
        <f t="shared" si="38"/>
        <v>0</v>
      </c>
      <c r="AD341">
        <f t="shared" si="38"/>
        <v>2</v>
      </c>
      <c r="AE341">
        <f t="shared" si="38"/>
        <v>0</v>
      </c>
      <c r="AF341">
        <f t="shared" si="38"/>
        <v>1</v>
      </c>
      <c r="AG341">
        <f t="shared" si="39"/>
        <v>4</v>
      </c>
      <c r="AH341">
        <f t="shared" ca="1" si="40"/>
        <v>0</v>
      </c>
      <c r="AI341">
        <f>IF(ROW($AA341) - $AA$51 &lt; ($H$16+1)^5, IF(AG341 &gt;= BaseBonus!$C$16, AG341*BaseBonus!$E$31, 0), "")</f>
        <v>0</v>
      </c>
      <c r="AJ341">
        <f t="shared" ca="1" si="41"/>
        <v>0</v>
      </c>
    </row>
    <row r="342" spans="28:36" x14ac:dyDescent="0.3">
      <c r="AB342">
        <f t="shared" si="38"/>
        <v>2</v>
      </c>
      <c r="AC342">
        <f t="shared" si="38"/>
        <v>0</v>
      </c>
      <c r="AD342">
        <f t="shared" si="38"/>
        <v>2</v>
      </c>
      <c r="AE342">
        <f t="shared" si="38"/>
        <v>0</v>
      </c>
      <c r="AF342">
        <f t="shared" si="38"/>
        <v>1</v>
      </c>
      <c r="AG342">
        <f t="shared" si="39"/>
        <v>5</v>
      </c>
      <c r="AH342">
        <f t="shared" ca="1" si="40"/>
        <v>0</v>
      </c>
      <c r="AI342">
        <f>IF(ROW($AA342) - $AA$51 &lt; ($H$16+1)^5, IF(AG342 &gt;= BaseBonus!$C$16, AG342*BaseBonus!$E$31, 0), "")</f>
        <v>4.6952679064628979</v>
      </c>
      <c r="AJ342">
        <f t="shared" ca="1" si="41"/>
        <v>0</v>
      </c>
    </row>
    <row r="343" spans="28:36" x14ac:dyDescent="0.3">
      <c r="AB343">
        <f t="shared" si="38"/>
        <v>3</v>
      </c>
      <c r="AC343">
        <f t="shared" si="38"/>
        <v>0</v>
      </c>
      <c r="AD343">
        <f t="shared" si="38"/>
        <v>2</v>
      </c>
      <c r="AE343">
        <f t="shared" si="38"/>
        <v>0</v>
      </c>
      <c r="AF343">
        <f t="shared" si="38"/>
        <v>1</v>
      </c>
      <c r="AG343">
        <f t="shared" si="39"/>
        <v>6</v>
      </c>
      <c r="AH343">
        <f t="shared" ca="1" si="40"/>
        <v>0</v>
      </c>
      <c r="AI343">
        <f>IF(ROW($AA343) - $AA$51 &lt; ($H$16+1)^5, IF(AG343 &gt;= BaseBonus!$C$16, AG343*BaseBonus!$E$31, 0), "")</f>
        <v>5.6343214877554777</v>
      </c>
      <c r="AJ343">
        <f t="shared" ca="1" si="41"/>
        <v>0</v>
      </c>
    </row>
    <row r="344" spans="28:36" x14ac:dyDescent="0.3">
      <c r="AB344">
        <f t="shared" si="38"/>
        <v>0</v>
      </c>
      <c r="AC344">
        <f t="shared" si="38"/>
        <v>1</v>
      </c>
      <c r="AD344">
        <f t="shared" si="38"/>
        <v>2</v>
      </c>
      <c r="AE344">
        <f t="shared" si="38"/>
        <v>0</v>
      </c>
      <c r="AF344">
        <f t="shared" si="38"/>
        <v>1</v>
      </c>
      <c r="AG344">
        <f t="shared" si="39"/>
        <v>4</v>
      </c>
      <c r="AH344">
        <f t="shared" ca="1" si="40"/>
        <v>0</v>
      </c>
      <c r="AI344">
        <f>IF(ROW($AA344) - $AA$51 &lt; ($H$16+1)^5, IF(AG344 &gt;= BaseBonus!$C$16, AG344*BaseBonus!$E$31, 0), "")</f>
        <v>0</v>
      </c>
      <c r="AJ344">
        <f t="shared" ca="1" si="41"/>
        <v>0</v>
      </c>
    </row>
    <row r="345" spans="28:36" x14ac:dyDescent="0.3">
      <c r="AB345">
        <f t="shared" si="38"/>
        <v>1</v>
      </c>
      <c r="AC345">
        <f t="shared" si="38"/>
        <v>1</v>
      </c>
      <c r="AD345">
        <f t="shared" si="38"/>
        <v>2</v>
      </c>
      <c r="AE345">
        <f t="shared" si="38"/>
        <v>0</v>
      </c>
      <c r="AF345">
        <f t="shared" si="38"/>
        <v>1</v>
      </c>
      <c r="AG345">
        <f t="shared" si="39"/>
        <v>5</v>
      </c>
      <c r="AH345">
        <f t="shared" ca="1" si="40"/>
        <v>0</v>
      </c>
      <c r="AI345">
        <f>IF(ROW($AA345) - $AA$51 &lt; ($H$16+1)^5, IF(AG345 &gt;= BaseBonus!$C$16, AG345*BaseBonus!$E$31, 0), "")</f>
        <v>4.6952679064628979</v>
      </c>
      <c r="AJ345">
        <f t="shared" ca="1" si="41"/>
        <v>0</v>
      </c>
    </row>
    <row r="346" spans="28:36" x14ac:dyDescent="0.3">
      <c r="AB346">
        <f t="shared" si="38"/>
        <v>2</v>
      </c>
      <c r="AC346">
        <f t="shared" si="38"/>
        <v>1</v>
      </c>
      <c r="AD346">
        <f t="shared" si="38"/>
        <v>2</v>
      </c>
      <c r="AE346">
        <f t="shared" si="38"/>
        <v>0</v>
      </c>
      <c r="AF346">
        <f t="shared" si="38"/>
        <v>1</v>
      </c>
      <c r="AG346">
        <f t="shared" si="39"/>
        <v>6</v>
      </c>
      <c r="AH346">
        <f t="shared" ca="1" si="40"/>
        <v>0</v>
      </c>
      <c r="AI346">
        <f>IF(ROW($AA346) - $AA$51 &lt; ($H$16+1)^5, IF(AG346 &gt;= BaseBonus!$C$16, AG346*BaseBonus!$E$31, 0), "")</f>
        <v>5.6343214877554777</v>
      </c>
      <c r="AJ346">
        <f t="shared" ca="1" si="41"/>
        <v>0</v>
      </c>
    </row>
    <row r="347" spans="28:36" x14ac:dyDescent="0.3">
      <c r="AB347">
        <f t="shared" si="38"/>
        <v>3</v>
      </c>
      <c r="AC347">
        <f t="shared" si="38"/>
        <v>1</v>
      </c>
      <c r="AD347">
        <f t="shared" si="38"/>
        <v>2</v>
      </c>
      <c r="AE347">
        <f t="shared" si="38"/>
        <v>0</v>
      </c>
      <c r="AF347">
        <f t="shared" si="38"/>
        <v>1</v>
      </c>
      <c r="AG347">
        <f t="shared" si="39"/>
        <v>7</v>
      </c>
      <c r="AH347">
        <f t="shared" ca="1" si="40"/>
        <v>0</v>
      </c>
      <c r="AI347">
        <f>IF(ROW($AA347) - $AA$51 &lt; ($H$16+1)^5, IF(AG347 &gt;= BaseBonus!$C$16, AG347*BaseBonus!$E$31, 0), "")</f>
        <v>6.5733750690480575</v>
      </c>
      <c r="AJ347">
        <f t="shared" ca="1" si="41"/>
        <v>0</v>
      </c>
    </row>
    <row r="348" spans="28:36" x14ac:dyDescent="0.3">
      <c r="AB348">
        <f t="shared" si="38"/>
        <v>0</v>
      </c>
      <c r="AC348">
        <f t="shared" si="38"/>
        <v>2</v>
      </c>
      <c r="AD348">
        <f t="shared" si="38"/>
        <v>2</v>
      </c>
      <c r="AE348">
        <f t="shared" si="38"/>
        <v>0</v>
      </c>
      <c r="AF348">
        <f t="shared" si="38"/>
        <v>1</v>
      </c>
      <c r="AG348">
        <f t="shared" si="39"/>
        <v>5</v>
      </c>
      <c r="AH348">
        <f t="shared" ca="1" si="40"/>
        <v>0</v>
      </c>
      <c r="AI348">
        <f>IF(ROW($AA348) - $AA$51 &lt; ($H$16+1)^5, IF(AG348 &gt;= BaseBonus!$C$16, AG348*BaseBonus!$E$31, 0), "")</f>
        <v>4.6952679064628979</v>
      </c>
      <c r="AJ348">
        <f t="shared" ca="1" si="41"/>
        <v>0</v>
      </c>
    </row>
    <row r="349" spans="28:36" x14ac:dyDescent="0.3">
      <c r="AB349">
        <f t="shared" si="38"/>
        <v>1</v>
      </c>
      <c r="AC349">
        <f t="shared" si="38"/>
        <v>2</v>
      </c>
      <c r="AD349">
        <f t="shared" si="38"/>
        <v>2</v>
      </c>
      <c r="AE349">
        <f t="shared" si="38"/>
        <v>0</v>
      </c>
      <c r="AF349">
        <f t="shared" si="38"/>
        <v>1</v>
      </c>
      <c r="AG349">
        <f t="shared" si="39"/>
        <v>6</v>
      </c>
      <c r="AH349">
        <f t="shared" ca="1" si="40"/>
        <v>0</v>
      </c>
      <c r="AI349">
        <f>IF(ROW($AA349) - $AA$51 &lt; ($H$16+1)^5, IF(AG349 &gt;= BaseBonus!$C$16, AG349*BaseBonus!$E$31, 0), "")</f>
        <v>5.6343214877554777</v>
      </c>
      <c r="AJ349">
        <f t="shared" ca="1" si="41"/>
        <v>0</v>
      </c>
    </row>
    <row r="350" spans="28:36" x14ac:dyDescent="0.3">
      <c r="AB350">
        <f t="shared" si="38"/>
        <v>2</v>
      </c>
      <c r="AC350">
        <f t="shared" si="38"/>
        <v>2</v>
      </c>
      <c r="AD350">
        <f t="shared" si="38"/>
        <v>2</v>
      </c>
      <c r="AE350">
        <f t="shared" si="38"/>
        <v>0</v>
      </c>
      <c r="AF350">
        <f t="shared" si="38"/>
        <v>1</v>
      </c>
      <c r="AG350">
        <f t="shared" si="39"/>
        <v>7</v>
      </c>
      <c r="AH350">
        <f t="shared" ca="1" si="40"/>
        <v>0</v>
      </c>
      <c r="AI350">
        <f>IF(ROW($AA350) - $AA$51 &lt; ($H$16+1)^5, IF(AG350 &gt;= BaseBonus!$C$16, AG350*BaseBonus!$E$31, 0), "")</f>
        <v>6.5733750690480575</v>
      </c>
      <c r="AJ350">
        <f t="shared" ca="1" si="41"/>
        <v>0</v>
      </c>
    </row>
    <row r="351" spans="28:36" x14ac:dyDescent="0.3">
      <c r="AB351">
        <f t="shared" si="38"/>
        <v>3</v>
      </c>
      <c r="AC351">
        <f t="shared" si="38"/>
        <v>2</v>
      </c>
      <c r="AD351">
        <f t="shared" si="38"/>
        <v>2</v>
      </c>
      <c r="AE351">
        <f t="shared" si="38"/>
        <v>0</v>
      </c>
      <c r="AF351">
        <f t="shared" si="38"/>
        <v>1</v>
      </c>
      <c r="AG351">
        <f t="shared" si="39"/>
        <v>8</v>
      </c>
      <c r="AH351">
        <f t="shared" ca="1" si="40"/>
        <v>0</v>
      </c>
      <c r="AI351">
        <f>IF(ROW($AA351) - $AA$51 &lt; ($H$16+1)^5, IF(AG351 &gt;= BaseBonus!$C$16, AG351*BaseBonus!$E$31, 0), "")</f>
        <v>7.5124286503406372</v>
      </c>
      <c r="AJ351">
        <f t="shared" ca="1" si="41"/>
        <v>0</v>
      </c>
    </row>
    <row r="352" spans="28:36" x14ac:dyDescent="0.3">
      <c r="AB352">
        <f t="shared" si="38"/>
        <v>0</v>
      </c>
      <c r="AC352">
        <f t="shared" si="38"/>
        <v>3</v>
      </c>
      <c r="AD352">
        <f t="shared" si="38"/>
        <v>2</v>
      </c>
      <c r="AE352">
        <f t="shared" si="38"/>
        <v>0</v>
      </c>
      <c r="AF352">
        <f t="shared" si="38"/>
        <v>1</v>
      </c>
      <c r="AG352">
        <f t="shared" si="39"/>
        <v>6</v>
      </c>
      <c r="AH352">
        <f t="shared" ca="1" si="40"/>
        <v>0</v>
      </c>
      <c r="AI352">
        <f>IF(ROW($AA352) - $AA$51 &lt; ($H$16+1)^5, IF(AG352 &gt;= BaseBonus!$C$16, AG352*BaseBonus!$E$31, 0), "")</f>
        <v>5.6343214877554777</v>
      </c>
      <c r="AJ352">
        <f t="shared" ca="1" si="41"/>
        <v>0</v>
      </c>
    </row>
    <row r="353" spans="28:36" x14ac:dyDescent="0.3">
      <c r="AB353">
        <f t="shared" si="38"/>
        <v>1</v>
      </c>
      <c r="AC353">
        <f t="shared" si="38"/>
        <v>3</v>
      </c>
      <c r="AD353">
        <f t="shared" si="38"/>
        <v>2</v>
      </c>
      <c r="AE353">
        <f t="shared" si="38"/>
        <v>0</v>
      </c>
      <c r="AF353">
        <f t="shared" si="38"/>
        <v>1</v>
      </c>
      <c r="AG353">
        <f t="shared" si="39"/>
        <v>7</v>
      </c>
      <c r="AH353">
        <f t="shared" ca="1" si="40"/>
        <v>0</v>
      </c>
      <c r="AI353">
        <f>IF(ROW($AA353) - $AA$51 &lt; ($H$16+1)^5, IF(AG353 &gt;= BaseBonus!$C$16, AG353*BaseBonus!$E$31, 0), "")</f>
        <v>6.5733750690480575</v>
      </c>
      <c r="AJ353">
        <f t="shared" ca="1" si="41"/>
        <v>0</v>
      </c>
    </row>
    <row r="354" spans="28:36" x14ac:dyDescent="0.3">
      <c r="AB354">
        <f t="shared" si="38"/>
        <v>2</v>
      </c>
      <c r="AC354">
        <f t="shared" si="38"/>
        <v>3</v>
      </c>
      <c r="AD354">
        <f t="shared" si="38"/>
        <v>2</v>
      </c>
      <c r="AE354">
        <f t="shared" si="38"/>
        <v>0</v>
      </c>
      <c r="AF354">
        <f t="shared" si="38"/>
        <v>1</v>
      </c>
      <c r="AG354">
        <f t="shared" si="39"/>
        <v>8</v>
      </c>
      <c r="AH354">
        <f t="shared" ca="1" si="40"/>
        <v>0</v>
      </c>
      <c r="AI354">
        <f>IF(ROW($AA354) - $AA$51 &lt; ($H$16+1)^5, IF(AG354 &gt;= BaseBonus!$C$16, AG354*BaseBonus!$E$31, 0), "")</f>
        <v>7.5124286503406372</v>
      </c>
      <c r="AJ354">
        <f t="shared" ca="1" si="41"/>
        <v>0</v>
      </c>
    </row>
    <row r="355" spans="28:36" x14ac:dyDescent="0.3">
      <c r="AB355">
        <f t="shared" si="38"/>
        <v>3</v>
      </c>
      <c r="AC355">
        <f t="shared" si="38"/>
        <v>3</v>
      </c>
      <c r="AD355">
        <f t="shared" si="38"/>
        <v>2</v>
      </c>
      <c r="AE355">
        <f t="shared" si="38"/>
        <v>0</v>
      </c>
      <c r="AF355">
        <f t="shared" si="38"/>
        <v>1</v>
      </c>
      <c r="AG355">
        <f t="shared" si="39"/>
        <v>9</v>
      </c>
      <c r="AH355">
        <f t="shared" ca="1" si="40"/>
        <v>0</v>
      </c>
      <c r="AI355">
        <f>IF(ROW($AA355) - $AA$51 &lt; ($H$16+1)^5, IF(AG355 &gt;= BaseBonus!$C$16, AG355*BaseBonus!$E$31, 0), "")</f>
        <v>8.4514822316332161</v>
      </c>
      <c r="AJ355">
        <f t="shared" ca="1" si="41"/>
        <v>0</v>
      </c>
    </row>
    <row r="356" spans="28:36" x14ac:dyDescent="0.3">
      <c r="AB356">
        <f t="shared" si="38"/>
        <v>0</v>
      </c>
      <c r="AC356">
        <f t="shared" si="38"/>
        <v>0</v>
      </c>
      <c r="AD356">
        <f t="shared" si="38"/>
        <v>3</v>
      </c>
      <c r="AE356">
        <f t="shared" si="38"/>
        <v>0</v>
      </c>
      <c r="AF356">
        <f t="shared" si="38"/>
        <v>1</v>
      </c>
      <c r="AG356">
        <f t="shared" si="39"/>
        <v>4</v>
      </c>
      <c r="AH356">
        <f t="shared" ca="1" si="40"/>
        <v>0</v>
      </c>
      <c r="AI356">
        <f>IF(ROW($AA356) - $AA$51 &lt; ($H$16+1)^5, IF(AG356 &gt;= BaseBonus!$C$16, AG356*BaseBonus!$E$31, 0), "")</f>
        <v>0</v>
      </c>
      <c r="AJ356">
        <f t="shared" ca="1" si="41"/>
        <v>0</v>
      </c>
    </row>
    <row r="357" spans="28:36" x14ac:dyDescent="0.3">
      <c r="AB357">
        <f t="shared" si="38"/>
        <v>1</v>
      </c>
      <c r="AC357">
        <f t="shared" si="38"/>
        <v>0</v>
      </c>
      <c r="AD357">
        <f t="shared" si="38"/>
        <v>3</v>
      </c>
      <c r="AE357">
        <f t="shared" si="38"/>
        <v>0</v>
      </c>
      <c r="AF357">
        <f t="shared" si="38"/>
        <v>1</v>
      </c>
      <c r="AG357">
        <f t="shared" si="39"/>
        <v>5</v>
      </c>
      <c r="AH357">
        <f t="shared" ca="1" si="40"/>
        <v>0</v>
      </c>
      <c r="AI357">
        <f>IF(ROW($AA357) - $AA$51 &lt; ($H$16+1)^5, IF(AG357 &gt;= BaseBonus!$C$16, AG357*BaseBonus!$E$31, 0), "")</f>
        <v>4.6952679064628979</v>
      </c>
      <c r="AJ357">
        <f t="shared" ca="1" si="41"/>
        <v>0</v>
      </c>
    </row>
    <row r="358" spans="28:36" x14ac:dyDescent="0.3">
      <c r="AB358">
        <f t="shared" ref="AB358:AF408" si="42">IF(ROW()-$AA$51 &lt; (H$16+1)^5, MOD(_xlfn.FLOOR.MATH((ROW()-$AA$51)/AB$50), H$16+1), "")</f>
        <v>2</v>
      </c>
      <c r="AC358">
        <f t="shared" si="42"/>
        <v>0</v>
      </c>
      <c r="AD358">
        <f t="shared" si="42"/>
        <v>3</v>
      </c>
      <c r="AE358">
        <f t="shared" si="42"/>
        <v>0</v>
      </c>
      <c r="AF358">
        <f t="shared" si="42"/>
        <v>1</v>
      </c>
      <c r="AG358">
        <f t="shared" si="39"/>
        <v>6</v>
      </c>
      <c r="AH358">
        <f t="shared" ca="1" si="40"/>
        <v>0</v>
      </c>
      <c r="AI358">
        <f>IF(ROW($AA358) - $AA$51 &lt; ($H$16+1)^5, IF(AG358 &gt;= BaseBonus!$C$16, AG358*BaseBonus!$E$31, 0), "")</f>
        <v>5.6343214877554777</v>
      </c>
      <c r="AJ358">
        <f t="shared" ca="1" si="41"/>
        <v>0</v>
      </c>
    </row>
    <row r="359" spans="28:36" x14ac:dyDescent="0.3">
      <c r="AB359">
        <f t="shared" si="42"/>
        <v>3</v>
      </c>
      <c r="AC359">
        <f t="shared" si="42"/>
        <v>0</v>
      </c>
      <c r="AD359">
        <f t="shared" si="42"/>
        <v>3</v>
      </c>
      <c r="AE359">
        <f t="shared" si="42"/>
        <v>0</v>
      </c>
      <c r="AF359">
        <f t="shared" si="42"/>
        <v>1</v>
      </c>
      <c r="AG359">
        <f t="shared" si="39"/>
        <v>7</v>
      </c>
      <c r="AH359">
        <f t="shared" ca="1" si="40"/>
        <v>0</v>
      </c>
      <c r="AI359">
        <f>IF(ROW($AA359) - $AA$51 &lt; ($H$16+1)^5, IF(AG359 &gt;= BaseBonus!$C$16, AG359*BaseBonus!$E$31, 0), "")</f>
        <v>6.5733750690480575</v>
      </c>
      <c r="AJ359">
        <f t="shared" ca="1" si="41"/>
        <v>0</v>
      </c>
    </row>
    <row r="360" spans="28:36" x14ac:dyDescent="0.3">
      <c r="AB360">
        <f t="shared" si="42"/>
        <v>0</v>
      </c>
      <c r="AC360">
        <f t="shared" si="42"/>
        <v>1</v>
      </c>
      <c r="AD360">
        <f t="shared" si="42"/>
        <v>3</v>
      </c>
      <c r="AE360">
        <f t="shared" si="42"/>
        <v>0</v>
      </c>
      <c r="AF360">
        <f t="shared" si="42"/>
        <v>1</v>
      </c>
      <c r="AG360">
        <f t="shared" si="39"/>
        <v>5</v>
      </c>
      <c r="AH360">
        <f t="shared" ca="1" si="40"/>
        <v>0</v>
      </c>
      <c r="AI360">
        <f>IF(ROW($AA360) - $AA$51 &lt; ($H$16+1)^5, IF(AG360 &gt;= BaseBonus!$C$16, AG360*BaseBonus!$E$31, 0), "")</f>
        <v>4.6952679064628979</v>
      </c>
      <c r="AJ360">
        <f t="shared" ca="1" si="41"/>
        <v>0</v>
      </c>
    </row>
    <row r="361" spans="28:36" x14ac:dyDescent="0.3">
      <c r="AB361">
        <f t="shared" si="42"/>
        <v>1</v>
      </c>
      <c r="AC361">
        <f t="shared" si="42"/>
        <v>1</v>
      </c>
      <c r="AD361">
        <f t="shared" si="42"/>
        <v>3</v>
      </c>
      <c r="AE361">
        <f t="shared" si="42"/>
        <v>0</v>
      </c>
      <c r="AF361">
        <f t="shared" si="42"/>
        <v>1</v>
      </c>
      <c r="AG361">
        <f t="shared" si="39"/>
        <v>6</v>
      </c>
      <c r="AH361">
        <f t="shared" ca="1" si="40"/>
        <v>0</v>
      </c>
      <c r="AI361">
        <f>IF(ROW($AA361) - $AA$51 &lt; ($H$16+1)^5, IF(AG361 &gt;= BaseBonus!$C$16, AG361*BaseBonus!$E$31, 0), "")</f>
        <v>5.6343214877554777</v>
      </c>
      <c r="AJ361">
        <f t="shared" ca="1" si="41"/>
        <v>0</v>
      </c>
    </row>
    <row r="362" spans="28:36" x14ac:dyDescent="0.3">
      <c r="AB362">
        <f t="shared" si="42"/>
        <v>2</v>
      </c>
      <c r="AC362">
        <f t="shared" si="42"/>
        <v>1</v>
      </c>
      <c r="AD362">
        <f t="shared" si="42"/>
        <v>3</v>
      </c>
      <c r="AE362">
        <f t="shared" si="42"/>
        <v>0</v>
      </c>
      <c r="AF362">
        <f t="shared" si="42"/>
        <v>1</v>
      </c>
      <c r="AG362">
        <f t="shared" si="39"/>
        <v>7</v>
      </c>
      <c r="AH362">
        <f t="shared" ca="1" si="40"/>
        <v>0</v>
      </c>
      <c r="AI362">
        <f>IF(ROW($AA362) - $AA$51 &lt; ($H$16+1)^5, IF(AG362 &gt;= BaseBonus!$C$16, AG362*BaseBonus!$E$31, 0), "")</f>
        <v>6.5733750690480575</v>
      </c>
      <c r="AJ362">
        <f t="shared" ca="1" si="41"/>
        <v>0</v>
      </c>
    </row>
    <row r="363" spans="28:36" x14ac:dyDescent="0.3">
      <c r="AB363">
        <f t="shared" si="42"/>
        <v>3</v>
      </c>
      <c r="AC363">
        <f t="shared" si="42"/>
        <v>1</v>
      </c>
      <c r="AD363">
        <f t="shared" si="42"/>
        <v>3</v>
      </c>
      <c r="AE363">
        <f t="shared" si="42"/>
        <v>0</v>
      </c>
      <c r="AF363">
        <f t="shared" si="42"/>
        <v>1</v>
      </c>
      <c r="AG363">
        <f t="shared" si="39"/>
        <v>8</v>
      </c>
      <c r="AH363">
        <f t="shared" ca="1" si="40"/>
        <v>0</v>
      </c>
      <c r="AI363">
        <f>IF(ROW($AA363) - $AA$51 &lt; ($H$16+1)^5, IF(AG363 &gt;= BaseBonus!$C$16, AG363*BaseBonus!$E$31, 0), "")</f>
        <v>7.5124286503406372</v>
      </c>
      <c r="AJ363">
        <f t="shared" ca="1" si="41"/>
        <v>0</v>
      </c>
    </row>
    <row r="364" spans="28:36" x14ac:dyDescent="0.3">
      <c r="AB364">
        <f t="shared" si="42"/>
        <v>0</v>
      </c>
      <c r="AC364">
        <f t="shared" si="42"/>
        <v>2</v>
      </c>
      <c r="AD364">
        <f t="shared" si="42"/>
        <v>3</v>
      </c>
      <c r="AE364">
        <f t="shared" si="42"/>
        <v>0</v>
      </c>
      <c r="AF364">
        <f t="shared" si="42"/>
        <v>1</v>
      </c>
      <c r="AG364">
        <f t="shared" si="39"/>
        <v>6</v>
      </c>
      <c r="AH364">
        <f t="shared" ca="1" si="40"/>
        <v>0</v>
      </c>
      <c r="AI364">
        <f>IF(ROW($AA364) - $AA$51 &lt; ($H$16+1)^5, IF(AG364 &gt;= BaseBonus!$C$16, AG364*BaseBonus!$E$31, 0), "")</f>
        <v>5.6343214877554777</v>
      </c>
      <c r="AJ364">
        <f t="shared" ca="1" si="41"/>
        <v>0</v>
      </c>
    </row>
    <row r="365" spans="28:36" x14ac:dyDescent="0.3">
      <c r="AB365">
        <f t="shared" si="42"/>
        <v>1</v>
      </c>
      <c r="AC365">
        <f t="shared" si="42"/>
        <v>2</v>
      </c>
      <c r="AD365">
        <f t="shared" si="42"/>
        <v>3</v>
      </c>
      <c r="AE365">
        <f t="shared" si="42"/>
        <v>0</v>
      </c>
      <c r="AF365">
        <f t="shared" si="42"/>
        <v>1</v>
      </c>
      <c r="AG365">
        <f t="shared" si="39"/>
        <v>7</v>
      </c>
      <c r="AH365">
        <f t="shared" ca="1" si="40"/>
        <v>0</v>
      </c>
      <c r="AI365">
        <f>IF(ROW($AA365) - $AA$51 &lt; ($H$16+1)^5, IF(AG365 &gt;= BaseBonus!$C$16, AG365*BaseBonus!$E$31, 0), "")</f>
        <v>6.5733750690480575</v>
      </c>
      <c r="AJ365">
        <f t="shared" ca="1" si="41"/>
        <v>0</v>
      </c>
    </row>
    <row r="366" spans="28:36" x14ac:dyDescent="0.3">
      <c r="AB366">
        <f t="shared" si="42"/>
        <v>2</v>
      </c>
      <c r="AC366">
        <f t="shared" si="42"/>
        <v>2</v>
      </c>
      <c r="AD366">
        <f t="shared" si="42"/>
        <v>3</v>
      </c>
      <c r="AE366">
        <f t="shared" si="42"/>
        <v>0</v>
      </c>
      <c r="AF366">
        <f t="shared" si="42"/>
        <v>1</v>
      </c>
      <c r="AG366">
        <f t="shared" si="39"/>
        <v>8</v>
      </c>
      <c r="AH366">
        <f t="shared" ca="1" si="40"/>
        <v>0</v>
      </c>
      <c r="AI366">
        <f>IF(ROW($AA366) - $AA$51 &lt; ($H$16+1)^5, IF(AG366 &gt;= BaseBonus!$C$16, AG366*BaseBonus!$E$31, 0), "")</f>
        <v>7.5124286503406372</v>
      </c>
      <c r="AJ366">
        <f t="shared" ca="1" si="41"/>
        <v>0</v>
      </c>
    </row>
    <row r="367" spans="28:36" x14ac:dyDescent="0.3">
      <c r="AB367">
        <f t="shared" si="42"/>
        <v>3</v>
      </c>
      <c r="AC367">
        <f t="shared" si="42"/>
        <v>2</v>
      </c>
      <c r="AD367">
        <f t="shared" si="42"/>
        <v>3</v>
      </c>
      <c r="AE367">
        <f t="shared" si="42"/>
        <v>0</v>
      </c>
      <c r="AF367">
        <f t="shared" si="42"/>
        <v>1</v>
      </c>
      <c r="AG367">
        <f t="shared" si="39"/>
        <v>9</v>
      </c>
      <c r="AH367">
        <f t="shared" ca="1" si="40"/>
        <v>0</v>
      </c>
      <c r="AI367">
        <f>IF(ROW($AA367) - $AA$51 &lt; ($H$16+1)^5, IF(AG367 &gt;= BaseBonus!$C$16, AG367*BaseBonus!$E$31, 0), "")</f>
        <v>8.4514822316332161</v>
      </c>
      <c r="AJ367">
        <f t="shared" ca="1" si="41"/>
        <v>0</v>
      </c>
    </row>
    <row r="368" spans="28:36" x14ac:dyDescent="0.3">
      <c r="AB368">
        <f t="shared" si="42"/>
        <v>0</v>
      </c>
      <c r="AC368">
        <f t="shared" si="42"/>
        <v>3</v>
      </c>
      <c r="AD368">
        <f t="shared" si="42"/>
        <v>3</v>
      </c>
      <c r="AE368">
        <f t="shared" si="42"/>
        <v>0</v>
      </c>
      <c r="AF368">
        <f t="shared" si="42"/>
        <v>1</v>
      </c>
      <c r="AG368">
        <f t="shared" si="39"/>
        <v>7</v>
      </c>
      <c r="AH368">
        <f t="shared" ca="1" si="40"/>
        <v>0</v>
      </c>
      <c r="AI368">
        <f>IF(ROW($AA368) - $AA$51 &lt; ($H$16+1)^5, IF(AG368 &gt;= BaseBonus!$C$16, AG368*BaseBonus!$E$31, 0), "")</f>
        <v>6.5733750690480575</v>
      </c>
      <c r="AJ368">
        <f t="shared" ca="1" si="41"/>
        <v>0</v>
      </c>
    </row>
    <row r="369" spans="28:36" x14ac:dyDescent="0.3">
      <c r="AB369">
        <f t="shared" si="42"/>
        <v>1</v>
      </c>
      <c r="AC369">
        <f t="shared" si="42"/>
        <v>3</v>
      </c>
      <c r="AD369">
        <f t="shared" si="42"/>
        <v>3</v>
      </c>
      <c r="AE369">
        <f t="shared" si="42"/>
        <v>0</v>
      </c>
      <c r="AF369">
        <f t="shared" si="42"/>
        <v>1</v>
      </c>
      <c r="AG369">
        <f t="shared" si="39"/>
        <v>8</v>
      </c>
      <c r="AH369">
        <f t="shared" ca="1" si="40"/>
        <v>0</v>
      </c>
      <c r="AI369">
        <f>IF(ROW($AA369) - $AA$51 &lt; ($H$16+1)^5, IF(AG369 &gt;= BaseBonus!$C$16, AG369*BaseBonus!$E$31, 0), "")</f>
        <v>7.5124286503406372</v>
      </c>
      <c r="AJ369">
        <f t="shared" ca="1" si="41"/>
        <v>0</v>
      </c>
    </row>
    <row r="370" spans="28:36" x14ac:dyDescent="0.3">
      <c r="AB370">
        <f t="shared" si="42"/>
        <v>2</v>
      </c>
      <c r="AC370">
        <f t="shared" si="42"/>
        <v>3</v>
      </c>
      <c r="AD370">
        <f t="shared" si="42"/>
        <v>3</v>
      </c>
      <c r="AE370">
        <f t="shared" si="42"/>
        <v>0</v>
      </c>
      <c r="AF370">
        <f t="shared" si="42"/>
        <v>1</v>
      </c>
      <c r="AG370">
        <f t="shared" si="39"/>
        <v>9</v>
      </c>
      <c r="AH370">
        <f t="shared" ca="1" si="40"/>
        <v>0</v>
      </c>
      <c r="AI370">
        <f>IF(ROW($AA370) - $AA$51 &lt; ($H$16+1)^5, IF(AG370 &gt;= BaseBonus!$C$16, AG370*BaseBonus!$E$31, 0), "")</f>
        <v>8.4514822316332161</v>
      </c>
      <c r="AJ370">
        <f t="shared" ca="1" si="41"/>
        <v>0</v>
      </c>
    </row>
    <row r="371" spans="28:36" x14ac:dyDescent="0.3">
      <c r="AB371">
        <f t="shared" si="42"/>
        <v>3</v>
      </c>
      <c r="AC371">
        <f t="shared" si="42"/>
        <v>3</v>
      </c>
      <c r="AD371">
        <f t="shared" si="42"/>
        <v>3</v>
      </c>
      <c r="AE371">
        <f t="shared" si="42"/>
        <v>0</v>
      </c>
      <c r="AF371">
        <f t="shared" si="42"/>
        <v>1</v>
      </c>
      <c r="AG371">
        <f t="shared" si="39"/>
        <v>10</v>
      </c>
      <c r="AH371">
        <f t="shared" ca="1" si="40"/>
        <v>0</v>
      </c>
      <c r="AI371">
        <f>IF(ROW($AA371) - $AA$51 &lt; ($H$16+1)^5, IF(AG371 &gt;= BaseBonus!$C$16, AG371*BaseBonus!$E$31, 0), "")</f>
        <v>9.3905358129257959</v>
      </c>
      <c r="AJ371">
        <f t="shared" ca="1" si="41"/>
        <v>0</v>
      </c>
    </row>
    <row r="372" spans="28:36" x14ac:dyDescent="0.3">
      <c r="AB372">
        <f t="shared" si="42"/>
        <v>0</v>
      </c>
      <c r="AC372">
        <f t="shared" si="42"/>
        <v>0</v>
      </c>
      <c r="AD372">
        <f t="shared" si="42"/>
        <v>0</v>
      </c>
      <c r="AE372">
        <f t="shared" si="42"/>
        <v>1</v>
      </c>
      <c r="AF372">
        <f t="shared" si="42"/>
        <v>1</v>
      </c>
      <c r="AG372">
        <f t="shared" ref="AG372:AG435" si="43">IF(ROW($AA372) - $AA$51 &lt; ($H$16+1)^5, SUM(AB372:AF372), "")</f>
        <v>2</v>
      </c>
      <c r="AH372">
        <f t="shared" ref="AH372:AH435" ca="1" si="44">IF(ROW($AA372) - $AA$51 &lt; (4)^5,
    (_xlfn.XLOOKUP(AB372,$T$51:$T$55,U$51:U$55,0)/U$27) * (_xlfn.XLOOKUP(AC372,$T$51:$T$55,V$51:V$55,0)/V$27) * (_xlfn.XLOOKUP(AD372,$T$51:$T$55,W$51:W$55,0)/W$27) * (_xlfn.XLOOKUP(AE372,$T$51:$T$55,X$51:X$55,0)/X$27) * (_xlfn.XLOOKUP(AF372,$T$51:$T$55,Y$51:Y$55,0)/Y$27),
"")</f>
        <v>1.7148235608254132E-2</v>
      </c>
      <c r="AI372">
        <f>IF(ROW($AA372) - $AA$51 &lt; ($H$16+1)^5, IF(AG372 &gt;= BaseBonus!$C$16, AG372*BaseBonus!$E$31, 0), "")</f>
        <v>0</v>
      </c>
      <c r="AJ372">
        <f t="shared" ref="AJ372:AJ435" ca="1" si="45">IF(ROW($AA372) - $AA$51 &lt; ($H$16+1)^5, AH372*AI372, "")</f>
        <v>0</v>
      </c>
    </row>
    <row r="373" spans="28:36" x14ac:dyDescent="0.3">
      <c r="AB373">
        <f t="shared" si="42"/>
        <v>1</v>
      </c>
      <c r="AC373">
        <f t="shared" si="42"/>
        <v>0</v>
      </c>
      <c r="AD373">
        <f t="shared" si="42"/>
        <v>0</v>
      </c>
      <c r="AE373">
        <f t="shared" si="42"/>
        <v>1</v>
      </c>
      <c r="AF373">
        <f t="shared" si="42"/>
        <v>1</v>
      </c>
      <c r="AG373">
        <f t="shared" si="43"/>
        <v>3</v>
      </c>
      <c r="AH373">
        <f t="shared" ca="1" si="44"/>
        <v>2.9823018449137624E-3</v>
      </c>
      <c r="AI373">
        <f>IF(ROW($AA373) - $AA$51 &lt; ($H$16+1)^5, IF(AG373 &gt;= BaseBonus!$C$16, AG373*BaseBonus!$E$31, 0), "")</f>
        <v>0</v>
      </c>
      <c r="AJ373">
        <f t="shared" ca="1" si="45"/>
        <v>0</v>
      </c>
    </row>
    <row r="374" spans="28:36" x14ac:dyDescent="0.3">
      <c r="AB374">
        <f t="shared" si="42"/>
        <v>2</v>
      </c>
      <c r="AC374">
        <f t="shared" si="42"/>
        <v>0</v>
      </c>
      <c r="AD374">
        <f t="shared" si="42"/>
        <v>0</v>
      </c>
      <c r="AE374">
        <f t="shared" si="42"/>
        <v>1</v>
      </c>
      <c r="AF374">
        <f t="shared" si="42"/>
        <v>1</v>
      </c>
      <c r="AG374">
        <f t="shared" si="43"/>
        <v>4</v>
      </c>
      <c r="AH374">
        <f t="shared" ca="1" si="44"/>
        <v>0</v>
      </c>
      <c r="AI374">
        <f>IF(ROW($AA374) - $AA$51 &lt; ($H$16+1)^5, IF(AG374 &gt;= BaseBonus!$C$16, AG374*BaseBonus!$E$31, 0), "")</f>
        <v>0</v>
      </c>
      <c r="AJ374">
        <f t="shared" ca="1" si="45"/>
        <v>0</v>
      </c>
    </row>
    <row r="375" spans="28:36" x14ac:dyDescent="0.3">
      <c r="AB375">
        <f t="shared" si="42"/>
        <v>3</v>
      </c>
      <c r="AC375">
        <f t="shared" si="42"/>
        <v>0</v>
      </c>
      <c r="AD375">
        <f t="shared" si="42"/>
        <v>0</v>
      </c>
      <c r="AE375">
        <f t="shared" si="42"/>
        <v>1</v>
      </c>
      <c r="AF375">
        <f t="shared" si="42"/>
        <v>1</v>
      </c>
      <c r="AG375">
        <f t="shared" si="43"/>
        <v>5</v>
      </c>
      <c r="AH375">
        <f t="shared" ca="1" si="44"/>
        <v>0</v>
      </c>
      <c r="AI375">
        <f>IF(ROW($AA375) - $AA$51 &lt; ($H$16+1)^5, IF(AG375 &gt;= BaseBonus!$C$16, AG375*BaseBonus!$E$31, 0), "")</f>
        <v>4.6952679064628979</v>
      </c>
      <c r="AJ375">
        <f t="shared" ca="1" si="45"/>
        <v>0</v>
      </c>
    </row>
    <row r="376" spans="28:36" x14ac:dyDescent="0.3">
      <c r="AB376">
        <f t="shared" si="42"/>
        <v>0</v>
      </c>
      <c r="AC376">
        <f t="shared" si="42"/>
        <v>1</v>
      </c>
      <c r="AD376">
        <f t="shared" si="42"/>
        <v>0</v>
      </c>
      <c r="AE376">
        <f t="shared" si="42"/>
        <v>1</v>
      </c>
      <c r="AF376">
        <f t="shared" si="42"/>
        <v>1</v>
      </c>
      <c r="AG376">
        <f t="shared" si="43"/>
        <v>3</v>
      </c>
      <c r="AH376">
        <f t="shared" ca="1" si="44"/>
        <v>2.2696194187395175E-3</v>
      </c>
      <c r="AI376">
        <f>IF(ROW($AA376) - $AA$51 &lt; ($H$16+1)^5, IF(AG376 &gt;= BaseBonus!$C$16, AG376*BaseBonus!$E$31, 0), "")</f>
        <v>0</v>
      </c>
      <c r="AJ376">
        <f t="shared" ca="1" si="45"/>
        <v>0</v>
      </c>
    </row>
    <row r="377" spans="28:36" x14ac:dyDescent="0.3">
      <c r="AB377">
        <f t="shared" si="42"/>
        <v>1</v>
      </c>
      <c r="AC377">
        <f t="shared" si="42"/>
        <v>1</v>
      </c>
      <c r="AD377">
        <f t="shared" si="42"/>
        <v>0</v>
      </c>
      <c r="AE377">
        <f t="shared" si="42"/>
        <v>1</v>
      </c>
      <c r="AF377">
        <f t="shared" si="42"/>
        <v>1</v>
      </c>
      <c r="AG377">
        <f t="shared" si="43"/>
        <v>4</v>
      </c>
      <c r="AH377">
        <f t="shared" ca="1" si="44"/>
        <v>3.947164206503509E-4</v>
      </c>
      <c r="AI377">
        <f>IF(ROW($AA377) - $AA$51 &lt; ($H$16+1)^5, IF(AG377 &gt;= BaseBonus!$C$16, AG377*BaseBonus!$E$31, 0), "")</f>
        <v>0</v>
      </c>
      <c r="AJ377">
        <f t="shared" ca="1" si="45"/>
        <v>0</v>
      </c>
    </row>
    <row r="378" spans="28:36" x14ac:dyDescent="0.3">
      <c r="AB378">
        <f t="shared" si="42"/>
        <v>2</v>
      </c>
      <c r="AC378">
        <f t="shared" si="42"/>
        <v>1</v>
      </c>
      <c r="AD378">
        <f t="shared" si="42"/>
        <v>0</v>
      </c>
      <c r="AE378">
        <f t="shared" si="42"/>
        <v>1</v>
      </c>
      <c r="AF378">
        <f t="shared" si="42"/>
        <v>1</v>
      </c>
      <c r="AG378">
        <f t="shared" si="43"/>
        <v>5</v>
      </c>
      <c r="AH378">
        <f t="shared" ca="1" si="44"/>
        <v>0</v>
      </c>
      <c r="AI378">
        <f>IF(ROW($AA378) - $AA$51 &lt; ($H$16+1)^5, IF(AG378 &gt;= BaseBonus!$C$16, AG378*BaseBonus!$E$31, 0), "")</f>
        <v>4.6952679064628979</v>
      </c>
      <c r="AJ378">
        <f t="shared" ca="1" si="45"/>
        <v>0</v>
      </c>
    </row>
    <row r="379" spans="28:36" x14ac:dyDescent="0.3">
      <c r="AB379">
        <f t="shared" si="42"/>
        <v>3</v>
      </c>
      <c r="AC379">
        <f t="shared" si="42"/>
        <v>1</v>
      </c>
      <c r="AD379">
        <f t="shared" si="42"/>
        <v>0</v>
      </c>
      <c r="AE379">
        <f t="shared" si="42"/>
        <v>1</v>
      </c>
      <c r="AF379">
        <f t="shared" si="42"/>
        <v>1</v>
      </c>
      <c r="AG379">
        <f t="shared" si="43"/>
        <v>6</v>
      </c>
      <c r="AH379">
        <f t="shared" ca="1" si="44"/>
        <v>0</v>
      </c>
      <c r="AI379">
        <f>IF(ROW($AA379) - $AA$51 &lt; ($H$16+1)^5, IF(AG379 &gt;= BaseBonus!$C$16, AG379*BaseBonus!$E$31, 0), "")</f>
        <v>5.6343214877554777</v>
      </c>
      <c r="AJ379">
        <f t="shared" ca="1" si="45"/>
        <v>0</v>
      </c>
    </row>
    <row r="380" spans="28:36" x14ac:dyDescent="0.3">
      <c r="AB380">
        <f t="shared" si="42"/>
        <v>0</v>
      </c>
      <c r="AC380">
        <f t="shared" si="42"/>
        <v>2</v>
      </c>
      <c r="AD380">
        <f t="shared" si="42"/>
        <v>0</v>
      </c>
      <c r="AE380">
        <f t="shared" si="42"/>
        <v>1</v>
      </c>
      <c r="AF380">
        <f t="shared" si="42"/>
        <v>1</v>
      </c>
      <c r="AG380">
        <f t="shared" si="43"/>
        <v>4</v>
      </c>
      <c r="AH380">
        <f t="shared" ca="1" si="44"/>
        <v>0</v>
      </c>
      <c r="AI380">
        <f>IF(ROW($AA380) - $AA$51 &lt; ($H$16+1)^5, IF(AG380 &gt;= BaseBonus!$C$16, AG380*BaseBonus!$E$31, 0), "")</f>
        <v>0</v>
      </c>
      <c r="AJ380">
        <f t="shared" ca="1" si="45"/>
        <v>0</v>
      </c>
    </row>
    <row r="381" spans="28:36" x14ac:dyDescent="0.3">
      <c r="AB381">
        <f t="shared" si="42"/>
        <v>1</v>
      </c>
      <c r="AC381">
        <f t="shared" si="42"/>
        <v>2</v>
      </c>
      <c r="AD381">
        <f t="shared" si="42"/>
        <v>0</v>
      </c>
      <c r="AE381">
        <f t="shared" si="42"/>
        <v>1</v>
      </c>
      <c r="AF381">
        <f t="shared" si="42"/>
        <v>1</v>
      </c>
      <c r="AG381">
        <f t="shared" si="43"/>
        <v>5</v>
      </c>
      <c r="AH381">
        <f t="shared" ca="1" si="44"/>
        <v>0</v>
      </c>
      <c r="AI381">
        <f>IF(ROW($AA381) - $AA$51 &lt; ($H$16+1)^5, IF(AG381 &gt;= BaseBonus!$C$16, AG381*BaseBonus!$E$31, 0), "")</f>
        <v>4.6952679064628979</v>
      </c>
      <c r="AJ381">
        <f t="shared" ca="1" si="45"/>
        <v>0</v>
      </c>
    </row>
    <row r="382" spans="28:36" x14ac:dyDescent="0.3">
      <c r="AB382">
        <f t="shared" si="42"/>
        <v>2</v>
      </c>
      <c r="AC382">
        <f t="shared" si="42"/>
        <v>2</v>
      </c>
      <c r="AD382">
        <f t="shared" si="42"/>
        <v>0</v>
      </c>
      <c r="AE382">
        <f t="shared" si="42"/>
        <v>1</v>
      </c>
      <c r="AF382">
        <f t="shared" si="42"/>
        <v>1</v>
      </c>
      <c r="AG382">
        <f t="shared" si="43"/>
        <v>6</v>
      </c>
      <c r="AH382">
        <f t="shared" ca="1" si="44"/>
        <v>0</v>
      </c>
      <c r="AI382">
        <f>IF(ROW($AA382) - $AA$51 &lt; ($H$16+1)^5, IF(AG382 &gt;= BaseBonus!$C$16, AG382*BaseBonus!$E$31, 0), "")</f>
        <v>5.6343214877554777</v>
      </c>
      <c r="AJ382">
        <f t="shared" ca="1" si="45"/>
        <v>0</v>
      </c>
    </row>
    <row r="383" spans="28:36" x14ac:dyDescent="0.3">
      <c r="AB383">
        <f t="shared" si="42"/>
        <v>3</v>
      </c>
      <c r="AC383">
        <f t="shared" si="42"/>
        <v>2</v>
      </c>
      <c r="AD383">
        <f t="shared" si="42"/>
        <v>0</v>
      </c>
      <c r="AE383">
        <f t="shared" si="42"/>
        <v>1</v>
      </c>
      <c r="AF383">
        <f t="shared" si="42"/>
        <v>1</v>
      </c>
      <c r="AG383">
        <f t="shared" si="43"/>
        <v>7</v>
      </c>
      <c r="AH383">
        <f t="shared" ca="1" si="44"/>
        <v>0</v>
      </c>
      <c r="AI383">
        <f>IF(ROW($AA383) - $AA$51 &lt; ($H$16+1)^5, IF(AG383 &gt;= BaseBonus!$C$16, AG383*BaseBonus!$E$31, 0), "")</f>
        <v>6.5733750690480575</v>
      </c>
      <c r="AJ383">
        <f t="shared" ca="1" si="45"/>
        <v>0</v>
      </c>
    </row>
    <row r="384" spans="28:36" x14ac:dyDescent="0.3">
      <c r="AB384">
        <f t="shared" si="42"/>
        <v>0</v>
      </c>
      <c r="AC384">
        <f t="shared" si="42"/>
        <v>3</v>
      </c>
      <c r="AD384">
        <f t="shared" si="42"/>
        <v>0</v>
      </c>
      <c r="AE384">
        <f t="shared" si="42"/>
        <v>1</v>
      </c>
      <c r="AF384">
        <f t="shared" si="42"/>
        <v>1</v>
      </c>
      <c r="AG384">
        <f t="shared" si="43"/>
        <v>5</v>
      </c>
      <c r="AH384">
        <f t="shared" ca="1" si="44"/>
        <v>0</v>
      </c>
      <c r="AI384">
        <f>IF(ROW($AA384) - $AA$51 &lt; ($H$16+1)^5, IF(AG384 &gt;= BaseBonus!$C$16, AG384*BaseBonus!$E$31, 0), "")</f>
        <v>4.6952679064628979</v>
      </c>
      <c r="AJ384">
        <f t="shared" ca="1" si="45"/>
        <v>0</v>
      </c>
    </row>
    <row r="385" spans="28:36" x14ac:dyDescent="0.3">
      <c r="AB385">
        <f t="shared" si="42"/>
        <v>1</v>
      </c>
      <c r="AC385">
        <f t="shared" si="42"/>
        <v>3</v>
      </c>
      <c r="AD385">
        <f t="shared" si="42"/>
        <v>0</v>
      </c>
      <c r="AE385">
        <f t="shared" si="42"/>
        <v>1</v>
      </c>
      <c r="AF385">
        <f t="shared" si="42"/>
        <v>1</v>
      </c>
      <c r="AG385">
        <f t="shared" si="43"/>
        <v>6</v>
      </c>
      <c r="AH385">
        <f t="shared" ca="1" si="44"/>
        <v>0</v>
      </c>
      <c r="AI385">
        <f>IF(ROW($AA385) - $AA$51 &lt; ($H$16+1)^5, IF(AG385 &gt;= BaseBonus!$C$16, AG385*BaseBonus!$E$31, 0), "")</f>
        <v>5.6343214877554777</v>
      </c>
      <c r="AJ385">
        <f t="shared" ca="1" si="45"/>
        <v>0</v>
      </c>
    </row>
    <row r="386" spans="28:36" x14ac:dyDescent="0.3">
      <c r="AB386">
        <f t="shared" si="42"/>
        <v>2</v>
      </c>
      <c r="AC386">
        <f t="shared" si="42"/>
        <v>3</v>
      </c>
      <c r="AD386">
        <f t="shared" si="42"/>
        <v>0</v>
      </c>
      <c r="AE386">
        <f t="shared" si="42"/>
        <v>1</v>
      </c>
      <c r="AF386">
        <f t="shared" si="42"/>
        <v>1</v>
      </c>
      <c r="AG386">
        <f t="shared" si="43"/>
        <v>7</v>
      </c>
      <c r="AH386">
        <f t="shared" ca="1" si="44"/>
        <v>0</v>
      </c>
      <c r="AI386">
        <f>IF(ROW($AA386) - $AA$51 &lt; ($H$16+1)^5, IF(AG386 &gt;= BaseBonus!$C$16, AG386*BaseBonus!$E$31, 0), "")</f>
        <v>6.5733750690480575</v>
      </c>
      <c r="AJ386">
        <f t="shared" ca="1" si="45"/>
        <v>0</v>
      </c>
    </row>
    <row r="387" spans="28:36" x14ac:dyDescent="0.3">
      <c r="AB387">
        <f t="shared" si="42"/>
        <v>3</v>
      </c>
      <c r="AC387">
        <f t="shared" si="42"/>
        <v>3</v>
      </c>
      <c r="AD387">
        <f t="shared" si="42"/>
        <v>0</v>
      </c>
      <c r="AE387">
        <f t="shared" si="42"/>
        <v>1</v>
      </c>
      <c r="AF387">
        <f t="shared" si="42"/>
        <v>1</v>
      </c>
      <c r="AG387">
        <f t="shared" si="43"/>
        <v>8</v>
      </c>
      <c r="AH387">
        <f t="shared" ca="1" si="44"/>
        <v>0</v>
      </c>
      <c r="AI387">
        <f>IF(ROW($AA387) - $AA$51 &lt; ($H$16+1)^5, IF(AG387 &gt;= BaseBonus!$C$16, AG387*BaseBonus!$E$31, 0), "")</f>
        <v>7.5124286503406372</v>
      </c>
      <c r="AJ387">
        <f t="shared" ca="1" si="45"/>
        <v>0</v>
      </c>
    </row>
    <row r="388" spans="28:36" x14ac:dyDescent="0.3">
      <c r="AB388">
        <f t="shared" si="42"/>
        <v>0</v>
      </c>
      <c r="AC388">
        <f t="shared" si="42"/>
        <v>0</v>
      </c>
      <c r="AD388">
        <f t="shared" si="42"/>
        <v>1</v>
      </c>
      <c r="AE388">
        <f t="shared" si="42"/>
        <v>1</v>
      </c>
      <c r="AF388">
        <f t="shared" si="42"/>
        <v>1</v>
      </c>
      <c r="AG388">
        <f t="shared" si="43"/>
        <v>3</v>
      </c>
      <c r="AH388">
        <f t="shared" ca="1" si="44"/>
        <v>2.114166033894345E-3</v>
      </c>
      <c r="AI388">
        <f>IF(ROW($AA388) - $AA$51 &lt; ($H$16+1)^5, IF(AG388 &gt;= BaseBonus!$C$16, AG388*BaseBonus!$E$31, 0), "")</f>
        <v>0</v>
      </c>
      <c r="AJ388">
        <f t="shared" ca="1" si="45"/>
        <v>0</v>
      </c>
    </row>
    <row r="389" spans="28:36" x14ac:dyDescent="0.3">
      <c r="AB389">
        <f t="shared" si="42"/>
        <v>1</v>
      </c>
      <c r="AC389">
        <f t="shared" si="42"/>
        <v>0</v>
      </c>
      <c r="AD389">
        <f t="shared" si="42"/>
        <v>1</v>
      </c>
      <c r="AE389">
        <f t="shared" si="42"/>
        <v>1</v>
      </c>
      <c r="AF389">
        <f t="shared" si="42"/>
        <v>1</v>
      </c>
      <c r="AG389">
        <f t="shared" si="43"/>
        <v>4</v>
      </c>
      <c r="AH389">
        <f t="shared" ca="1" si="44"/>
        <v>3.6768104937292959E-4</v>
      </c>
      <c r="AI389">
        <f>IF(ROW($AA389) - $AA$51 &lt; ($H$16+1)^5, IF(AG389 &gt;= BaseBonus!$C$16, AG389*BaseBonus!$E$31, 0), "")</f>
        <v>0</v>
      </c>
      <c r="AJ389">
        <f t="shared" ca="1" si="45"/>
        <v>0</v>
      </c>
    </row>
    <row r="390" spans="28:36" x14ac:dyDescent="0.3">
      <c r="AB390">
        <f t="shared" si="42"/>
        <v>2</v>
      </c>
      <c r="AC390">
        <f t="shared" si="42"/>
        <v>0</v>
      </c>
      <c r="AD390">
        <f t="shared" si="42"/>
        <v>1</v>
      </c>
      <c r="AE390">
        <f t="shared" si="42"/>
        <v>1</v>
      </c>
      <c r="AF390">
        <f t="shared" si="42"/>
        <v>1</v>
      </c>
      <c r="AG390">
        <f t="shared" si="43"/>
        <v>5</v>
      </c>
      <c r="AH390">
        <f t="shared" ca="1" si="44"/>
        <v>0</v>
      </c>
      <c r="AI390">
        <f>IF(ROW($AA390) - $AA$51 &lt; ($H$16+1)^5, IF(AG390 &gt;= BaseBonus!$C$16, AG390*BaseBonus!$E$31, 0), "")</f>
        <v>4.6952679064628979</v>
      </c>
      <c r="AJ390">
        <f t="shared" ca="1" si="45"/>
        <v>0</v>
      </c>
    </row>
    <row r="391" spans="28:36" x14ac:dyDescent="0.3">
      <c r="AB391">
        <f t="shared" si="42"/>
        <v>3</v>
      </c>
      <c r="AC391">
        <f t="shared" si="42"/>
        <v>0</v>
      </c>
      <c r="AD391">
        <f t="shared" si="42"/>
        <v>1</v>
      </c>
      <c r="AE391">
        <f t="shared" si="42"/>
        <v>1</v>
      </c>
      <c r="AF391">
        <f t="shared" si="42"/>
        <v>1</v>
      </c>
      <c r="AG391">
        <f t="shared" si="43"/>
        <v>6</v>
      </c>
      <c r="AH391">
        <f t="shared" ca="1" si="44"/>
        <v>0</v>
      </c>
      <c r="AI391">
        <f>IF(ROW($AA391) - $AA$51 &lt; ($H$16+1)^5, IF(AG391 &gt;= BaseBonus!$C$16, AG391*BaseBonus!$E$31, 0), "")</f>
        <v>5.6343214877554777</v>
      </c>
      <c r="AJ391">
        <f t="shared" ca="1" si="45"/>
        <v>0</v>
      </c>
    </row>
    <row r="392" spans="28:36" x14ac:dyDescent="0.3">
      <c r="AB392">
        <f t="shared" si="42"/>
        <v>0</v>
      </c>
      <c r="AC392">
        <f t="shared" si="42"/>
        <v>1</v>
      </c>
      <c r="AD392">
        <f t="shared" si="42"/>
        <v>1</v>
      </c>
      <c r="AE392">
        <f t="shared" si="42"/>
        <v>1</v>
      </c>
      <c r="AF392">
        <f t="shared" si="42"/>
        <v>1</v>
      </c>
      <c r="AG392">
        <f t="shared" si="43"/>
        <v>4</v>
      </c>
      <c r="AH392">
        <f t="shared" ca="1" si="44"/>
        <v>2.798160927213104E-4</v>
      </c>
      <c r="AI392">
        <f>IF(ROW($AA392) - $AA$51 &lt; ($H$16+1)^5, IF(AG392 &gt;= BaseBonus!$C$16, AG392*BaseBonus!$E$31, 0), "")</f>
        <v>0</v>
      </c>
      <c r="AJ392">
        <f t="shared" ca="1" si="45"/>
        <v>0</v>
      </c>
    </row>
    <row r="393" spans="28:36" x14ac:dyDescent="0.3">
      <c r="AB393">
        <f t="shared" si="42"/>
        <v>1</v>
      </c>
      <c r="AC393">
        <f t="shared" si="42"/>
        <v>1</v>
      </c>
      <c r="AD393">
        <f t="shared" si="42"/>
        <v>1</v>
      </c>
      <c r="AE393">
        <f t="shared" si="42"/>
        <v>1</v>
      </c>
      <c r="AF393">
        <f t="shared" si="42"/>
        <v>1</v>
      </c>
      <c r="AG393">
        <f t="shared" si="43"/>
        <v>5</v>
      </c>
      <c r="AH393">
        <f t="shared" ca="1" si="44"/>
        <v>4.8663668299358336E-5</v>
      </c>
      <c r="AI393">
        <f>IF(ROW($AA393) - $AA$51 &lt; ($H$16+1)^5, IF(AG393 &gt;= BaseBonus!$C$16, AG393*BaseBonus!$E$31, 0), "")</f>
        <v>4.6952679064628979</v>
      </c>
      <c r="AJ393">
        <f t="shared" ca="1" si="45"/>
        <v>2.2848895997673311E-4</v>
      </c>
    </row>
    <row r="394" spans="28:36" x14ac:dyDescent="0.3">
      <c r="AB394">
        <f t="shared" si="42"/>
        <v>2</v>
      </c>
      <c r="AC394">
        <f t="shared" si="42"/>
        <v>1</v>
      </c>
      <c r="AD394">
        <f t="shared" si="42"/>
        <v>1</v>
      </c>
      <c r="AE394">
        <f t="shared" si="42"/>
        <v>1</v>
      </c>
      <c r="AF394">
        <f t="shared" si="42"/>
        <v>1</v>
      </c>
      <c r="AG394">
        <f t="shared" si="43"/>
        <v>6</v>
      </c>
      <c r="AH394">
        <f t="shared" ca="1" si="44"/>
        <v>0</v>
      </c>
      <c r="AI394">
        <f>IF(ROW($AA394) - $AA$51 &lt; ($H$16+1)^5, IF(AG394 &gt;= BaseBonus!$C$16, AG394*BaseBonus!$E$31, 0), "")</f>
        <v>5.6343214877554777</v>
      </c>
      <c r="AJ394">
        <f t="shared" ca="1" si="45"/>
        <v>0</v>
      </c>
    </row>
    <row r="395" spans="28:36" x14ac:dyDescent="0.3">
      <c r="AB395">
        <f t="shared" si="42"/>
        <v>3</v>
      </c>
      <c r="AC395">
        <f t="shared" si="42"/>
        <v>1</v>
      </c>
      <c r="AD395">
        <f t="shared" si="42"/>
        <v>1</v>
      </c>
      <c r="AE395">
        <f t="shared" si="42"/>
        <v>1</v>
      </c>
      <c r="AF395">
        <f t="shared" si="42"/>
        <v>1</v>
      </c>
      <c r="AG395">
        <f t="shared" si="43"/>
        <v>7</v>
      </c>
      <c r="AH395">
        <f t="shared" ca="1" si="44"/>
        <v>0</v>
      </c>
      <c r="AI395">
        <f>IF(ROW($AA395) - $AA$51 &lt; ($H$16+1)^5, IF(AG395 &gt;= BaseBonus!$C$16, AG395*BaseBonus!$E$31, 0), "")</f>
        <v>6.5733750690480575</v>
      </c>
      <c r="AJ395">
        <f t="shared" ca="1" si="45"/>
        <v>0</v>
      </c>
    </row>
    <row r="396" spans="28:36" x14ac:dyDescent="0.3">
      <c r="AB396">
        <f t="shared" si="42"/>
        <v>0</v>
      </c>
      <c r="AC396">
        <f t="shared" si="42"/>
        <v>2</v>
      </c>
      <c r="AD396">
        <f t="shared" si="42"/>
        <v>1</v>
      </c>
      <c r="AE396">
        <f t="shared" si="42"/>
        <v>1</v>
      </c>
      <c r="AF396">
        <f t="shared" si="42"/>
        <v>1</v>
      </c>
      <c r="AG396">
        <f t="shared" si="43"/>
        <v>5</v>
      </c>
      <c r="AH396">
        <f t="shared" ca="1" si="44"/>
        <v>0</v>
      </c>
      <c r="AI396">
        <f>IF(ROW($AA396) - $AA$51 &lt; ($H$16+1)^5, IF(AG396 &gt;= BaseBonus!$C$16, AG396*BaseBonus!$E$31, 0), "")</f>
        <v>4.6952679064628979</v>
      </c>
      <c r="AJ396">
        <f t="shared" ca="1" si="45"/>
        <v>0</v>
      </c>
    </row>
    <row r="397" spans="28:36" x14ac:dyDescent="0.3">
      <c r="AB397">
        <f t="shared" si="42"/>
        <v>1</v>
      </c>
      <c r="AC397">
        <f t="shared" si="42"/>
        <v>2</v>
      </c>
      <c r="AD397">
        <f t="shared" si="42"/>
        <v>1</v>
      </c>
      <c r="AE397">
        <f t="shared" si="42"/>
        <v>1</v>
      </c>
      <c r="AF397">
        <f t="shared" si="42"/>
        <v>1</v>
      </c>
      <c r="AG397">
        <f t="shared" si="43"/>
        <v>6</v>
      </c>
      <c r="AH397">
        <f t="shared" ca="1" si="44"/>
        <v>0</v>
      </c>
      <c r="AI397">
        <f>IF(ROW($AA397) - $AA$51 &lt; ($H$16+1)^5, IF(AG397 &gt;= BaseBonus!$C$16, AG397*BaseBonus!$E$31, 0), "")</f>
        <v>5.6343214877554777</v>
      </c>
      <c r="AJ397">
        <f t="shared" ca="1" si="45"/>
        <v>0</v>
      </c>
    </row>
    <row r="398" spans="28:36" x14ac:dyDescent="0.3">
      <c r="AB398">
        <f t="shared" si="42"/>
        <v>2</v>
      </c>
      <c r="AC398">
        <f t="shared" si="42"/>
        <v>2</v>
      </c>
      <c r="AD398">
        <f t="shared" si="42"/>
        <v>1</v>
      </c>
      <c r="AE398">
        <f t="shared" si="42"/>
        <v>1</v>
      </c>
      <c r="AF398">
        <f t="shared" si="42"/>
        <v>1</v>
      </c>
      <c r="AG398">
        <f t="shared" si="43"/>
        <v>7</v>
      </c>
      <c r="AH398">
        <f t="shared" ca="1" si="44"/>
        <v>0</v>
      </c>
      <c r="AI398">
        <f>IF(ROW($AA398) - $AA$51 &lt; ($H$16+1)^5, IF(AG398 &gt;= BaseBonus!$C$16, AG398*BaseBonus!$E$31, 0), "")</f>
        <v>6.5733750690480575</v>
      </c>
      <c r="AJ398">
        <f t="shared" ca="1" si="45"/>
        <v>0</v>
      </c>
    </row>
    <row r="399" spans="28:36" x14ac:dyDescent="0.3">
      <c r="AB399">
        <f t="shared" si="42"/>
        <v>3</v>
      </c>
      <c r="AC399">
        <f t="shared" si="42"/>
        <v>2</v>
      </c>
      <c r="AD399">
        <f t="shared" si="42"/>
        <v>1</v>
      </c>
      <c r="AE399">
        <f t="shared" si="42"/>
        <v>1</v>
      </c>
      <c r="AF399">
        <f t="shared" si="42"/>
        <v>1</v>
      </c>
      <c r="AG399">
        <f t="shared" si="43"/>
        <v>8</v>
      </c>
      <c r="AH399">
        <f t="shared" ca="1" si="44"/>
        <v>0</v>
      </c>
      <c r="AI399">
        <f>IF(ROW($AA399) - $AA$51 &lt; ($H$16+1)^5, IF(AG399 &gt;= BaseBonus!$C$16, AG399*BaseBonus!$E$31, 0), "")</f>
        <v>7.5124286503406372</v>
      </c>
      <c r="AJ399">
        <f t="shared" ca="1" si="45"/>
        <v>0</v>
      </c>
    </row>
    <row r="400" spans="28:36" x14ac:dyDescent="0.3">
      <c r="AB400">
        <f t="shared" si="42"/>
        <v>0</v>
      </c>
      <c r="AC400">
        <f t="shared" si="42"/>
        <v>3</v>
      </c>
      <c r="AD400">
        <f t="shared" si="42"/>
        <v>1</v>
      </c>
      <c r="AE400">
        <f t="shared" si="42"/>
        <v>1</v>
      </c>
      <c r="AF400">
        <f t="shared" si="42"/>
        <v>1</v>
      </c>
      <c r="AG400">
        <f t="shared" si="43"/>
        <v>6</v>
      </c>
      <c r="AH400">
        <f t="shared" ca="1" si="44"/>
        <v>0</v>
      </c>
      <c r="AI400">
        <f>IF(ROW($AA400) - $AA$51 &lt; ($H$16+1)^5, IF(AG400 &gt;= BaseBonus!$C$16, AG400*BaseBonus!$E$31, 0), "")</f>
        <v>5.6343214877554777</v>
      </c>
      <c r="AJ400">
        <f t="shared" ca="1" si="45"/>
        <v>0</v>
      </c>
    </row>
    <row r="401" spans="28:36" x14ac:dyDescent="0.3">
      <c r="AB401">
        <f t="shared" si="42"/>
        <v>1</v>
      </c>
      <c r="AC401">
        <f t="shared" si="42"/>
        <v>3</v>
      </c>
      <c r="AD401">
        <f t="shared" si="42"/>
        <v>1</v>
      </c>
      <c r="AE401">
        <f t="shared" si="42"/>
        <v>1</v>
      </c>
      <c r="AF401">
        <f t="shared" si="42"/>
        <v>1</v>
      </c>
      <c r="AG401">
        <f t="shared" si="43"/>
        <v>7</v>
      </c>
      <c r="AH401">
        <f t="shared" ca="1" si="44"/>
        <v>0</v>
      </c>
      <c r="AI401">
        <f>IF(ROW($AA401) - $AA$51 &lt; ($H$16+1)^5, IF(AG401 &gt;= BaseBonus!$C$16, AG401*BaseBonus!$E$31, 0), "")</f>
        <v>6.5733750690480575</v>
      </c>
      <c r="AJ401">
        <f t="shared" ca="1" si="45"/>
        <v>0</v>
      </c>
    </row>
    <row r="402" spans="28:36" x14ac:dyDescent="0.3">
      <c r="AB402">
        <f t="shared" si="42"/>
        <v>2</v>
      </c>
      <c r="AC402">
        <f t="shared" si="42"/>
        <v>3</v>
      </c>
      <c r="AD402">
        <f t="shared" si="42"/>
        <v>1</v>
      </c>
      <c r="AE402">
        <f t="shared" si="42"/>
        <v>1</v>
      </c>
      <c r="AF402">
        <f t="shared" si="42"/>
        <v>1</v>
      </c>
      <c r="AG402">
        <f t="shared" si="43"/>
        <v>8</v>
      </c>
      <c r="AH402">
        <f t="shared" ca="1" si="44"/>
        <v>0</v>
      </c>
      <c r="AI402">
        <f>IF(ROW($AA402) - $AA$51 &lt; ($H$16+1)^5, IF(AG402 &gt;= BaseBonus!$C$16, AG402*BaseBonus!$E$31, 0), "")</f>
        <v>7.5124286503406372</v>
      </c>
      <c r="AJ402">
        <f t="shared" ca="1" si="45"/>
        <v>0</v>
      </c>
    </row>
    <row r="403" spans="28:36" x14ac:dyDescent="0.3">
      <c r="AB403">
        <f t="shared" si="42"/>
        <v>3</v>
      </c>
      <c r="AC403">
        <f t="shared" si="42"/>
        <v>3</v>
      </c>
      <c r="AD403">
        <f t="shared" si="42"/>
        <v>1</v>
      </c>
      <c r="AE403">
        <f t="shared" si="42"/>
        <v>1</v>
      </c>
      <c r="AF403">
        <f t="shared" si="42"/>
        <v>1</v>
      </c>
      <c r="AG403">
        <f t="shared" si="43"/>
        <v>9</v>
      </c>
      <c r="AH403">
        <f t="shared" ca="1" si="44"/>
        <v>0</v>
      </c>
      <c r="AI403">
        <f>IF(ROW($AA403) - $AA$51 &lt; ($H$16+1)^5, IF(AG403 &gt;= BaseBonus!$C$16, AG403*BaseBonus!$E$31, 0), "")</f>
        <v>8.4514822316332161</v>
      </c>
      <c r="AJ403">
        <f t="shared" ca="1" si="45"/>
        <v>0</v>
      </c>
    </row>
    <row r="404" spans="28:36" x14ac:dyDescent="0.3">
      <c r="AB404">
        <f t="shared" si="42"/>
        <v>0</v>
      </c>
      <c r="AC404">
        <f t="shared" si="42"/>
        <v>0</v>
      </c>
      <c r="AD404">
        <f t="shared" si="42"/>
        <v>2</v>
      </c>
      <c r="AE404">
        <f t="shared" si="42"/>
        <v>1</v>
      </c>
      <c r="AF404">
        <f t="shared" si="42"/>
        <v>1</v>
      </c>
      <c r="AG404">
        <f t="shared" si="43"/>
        <v>4</v>
      </c>
      <c r="AH404">
        <f t="shared" ca="1" si="44"/>
        <v>0</v>
      </c>
      <c r="AI404">
        <f>IF(ROW($AA404) - $AA$51 &lt; ($H$16+1)^5, IF(AG404 &gt;= BaseBonus!$C$16, AG404*BaseBonus!$E$31, 0), "")</f>
        <v>0</v>
      </c>
      <c r="AJ404">
        <f t="shared" ca="1" si="45"/>
        <v>0</v>
      </c>
    </row>
    <row r="405" spans="28:36" x14ac:dyDescent="0.3">
      <c r="AB405">
        <f t="shared" si="42"/>
        <v>1</v>
      </c>
      <c r="AC405">
        <f t="shared" si="42"/>
        <v>0</v>
      </c>
      <c r="AD405">
        <f t="shared" si="42"/>
        <v>2</v>
      </c>
      <c r="AE405">
        <f t="shared" si="42"/>
        <v>1</v>
      </c>
      <c r="AF405">
        <f t="shared" si="42"/>
        <v>1</v>
      </c>
      <c r="AG405">
        <f t="shared" si="43"/>
        <v>5</v>
      </c>
      <c r="AH405">
        <f t="shared" ca="1" si="44"/>
        <v>0</v>
      </c>
      <c r="AI405">
        <f>IF(ROW($AA405) - $AA$51 &lt; ($H$16+1)^5, IF(AG405 &gt;= BaseBonus!$C$16, AG405*BaseBonus!$E$31, 0), "")</f>
        <v>4.6952679064628979</v>
      </c>
      <c r="AJ405">
        <f t="shared" ca="1" si="45"/>
        <v>0</v>
      </c>
    </row>
    <row r="406" spans="28:36" x14ac:dyDescent="0.3">
      <c r="AB406">
        <f t="shared" si="42"/>
        <v>2</v>
      </c>
      <c r="AC406">
        <f t="shared" si="42"/>
        <v>0</v>
      </c>
      <c r="AD406">
        <f t="shared" si="42"/>
        <v>2</v>
      </c>
      <c r="AE406">
        <f t="shared" si="42"/>
        <v>1</v>
      </c>
      <c r="AF406">
        <f t="shared" si="42"/>
        <v>1</v>
      </c>
      <c r="AG406">
        <f t="shared" si="43"/>
        <v>6</v>
      </c>
      <c r="AH406">
        <f t="shared" ca="1" si="44"/>
        <v>0</v>
      </c>
      <c r="AI406">
        <f>IF(ROW($AA406) - $AA$51 &lt; ($H$16+1)^5, IF(AG406 &gt;= BaseBonus!$C$16, AG406*BaseBonus!$E$31, 0), "")</f>
        <v>5.6343214877554777</v>
      </c>
      <c r="AJ406">
        <f t="shared" ca="1" si="45"/>
        <v>0</v>
      </c>
    </row>
    <row r="407" spans="28:36" x14ac:dyDescent="0.3">
      <c r="AB407">
        <f t="shared" si="42"/>
        <v>3</v>
      </c>
      <c r="AC407">
        <f t="shared" si="42"/>
        <v>0</v>
      </c>
      <c r="AD407">
        <f t="shared" si="42"/>
        <v>2</v>
      </c>
      <c r="AE407">
        <f t="shared" si="42"/>
        <v>1</v>
      </c>
      <c r="AF407">
        <f t="shared" si="42"/>
        <v>1</v>
      </c>
      <c r="AG407">
        <f t="shared" si="43"/>
        <v>7</v>
      </c>
      <c r="AH407">
        <f t="shared" ca="1" si="44"/>
        <v>0</v>
      </c>
      <c r="AI407">
        <f>IF(ROW($AA407) - $AA$51 &lt; ($H$16+1)^5, IF(AG407 &gt;= BaseBonus!$C$16, AG407*BaseBonus!$E$31, 0), "")</f>
        <v>6.5733750690480575</v>
      </c>
      <c r="AJ407">
        <f t="shared" ca="1" si="45"/>
        <v>0</v>
      </c>
    </row>
    <row r="408" spans="28:36" x14ac:dyDescent="0.3">
      <c r="AB408">
        <f t="shared" si="42"/>
        <v>0</v>
      </c>
      <c r="AC408">
        <f t="shared" si="42"/>
        <v>1</v>
      </c>
      <c r="AD408">
        <f t="shared" si="42"/>
        <v>2</v>
      </c>
      <c r="AE408">
        <f t="shared" si="42"/>
        <v>1</v>
      </c>
      <c r="AF408">
        <f t="shared" si="42"/>
        <v>1</v>
      </c>
      <c r="AG408">
        <f t="shared" si="43"/>
        <v>5</v>
      </c>
      <c r="AH408">
        <f t="shared" ca="1" si="44"/>
        <v>0</v>
      </c>
      <c r="AI408">
        <f>IF(ROW($AA408) - $AA$51 &lt; ($H$16+1)^5, IF(AG408 &gt;= BaseBonus!$C$16, AG408*BaseBonus!$E$31, 0), "")</f>
        <v>4.6952679064628979</v>
      </c>
      <c r="AJ408">
        <f t="shared" ca="1" si="45"/>
        <v>0</v>
      </c>
    </row>
    <row r="409" spans="28:36" x14ac:dyDescent="0.3">
      <c r="AB409">
        <f t="shared" ref="AB409:AF459" si="46">IF(ROW()-$AA$51 &lt; (H$16+1)^5, MOD(_xlfn.FLOOR.MATH((ROW()-$AA$51)/AB$50), H$16+1), "")</f>
        <v>1</v>
      </c>
      <c r="AC409">
        <f t="shared" si="46"/>
        <v>1</v>
      </c>
      <c r="AD409">
        <f t="shared" si="46"/>
        <v>2</v>
      </c>
      <c r="AE409">
        <f t="shared" si="46"/>
        <v>1</v>
      </c>
      <c r="AF409">
        <f t="shared" si="46"/>
        <v>1</v>
      </c>
      <c r="AG409">
        <f t="shared" si="43"/>
        <v>6</v>
      </c>
      <c r="AH409">
        <f t="shared" ca="1" si="44"/>
        <v>0</v>
      </c>
      <c r="AI409">
        <f>IF(ROW($AA409) - $AA$51 &lt; ($H$16+1)^5, IF(AG409 &gt;= BaseBonus!$C$16, AG409*BaseBonus!$E$31, 0), "")</f>
        <v>5.6343214877554777</v>
      </c>
      <c r="AJ409">
        <f t="shared" ca="1" si="45"/>
        <v>0</v>
      </c>
    </row>
    <row r="410" spans="28:36" x14ac:dyDescent="0.3">
      <c r="AB410">
        <f t="shared" si="46"/>
        <v>2</v>
      </c>
      <c r="AC410">
        <f t="shared" si="46"/>
        <v>1</v>
      </c>
      <c r="AD410">
        <f t="shared" si="46"/>
        <v>2</v>
      </c>
      <c r="AE410">
        <f t="shared" si="46"/>
        <v>1</v>
      </c>
      <c r="AF410">
        <f t="shared" si="46"/>
        <v>1</v>
      </c>
      <c r="AG410">
        <f t="shared" si="43"/>
        <v>7</v>
      </c>
      <c r="AH410">
        <f t="shared" ca="1" si="44"/>
        <v>0</v>
      </c>
      <c r="AI410">
        <f>IF(ROW($AA410) - $AA$51 &lt; ($H$16+1)^5, IF(AG410 &gt;= BaseBonus!$C$16, AG410*BaseBonus!$E$31, 0), "")</f>
        <v>6.5733750690480575</v>
      </c>
      <c r="AJ410">
        <f t="shared" ca="1" si="45"/>
        <v>0</v>
      </c>
    </row>
    <row r="411" spans="28:36" x14ac:dyDescent="0.3">
      <c r="AB411">
        <f t="shared" si="46"/>
        <v>3</v>
      </c>
      <c r="AC411">
        <f t="shared" si="46"/>
        <v>1</v>
      </c>
      <c r="AD411">
        <f t="shared" si="46"/>
        <v>2</v>
      </c>
      <c r="AE411">
        <f t="shared" si="46"/>
        <v>1</v>
      </c>
      <c r="AF411">
        <f t="shared" si="46"/>
        <v>1</v>
      </c>
      <c r="AG411">
        <f t="shared" si="43"/>
        <v>8</v>
      </c>
      <c r="AH411">
        <f t="shared" ca="1" si="44"/>
        <v>0</v>
      </c>
      <c r="AI411">
        <f>IF(ROW($AA411) - $AA$51 &lt; ($H$16+1)^5, IF(AG411 &gt;= BaseBonus!$C$16, AG411*BaseBonus!$E$31, 0), "")</f>
        <v>7.5124286503406372</v>
      </c>
      <c r="AJ411">
        <f t="shared" ca="1" si="45"/>
        <v>0</v>
      </c>
    </row>
    <row r="412" spans="28:36" x14ac:dyDescent="0.3">
      <c r="AB412">
        <f t="shared" si="46"/>
        <v>0</v>
      </c>
      <c r="AC412">
        <f t="shared" si="46"/>
        <v>2</v>
      </c>
      <c r="AD412">
        <f t="shared" si="46"/>
        <v>2</v>
      </c>
      <c r="AE412">
        <f t="shared" si="46"/>
        <v>1</v>
      </c>
      <c r="AF412">
        <f t="shared" si="46"/>
        <v>1</v>
      </c>
      <c r="AG412">
        <f t="shared" si="43"/>
        <v>6</v>
      </c>
      <c r="AH412">
        <f t="shared" ca="1" si="44"/>
        <v>0</v>
      </c>
      <c r="AI412">
        <f>IF(ROW($AA412) - $AA$51 &lt; ($H$16+1)^5, IF(AG412 &gt;= BaseBonus!$C$16, AG412*BaseBonus!$E$31, 0), "")</f>
        <v>5.6343214877554777</v>
      </c>
      <c r="AJ412">
        <f t="shared" ca="1" si="45"/>
        <v>0</v>
      </c>
    </row>
    <row r="413" spans="28:36" x14ac:dyDescent="0.3">
      <c r="AB413">
        <f t="shared" si="46"/>
        <v>1</v>
      </c>
      <c r="AC413">
        <f t="shared" si="46"/>
        <v>2</v>
      </c>
      <c r="AD413">
        <f t="shared" si="46"/>
        <v>2</v>
      </c>
      <c r="AE413">
        <f t="shared" si="46"/>
        <v>1</v>
      </c>
      <c r="AF413">
        <f t="shared" si="46"/>
        <v>1</v>
      </c>
      <c r="AG413">
        <f t="shared" si="43"/>
        <v>7</v>
      </c>
      <c r="AH413">
        <f t="shared" ca="1" si="44"/>
        <v>0</v>
      </c>
      <c r="AI413">
        <f>IF(ROW($AA413) - $AA$51 &lt; ($H$16+1)^5, IF(AG413 &gt;= BaseBonus!$C$16, AG413*BaseBonus!$E$31, 0), "")</f>
        <v>6.5733750690480575</v>
      </c>
      <c r="AJ413">
        <f t="shared" ca="1" si="45"/>
        <v>0</v>
      </c>
    </row>
    <row r="414" spans="28:36" x14ac:dyDescent="0.3">
      <c r="AB414">
        <f t="shared" si="46"/>
        <v>2</v>
      </c>
      <c r="AC414">
        <f t="shared" si="46"/>
        <v>2</v>
      </c>
      <c r="AD414">
        <f t="shared" si="46"/>
        <v>2</v>
      </c>
      <c r="AE414">
        <f t="shared" si="46"/>
        <v>1</v>
      </c>
      <c r="AF414">
        <f t="shared" si="46"/>
        <v>1</v>
      </c>
      <c r="AG414">
        <f t="shared" si="43"/>
        <v>8</v>
      </c>
      <c r="AH414">
        <f t="shared" ca="1" si="44"/>
        <v>0</v>
      </c>
      <c r="AI414">
        <f>IF(ROW($AA414) - $AA$51 &lt; ($H$16+1)^5, IF(AG414 &gt;= BaseBonus!$C$16, AG414*BaseBonus!$E$31, 0), "")</f>
        <v>7.5124286503406372</v>
      </c>
      <c r="AJ414">
        <f t="shared" ca="1" si="45"/>
        <v>0</v>
      </c>
    </row>
    <row r="415" spans="28:36" x14ac:dyDescent="0.3">
      <c r="AB415">
        <f t="shared" si="46"/>
        <v>3</v>
      </c>
      <c r="AC415">
        <f t="shared" si="46"/>
        <v>2</v>
      </c>
      <c r="AD415">
        <f t="shared" si="46"/>
        <v>2</v>
      </c>
      <c r="AE415">
        <f t="shared" si="46"/>
        <v>1</v>
      </c>
      <c r="AF415">
        <f t="shared" si="46"/>
        <v>1</v>
      </c>
      <c r="AG415">
        <f t="shared" si="43"/>
        <v>9</v>
      </c>
      <c r="AH415">
        <f t="shared" ca="1" si="44"/>
        <v>0</v>
      </c>
      <c r="AI415">
        <f>IF(ROW($AA415) - $AA$51 &lt; ($H$16+1)^5, IF(AG415 &gt;= BaseBonus!$C$16, AG415*BaseBonus!$E$31, 0), "")</f>
        <v>8.4514822316332161</v>
      </c>
      <c r="AJ415">
        <f t="shared" ca="1" si="45"/>
        <v>0</v>
      </c>
    </row>
    <row r="416" spans="28:36" x14ac:dyDescent="0.3">
      <c r="AB416">
        <f t="shared" si="46"/>
        <v>0</v>
      </c>
      <c r="AC416">
        <f t="shared" si="46"/>
        <v>3</v>
      </c>
      <c r="AD416">
        <f t="shared" si="46"/>
        <v>2</v>
      </c>
      <c r="AE416">
        <f t="shared" si="46"/>
        <v>1</v>
      </c>
      <c r="AF416">
        <f t="shared" si="46"/>
        <v>1</v>
      </c>
      <c r="AG416">
        <f t="shared" si="43"/>
        <v>7</v>
      </c>
      <c r="AH416">
        <f t="shared" ca="1" si="44"/>
        <v>0</v>
      </c>
      <c r="AI416">
        <f>IF(ROW($AA416) - $AA$51 &lt; ($H$16+1)^5, IF(AG416 &gt;= BaseBonus!$C$16, AG416*BaseBonus!$E$31, 0), "")</f>
        <v>6.5733750690480575</v>
      </c>
      <c r="AJ416">
        <f t="shared" ca="1" si="45"/>
        <v>0</v>
      </c>
    </row>
    <row r="417" spans="28:36" x14ac:dyDescent="0.3">
      <c r="AB417">
        <f t="shared" si="46"/>
        <v>1</v>
      </c>
      <c r="AC417">
        <f t="shared" si="46"/>
        <v>3</v>
      </c>
      <c r="AD417">
        <f t="shared" si="46"/>
        <v>2</v>
      </c>
      <c r="AE417">
        <f t="shared" si="46"/>
        <v>1</v>
      </c>
      <c r="AF417">
        <f t="shared" si="46"/>
        <v>1</v>
      </c>
      <c r="AG417">
        <f t="shared" si="43"/>
        <v>8</v>
      </c>
      <c r="AH417">
        <f t="shared" ca="1" si="44"/>
        <v>0</v>
      </c>
      <c r="AI417">
        <f>IF(ROW($AA417) - $AA$51 &lt; ($H$16+1)^5, IF(AG417 &gt;= BaseBonus!$C$16, AG417*BaseBonus!$E$31, 0), "")</f>
        <v>7.5124286503406372</v>
      </c>
      <c r="AJ417">
        <f t="shared" ca="1" si="45"/>
        <v>0</v>
      </c>
    </row>
    <row r="418" spans="28:36" x14ac:dyDescent="0.3">
      <c r="AB418">
        <f t="shared" si="46"/>
        <v>2</v>
      </c>
      <c r="AC418">
        <f t="shared" si="46"/>
        <v>3</v>
      </c>
      <c r="AD418">
        <f t="shared" si="46"/>
        <v>2</v>
      </c>
      <c r="AE418">
        <f t="shared" si="46"/>
        <v>1</v>
      </c>
      <c r="AF418">
        <f t="shared" si="46"/>
        <v>1</v>
      </c>
      <c r="AG418">
        <f t="shared" si="43"/>
        <v>9</v>
      </c>
      <c r="AH418">
        <f t="shared" ca="1" si="44"/>
        <v>0</v>
      </c>
      <c r="AI418">
        <f>IF(ROW($AA418) - $AA$51 &lt; ($H$16+1)^5, IF(AG418 &gt;= BaseBonus!$C$16, AG418*BaseBonus!$E$31, 0), "")</f>
        <v>8.4514822316332161</v>
      </c>
      <c r="AJ418">
        <f t="shared" ca="1" si="45"/>
        <v>0</v>
      </c>
    </row>
    <row r="419" spans="28:36" x14ac:dyDescent="0.3">
      <c r="AB419">
        <f t="shared" si="46"/>
        <v>3</v>
      </c>
      <c r="AC419">
        <f t="shared" si="46"/>
        <v>3</v>
      </c>
      <c r="AD419">
        <f t="shared" si="46"/>
        <v>2</v>
      </c>
      <c r="AE419">
        <f t="shared" si="46"/>
        <v>1</v>
      </c>
      <c r="AF419">
        <f t="shared" si="46"/>
        <v>1</v>
      </c>
      <c r="AG419">
        <f t="shared" si="43"/>
        <v>10</v>
      </c>
      <c r="AH419">
        <f t="shared" ca="1" si="44"/>
        <v>0</v>
      </c>
      <c r="AI419">
        <f>IF(ROW($AA419) - $AA$51 &lt; ($H$16+1)^5, IF(AG419 &gt;= BaseBonus!$C$16, AG419*BaseBonus!$E$31, 0), "")</f>
        <v>9.3905358129257959</v>
      </c>
      <c r="AJ419">
        <f t="shared" ca="1" si="45"/>
        <v>0</v>
      </c>
    </row>
    <row r="420" spans="28:36" x14ac:dyDescent="0.3">
      <c r="AB420">
        <f t="shared" si="46"/>
        <v>0</v>
      </c>
      <c r="AC420">
        <f t="shared" si="46"/>
        <v>0</v>
      </c>
      <c r="AD420">
        <f t="shared" si="46"/>
        <v>3</v>
      </c>
      <c r="AE420">
        <f t="shared" si="46"/>
        <v>1</v>
      </c>
      <c r="AF420">
        <f t="shared" si="46"/>
        <v>1</v>
      </c>
      <c r="AG420">
        <f t="shared" si="43"/>
        <v>5</v>
      </c>
      <c r="AH420">
        <f t="shared" ca="1" si="44"/>
        <v>0</v>
      </c>
      <c r="AI420">
        <f>IF(ROW($AA420) - $AA$51 &lt; ($H$16+1)^5, IF(AG420 &gt;= BaseBonus!$C$16, AG420*BaseBonus!$E$31, 0), "")</f>
        <v>4.6952679064628979</v>
      </c>
      <c r="AJ420">
        <f t="shared" ca="1" si="45"/>
        <v>0</v>
      </c>
    </row>
    <row r="421" spans="28:36" x14ac:dyDescent="0.3">
      <c r="AB421">
        <f t="shared" si="46"/>
        <v>1</v>
      </c>
      <c r="AC421">
        <f t="shared" si="46"/>
        <v>0</v>
      </c>
      <c r="AD421">
        <f t="shared" si="46"/>
        <v>3</v>
      </c>
      <c r="AE421">
        <f t="shared" si="46"/>
        <v>1</v>
      </c>
      <c r="AF421">
        <f t="shared" si="46"/>
        <v>1</v>
      </c>
      <c r="AG421">
        <f t="shared" si="43"/>
        <v>6</v>
      </c>
      <c r="AH421">
        <f t="shared" ca="1" si="44"/>
        <v>0</v>
      </c>
      <c r="AI421">
        <f>IF(ROW($AA421) - $AA$51 &lt; ($H$16+1)^5, IF(AG421 &gt;= BaseBonus!$C$16, AG421*BaseBonus!$E$31, 0), "")</f>
        <v>5.6343214877554777</v>
      </c>
      <c r="AJ421">
        <f t="shared" ca="1" si="45"/>
        <v>0</v>
      </c>
    </row>
    <row r="422" spans="28:36" x14ac:dyDescent="0.3">
      <c r="AB422">
        <f t="shared" si="46"/>
        <v>2</v>
      </c>
      <c r="AC422">
        <f t="shared" si="46"/>
        <v>0</v>
      </c>
      <c r="AD422">
        <f t="shared" si="46"/>
        <v>3</v>
      </c>
      <c r="AE422">
        <f t="shared" si="46"/>
        <v>1</v>
      </c>
      <c r="AF422">
        <f t="shared" si="46"/>
        <v>1</v>
      </c>
      <c r="AG422">
        <f t="shared" si="43"/>
        <v>7</v>
      </c>
      <c r="AH422">
        <f t="shared" ca="1" si="44"/>
        <v>0</v>
      </c>
      <c r="AI422">
        <f>IF(ROW($AA422) - $AA$51 &lt; ($H$16+1)^5, IF(AG422 &gt;= BaseBonus!$C$16, AG422*BaseBonus!$E$31, 0), "")</f>
        <v>6.5733750690480575</v>
      </c>
      <c r="AJ422">
        <f t="shared" ca="1" si="45"/>
        <v>0</v>
      </c>
    </row>
    <row r="423" spans="28:36" x14ac:dyDescent="0.3">
      <c r="AB423">
        <f t="shared" si="46"/>
        <v>3</v>
      </c>
      <c r="AC423">
        <f t="shared" si="46"/>
        <v>0</v>
      </c>
      <c r="AD423">
        <f t="shared" si="46"/>
        <v>3</v>
      </c>
      <c r="AE423">
        <f t="shared" si="46"/>
        <v>1</v>
      </c>
      <c r="AF423">
        <f t="shared" si="46"/>
        <v>1</v>
      </c>
      <c r="AG423">
        <f t="shared" si="43"/>
        <v>8</v>
      </c>
      <c r="AH423">
        <f t="shared" ca="1" si="44"/>
        <v>0</v>
      </c>
      <c r="AI423">
        <f>IF(ROW($AA423) - $AA$51 &lt; ($H$16+1)^5, IF(AG423 &gt;= BaseBonus!$C$16, AG423*BaseBonus!$E$31, 0), "")</f>
        <v>7.5124286503406372</v>
      </c>
      <c r="AJ423">
        <f t="shared" ca="1" si="45"/>
        <v>0</v>
      </c>
    </row>
    <row r="424" spans="28:36" x14ac:dyDescent="0.3">
      <c r="AB424">
        <f t="shared" si="46"/>
        <v>0</v>
      </c>
      <c r="AC424">
        <f t="shared" si="46"/>
        <v>1</v>
      </c>
      <c r="AD424">
        <f t="shared" si="46"/>
        <v>3</v>
      </c>
      <c r="AE424">
        <f t="shared" si="46"/>
        <v>1</v>
      </c>
      <c r="AF424">
        <f t="shared" si="46"/>
        <v>1</v>
      </c>
      <c r="AG424">
        <f t="shared" si="43"/>
        <v>6</v>
      </c>
      <c r="AH424">
        <f t="shared" ca="1" si="44"/>
        <v>0</v>
      </c>
      <c r="AI424">
        <f>IF(ROW($AA424) - $AA$51 &lt; ($H$16+1)^5, IF(AG424 &gt;= BaseBonus!$C$16, AG424*BaseBonus!$E$31, 0), "")</f>
        <v>5.6343214877554777</v>
      </c>
      <c r="AJ424">
        <f t="shared" ca="1" si="45"/>
        <v>0</v>
      </c>
    </row>
    <row r="425" spans="28:36" x14ac:dyDescent="0.3">
      <c r="AB425">
        <f t="shared" si="46"/>
        <v>1</v>
      </c>
      <c r="AC425">
        <f t="shared" si="46"/>
        <v>1</v>
      </c>
      <c r="AD425">
        <f t="shared" si="46"/>
        <v>3</v>
      </c>
      <c r="AE425">
        <f t="shared" si="46"/>
        <v>1</v>
      </c>
      <c r="AF425">
        <f t="shared" si="46"/>
        <v>1</v>
      </c>
      <c r="AG425">
        <f t="shared" si="43"/>
        <v>7</v>
      </c>
      <c r="AH425">
        <f t="shared" ca="1" si="44"/>
        <v>0</v>
      </c>
      <c r="AI425">
        <f>IF(ROW($AA425) - $AA$51 &lt; ($H$16+1)^5, IF(AG425 &gt;= BaseBonus!$C$16, AG425*BaseBonus!$E$31, 0), "")</f>
        <v>6.5733750690480575</v>
      </c>
      <c r="AJ425">
        <f t="shared" ca="1" si="45"/>
        <v>0</v>
      </c>
    </row>
    <row r="426" spans="28:36" x14ac:dyDescent="0.3">
      <c r="AB426">
        <f t="shared" si="46"/>
        <v>2</v>
      </c>
      <c r="AC426">
        <f t="shared" si="46"/>
        <v>1</v>
      </c>
      <c r="AD426">
        <f t="shared" si="46"/>
        <v>3</v>
      </c>
      <c r="AE426">
        <f t="shared" si="46"/>
        <v>1</v>
      </c>
      <c r="AF426">
        <f t="shared" si="46"/>
        <v>1</v>
      </c>
      <c r="AG426">
        <f t="shared" si="43"/>
        <v>8</v>
      </c>
      <c r="AH426">
        <f t="shared" ca="1" si="44"/>
        <v>0</v>
      </c>
      <c r="AI426">
        <f>IF(ROW($AA426) - $AA$51 &lt; ($H$16+1)^5, IF(AG426 &gt;= BaseBonus!$C$16, AG426*BaseBonus!$E$31, 0), "")</f>
        <v>7.5124286503406372</v>
      </c>
      <c r="AJ426">
        <f t="shared" ca="1" si="45"/>
        <v>0</v>
      </c>
    </row>
    <row r="427" spans="28:36" x14ac:dyDescent="0.3">
      <c r="AB427">
        <f t="shared" si="46"/>
        <v>3</v>
      </c>
      <c r="AC427">
        <f t="shared" si="46"/>
        <v>1</v>
      </c>
      <c r="AD427">
        <f t="shared" si="46"/>
        <v>3</v>
      </c>
      <c r="AE427">
        <f t="shared" si="46"/>
        <v>1</v>
      </c>
      <c r="AF427">
        <f t="shared" si="46"/>
        <v>1</v>
      </c>
      <c r="AG427">
        <f t="shared" si="43"/>
        <v>9</v>
      </c>
      <c r="AH427">
        <f t="shared" ca="1" si="44"/>
        <v>0</v>
      </c>
      <c r="AI427">
        <f>IF(ROW($AA427) - $AA$51 &lt; ($H$16+1)^5, IF(AG427 &gt;= BaseBonus!$C$16, AG427*BaseBonus!$E$31, 0), "")</f>
        <v>8.4514822316332161</v>
      </c>
      <c r="AJ427">
        <f t="shared" ca="1" si="45"/>
        <v>0</v>
      </c>
    </row>
    <row r="428" spans="28:36" x14ac:dyDescent="0.3">
      <c r="AB428">
        <f t="shared" si="46"/>
        <v>0</v>
      </c>
      <c r="AC428">
        <f t="shared" si="46"/>
        <v>2</v>
      </c>
      <c r="AD428">
        <f t="shared" si="46"/>
        <v>3</v>
      </c>
      <c r="AE428">
        <f t="shared" si="46"/>
        <v>1</v>
      </c>
      <c r="AF428">
        <f t="shared" si="46"/>
        <v>1</v>
      </c>
      <c r="AG428">
        <f t="shared" si="43"/>
        <v>7</v>
      </c>
      <c r="AH428">
        <f t="shared" ca="1" si="44"/>
        <v>0</v>
      </c>
      <c r="AI428">
        <f>IF(ROW($AA428) - $AA$51 &lt; ($H$16+1)^5, IF(AG428 &gt;= BaseBonus!$C$16, AG428*BaseBonus!$E$31, 0), "")</f>
        <v>6.5733750690480575</v>
      </c>
      <c r="AJ428">
        <f t="shared" ca="1" si="45"/>
        <v>0</v>
      </c>
    </row>
    <row r="429" spans="28:36" x14ac:dyDescent="0.3">
      <c r="AB429">
        <f t="shared" si="46"/>
        <v>1</v>
      </c>
      <c r="AC429">
        <f t="shared" si="46"/>
        <v>2</v>
      </c>
      <c r="AD429">
        <f t="shared" si="46"/>
        <v>3</v>
      </c>
      <c r="AE429">
        <f t="shared" si="46"/>
        <v>1</v>
      </c>
      <c r="AF429">
        <f t="shared" si="46"/>
        <v>1</v>
      </c>
      <c r="AG429">
        <f t="shared" si="43"/>
        <v>8</v>
      </c>
      <c r="AH429">
        <f t="shared" ca="1" si="44"/>
        <v>0</v>
      </c>
      <c r="AI429">
        <f>IF(ROW($AA429) - $AA$51 &lt; ($H$16+1)^5, IF(AG429 &gt;= BaseBonus!$C$16, AG429*BaseBonus!$E$31, 0), "")</f>
        <v>7.5124286503406372</v>
      </c>
      <c r="AJ429">
        <f t="shared" ca="1" si="45"/>
        <v>0</v>
      </c>
    </row>
    <row r="430" spans="28:36" x14ac:dyDescent="0.3">
      <c r="AB430">
        <f t="shared" si="46"/>
        <v>2</v>
      </c>
      <c r="AC430">
        <f t="shared" si="46"/>
        <v>2</v>
      </c>
      <c r="AD430">
        <f t="shared" si="46"/>
        <v>3</v>
      </c>
      <c r="AE430">
        <f t="shared" si="46"/>
        <v>1</v>
      </c>
      <c r="AF430">
        <f t="shared" si="46"/>
        <v>1</v>
      </c>
      <c r="AG430">
        <f t="shared" si="43"/>
        <v>9</v>
      </c>
      <c r="AH430">
        <f t="shared" ca="1" si="44"/>
        <v>0</v>
      </c>
      <c r="AI430">
        <f>IF(ROW($AA430) - $AA$51 &lt; ($H$16+1)^5, IF(AG430 &gt;= BaseBonus!$C$16, AG430*BaseBonus!$E$31, 0), "")</f>
        <v>8.4514822316332161</v>
      </c>
      <c r="AJ430">
        <f t="shared" ca="1" si="45"/>
        <v>0</v>
      </c>
    </row>
    <row r="431" spans="28:36" x14ac:dyDescent="0.3">
      <c r="AB431">
        <f t="shared" si="46"/>
        <v>3</v>
      </c>
      <c r="AC431">
        <f t="shared" si="46"/>
        <v>2</v>
      </c>
      <c r="AD431">
        <f t="shared" si="46"/>
        <v>3</v>
      </c>
      <c r="AE431">
        <f t="shared" si="46"/>
        <v>1</v>
      </c>
      <c r="AF431">
        <f t="shared" si="46"/>
        <v>1</v>
      </c>
      <c r="AG431">
        <f t="shared" si="43"/>
        <v>10</v>
      </c>
      <c r="AH431">
        <f t="shared" ca="1" si="44"/>
        <v>0</v>
      </c>
      <c r="AI431">
        <f>IF(ROW($AA431) - $AA$51 &lt; ($H$16+1)^5, IF(AG431 &gt;= BaseBonus!$C$16, AG431*BaseBonus!$E$31, 0), "")</f>
        <v>9.3905358129257959</v>
      </c>
      <c r="AJ431">
        <f t="shared" ca="1" si="45"/>
        <v>0</v>
      </c>
    </row>
    <row r="432" spans="28:36" x14ac:dyDescent="0.3">
      <c r="AB432">
        <f t="shared" si="46"/>
        <v>0</v>
      </c>
      <c r="AC432">
        <f t="shared" si="46"/>
        <v>3</v>
      </c>
      <c r="AD432">
        <f t="shared" si="46"/>
        <v>3</v>
      </c>
      <c r="AE432">
        <f t="shared" si="46"/>
        <v>1</v>
      </c>
      <c r="AF432">
        <f t="shared" si="46"/>
        <v>1</v>
      </c>
      <c r="AG432">
        <f t="shared" si="43"/>
        <v>8</v>
      </c>
      <c r="AH432">
        <f t="shared" ca="1" si="44"/>
        <v>0</v>
      </c>
      <c r="AI432">
        <f>IF(ROW($AA432) - $AA$51 &lt; ($H$16+1)^5, IF(AG432 &gt;= BaseBonus!$C$16, AG432*BaseBonus!$E$31, 0), "")</f>
        <v>7.5124286503406372</v>
      </c>
      <c r="AJ432">
        <f t="shared" ca="1" si="45"/>
        <v>0</v>
      </c>
    </row>
    <row r="433" spans="28:36" x14ac:dyDescent="0.3">
      <c r="AB433">
        <f t="shared" si="46"/>
        <v>1</v>
      </c>
      <c r="AC433">
        <f t="shared" si="46"/>
        <v>3</v>
      </c>
      <c r="AD433">
        <f t="shared" si="46"/>
        <v>3</v>
      </c>
      <c r="AE433">
        <f t="shared" si="46"/>
        <v>1</v>
      </c>
      <c r="AF433">
        <f t="shared" si="46"/>
        <v>1</v>
      </c>
      <c r="AG433">
        <f t="shared" si="43"/>
        <v>9</v>
      </c>
      <c r="AH433">
        <f t="shared" ca="1" si="44"/>
        <v>0</v>
      </c>
      <c r="AI433">
        <f>IF(ROW($AA433) - $AA$51 &lt; ($H$16+1)^5, IF(AG433 &gt;= BaseBonus!$C$16, AG433*BaseBonus!$E$31, 0), "")</f>
        <v>8.4514822316332161</v>
      </c>
      <c r="AJ433">
        <f t="shared" ca="1" si="45"/>
        <v>0</v>
      </c>
    </row>
    <row r="434" spans="28:36" x14ac:dyDescent="0.3">
      <c r="AB434">
        <f t="shared" si="46"/>
        <v>2</v>
      </c>
      <c r="AC434">
        <f t="shared" si="46"/>
        <v>3</v>
      </c>
      <c r="AD434">
        <f t="shared" si="46"/>
        <v>3</v>
      </c>
      <c r="AE434">
        <f t="shared" si="46"/>
        <v>1</v>
      </c>
      <c r="AF434">
        <f t="shared" si="46"/>
        <v>1</v>
      </c>
      <c r="AG434">
        <f t="shared" si="43"/>
        <v>10</v>
      </c>
      <c r="AH434">
        <f t="shared" ca="1" si="44"/>
        <v>0</v>
      </c>
      <c r="AI434">
        <f>IF(ROW($AA434) - $AA$51 &lt; ($H$16+1)^5, IF(AG434 &gt;= BaseBonus!$C$16, AG434*BaseBonus!$E$31, 0), "")</f>
        <v>9.3905358129257959</v>
      </c>
      <c r="AJ434">
        <f t="shared" ca="1" si="45"/>
        <v>0</v>
      </c>
    </row>
    <row r="435" spans="28:36" x14ac:dyDescent="0.3">
      <c r="AB435">
        <f t="shared" si="46"/>
        <v>3</v>
      </c>
      <c r="AC435">
        <f t="shared" si="46"/>
        <v>3</v>
      </c>
      <c r="AD435">
        <f t="shared" si="46"/>
        <v>3</v>
      </c>
      <c r="AE435">
        <f t="shared" si="46"/>
        <v>1</v>
      </c>
      <c r="AF435">
        <f t="shared" si="46"/>
        <v>1</v>
      </c>
      <c r="AG435">
        <f t="shared" si="43"/>
        <v>11</v>
      </c>
      <c r="AH435">
        <f t="shared" ca="1" si="44"/>
        <v>0</v>
      </c>
      <c r="AI435">
        <f>IF(ROW($AA435) - $AA$51 &lt; ($H$16+1)^5, IF(AG435 &gt;= BaseBonus!$C$16, AG435*BaseBonus!$E$31, 0), "")</f>
        <v>10.329589394218376</v>
      </c>
      <c r="AJ435">
        <f t="shared" ca="1" si="45"/>
        <v>0</v>
      </c>
    </row>
    <row r="436" spans="28:36" x14ac:dyDescent="0.3">
      <c r="AB436">
        <f t="shared" si="46"/>
        <v>0</v>
      </c>
      <c r="AC436">
        <f t="shared" si="46"/>
        <v>0</v>
      </c>
      <c r="AD436">
        <f t="shared" si="46"/>
        <v>0</v>
      </c>
      <c r="AE436">
        <f t="shared" si="46"/>
        <v>2</v>
      </c>
      <c r="AF436">
        <f t="shared" si="46"/>
        <v>1</v>
      </c>
      <c r="AG436">
        <f t="shared" ref="AG436:AG499" si="47">IF(ROW($AA436) - $AA$51 &lt; ($H$16+1)^5, SUM(AB436:AF436), "")</f>
        <v>3</v>
      </c>
      <c r="AH436">
        <f t="shared" ref="AH436:AH499" ca="1" si="48">IF(ROW($AA436) - $AA$51 &lt; (4)^5,
    (_xlfn.XLOOKUP(AB436,$T$51:$T$55,U$51:U$55,0)/U$27) * (_xlfn.XLOOKUP(AC436,$T$51:$T$55,V$51:V$55,0)/V$27) * (_xlfn.XLOOKUP(AD436,$T$51:$T$55,W$51:W$55,0)/W$27) * (_xlfn.XLOOKUP(AE436,$T$51:$T$55,X$51:X$55,0)/X$27) * (_xlfn.XLOOKUP(AF436,$T$51:$T$55,Y$51:Y$55,0)/Y$27),
"")</f>
        <v>4.2870589020635331E-3</v>
      </c>
      <c r="AI436">
        <f>IF(ROW($AA436) - $AA$51 &lt; ($H$16+1)^5, IF(AG436 &gt;= BaseBonus!$C$16, AG436*BaseBonus!$E$31, 0), "")</f>
        <v>0</v>
      </c>
      <c r="AJ436">
        <f t="shared" ref="AJ436:AJ499" ca="1" si="49">IF(ROW($AA436) - $AA$51 &lt; ($H$16+1)^5, AH436*AI436, "")</f>
        <v>0</v>
      </c>
    </row>
    <row r="437" spans="28:36" x14ac:dyDescent="0.3">
      <c r="AB437">
        <f t="shared" si="46"/>
        <v>1</v>
      </c>
      <c r="AC437">
        <f t="shared" si="46"/>
        <v>0</v>
      </c>
      <c r="AD437">
        <f t="shared" si="46"/>
        <v>0</v>
      </c>
      <c r="AE437">
        <f t="shared" si="46"/>
        <v>2</v>
      </c>
      <c r="AF437">
        <f t="shared" si="46"/>
        <v>1</v>
      </c>
      <c r="AG437">
        <f t="shared" si="47"/>
        <v>4</v>
      </c>
      <c r="AH437">
        <f t="shared" ca="1" si="48"/>
        <v>7.4557546122844059E-4</v>
      </c>
      <c r="AI437">
        <f>IF(ROW($AA437) - $AA$51 &lt; ($H$16+1)^5, IF(AG437 &gt;= BaseBonus!$C$16, AG437*BaseBonus!$E$31, 0), "")</f>
        <v>0</v>
      </c>
      <c r="AJ437">
        <f t="shared" ca="1" si="49"/>
        <v>0</v>
      </c>
    </row>
    <row r="438" spans="28:36" x14ac:dyDescent="0.3">
      <c r="AB438">
        <f t="shared" si="46"/>
        <v>2</v>
      </c>
      <c r="AC438">
        <f t="shared" si="46"/>
        <v>0</v>
      </c>
      <c r="AD438">
        <f t="shared" si="46"/>
        <v>0</v>
      </c>
      <c r="AE438">
        <f t="shared" si="46"/>
        <v>2</v>
      </c>
      <c r="AF438">
        <f t="shared" si="46"/>
        <v>1</v>
      </c>
      <c r="AG438">
        <f t="shared" si="47"/>
        <v>5</v>
      </c>
      <c r="AH438">
        <f t="shared" ca="1" si="48"/>
        <v>0</v>
      </c>
      <c r="AI438">
        <f>IF(ROW($AA438) - $AA$51 &lt; ($H$16+1)^5, IF(AG438 &gt;= BaseBonus!$C$16, AG438*BaseBonus!$E$31, 0), "")</f>
        <v>4.6952679064628979</v>
      </c>
      <c r="AJ438">
        <f t="shared" ca="1" si="49"/>
        <v>0</v>
      </c>
    </row>
    <row r="439" spans="28:36" x14ac:dyDescent="0.3">
      <c r="AB439">
        <f t="shared" si="46"/>
        <v>3</v>
      </c>
      <c r="AC439">
        <f t="shared" si="46"/>
        <v>0</v>
      </c>
      <c r="AD439">
        <f t="shared" si="46"/>
        <v>0</v>
      </c>
      <c r="AE439">
        <f t="shared" si="46"/>
        <v>2</v>
      </c>
      <c r="AF439">
        <f t="shared" si="46"/>
        <v>1</v>
      </c>
      <c r="AG439">
        <f t="shared" si="47"/>
        <v>6</v>
      </c>
      <c r="AH439">
        <f t="shared" ca="1" si="48"/>
        <v>0</v>
      </c>
      <c r="AI439">
        <f>IF(ROW($AA439) - $AA$51 &lt; ($H$16+1)^5, IF(AG439 &gt;= BaseBonus!$C$16, AG439*BaseBonus!$E$31, 0), "")</f>
        <v>5.6343214877554777</v>
      </c>
      <c r="AJ439">
        <f t="shared" ca="1" si="49"/>
        <v>0</v>
      </c>
    </row>
    <row r="440" spans="28:36" x14ac:dyDescent="0.3">
      <c r="AB440">
        <f t="shared" si="46"/>
        <v>0</v>
      </c>
      <c r="AC440">
        <f t="shared" si="46"/>
        <v>1</v>
      </c>
      <c r="AD440">
        <f t="shared" si="46"/>
        <v>0</v>
      </c>
      <c r="AE440">
        <f t="shared" si="46"/>
        <v>2</v>
      </c>
      <c r="AF440">
        <f t="shared" si="46"/>
        <v>1</v>
      </c>
      <c r="AG440">
        <f t="shared" si="47"/>
        <v>4</v>
      </c>
      <c r="AH440">
        <f t="shared" ca="1" si="48"/>
        <v>5.6740485468487938E-4</v>
      </c>
      <c r="AI440">
        <f>IF(ROW($AA440) - $AA$51 &lt; ($H$16+1)^5, IF(AG440 &gt;= BaseBonus!$C$16, AG440*BaseBonus!$E$31, 0), "")</f>
        <v>0</v>
      </c>
      <c r="AJ440">
        <f t="shared" ca="1" si="49"/>
        <v>0</v>
      </c>
    </row>
    <row r="441" spans="28:36" x14ac:dyDescent="0.3">
      <c r="AB441">
        <f t="shared" si="46"/>
        <v>1</v>
      </c>
      <c r="AC441">
        <f t="shared" si="46"/>
        <v>1</v>
      </c>
      <c r="AD441">
        <f t="shared" si="46"/>
        <v>0</v>
      </c>
      <c r="AE441">
        <f t="shared" si="46"/>
        <v>2</v>
      </c>
      <c r="AF441">
        <f t="shared" si="46"/>
        <v>1</v>
      </c>
      <c r="AG441">
        <f t="shared" si="47"/>
        <v>5</v>
      </c>
      <c r="AH441">
        <f t="shared" ca="1" si="48"/>
        <v>9.8679105162587726E-5</v>
      </c>
      <c r="AI441">
        <f>IF(ROW($AA441) - $AA$51 &lt; ($H$16+1)^5, IF(AG441 &gt;= BaseBonus!$C$16, AG441*BaseBonus!$E$31, 0), "")</f>
        <v>4.6952679064628979</v>
      </c>
      <c r="AJ441">
        <f t="shared" ca="1" si="49"/>
        <v>4.6332483550837541E-4</v>
      </c>
    </row>
    <row r="442" spans="28:36" x14ac:dyDescent="0.3">
      <c r="AB442">
        <f t="shared" si="46"/>
        <v>2</v>
      </c>
      <c r="AC442">
        <f t="shared" si="46"/>
        <v>1</v>
      </c>
      <c r="AD442">
        <f t="shared" si="46"/>
        <v>0</v>
      </c>
      <c r="AE442">
        <f t="shared" si="46"/>
        <v>2</v>
      </c>
      <c r="AF442">
        <f t="shared" si="46"/>
        <v>1</v>
      </c>
      <c r="AG442">
        <f t="shared" si="47"/>
        <v>6</v>
      </c>
      <c r="AH442">
        <f t="shared" ca="1" si="48"/>
        <v>0</v>
      </c>
      <c r="AI442">
        <f>IF(ROW($AA442) - $AA$51 &lt; ($H$16+1)^5, IF(AG442 &gt;= BaseBonus!$C$16, AG442*BaseBonus!$E$31, 0), "")</f>
        <v>5.6343214877554777</v>
      </c>
      <c r="AJ442">
        <f t="shared" ca="1" si="49"/>
        <v>0</v>
      </c>
    </row>
    <row r="443" spans="28:36" x14ac:dyDescent="0.3">
      <c r="AB443">
        <f t="shared" si="46"/>
        <v>3</v>
      </c>
      <c r="AC443">
        <f t="shared" si="46"/>
        <v>1</v>
      </c>
      <c r="AD443">
        <f t="shared" si="46"/>
        <v>0</v>
      </c>
      <c r="AE443">
        <f t="shared" si="46"/>
        <v>2</v>
      </c>
      <c r="AF443">
        <f t="shared" si="46"/>
        <v>1</v>
      </c>
      <c r="AG443">
        <f t="shared" si="47"/>
        <v>7</v>
      </c>
      <c r="AH443">
        <f t="shared" ca="1" si="48"/>
        <v>0</v>
      </c>
      <c r="AI443">
        <f>IF(ROW($AA443) - $AA$51 &lt; ($H$16+1)^5, IF(AG443 &gt;= BaseBonus!$C$16, AG443*BaseBonus!$E$31, 0), "")</f>
        <v>6.5733750690480575</v>
      </c>
      <c r="AJ443">
        <f t="shared" ca="1" si="49"/>
        <v>0</v>
      </c>
    </row>
    <row r="444" spans="28:36" x14ac:dyDescent="0.3">
      <c r="AB444">
        <f t="shared" si="46"/>
        <v>0</v>
      </c>
      <c r="AC444">
        <f t="shared" si="46"/>
        <v>2</v>
      </c>
      <c r="AD444">
        <f t="shared" si="46"/>
        <v>0</v>
      </c>
      <c r="AE444">
        <f t="shared" si="46"/>
        <v>2</v>
      </c>
      <c r="AF444">
        <f t="shared" si="46"/>
        <v>1</v>
      </c>
      <c r="AG444">
        <f t="shared" si="47"/>
        <v>5</v>
      </c>
      <c r="AH444">
        <f t="shared" ca="1" si="48"/>
        <v>0</v>
      </c>
      <c r="AI444">
        <f>IF(ROW($AA444) - $AA$51 &lt; ($H$16+1)^5, IF(AG444 &gt;= BaseBonus!$C$16, AG444*BaseBonus!$E$31, 0), "")</f>
        <v>4.6952679064628979</v>
      </c>
      <c r="AJ444">
        <f t="shared" ca="1" si="49"/>
        <v>0</v>
      </c>
    </row>
    <row r="445" spans="28:36" x14ac:dyDescent="0.3">
      <c r="AB445">
        <f t="shared" si="46"/>
        <v>1</v>
      </c>
      <c r="AC445">
        <f t="shared" si="46"/>
        <v>2</v>
      </c>
      <c r="AD445">
        <f t="shared" si="46"/>
        <v>0</v>
      </c>
      <c r="AE445">
        <f t="shared" si="46"/>
        <v>2</v>
      </c>
      <c r="AF445">
        <f t="shared" si="46"/>
        <v>1</v>
      </c>
      <c r="AG445">
        <f t="shared" si="47"/>
        <v>6</v>
      </c>
      <c r="AH445">
        <f t="shared" ca="1" si="48"/>
        <v>0</v>
      </c>
      <c r="AI445">
        <f>IF(ROW($AA445) - $AA$51 &lt; ($H$16+1)^5, IF(AG445 &gt;= BaseBonus!$C$16, AG445*BaseBonus!$E$31, 0), "")</f>
        <v>5.6343214877554777</v>
      </c>
      <c r="AJ445">
        <f t="shared" ca="1" si="49"/>
        <v>0</v>
      </c>
    </row>
    <row r="446" spans="28:36" x14ac:dyDescent="0.3">
      <c r="AB446">
        <f t="shared" si="46"/>
        <v>2</v>
      </c>
      <c r="AC446">
        <f t="shared" si="46"/>
        <v>2</v>
      </c>
      <c r="AD446">
        <f t="shared" si="46"/>
        <v>0</v>
      </c>
      <c r="AE446">
        <f t="shared" si="46"/>
        <v>2</v>
      </c>
      <c r="AF446">
        <f t="shared" si="46"/>
        <v>1</v>
      </c>
      <c r="AG446">
        <f t="shared" si="47"/>
        <v>7</v>
      </c>
      <c r="AH446">
        <f t="shared" ca="1" si="48"/>
        <v>0</v>
      </c>
      <c r="AI446">
        <f>IF(ROW($AA446) - $AA$51 &lt; ($H$16+1)^5, IF(AG446 &gt;= BaseBonus!$C$16, AG446*BaseBonus!$E$31, 0), "")</f>
        <v>6.5733750690480575</v>
      </c>
      <c r="AJ446">
        <f t="shared" ca="1" si="49"/>
        <v>0</v>
      </c>
    </row>
    <row r="447" spans="28:36" x14ac:dyDescent="0.3">
      <c r="AB447">
        <f t="shared" si="46"/>
        <v>3</v>
      </c>
      <c r="AC447">
        <f t="shared" si="46"/>
        <v>2</v>
      </c>
      <c r="AD447">
        <f t="shared" si="46"/>
        <v>0</v>
      </c>
      <c r="AE447">
        <f t="shared" si="46"/>
        <v>2</v>
      </c>
      <c r="AF447">
        <f t="shared" si="46"/>
        <v>1</v>
      </c>
      <c r="AG447">
        <f t="shared" si="47"/>
        <v>8</v>
      </c>
      <c r="AH447">
        <f t="shared" ca="1" si="48"/>
        <v>0</v>
      </c>
      <c r="AI447">
        <f>IF(ROW($AA447) - $AA$51 &lt; ($H$16+1)^5, IF(AG447 &gt;= BaseBonus!$C$16, AG447*BaseBonus!$E$31, 0), "")</f>
        <v>7.5124286503406372</v>
      </c>
      <c r="AJ447">
        <f t="shared" ca="1" si="49"/>
        <v>0</v>
      </c>
    </row>
    <row r="448" spans="28:36" x14ac:dyDescent="0.3">
      <c r="AB448">
        <f t="shared" si="46"/>
        <v>0</v>
      </c>
      <c r="AC448">
        <f t="shared" si="46"/>
        <v>3</v>
      </c>
      <c r="AD448">
        <f t="shared" si="46"/>
        <v>0</v>
      </c>
      <c r="AE448">
        <f t="shared" si="46"/>
        <v>2</v>
      </c>
      <c r="AF448">
        <f t="shared" si="46"/>
        <v>1</v>
      </c>
      <c r="AG448">
        <f t="shared" si="47"/>
        <v>6</v>
      </c>
      <c r="AH448">
        <f t="shared" ca="1" si="48"/>
        <v>0</v>
      </c>
      <c r="AI448">
        <f>IF(ROW($AA448) - $AA$51 &lt; ($H$16+1)^5, IF(AG448 &gt;= BaseBonus!$C$16, AG448*BaseBonus!$E$31, 0), "")</f>
        <v>5.6343214877554777</v>
      </c>
      <c r="AJ448">
        <f t="shared" ca="1" si="49"/>
        <v>0</v>
      </c>
    </row>
    <row r="449" spans="28:36" x14ac:dyDescent="0.3">
      <c r="AB449">
        <f t="shared" si="46"/>
        <v>1</v>
      </c>
      <c r="AC449">
        <f t="shared" si="46"/>
        <v>3</v>
      </c>
      <c r="AD449">
        <f t="shared" si="46"/>
        <v>0</v>
      </c>
      <c r="AE449">
        <f t="shared" si="46"/>
        <v>2</v>
      </c>
      <c r="AF449">
        <f t="shared" si="46"/>
        <v>1</v>
      </c>
      <c r="AG449">
        <f t="shared" si="47"/>
        <v>7</v>
      </c>
      <c r="AH449">
        <f t="shared" ca="1" si="48"/>
        <v>0</v>
      </c>
      <c r="AI449">
        <f>IF(ROW($AA449) - $AA$51 &lt; ($H$16+1)^5, IF(AG449 &gt;= BaseBonus!$C$16, AG449*BaseBonus!$E$31, 0), "")</f>
        <v>6.5733750690480575</v>
      </c>
      <c r="AJ449">
        <f t="shared" ca="1" si="49"/>
        <v>0</v>
      </c>
    </row>
    <row r="450" spans="28:36" x14ac:dyDescent="0.3">
      <c r="AB450">
        <f t="shared" si="46"/>
        <v>2</v>
      </c>
      <c r="AC450">
        <f t="shared" si="46"/>
        <v>3</v>
      </c>
      <c r="AD450">
        <f t="shared" si="46"/>
        <v>0</v>
      </c>
      <c r="AE450">
        <f t="shared" si="46"/>
        <v>2</v>
      </c>
      <c r="AF450">
        <f t="shared" si="46"/>
        <v>1</v>
      </c>
      <c r="AG450">
        <f t="shared" si="47"/>
        <v>8</v>
      </c>
      <c r="AH450">
        <f t="shared" ca="1" si="48"/>
        <v>0</v>
      </c>
      <c r="AI450">
        <f>IF(ROW($AA450) - $AA$51 &lt; ($H$16+1)^5, IF(AG450 &gt;= BaseBonus!$C$16, AG450*BaseBonus!$E$31, 0), "")</f>
        <v>7.5124286503406372</v>
      </c>
      <c r="AJ450">
        <f t="shared" ca="1" si="49"/>
        <v>0</v>
      </c>
    </row>
    <row r="451" spans="28:36" x14ac:dyDescent="0.3">
      <c r="AB451">
        <f t="shared" si="46"/>
        <v>3</v>
      </c>
      <c r="AC451">
        <f t="shared" si="46"/>
        <v>3</v>
      </c>
      <c r="AD451">
        <f t="shared" si="46"/>
        <v>0</v>
      </c>
      <c r="AE451">
        <f t="shared" si="46"/>
        <v>2</v>
      </c>
      <c r="AF451">
        <f t="shared" si="46"/>
        <v>1</v>
      </c>
      <c r="AG451">
        <f t="shared" si="47"/>
        <v>9</v>
      </c>
      <c r="AH451">
        <f t="shared" ca="1" si="48"/>
        <v>0</v>
      </c>
      <c r="AI451">
        <f>IF(ROW($AA451) - $AA$51 &lt; ($H$16+1)^5, IF(AG451 &gt;= BaseBonus!$C$16, AG451*BaseBonus!$E$31, 0), "")</f>
        <v>8.4514822316332161</v>
      </c>
      <c r="AJ451">
        <f t="shared" ca="1" si="49"/>
        <v>0</v>
      </c>
    </row>
    <row r="452" spans="28:36" x14ac:dyDescent="0.3">
      <c r="AB452">
        <f t="shared" si="46"/>
        <v>0</v>
      </c>
      <c r="AC452">
        <f t="shared" si="46"/>
        <v>0</v>
      </c>
      <c r="AD452">
        <f t="shared" si="46"/>
        <v>1</v>
      </c>
      <c r="AE452">
        <f t="shared" si="46"/>
        <v>2</v>
      </c>
      <c r="AF452">
        <f t="shared" si="46"/>
        <v>1</v>
      </c>
      <c r="AG452">
        <f t="shared" si="47"/>
        <v>4</v>
      </c>
      <c r="AH452">
        <f t="shared" ca="1" si="48"/>
        <v>5.2854150847358625E-4</v>
      </c>
      <c r="AI452">
        <f>IF(ROW($AA452) - $AA$51 &lt; ($H$16+1)^5, IF(AG452 &gt;= BaseBonus!$C$16, AG452*BaseBonus!$E$31, 0), "")</f>
        <v>0</v>
      </c>
      <c r="AJ452">
        <f t="shared" ca="1" si="49"/>
        <v>0</v>
      </c>
    </row>
    <row r="453" spans="28:36" x14ac:dyDescent="0.3">
      <c r="AB453">
        <f t="shared" si="46"/>
        <v>1</v>
      </c>
      <c r="AC453">
        <f t="shared" si="46"/>
        <v>0</v>
      </c>
      <c r="AD453">
        <f t="shared" si="46"/>
        <v>1</v>
      </c>
      <c r="AE453">
        <f t="shared" si="46"/>
        <v>2</v>
      </c>
      <c r="AF453">
        <f t="shared" si="46"/>
        <v>1</v>
      </c>
      <c r="AG453">
        <f t="shared" si="47"/>
        <v>5</v>
      </c>
      <c r="AH453">
        <f t="shared" ca="1" si="48"/>
        <v>9.1920262343232398E-5</v>
      </c>
      <c r="AI453">
        <f>IF(ROW($AA453) - $AA$51 &lt; ($H$16+1)^5, IF(AG453 &gt;= BaseBonus!$C$16, AG453*BaseBonus!$E$31, 0), "")</f>
        <v>4.6952679064628979</v>
      </c>
      <c r="AJ453">
        <f t="shared" ca="1" si="49"/>
        <v>4.3159025773382916E-4</v>
      </c>
    </row>
    <row r="454" spans="28:36" x14ac:dyDescent="0.3">
      <c r="AB454">
        <f t="shared" si="46"/>
        <v>2</v>
      </c>
      <c r="AC454">
        <f t="shared" si="46"/>
        <v>0</v>
      </c>
      <c r="AD454">
        <f t="shared" si="46"/>
        <v>1</v>
      </c>
      <c r="AE454">
        <f t="shared" si="46"/>
        <v>2</v>
      </c>
      <c r="AF454">
        <f t="shared" si="46"/>
        <v>1</v>
      </c>
      <c r="AG454">
        <f t="shared" si="47"/>
        <v>6</v>
      </c>
      <c r="AH454">
        <f t="shared" ca="1" si="48"/>
        <v>0</v>
      </c>
      <c r="AI454">
        <f>IF(ROW($AA454) - $AA$51 &lt; ($H$16+1)^5, IF(AG454 &gt;= BaseBonus!$C$16, AG454*BaseBonus!$E$31, 0), "")</f>
        <v>5.6343214877554777</v>
      </c>
      <c r="AJ454">
        <f t="shared" ca="1" si="49"/>
        <v>0</v>
      </c>
    </row>
    <row r="455" spans="28:36" x14ac:dyDescent="0.3">
      <c r="AB455">
        <f t="shared" si="46"/>
        <v>3</v>
      </c>
      <c r="AC455">
        <f t="shared" si="46"/>
        <v>0</v>
      </c>
      <c r="AD455">
        <f t="shared" si="46"/>
        <v>1</v>
      </c>
      <c r="AE455">
        <f t="shared" si="46"/>
        <v>2</v>
      </c>
      <c r="AF455">
        <f t="shared" si="46"/>
        <v>1</v>
      </c>
      <c r="AG455">
        <f t="shared" si="47"/>
        <v>7</v>
      </c>
      <c r="AH455">
        <f t="shared" ca="1" si="48"/>
        <v>0</v>
      </c>
      <c r="AI455">
        <f>IF(ROW($AA455) - $AA$51 &lt; ($H$16+1)^5, IF(AG455 &gt;= BaseBonus!$C$16, AG455*BaseBonus!$E$31, 0), "")</f>
        <v>6.5733750690480575</v>
      </c>
      <c r="AJ455">
        <f t="shared" ca="1" si="49"/>
        <v>0</v>
      </c>
    </row>
    <row r="456" spans="28:36" x14ac:dyDescent="0.3">
      <c r="AB456">
        <f t="shared" si="46"/>
        <v>0</v>
      </c>
      <c r="AC456">
        <f t="shared" si="46"/>
        <v>1</v>
      </c>
      <c r="AD456">
        <f t="shared" si="46"/>
        <v>1</v>
      </c>
      <c r="AE456">
        <f t="shared" si="46"/>
        <v>2</v>
      </c>
      <c r="AF456">
        <f t="shared" si="46"/>
        <v>1</v>
      </c>
      <c r="AG456">
        <f t="shared" si="47"/>
        <v>5</v>
      </c>
      <c r="AH456">
        <f t="shared" ca="1" si="48"/>
        <v>6.99540231803276E-5</v>
      </c>
      <c r="AI456">
        <f>IF(ROW($AA456) - $AA$51 &lt; ($H$16+1)^5, IF(AG456 &gt;= BaseBonus!$C$16, AG456*BaseBonus!$E$31, 0), "")</f>
        <v>4.6952679064628979</v>
      </c>
      <c r="AJ456">
        <f t="shared" ca="1" si="49"/>
        <v>3.284528799665538E-4</v>
      </c>
    </row>
    <row r="457" spans="28:36" x14ac:dyDescent="0.3">
      <c r="AB457">
        <f t="shared" si="46"/>
        <v>1</v>
      </c>
      <c r="AC457">
        <f t="shared" si="46"/>
        <v>1</v>
      </c>
      <c r="AD457">
        <f t="shared" si="46"/>
        <v>1</v>
      </c>
      <c r="AE457">
        <f t="shared" si="46"/>
        <v>2</v>
      </c>
      <c r="AF457">
        <f t="shared" si="46"/>
        <v>1</v>
      </c>
      <c r="AG457">
        <f t="shared" si="47"/>
        <v>6</v>
      </c>
      <c r="AH457">
        <f t="shared" ca="1" si="48"/>
        <v>1.2165917074839584E-5</v>
      </c>
      <c r="AI457">
        <f>IF(ROW($AA457) - $AA$51 &lt; ($H$16+1)^5, IF(AG457 &gt;= BaseBonus!$C$16, AG457*BaseBonus!$E$31, 0), "")</f>
        <v>5.6343214877554777</v>
      </c>
      <c r="AJ457">
        <f t="shared" ca="1" si="49"/>
        <v>6.854668799301994E-5</v>
      </c>
    </row>
    <row r="458" spans="28:36" x14ac:dyDescent="0.3">
      <c r="AB458">
        <f t="shared" si="46"/>
        <v>2</v>
      </c>
      <c r="AC458">
        <f t="shared" si="46"/>
        <v>1</v>
      </c>
      <c r="AD458">
        <f t="shared" si="46"/>
        <v>1</v>
      </c>
      <c r="AE458">
        <f t="shared" si="46"/>
        <v>2</v>
      </c>
      <c r="AF458">
        <f t="shared" si="46"/>
        <v>1</v>
      </c>
      <c r="AG458">
        <f t="shared" si="47"/>
        <v>7</v>
      </c>
      <c r="AH458">
        <f t="shared" ca="1" si="48"/>
        <v>0</v>
      </c>
      <c r="AI458">
        <f>IF(ROW($AA458) - $AA$51 &lt; ($H$16+1)^5, IF(AG458 &gt;= BaseBonus!$C$16, AG458*BaseBonus!$E$31, 0), "")</f>
        <v>6.5733750690480575</v>
      </c>
      <c r="AJ458">
        <f t="shared" ca="1" si="49"/>
        <v>0</v>
      </c>
    </row>
    <row r="459" spans="28:36" x14ac:dyDescent="0.3">
      <c r="AB459">
        <f t="shared" si="46"/>
        <v>3</v>
      </c>
      <c r="AC459">
        <f t="shared" si="46"/>
        <v>1</v>
      </c>
      <c r="AD459">
        <f t="shared" si="46"/>
        <v>1</v>
      </c>
      <c r="AE459">
        <f t="shared" si="46"/>
        <v>2</v>
      </c>
      <c r="AF459">
        <f t="shared" si="46"/>
        <v>1</v>
      </c>
      <c r="AG459">
        <f t="shared" si="47"/>
        <v>8</v>
      </c>
      <c r="AH459">
        <f t="shared" ca="1" si="48"/>
        <v>0</v>
      </c>
      <c r="AI459">
        <f>IF(ROW($AA459) - $AA$51 &lt; ($H$16+1)^5, IF(AG459 &gt;= BaseBonus!$C$16, AG459*BaseBonus!$E$31, 0), "")</f>
        <v>7.5124286503406372</v>
      </c>
      <c r="AJ459">
        <f t="shared" ca="1" si="49"/>
        <v>0</v>
      </c>
    </row>
    <row r="460" spans="28:36" x14ac:dyDescent="0.3">
      <c r="AB460">
        <f t="shared" ref="AB460:AF510" si="50">IF(ROW()-$AA$51 &lt; (H$16+1)^5, MOD(_xlfn.FLOOR.MATH((ROW()-$AA$51)/AB$50), H$16+1), "")</f>
        <v>0</v>
      </c>
      <c r="AC460">
        <f t="shared" si="50"/>
        <v>2</v>
      </c>
      <c r="AD460">
        <f t="shared" si="50"/>
        <v>1</v>
      </c>
      <c r="AE460">
        <f t="shared" si="50"/>
        <v>2</v>
      </c>
      <c r="AF460">
        <f t="shared" si="50"/>
        <v>1</v>
      </c>
      <c r="AG460">
        <f t="shared" si="47"/>
        <v>6</v>
      </c>
      <c r="AH460">
        <f t="shared" ca="1" si="48"/>
        <v>0</v>
      </c>
      <c r="AI460">
        <f>IF(ROW($AA460) - $AA$51 &lt; ($H$16+1)^5, IF(AG460 &gt;= BaseBonus!$C$16, AG460*BaseBonus!$E$31, 0), "")</f>
        <v>5.6343214877554777</v>
      </c>
      <c r="AJ460">
        <f t="shared" ca="1" si="49"/>
        <v>0</v>
      </c>
    </row>
    <row r="461" spans="28:36" x14ac:dyDescent="0.3">
      <c r="AB461">
        <f t="shared" si="50"/>
        <v>1</v>
      </c>
      <c r="AC461">
        <f t="shared" si="50"/>
        <v>2</v>
      </c>
      <c r="AD461">
        <f t="shared" si="50"/>
        <v>1</v>
      </c>
      <c r="AE461">
        <f t="shared" si="50"/>
        <v>2</v>
      </c>
      <c r="AF461">
        <f t="shared" si="50"/>
        <v>1</v>
      </c>
      <c r="AG461">
        <f t="shared" si="47"/>
        <v>7</v>
      </c>
      <c r="AH461">
        <f t="shared" ca="1" si="48"/>
        <v>0</v>
      </c>
      <c r="AI461">
        <f>IF(ROW($AA461) - $AA$51 &lt; ($H$16+1)^5, IF(AG461 &gt;= BaseBonus!$C$16, AG461*BaseBonus!$E$31, 0), "")</f>
        <v>6.5733750690480575</v>
      </c>
      <c r="AJ461">
        <f t="shared" ca="1" si="49"/>
        <v>0</v>
      </c>
    </row>
    <row r="462" spans="28:36" x14ac:dyDescent="0.3">
      <c r="AB462">
        <f t="shared" si="50"/>
        <v>2</v>
      </c>
      <c r="AC462">
        <f t="shared" si="50"/>
        <v>2</v>
      </c>
      <c r="AD462">
        <f t="shared" si="50"/>
        <v>1</v>
      </c>
      <c r="AE462">
        <f t="shared" si="50"/>
        <v>2</v>
      </c>
      <c r="AF462">
        <f t="shared" si="50"/>
        <v>1</v>
      </c>
      <c r="AG462">
        <f t="shared" si="47"/>
        <v>8</v>
      </c>
      <c r="AH462">
        <f t="shared" ca="1" si="48"/>
        <v>0</v>
      </c>
      <c r="AI462">
        <f>IF(ROW($AA462) - $AA$51 &lt; ($H$16+1)^5, IF(AG462 &gt;= BaseBonus!$C$16, AG462*BaseBonus!$E$31, 0), "")</f>
        <v>7.5124286503406372</v>
      </c>
      <c r="AJ462">
        <f t="shared" ca="1" si="49"/>
        <v>0</v>
      </c>
    </row>
    <row r="463" spans="28:36" x14ac:dyDescent="0.3">
      <c r="AB463">
        <f t="shared" si="50"/>
        <v>3</v>
      </c>
      <c r="AC463">
        <f t="shared" si="50"/>
        <v>2</v>
      </c>
      <c r="AD463">
        <f t="shared" si="50"/>
        <v>1</v>
      </c>
      <c r="AE463">
        <f t="shared" si="50"/>
        <v>2</v>
      </c>
      <c r="AF463">
        <f t="shared" si="50"/>
        <v>1</v>
      </c>
      <c r="AG463">
        <f t="shared" si="47"/>
        <v>9</v>
      </c>
      <c r="AH463">
        <f t="shared" ca="1" si="48"/>
        <v>0</v>
      </c>
      <c r="AI463">
        <f>IF(ROW($AA463) - $AA$51 &lt; ($H$16+1)^5, IF(AG463 &gt;= BaseBonus!$C$16, AG463*BaseBonus!$E$31, 0), "")</f>
        <v>8.4514822316332161</v>
      </c>
      <c r="AJ463">
        <f t="shared" ca="1" si="49"/>
        <v>0</v>
      </c>
    </row>
    <row r="464" spans="28:36" x14ac:dyDescent="0.3">
      <c r="AB464">
        <f t="shared" si="50"/>
        <v>0</v>
      </c>
      <c r="AC464">
        <f t="shared" si="50"/>
        <v>3</v>
      </c>
      <c r="AD464">
        <f t="shared" si="50"/>
        <v>1</v>
      </c>
      <c r="AE464">
        <f t="shared" si="50"/>
        <v>2</v>
      </c>
      <c r="AF464">
        <f t="shared" si="50"/>
        <v>1</v>
      </c>
      <c r="AG464">
        <f t="shared" si="47"/>
        <v>7</v>
      </c>
      <c r="AH464">
        <f t="shared" ca="1" si="48"/>
        <v>0</v>
      </c>
      <c r="AI464">
        <f>IF(ROW($AA464) - $AA$51 &lt; ($H$16+1)^5, IF(AG464 &gt;= BaseBonus!$C$16, AG464*BaseBonus!$E$31, 0), "")</f>
        <v>6.5733750690480575</v>
      </c>
      <c r="AJ464">
        <f t="shared" ca="1" si="49"/>
        <v>0</v>
      </c>
    </row>
    <row r="465" spans="28:36" x14ac:dyDescent="0.3">
      <c r="AB465">
        <f t="shared" si="50"/>
        <v>1</v>
      </c>
      <c r="AC465">
        <f t="shared" si="50"/>
        <v>3</v>
      </c>
      <c r="AD465">
        <f t="shared" si="50"/>
        <v>1</v>
      </c>
      <c r="AE465">
        <f t="shared" si="50"/>
        <v>2</v>
      </c>
      <c r="AF465">
        <f t="shared" si="50"/>
        <v>1</v>
      </c>
      <c r="AG465">
        <f t="shared" si="47"/>
        <v>8</v>
      </c>
      <c r="AH465">
        <f t="shared" ca="1" si="48"/>
        <v>0</v>
      </c>
      <c r="AI465">
        <f>IF(ROW($AA465) - $AA$51 &lt; ($H$16+1)^5, IF(AG465 &gt;= BaseBonus!$C$16, AG465*BaseBonus!$E$31, 0), "")</f>
        <v>7.5124286503406372</v>
      </c>
      <c r="AJ465">
        <f t="shared" ca="1" si="49"/>
        <v>0</v>
      </c>
    </row>
    <row r="466" spans="28:36" x14ac:dyDescent="0.3">
      <c r="AB466">
        <f t="shared" si="50"/>
        <v>2</v>
      </c>
      <c r="AC466">
        <f t="shared" si="50"/>
        <v>3</v>
      </c>
      <c r="AD466">
        <f t="shared" si="50"/>
        <v>1</v>
      </c>
      <c r="AE466">
        <f t="shared" si="50"/>
        <v>2</v>
      </c>
      <c r="AF466">
        <f t="shared" si="50"/>
        <v>1</v>
      </c>
      <c r="AG466">
        <f t="shared" si="47"/>
        <v>9</v>
      </c>
      <c r="AH466">
        <f t="shared" ca="1" si="48"/>
        <v>0</v>
      </c>
      <c r="AI466">
        <f>IF(ROW($AA466) - $AA$51 &lt; ($H$16+1)^5, IF(AG466 &gt;= BaseBonus!$C$16, AG466*BaseBonus!$E$31, 0), "")</f>
        <v>8.4514822316332161</v>
      </c>
      <c r="AJ466">
        <f t="shared" ca="1" si="49"/>
        <v>0</v>
      </c>
    </row>
    <row r="467" spans="28:36" x14ac:dyDescent="0.3">
      <c r="AB467">
        <f t="shared" si="50"/>
        <v>3</v>
      </c>
      <c r="AC467">
        <f t="shared" si="50"/>
        <v>3</v>
      </c>
      <c r="AD467">
        <f t="shared" si="50"/>
        <v>1</v>
      </c>
      <c r="AE467">
        <f t="shared" si="50"/>
        <v>2</v>
      </c>
      <c r="AF467">
        <f t="shared" si="50"/>
        <v>1</v>
      </c>
      <c r="AG467">
        <f t="shared" si="47"/>
        <v>10</v>
      </c>
      <c r="AH467">
        <f t="shared" ca="1" si="48"/>
        <v>0</v>
      </c>
      <c r="AI467">
        <f>IF(ROW($AA467) - $AA$51 &lt; ($H$16+1)^5, IF(AG467 &gt;= BaseBonus!$C$16, AG467*BaseBonus!$E$31, 0), "")</f>
        <v>9.3905358129257959</v>
      </c>
      <c r="AJ467">
        <f t="shared" ca="1" si="49"/>
        <v>0</v>
      </c>
    </row>
    <row r="468" spans="28:36" x14ac:dyDescent="0.3">
      <c r="AB468">
        <f t="shared" si="50"/>
        <v>0</v>
      </c>
      <c r="AC468">
        <f t="shared" si="50"/>
        <v>0</v>
      </c>
      <c r="AD468">
        <f t="shared" si="50"/>
        <v>2</v>
      </c>
      <c r="AE468">
        <f t="shared" si="50"/>
        <v>2</v>
      </c>
      <c r="AF468">
        <f t="shared" si="50"/>
        <v>1</v>
      </c>
      <c r="AG468">
        <f t="shared" si="47"/>
        <v>5</v>
      </c>
      <c r="AH468">
        <f t="shared" ca="1" si="48"/>
        <v>0</v>
      </c>
      <c r="AI468">
        <f>IF(ROW($AA468) - $AA$51 &lt; ($H$16+1)^5, IF(AG468 &gt;= BaseBonus!$C$16, AG468*BaseBonus!$E$31, 0), "")</f>
        <v>4.6952679064628979</v>
      </c>
      <c r="AJ468">
        <f t="shared" ca="1" si="49"/>
        <v>0</v>
      </c>
    </row>
    <row r="469" spans="28:36" x14ac:dyDescent="0.3">
      <c r="AB469">
        <f t="shared" si="50"/>
        <v>1</v>
      </c>
      <c r="AC469">
        <f t="shared" si="50"/>
        <v>0</v>
      </c>
      <c r="AD469">
        <f t="shared" si="50"/>
        <v>2</v>
      </c>
      <c r="AE469">
        <f t="shared" si="50"/>
        <v>2</v>
      </c>
      <c r="AF469">
        <f t="shared" si="50"/>
        <v>1</v>
      </c>
      <c r="AG469">
        <f t="shared" si="47"/>
        <v>6</v>
      </c>
      <c r="AH469">
        <f t="shared" ca="1" si="48"/>
        <v>0</v>
      </c>
      <c r="AI469">
        <f>IF(ROW($AA469) - $AA$51 &lt; ($H$16+1)^5, IF(AG469 &gt;= BaseBonus!$C$16, AG469*BaseBonus!$E$31, 0), "")</f>
        <v>5.6343214877554777</v>
      </c>
      <c r="AJ469">
        <f t="shared" ca="1" si="49"/>
        <v>0</v>
      </c>
    </row>
    <row r="470" spans="28:36" x14ac:dyDescent="0.3">
      <c r="AB470">
        <f t="shared" si="50"/>
        <v>2</v>
      </c>
      <c r="AC470">
        <f t="shared" si="50"/>
        <v>0</v>
      </c>
      <c r="AD470">
        <f t="shared" si="50"/>
        <v>2</v>
      </c>
      <c r="AE470">
        <f t="shared" si="50"/>
        <v>2</v>
      </c>
      <c r="AF470">
        <f t="shared" si="50"/>
        <v>1</v>
      </c>
      <c r="AG470">
        <f t="shared" si="47"/>
        <v>7</v>
      </c>
      <c r="AH470">
        <f t="shared" ca="1" si="48"/>
        <v>0</v>
      </c>
      <c r="AI470">
        <f>IF(ROW($AA470) - $AA$51 &lt; ($H$16+1)^5, IF(AG470 &gt;= BaseBonus!$C$16, AG470*BaseBonus!$E$31, 0), "")</f>
        <v>6.5733750690480575</v>
      </c>
      <c r="AJ470">
        <f t="shared" ca="1" si="49"/>
        <v>0</v>
      </c>
    </row>
    <row r="471" spans="28:36" x14ac:dyDescent="0.3">
      <c r="AB471">
        <f t="shared" si="50"/>
        <v>3</v>
      </c>
      <c r="AC471">
        <f t="shared" si="50"/>
        <v>0</v>
      </c>
      <c r="AD471">
        <f t="shared" si="50"/>
        <v>2</v>
      </c>
      <c r="AE471">
        <f t="shared" si="50"/>
        <v>2</v>
      </c>
      <c r="AF471">
        <f t="shared" si="50"/>
        <v>1</v>
      </c>
      <c r="AG471">
        <f t="shared" si="47"/>
        <v>8</v>
      </c>
      <c r="AH471">
        <f t="shared" ca="1" si="48"/>
        <v>0</v>
      </c>
      <c r="AI471">
        <f>IF(ROW($AA471) - $AA$51 &lt; ($H$16+1)^5, IF(AG471 &gt;= BaseBonus!$C$16, AG471*BaseBonus!$E$31, 0), "")</f>
        <v>7.5124286503406372</v>
      </c>
      <c r="AJ471">
        <f t="shared" ca="1" si="49"/>
        <v>0</v>
      </c>
    </row>
    <row r="472" spans="28:36" x14ac:dyDescent="0.3">
      <c r="AB472">
        <f t="shared" si="50"/>
        <v>0</v>
      </c>
      <c r="AC472">
        <f t="shared" si="50"/>
        <v>1</v>
      </c>
      <c r="AD472">
        <f t="shared" si="50"/>
        <v>2</v>
      </c>
      <c r="AE472">
        <f t="shared" si="50"/>
        <v>2</v>
      </c>
      <c r="AF472">
        <f t="shared" si="50"/>
        <v>1</v>
      </c>
      <c r="AG472">
        <f t="shared" si="47"/>
        <v>6</v>
      </c>
      <c r="AH472">
        <f t="shared" ca="1" si="48"/>
        <v>0</v>
      </c>
      <c r="AI472">
        <f>IF(ROW($AA472) - $AA$51 &lt; ($H$16+1)^5, IF(AG472 &gt;= BaseBonus!$C$16, AG472*BaseBonus!$E$31, 0), "")</f>
        <v>5.6343214877554777</v>
      </c>
      <c r="AJ472">
        <f t="shared" ca="1" si="49"/>
        <v>0</v>
      </c>
    </row>
    <row r="473" spans="28:36" x14ac:dyDescent="0.3">
      <c r="AB473">
        <f t="shared" si="50"/>
        <v>1</v>
      </c>
      <c r="AC473">
        <f t="shared" si="50"/>
        <v>1</v>
      </c>
      <c r="AD473">
        <f t="shared" si="50"/>
        <v>2</v>
      </c>
      <c r="AE473">
        <f t="shared" si="50"/>
        <v>2</v>
      </c>
      <c r="AF473">
        <f t="shared" si="50"/>
        <v>1</v>
      </c>
      <c r="AG473">
        <f t="shared" si="47"/>
        <v>7</v>
      </c>
      <c r="AH473">
        <f t="shared" ca="1" si="48"/>
        <v>0</v>
      </c>
      <c r="AI473">
        <f>IF(ROW($AA473) - $AA$51 &lt; ($H$16+1)^5, IF(AG473 &gt;= BaseBonus!$C$16, AG473*BaseBonus!$E$31, 0), "")</f>
        <v>6.5733750690480575</v>
      </c>
      <c r="AJ473">
        <f t="shared" ca="1" si="49"/>
        <v>0</v>
      </c>
    </row>
    <row r="474" spans="28:36" x14ac:dyDescent="0.3">
      <c r="AB474">
        <f t="shared" si="50"/>
        <v>2</v>
      </c>
      <c r="AC474">
        <f t="shared" si="50"/>
        <v>1</v>
      </c>
      <c r="AD474">
        <f t="shared" si="50"/>
        <v>2</v>
      </c>
      <c r="AE474">
        <f t="shared" si="50"/>
        <v>2</v>
      </c>
      <c r="AF474">
        <f t="shared" si="50"/>
        <v>1</v>
      </c>
      <c r="AG474">
        <f t="shared" si="47"/>
        <v>8</v>
      </c>
      <c r="AH474">
        <f t="shared" ca="1" si="48"/>
        <v>0</v>
      </c>
      <c r="AI474">
        <f>IF(ROW($AA474) - $AA$51 &lt; ($H$16+1)^5, IF(AG474 &gt;= BaseBonus!$C$16, AG474*BaseBonus!$E$31, 0), "")</f>
        <v>7.5124286503406372</v>
      </c>
      <c r="AJ474">
        <f t="shared" ca="1" si="49"/>
        <v>0</v>
      </c>
    </row>
    <row r="475" spans="28:36" x14ac:dyDescent="0.3">
      <c r="AB475">
        <f t="shared" si="50"/>
        <v>3</v>
      </c>
      <c r="AC475">
        <f t="shared" si="50"/>
        <v>1</v>
      </c>
      <c r="AD475">
        <f t="shared" si="50"/>
        <v>2</v>
      </c>
      <c r="AE475">
        <f t="shared" si="50"/>
        <v>2</v>
      </c>
      <c r="AF475">
        <f t="shared" si="50"/>
        <v>1</v>
      </c>
      <c r="AG475">
        <f t="shared" si="47"/>
        <v>9</v>
      </c>
      <c r="AH475">
        <f t="shared" ca="1" si="48"/>
        <v>0</v>
      </c>
      <c r="AI475">
        <f>IF(ROW($AA475) - $AA$51 &lt; ($H$16+1)^5, IF(AG475 &gt;= BaseBonus!$C$16, AG475*BaseBonus!$E$31, 0), "")</f>
        <v>8.4514822316332161</v>
      </c>
      <c r="AJ475">
        <f t="shared" ca="1" si="49"/>
        <v>0</v>
      </c>
    </row>
    <row r="476" spans="28:36" x14ac:dyDescent="0.3">
      <c r="AB476">
        <f t="shared" si="50"/>
        <v>0</v>
      </c>
      <c r="AC476">
        <f t="shared" si="50"/>
        <v>2</v>
      </c>
      <c r="AD476">
        <f t="shared" si="50"/>
        <v>2</v>
      </c>
      <c r="AE476">
        <f t="shared" si="50"/>
        <v>2</v>
      </c>
      <c r="AF476">
        <f t="shared" si="50"/>
        <v>1</v>
      </c>
      <c r="AG476">
        <f t="shared" si="47"/>
        <v>7</v>
      </c>
      <c r="AH476">
        <f t="shared" ca="1" si="48"/>
        <v>0</v>
      </c>
      <c r="AI476">
        <f>IF(ROW($AA476) - $AA$51 &lt; ($H$16+1)^5, IF(AG476 &gt;= BaseBonus!$C$16, AG476*BaseBonus!$E$31, 0), "")</f>
        <v>6.5733750690480575</v>
      </c>
      <c r="AJ476">
        <f t="shared" ca="1" si="49"/>
        <v>0</v>
      </c>
    </row>
    <row r="477" spans="28:36" x14ac:dyDescent="0.3">
      <c r="AB477">
        <f t="shared" si="50"/>
        <v>1</v>
      </c>
      <c r="AC477">
        <f t="shared" si="50"/>
        <v>2</v>
      </c>
      <c r="AD477">
        <f t="shared" si="50"/>
        <v>2</v>
      </c>
      <c r="AE477">
        <f t="shared" si="50"/>
        <v>2</v>
      </c>
      <c r="AF477">
        <f t="shared" si="50"/>
        <v>1</v>
      </c>
      <c r="AG477">
        <f t="shared" si="47"/>
        <v>8</v>
      </c>
      <c r="AH477">
        <f t="shared" ca="1" si="48"/>
        <v>0</v>
      </c>
      <c r="AI477">
        <f>IF(ROW($AA477) - $AA$51 &lt; ($H$16+1)^5, IF(AG477 &gt;= BaseBonus!$C$16, AG477*BaseBonus!$E$31, 0), "")</f>
        <v>7.5124286503406372</v>
      </c>
      <c r="AJ477">
        <f t="shared" ca="1" si="49"/>
        <v>0</v>
      </c>
    </row>
    <row r="478" spans="28:36" x14ac:dyDescent="0.3">
      <c r="AB478">
        <f t="shared" si="50"/>
        <v>2</v>
      </c>
      <c r="AC478">
        <f t="shared" si="50"/>
        <v>2</v>
      </c>
      <c r="AD478">
        <f t="shared" si="50"/>
        <v>2</v>
      </c>
      <c r="AE478">
        <f t="shared" si="50"/>
        <v>2</v>
      </c>
      <c r="AF478">
        <f t="shared" si="50"/>
        <v>1</v>
      </c>
      <c r="AG478">
        <f t="shared" si="47"/>
        <v>9</v>
      </c>
      <c r="AH478">
        <f t="shared" ca="1" si="48"/>
        <v>0</v>
      </c>
      <c r="AI478">
        <f>IF(ROW($AA478) - $AA$51 &lt; ($H$16+1)^5, IF(AG478 &gt;= BaseBonus!$C$16, AG478*BaseBonus!$E$31, 0), "")</f>
        <v>8.4514822316332161</v>
      </c>
      <c r="AJ478">
        <f t="shared" ca="1" si="49"/>
        <v>0</v>
      </c>
    </row>
    <row r="479" spans="28:36" x14ac:dyDescent="0.3">
      <c r="AB479">
        <f t="shared" si="50"/>
        <v>3</v>
      </c>
      <c r="AC479">
        <f t="shared" si="50"/>
        <v>2</v>
      </c>
      <c r="AD479">
        <f t="shared" si="50"/>
        <v>2</v>
      </c>
      <c r="AE479">
        <f t="shared" si="50"/>
        <v>2</v>
      </c>
      <c r="AF479">
        <f t="shared" si="50"/>
        <v>1</v>
      </c>
      <c r="AG479">
        <f t="shared" si="47"/>
        <v>10</v>
      </c>
      <c r="AH479">
        <f t="shared" ca="1" si="48"/>
        <v>0</v>
      </c>
      <c r="AI479">
        <f>IF(ROW($AA479) - $AA$51 &lt; ($H$16+1)^5, IF(AG479 &gt;= BaseBonus!$C$16, AG479*BaseBonus!$E$31, 0), "")</f>
        <v>9.3905358129257959</v>
      </c>
      <c r="AJ479">
        <f t="shared" ca="1" si="49"/>
        <v>0</v>
      </c>
    </row>
    <row r="480" spans="28:36" x14ac:dyDescent="0.3">
      <c r="AB480">
        <f t="shared" si="50"/>
        <v>0</v>
      </c>
      <c r="AC480">
        <f t="shared" si="50"/>
        <v>3</v>
      </c>
      <c r="AD480">
        <f t="shared" si="50"/>
        <v>2</v>
      </c>
      <c r="AE480">
        <f t="shared" si="50"/>
        <v>2</v>
      </c>
      <c r="AF480">
        <f t="shared" si="50"/>
        <v>1</v>
      </c>
      <c r="AG480">
        <f t="shared" si="47"/>
        <v>8</v>
      </c>
      <c r="AH480">
        <f t="shared" ca="1" si="48"/>
        <v>0</v>
      </c>
      <c r="AI480">
        <f>IF(ROW($AA480) - $AA$51 &lt; ($H$16+1)^5, IF(AG480 &gt;= BaseBonus!$C$16, AG480*BaseBonus!$E$31, 0), "")</f>
        <v>7.5124286503406372</v>
      </c>
      <c r="AJ480">
        <f t="shared" ca="1" si="49"/>
        <v>0</v>
      </c>
    </row>
    <row r="481" spans="28:36" x14ac:dyDescent="0.3">
      <c r="AB481">
        <f t="shared" si="50"/>
        <v>1</v>
      </c>
      <c r="AC481">
        <f t="shared" si="50"/>
        <v>3</v>
      </c>
      <c r="AD481">
        <f t="shared" si="50"/>
        <v>2</v>
      </c>
      <c r="AE481">
        <f t="shared" si="50"/>
        <v>2</v>
      </c>
      <c r="AF481">
        <f t="shared" si="50"/>
        <v>1</v>
      </c>
      <c r="AG481">
        <f t="shared" si="47"/>
        <v>9</v>
      </c>
      <c r="AH481">
        <f t="shared" ca="1" si="48"/>
        <v>0</v>
      </c>
      <c r="AI481">
        <f>IF(ROW($AA481) - $AA$51 &lt; ($H$16+1)^5, IF(AG481 &gt;= BaseBonus!$C$16, AG481*BaseBonus!$E$31, 0), "")</f>
        <v>8.4514822316332161</v>
      </c>
      <c r="AJ481">
        <f t="shared" ca="1" si="49"/>
        <v>0</v>
      </c>
    </row>
    <row r="482" spans="28:36" x14ac:dyDescent="0.3">
      <c r="AB482">
        <f t="shared" si="50"/>
        <v>2</v>
      </c>
      <c r="AC482">
        <f t="shared" si="50"/>
        <v>3</v>
      </c>
      <c r="AD482">
        <f t="shared" si="50"/>
        <v>2</v>
      </c>
      <c r="AE482">
        <f t="shared" si="50"/>
        <v>2</v>
      </c>
      <c r="AF482">
        <f t="shared" si="50"/>
        <v>1</v>
      </c>
      <c r="AG482">
        <f t="shared" si="47"/>
        <v>10</v>
      </c>
      <c r="AH482">
        <f t="shared" ca="1" si="48"/>
        <v>0</v>
      </c>
      <c r="AI482">
        <f>IF(ROW($AA482) - $AA$51 &lt; ($H$16+1)^5, IF(AG482 &gt;= BaseBonus!$C$16, AG482*BaseBonus!$E$31, 0), "")</f>
        <v>9.3905358129257959</v>
      </c>
      <c r="AJ482">
        <f t="shared" ca="1" si="49"/>
        <v>0</v>
      </c>
    </row>
    <row r="483" spans="28:36" x14ac:dyDescent="0.3">
      <c r="AB483">
        <f t="shared" si="50"/>
        <v>3</v>
      </c>
      <c r="AC483">
        <f t="shared" si="50"/>
        <v>3</v>
      </c>
      <c r="AD483">
        <f t="shared" si="50"/>
        <v>2</v>
      </c>
      <c r="AE483">
        <f t="shared" si="50"/>
        <v>2</v>
      </c>
      <c r="AF483">
        <f t="shared" si="50"/>
        <v>1</v>
      </c>
      <c r="AG483">
        <f t="shared" si="47"/>
        <v>11</v>
      </c>
      <c r="AH483">
        <f t="shared" ca="1" si="48"/>
        <v>0</v>
      </c>
      <c r="AI483">
        <f>IF(ROW($AA483) - $AA$51 &lt; ($H$16+1)^5, IF(AG483 &gt;= BaseBonus!$C$16, AG483*BaseBonus!$E$31, 0), "")</f>
        <v>10.329589394218376</v>
      </c>
      <c r="AJ483">
        <f t="shared" ca="1" si="49"/>
        <v>0</v>
      </c>
    </row>
    <row r="484" spans="28:36" x14ac:dyDescent="0.3">
      <c r="AB484">
        <f t="shared" si="50"/>
        <v>0</v>
      </c>
      <c r="AC484">
        <f t="shared" si="50"/>
        <v>0</v>
      </c>
      <c r="AD484">
        <f t="shared" si="50"/>
        <v>3</v>
      </c>
      <c r="AE484">
        <f t="shared" si="50"/>
        <v>2</v>
      </c>
      <c r="AF484">
        <f t="shared" si="50"/>
        <v>1</v>
      </c>
      <c r="AG484">
        <f t="shared" si="47"/>
        <v>6</v>
      </c>
      <c r="AH484">
        <f t="shared" ca="1" si="48"/>
        <v>0</v>
      </c>
      <c r="AI484">
        <f>IF(ROW($AA484) - $AA$51 &lt; ($H$16+1)^5, IF(AG484 &gt;= BaseBonus!$C$16, AG484*BaseBonus!$E$31, 0), "")</f>
        <v>5.6343214877554777</v>
      </c>
      <c r="AJ484">
        <f t="shared" ca="1" si="49"/>
        <v>0</v>
      </c>
    </row>
    <row r="485" spans="28:36" x14ac:dyDescent="0.3">
      <c r="AB485">
        <f t="shared" si="50"/>
        <v>1</v>
      </c>
      <c r="AC485">
        <f t="shared" si="50"/>
        <v>0</v>
      </c>
      <c r="AD485">
        <f t="shared" si="50"/>
        <v>3</v>
      </c>
      <c r="AE485">
        <f t="shared" si="50"/>
        <v>2</v>
      </c>
      <c r="AF485">
        <f t="shared" si="50"/>
        <v>1</v>
      </c>
      <c r="AG485">
        <f t="shared" si="47"/>
        <v>7</v>
      </c>
      <c r="AH485">
        <f t="shared" ca="1" si="48"/>
        <v>0</v>
      </c>
      <c r="AI485">
        <f>IF(ROW($AA485) - $AA$51 &lt; ($H$16+1)^5, IF(AG485 &gt;= BaseBonus!$C$16, AG485*BaseBonus!$E$31, 0), "")</f>
        <v>6.5733750690480575</v>
      </c>
      <c r="AJ485">
        <f t="shared" ca="1" si="49"/>
        <v>0</v>
      </c>
    </row>
    <row r="486" spans="28:36" x14ac:dyDescent="0.3">
      <c r="AB486">
        <f t="shared" si="50"/>
        <v>2</v>
      </c>
      <c r="AC486">
        <f t="shared" si="50"/>
        <v>0</v>
      </c>
      <c r="AD486">
        <f t="shared" si="50"/>
        <v>3</v>
      </c>
      <c r="AE486">
        <f t="shared" si="50"/>
        <v>2</v>
      </c>
      <c r="AF486">
        <f t="shared" si="50"/>
        <v>1</v>
      </c>
      <c r="AG486">
        <f t="shared" si="47"/>
        <v>8</v>
      </c>
      <c r="AH486">
        <f t="shared" ca="1" si="48"/>
        <v>0</v>
      </c>
      <c r="AI486">
        <f>IF(ROW($AA486) - $AA$51 &lt; ($H$16+1)^5, IF(AG486 &gt;= BaseBonus!$C$16, AG486*BaseBonus!$E$31, 0), "")</f>
        <v>7.5124286503406372</v>
      </c>
      <c r="AJ486">
        <f t="shared" ca="1" si="49"/>
        <v>0</v>
      </c>
    </row>
    <row r="487" spans="28:36" x14ac:dyDescent="0.3">
      <c r="AB487">
        <f t="shared" si="50"/>
        <v>3</v>
      </c>
      <c r="AC487">
        <f t="shared" si="50"/>
        <v>0</v>
      </c>
      <c r="AD487">
        <f t="shared" si="50"/>
        <v>3</v>
      </c>
      <c r="AE487">
        <f t="shared" si="50"/>
        <v>2</v>
      </c>
      <c r="AF487">
        <f t="shared" si="50"/>
        <v>1</v>
      </c>
      <c r="AG487">
        <f t="shared" si="47"/>
        <v>9</v>
      </c>
      <c r="AH487">
        <f t="shared" ca="1" si="48"/>
        <v>0</v>
      </c>
      <c r="AI487">
        <f>IF(ROW($AA487) - $AA$51 &lt; ($H$16+1)^5, IF(AG487 &gt;= BaseBonus!$C$16, AG487*BaseBonus!$E$31, 0), "")</f>
        <v>8.4514822316332161</v>
      </c>
      <c r="AJ487">
        <f t="shared" ca="1" si="49"/>
        <v>0</v>
      </c>
    </row>
    <row r="488" spans="28:36" x14ac:dyDescent="0.3">
      <c r="AB488">
        <f t="shared" si="50"/>
        <v>0</v>
      </c>
      <c r="AC488">
        <f t="shared" si="50"/>
        <v>1</v>
      </c>
      <c r="AD488">
        <f t="shared" si="50"/>
        <v>3</v>
      </c>
      <c r="AE488">
        <f t="shared" si="50"/>
        <v>2</v>
      </c>
      <c r="AF488">
        <f t="shared" si="50"/>
        <v>1</v>
      </c>
      <c r="AG488">
        <f t="shared" si="47"/>
        <v>7</v>
      </c>
      <c r="AH488">
        <f t="shared" ca="1" si="48"/>
        <v>0</v>
      </c>
      <c r="AI488">
        <f>IF(ROW($AA488) - $AA$51 &lt; ($H$16+1)^5, IF(AG488 &gt;= BaseBonus!$C$16, AG488*BaseBonus!$E$31, 0), "")</f>
        <v>6.5733750690480575</v>
      </c>
      <c r="AJ488">
        <f t="shared" ca="1" si="49"/>
        <v>0</v>
      </c>
    </row>
    <row r="489" spans="28:36" x14ac:dyDescent="0.3">
      <c r="AB489">
        <f t="shared" si="50"/>
        <v>1</v>
      </c>
      <c r="AC489">
        <f t="shared" si="50"/>
        <v>1</v>
      </c>
      <c r="AD489">
        <f t="shared" si="50"/>
        <v>3</v>
      </c>
      <c r="AE489">
        <f t="shared" si="50"/>
        <v>2</v>
      </c>
      <c r="AF489">
        <f t="shared" si="50"/>
        <v>1</v>
      </c>
      <c r="AG489">
        <f t="shared" si="47"/>
        <v>8</v>
      </c>
      <c r="AH489">
        <f t="shared" ca="1" si="48"/>
        <v>0</v>
      </c>
      <c r="AI489">
        <f>IF(ROW($AA489) - $AA$51 &lt; ($H$16+1)^5, IF(AG489 &gt;= BaseBonus!$C$16, AG489*BaseBonus!$E$31, 0), "")</f>
        <v>7.5124286503406372</v>
      </c>
      <c r="AJ489">
        <f t="shared" ca="1" si="49"/>
        <v>0</v>
      </c>
    </row>
    <row r="490" spans="28:36" x14ac:dyDescent="0.3">
      <c r="AB490">
        <f t="shared" si="50"/>
        <v>2</v>
      </c>
      <c r="AC490">
        <f t="shared" si="50"/>
        <v>1</v>
      </c>
      <c r="AD490">
        <f t="shared" si="50"/>
        <v>3</v>
      </c>
      <c r="AE490">
        <f t="shared" si="50"/>
        <v>2</v>
      </c>
      <c r="AF490">
        <f t="shared" si="50"/>
        <v>1</v>
      </c>
      <c r="AG490">
        <f t="shared" si="47"/>
        <v>9</v>
      </c>
      <c r="AH490">
        <f t="shared" ca="1" si="48"/>
        <v>0</v>
      </c>
      <c r="AI490">
        <f>IF(ROW($AA490) - $AA$51 &lt; ($H$16+1)^5, IF(AG490 &gt;= BaseBonus!$C$16, AG490*BaseBonus!$E$31, 0), "")</f>
        <v>8.4514822316332161</v>
      </c>
      <c r="AJ490">
        <f t="shared" ca="1" si="49"/>
        <v>0</v>
      </c>
    </row>
    <row r="491" spans="28:36" x14ac:dyDescent="0.3">
      <c r="AB491">
        <f t="shared" si="50"/>
        <v>3</v>
      </c>
      <c r="AC491">
        <f t="shared" si="50"/>
        <v>1</v>
      </c>
      <c r="AD491">
        <f t="shared" si="50"/>
        <v>3</v>
      </c>
      <c r="AE491">
        <f t="shared" si="50"/>
        <v>2</v>
      </c>
      <c r="AF491">
        <f t="shared" si="50"/>
        <v>1</v>
      </c>
      <c r="AG491">
        <f t="shared" si="47"/>
        <v>10</v>
      </c>
      <c r="AH491">
        <f t="shared" ca="1" si="48"/>
        <v>0</v>
      </c>
      <c r="AI491">
        <f>IF(ROW($AA491) - $AA$51 &lt; ($H$16+1)^5, IF(AG491 &gt;= BaseBonus!$C$16, AG491*BaseBonus!$E$31, 0), "")</f>
        <v>9.3905358129257959</v>
      </c>
      <c r="AJ491">
        <f t="shared" ca="1" si="49"/>
        <v>0</v>
      </c>
    </row>
    <row r="492" spans="28:36" x14ac:dyDescent="0.3">
      <c r="AB492">
        <f t="shared" si="50"/>
        <v>0</v>
      </c>
      <c r="AC492">
        <f t="shared" si="50"/>
        <v>2</v>
      </c>
      <c r="AD492">
        <f t="shared" si="50"/>
        <v>3</v>
      </c>
      <c r="AE492">
        <f t="shared" si="50"/>
        <v>2</v>
      </c>
      <c r="AF492">
        <f t="shared" si="50"/>
        <v>1</v>
      </c>
      <c r="AG492">
        <f t="shared" si="47"/>
        <v>8</v>
      </c>
      <c r="AH492">
        <f t="shared" ca="1" si="48"/>
        <v>0</v>
      </c>
      <c r="AI492">
        <f>IF(ROW($AA492) - $AA$51 &lt; ($H$16+1)^5, IF(AG492 &gt;= BaseBonus!$C$16, AG492*BaseBonus!$E$31, 0), "")</f>
        <v>7.5124286503406372</v>
      </c>
      <c r="AJ492">
        <f t="shared" ca="1" si="49"/>
        <v>0</v>
      </c>
    </row>
    <row r="493" spans="28:36" x14ac:dyDescent="0.3">
      <c r="AB493">
        <f t="shared" si="50"/>
        <v>1</v>
      </c>
      <c r="AC493">
        <f t="shared" si="50"/>
        <v>2</v>
      </c>
      <c r="AD493">
        <f t="shared" si="50"/>
        <v>3</v>
      </c>
      <c r="AE493">
        <f t="shared" si="50"/>
        <v>2</v>
      </c>
      <c r="AF493">
        <f t="shared" si="50"/>
        <v>1</v>
      </c>
      <c r="AG493">
        <f t="shared" si="47"/>
        <v>9</v>
      </c>
      <c r="AH493">
        <f t="shared" ca="1" si="48"/>
        <v>0</v>
      </c>
      <c r="AI493">
        <f>IF(ROW($AA493) - $AA$51 &lt; ($H$16+1)^5, IF(AG493 &gt;= BaseBonus!$C$16, AG493*BaseBonus!$E$31, 0), "")</f>
        <v>8.4514822316332161</v>
      </c>
      <c r="AJ493">
        <f t="shared" ca="1" si="49"/>
        <v>0</v>
      </c>
    </row>
    <row r="494" spans="28:36" x14ac:dyDescent="0.3">
      <c r="AB494">
        <f t="shared" si="50"/>
        <v>2</v>
      </c>
      <c r="AC494">
        <f t="shared" si="50"/>
        <v>2</v>
      </c>
      <c r="AD494">
        <f t="shared" si="50"/>
        <v>3</v>
      </c>
      <c r="AE494">
        <f t="shared" si="50"/>
        <v>2</v>
      </c>
      <c r="AF494">
        <f t="shared" si="50"/>
        <v>1</v>
      </c>
      <c r="AG494">
        <f t="shared" si="47"/>
        <v>10</v>
      </c>
      <c r="AH494">
        <f t="shared" ca="1" si="48"/>
        <v>0</v>
      </c>
      <c r="AI494">
        <f>IF(ROW($AA494) - $AA$51 &lt; ($H$16+1)^5, IF(AG494 &gt;= BaseBonus!$C$16, AG494*BaseBonus!$E$31, 0), "")</f>
        <v>9.3905358129257959</v>
      </c>
      <c r="AJ494">
        <f t="shared" ca="1" si="49"/>
        <v>0</v>
      </c>
    </row>
    <row r="495" spans="28:36" x14ac:dyDescent="0.3">
      <c r="AB495">
        <f t="shared" si="50"/>
        <v>3</v>
      </c>
      <c r="AC495">
        <f t="shared" si="50"/>
        <v>2</v>
      </c>
      <c r="AD495">
        <f t="shared" si="50"/>
        <v>3</v>
      </c>
      <c r="AE495">
        <f t="shared" si="50"/>
        <v>2</v>
      </c>
      <c r="AF495">
        <f t="shared" si="50"/>
        <v>1</v>
      </c>
      <c r="AG495">
        <f t="shared" si="47"/>
        <v>11</v>
      </c>
      <c r="AH495">
        <f t="shared" ca="1" si="48"/>
        <v>0</v>
      </c>
      <c r="AI495">
        <f>IF(ROW($AA495) - $AA$51 &lt; ($H$16+1)^5, IF(AG495 &gt;= BaseBonus!$C$16, AG495*BaseBonus!$E$31, 0), "")</f>
        <v>10.329589394218376</v>
      </c>
      <c r="AJ495">
        <f t="shared" ca="1" si="49"/>
        <v>0</v>
      </c>
    </row>
    <row r="496" spans="28:36" x14ac:dyDescent="0.3">
      <c r="AB496">
        <f t="shared" si="50"/>
        <v>0</v>
      </c>
      <c r="AC496">
        <f t="shared" si="50"/>
        <v>3</v>
      </c>
      <c r="AD496">
        <f t="shared" si="50"/>
        <v>3</v>
      </c>
      <c r="AE496">
        <f t="shared" si="50"/>
        <v>2</v>
      </c>
      <c r="AF496">
        <f t="shared" si="50"/>
        <v>1</v>
      </c>
      <c r="AG496">
        <f t="shared" si="47"/>
        <v>9</v>
      </c>
      <c r="AH496">
        <f t="shared" ca="1" si="48"/>
        <v>0</v>
      </c>
      <c r="AI496">
        <f>IF(ROW($AA496) - $AA$51 &lt; ($H$16+1)^5, IF(AG496 &gt;= BaseBonus!$C$16, AG496*BaseBonus!$E$31, 0), "")</f>
        <v>8.4514822316332161</v>
      </c>
      <c r="AJ496">
        <f t="shared" ca="1" si="49"/>
        <v>0</v>
      </c>
    </row>
    <row r="497" spans="28:36" x14ac:dyDescent="0.3">
      <c r="AB497">
        <f t="shared" si="50"/>
        <v>1</v>
      </c>
      <c r="AC497">
        <f t="shared" si="50"/>
        <v>3</v>
      </c>
      <c r="AD497">
        <f t="shared" si="50"/>
        <v>3</v>
      </c>
      <c r="AE497">
        <f t="shared" si="50"/>
        <v>2</v>
      </c>
      <c r="AF497">
        <f t="shared" si="50"/>
        <v>1</v>
      </c>
      <c r="AG497">
        <f t="shared" si="47"/>
        <v>10</v>
      </c>
      <c r="AH497">
        <f t="shared" ca="1" si="48"/>
        <v>0</v>
      </c>
      <c r="AI497">
        <f>IF(ROW($AA497) - $AA$51 &lt; ($H$16+1)^5, IF(AG497 &gt;= BaseBonus!$C$16, AG497*BaseBonus!$E$31, 0), "")</f>
        <v>9.3905358129257959</v>
      </c>
      <c r="AJ497">
        <f t="shared" ca="1" si="49"/>
        <v>0</v>
      </c>
    </row>
    <row r="498" spans="28:36" x14ac:dyDescent="0.3">
      <c r="AB498">
        <f t="shared" si="50"/>
        <v>2</v>
      </c>
      <c r="AC498">
        <f t="shared" si="50"/>
        <v>3</v>
      </c>
      <c r="AD498">
        <f t="shared" si="50"/>
        <v>3</v>
      </c>
      <c r="AE498">
        <f t="shared" si="50"/>
        <v>2</v>
      </c>
      <c r="AF498">
        <f t="shared" si="50"/>
        <v>1</v>
      </c>
      <c r="AG498">
        <f t="shared" si="47"/>
        <v>11</v>
      </c>
      <c r="AH498">
        <f t="shared" ca="1" si="48"/>
        <v>0</v>
      </c>
      <c r="AI498">
        <f>IF(ROW($AA498) - $AA$51 &lt; ($H$16+1)^5, IF(AG498 &gt;= BaseBonus!$C$16, AG498*BaseBonus!$E$31, 0), "")</f>
        <v>10.329589394218376</v>
      </c>
      <c r="AJ498">
        <f t="shared" ca="1" si="49"/>
        <v>0</v>
      </c>
    </row>
    <row r="499" spans="28:36" x14ac:dyDescent="0.3">
      <c r="AB499">
        <f t="shared" si="50"/>
        <v>3</v>
      </c>
      <c r="AC499">
        <f t="shared" si="50"/>
        <v>3</v>
      </c>
      <c r="AD499">
        <f t="shared" si="50"/>
        <v>3</v>
      </c>
      <c r="AE499">
        <f t="shared" si="50"/>
        <v>2</v>
      </c>
      <c r="AF499">
        <f t="shared" si="50"/>
        <v>1</v>
      </c>
      <c r="AG499">
        <f t="shared" si="47"/>
        <v>12</v>
      </c>
      <c r="AH499">
        <f t="shared" ca="1" si="48"/>
        <v>0</v>
      </c>
      <c r="AI499">
        <f>IF(ROW($AA499) - $AA$51 &lt; ($H$16+1)^5, IF(AG499 &gt;= BaseBonus!$C$16, AG499*BaseBonus!$E$31, 0), "")</f>
        <v>11.268642975510955</v>
      </c>
      <c r="AJ499">
        <f t="shared" ca="1" si="49"/>
        <v>0</v>
      </c>
    </row>
    <row r="500" spans="28:36" x14ac:dyDescent="0.3">
      <c r="AB500">
        <f t="shared" si="50"/>
        <v>0</v>
      </c>
      <c r="AC500">
        <f t="shared" si="50"/>
        <v>0</v>
      </c>
      <c r="AD500">
        <f t="shared" si="50"/>
        <v>0</v>
      </c>
      <c r="AE500">
        <f t="shared" si="50"/>
        <v>3</v>
      </c>
      <c r="AF500">
        <f t="shared" si="50"/>
        <v>1</v>
      </c>
      <c r="AG500">
        <f t="shared" ref="AG500:AG563" si="51">IF(ROW($AA500) - $AA$51 &lt; ($H$16+1)^5, SUM(AB500:AF500), "")</f>
        <v>4</v>
      </c>
      <c r="AH500">
        <f t="shared" ref="AH500:AH563" ca="1" si="52">IF(ROW($AA500) - $AA$51 &lt; (4)^5,
    (_xlfn.XLOOKUP(AB500,$T$51:$T$55,U$51:U$55,0)/U$27) * (_xlfn.XLOOKUP(AC500,$T$51:$T$55,V$51:V$55,0)/V$27) * (_xlfn.XLOOKUP(AD500,$T$51:$T$55,W$51:W$55,0)/W$27) * (_xlfn.XLOOKUP(AE500,$T$51:$T$55,X$51:X$55,0)/X$27) * (_xlfn.XLOOKUP(AF500,$T$51:$T$55,Y$51:Y$55,0)/Y$27),
"")</f>
        <v>0</v>
      </c>
      <c r="AI500">
        <f>IF(ROW($AA500) - $AA$51 &lt; ($H$16+1)^5, IF(AG500 &gt;= BaseBonus!$C$16, AG500*BaseBonus!$E$31, 0), "")</f>
        <v>0</v>
      </c>
      <c r="AJ500">
        <f t="shared" ref="AJ500:AJ563" ca="1" si="53">IF(ROW($AA500) - $AA$51 &lt; ($H$16+1)^5, AH500*AI500, "")</f>
        <v>0</v>
      </c>
    </row>
    <row r="501" spans="28:36" x14ac:dyDescent="0.3">
      <c r="AB501">
        <f t="shared" si="50"/>
        <v>1</v>
      </c>
      <c r="AC501">
        <f t="shared" si="50"/>
        <v>0</v>
      </c>
      <c r="AD501">
        <f t="shared" si="50"/>
        <v>0</v>
      </c>
      <c r="AE501">
        <f t="shared" si="50"/>
        <v>3</v>
      </c>
      <c r="AF501">
        <f t="shared" si="50"/>
        <v>1</v>
      </c>
      <c r="AG501">
        <f t="shared" si="51"/>
        <v>5</v>
      </c>
      <c r="AH501">
        <f t="shared" ca="1" si="52"/>
        <v>0</v>
      </c>
      <c r="AI501">
        <f>IF(ROW($AA501) - $AA$51 &lt; ($H$16+1)^5, IF(AG501 &gt;= BaseBonus!$C$16, AG501*BaseBonus!$E$31, 0), "")</f>
        <v>4.6952679064628979</v>
      </c>
      <c r="AJ501">
        <f t="shared" ca="1" si="53"/>
        <v>0</v>
      </c>
    </row>
    <row r="502" spans="28:36" x14ac:dyDescent="0.3">
      <c r="AB502">
        <f t="shared" si="50"/>
        <v>2</v>
      </c>
      <c r="AC502">
        <f t="shared" si="50"/>
        <v>0</v>
      </c>
      <c r="AD502">
        <f t="shared" si="50"/>
        <v>0</v>
      </c>
      <c r="AE502">
        <f t="shared" si="50"/>
        <v>3</v>
      </c>
      <c r="AF502">
        <f t="shared" si="50"/>
        <v>1</v>
      </c>
      <c r="AG502">
        <f t="shared" si="51"/>
        <v>6</v>
      </c>
      <c r="AH502">
        <f t="shared" ca="1" si="52"/>
        <v>0</v>
      </c>
      <c r="AI502">
        <f>IF(ROW($AA502) - $AA$51 &lt; ($H$16+1)^5, IF(AG502 &gt;= BaseBonus!$C$16, AG502*BaseBonus!$E$31, 0), "")</f>
        <v>5.6343214877554777</v>
      </c>
      <c r="AJ502">
        <f t="shared" ca="1" si="53"/>
        <v>0</v>
      </c>
    </row>
    <row r="503" spans="28:36" x14ac:dyDescent="0.3">
      <c r="AB503">
        <f t="shared" si="50"/>
        <v>3</v>
      </c>
      <c r="AC503">
        <f t="shared" si="50"/>
        <v>0</v>
      </c>
      <c r="AD503">
        <f t="shared" si="50"/>
        <v>0</v>
      </c>
      <c r="AE503">
        <f t="shared" si="50"/>
        <v>3</v>
      </c>
      <c r="AF503">
        <f t="shared" si="50"/>
        <v>1</v>
      </c>
      <c r="AG503">
        <f t="shared" si="51"/>
        <v>7</v>
      </c>
      <c r="AH503">
        <f t="shared" ca="1" si="52"/>
        <v>0</v>
      </c>
      <c r="AI503">
        <f>IF(ROW($AA503) - $AA$51 &lt; ($H$16+1)^5, IF(AG503 &gt;= BaseBonus!$C$16, AG503*BaseBonus!$E$31, 0), "")</f>
        <v>6.5733750690480575</v>
      </c>
      <c r="AJ503">
        <f t="shared" ca="1" si="53"/>
        <v>0</v>
      </c>
    </row>
    <row r="504" spans="28:36" x14ac:dyDescent="0.3">
      <c r="AB504">
        <f t="shared" si="50"/>
        <v>0</v>
      </c>
      <c r="AC504">
        <f t="shared" si="50"/>
        <v>1</v>
      </c>
      <c r="AD504">
        <f t="shared" si="50"/>
        <v>0</v>
      </c>
      <c r="AE504">
        <f t="shared" si="50"/>
        <v>3</v>
      </c>
      <c r="AF504">
        <f t="shared" si="50"/>
        <v>1</v>
      </c>
      <c r="AG504">
        <f t="shared" si="51"/>
        <v>5</v>
      </c>
      <c r="AH504">
        <f t="shared" ca="1" si="52"/>
        <v>0</v>
      </c>
      <c r="AI504">
        <f>IF(ROW($AA504) - $AA$51 &lt; ($H$16+1)^5, IF(AG504 &gt;= BaseBonus!$C$16, AG504*BaseBonus!$E$31, 0), "")</f>
        <v>4.6952679064628979</v>
      </c>
      <c r="AJ504">
        <f t="shared" ca="1" si="53"/>
        <v>0</v>
      </c>
    </row>
    <row r="505" spans="28:36" x14ac:dyDescent="0.3">
      <c r="AB505">
        <f t="shared" si="50"/>
        <v>1</v>
      </c>
      <c r="AC505">
        <f t="shared" si="50"/>
        <v>1</v>
      </c>
      <c r="AD505">
        <f t="shared" si="50"/>
        <v>0</v>
      </c>
      <c r="AE505">
        <f t="shared" si="50"/>
        <v>3</v>
      </c>
      <c r="AF505">
        <f t="shared" si="50"/>
        <v>1</v>
      </c>
      <c r="AG505">
        <f t="shared" si="51"/>
        <v>6</v>
      </c>
      <c r="AH505">
        <f t="shared" ca="1" si="52"/>
        <v>0</v>
      </c>
      <c r="AI505">
        <f>IF(ROW($AA505) - $AA$51 &lt; ($H$16+1)^5, IF(AG505 &gt;= BaseBonus!$C$16, AG505*BaseBonus!$E$31, 0), "")</f>
        <v>5.6343214877554777</v>
      </c>
      <c r="AJ505">
        <f t="shared" ca="1" si="53"/>
        <v>0</v>
      </c>
    </row>
    <row r="506" spans="28:36" x14ac:dyDescent="0.3">
      <c r="AB506">
        <f t="shared" si="50"/>
        <v>2</v>
      </c>
      <c r="AC506">
        <f t="shared" si="50"/>
        <v>1</v>
      </c>
      <c r="AD506">
        <f t="shared" si="50"/>
        <v>0</v>
      </c>
      <c r="AE506">
        <f t="shared" si="50"/>
        <v>3</v>
      </c>
      <c r="AF506">
        <f t="shared" si="50"/>
        <v>1</v>
      </c>
      <c r="AG506">
        <f t="shared" si="51"/>
        <v>7</v>
      </c>
      <c r="AH506">
        <f t="shared" ca="1" si="52"/>
        <v>0</v>
      </c>
      <c r="AI506">
        <f>IF(ROW($AA506) - $AA$51 &lt; ($H$16+1)^5, IF(AG506 &gt;= BaseBonus!$C$16, AG506*BaseBonus!$E$31, 0), "")</f>
        <v>6.5733750690480575</v>
      </c>
      <c r="AJ506">
        <f t="shared" ca="1" si="53"/>
        <v>0</v>
      </c>
    </row>
    <row r="507" spans="28:36" x14ac:dyDescent="0.3">
      <c r="AB507">
        <f t="shared" si="50"/>
        <v>3</v>
      </c>
      <c r="AC507">
        <f t="shared" si="50"/>
        <v>1</v>
      </c>
      <c r="AD507">
        <f t="shared" si="50"/>
        <v>0</v>
      </c>
      <c r="AE507">
        <f t="shared" si="50"/>
        <v>3</v>
      </c>
      <c r="AF507">
        <f t="shared" si="50"/>
        <v>1</v>
      </c>
      <c r="AG507">
        <f t="shared" si="51"/>
        <v>8</v>
      </c>
      <c r="AH507">
        <f t="shared" ca="1" si="52"/>
        <v>0</v>
      </c>
      <c r="AI507">
        <f>IF(ROW($AA507) - $AA$51 &lt; ($H$16+1)^5, IF(AG507 &gt;= BaseBonus!$C$16, AG507*BaseBonus!$E$31, 0), "")</f>
        <v>7.5124286503406372</v>
      </c>
      <c r="AJ507">
        <f t="shared" ca="1" si="53"/>
        <v>0</v>
      </c>
    </row>
    <row r="508" spans="28:36" x14ac:dyDescent="0.3">
      <c r="AB508">
        <f t="shared" si="50"/>
        <v>0</v>
      </c>
      <c r="AC508">
        <f t="shared" si="50"/>
        <v>2</v>
      </c>
      <c r="AD508">
        <f t="shared" si="50"/>
        <v>0</v>
      </c>
      <c r="AE508">
        <f t="shared" si="50"/>
        <v>3</v>
      </c>
      <c r="AF508">
        <f t="shared" si="50"/>
        <v>1</v>
      </c>
      <c r="AG508">
        <f t="shared" si="51"/>
        <v>6</v>
      </c>
      <c r="AH508">
        <f t="shared" ca="1" si="52"/>
        <v>0</v>
      </c>
      <c r="AI508">
        <f>IF(ROW($AA508) - $AA$51 &lt; ($H$16+1)^5, IF(AG508 &gt;= BaseBonus!$C$16, AG508*BaseBonus!$E$31, 0), "")</f>
        <v>5.6343214877554777</v>
      </c>
      <c r="AJ508">
        <f t="shared" ca="1" si="53"/>
        <v>0</v>
      </c>
    </row>
    <row r="509" spans="28:36" x14ac:dyDescent="0.3">
      <c r="AB509">
        <f t="shared" si="50"/>
        <v>1</v>
      </c>
      <c r="AC509">
        <f t="shared" si="50"/>
        <v>2</v>
      </c>
      <c r="AD509">
        <f t="shared" si="50"/>
        <v>0</v>
      </c>
      <c r="AE509">
        <f t="shared" si="50"/>
        <v>3</v>
      </c>
      <c r="AF509">
        <f t="shared" si="50"/>
        <v>1</v>
      </c>
      <c r="AG509">
        <f t="shared" si="51"/>
        <v>7</v>
      </c>
      <c r="AH509">
        <f t="shared" ca="1" si="52"/>
        <v>0</v>
      </c>
      <c r="AI509">
        <f>IF(ROW($AA509) - $AA$51 &lt; ($H$16+1)^5, IF(AG509 &gt;= BaseBonus!$C$16, AG509*BaseBonus!$E$31, 0), "")</f>
        <v>6.5733750690480575</v>
      </c>
      <c r="AJ509">
        <f t="shared" ca="1" si="53"/>
        <v>0</v>
      </c>
    </row>
    <row r="510" spans="28:36" x14ac:dyDescent="0.3">
      <c r="AB510">
        <f t="shared" si="50"/>
        <v>2</v>
      </c>
      <c r="AC510">
        <f t="shared" si="50"/>
        <v>2</v>
      </c>
      <c r="AD510">
        <f t="shared" si="50"/>
        <v>0</v>
      </c>
      <c r="AE510">
        <f t="shared" si="50"/>
        <v>3</v>
      </c>
      <c r="AF510">
        <f t="shared" si="50"/>
        <v>1</v>
      </c>
      <c r="AG510">
        <f t="shared" si="51"/>
        <v>8</v>
      </c>
      <c r="AH510">
        <f t="shared" ca="1" si="52"/>
        <v>0</v>
      </c>
      <c r="AI510">
        <f>IF(ROW($AA510) - $AA$51 &lt; ($H$16+1)^5, IF(AG510 &gt;= BaseBonus!$C$16, AG510*BaseBonus!$E$31, 0), "")</f>
        <v>7.5124286503406372</v>
      </c>
      <c r="AJ510">
        <f t="shared" ca="1" si="53"/>
        <v>0</v>
      </c>
    </row>
    <row r="511" spans="28:36" x14ac:dyDescent="0.3">
      <c r="AB511">
        <f t="shared" ref="AB511:AF561" si="54">IF(ROW()-$AA$51 &lt; (H$16+1)^5, MOD(_xlfn.FLOOR.MATH((ROW()-$AA$51)/AB$50), H$16+1), "")</f>
        <v>3</v>
      </c>
      <c r="AC511">
        <f t="shared" si="54"/>
        <v>2</v>
      </c>
      <c r="AD511">
        <f t="shared" si="54"/>
        <v>0</v>
      </c>
      <c r="AE511">
        <f t="shared" si="54"/>
        <v>3</v>
      </c>
      <c r="AF511">
        <f t="shared" si="54"/>
        <v>1</v>
      </c>
      <c r="AG511">
        <f t="shared" si="51"/>
        <v>9</v>
      </c>
      <c r="AH511">
        <f t="shared" ca="1" si="52"/>
        <v>0</v>
      </c>
      <c r="AI511">
        <f>IF(ROW($AA511) - $AA$51 &lt; ($H$16+1)^5, IF(AG511 &gt;= BaseBonus!$C$16, AG511*BaseBonus!$E$31, 0), "")</f>
        <v>8.4514822316332161</v>
      </c>
      <c r="AJ511">
        <f t="shared" ca="1" si="53"/>
        <v>0</v>
      </c>
    </row>
    <row r="512" spans="28:36" x14ac:dyDescent="0.3">
      <c r="AB512">
        <f t="shared" si="54"/>
        <v>0</v>
      </c>
      <c r="AC512">
        <f t="shared" si="54"/>
        <v>3</v>
      </c>
      <c r="AD512">
        <f t="shared" si="54"/>
        <v>0</v>
      </c>
      <c r="AE512">
        <f t="shared" si="54"/>
        <v>3</v>
      </c>
      <c r="AF512">
        <f t="shared" si="54"/>
        <v>1</v>
      </c>
      <c r="AG512">
        <f t="shared" si="51"/>
        <v>7</v>
      </c>
      <c r="AH512">
        <f t="shared" ca="1" si="52"/>
        <v>0</v>
      </c>
      <c r="AI512">
        <f>IF(ROW($AA512) - $AA$51 &lt; ($H$16+1)^5, IF(AG512 &gt;= BaseBonus!$C$16, AG512*BaseBonus!$E$31, 0), "")</f>
        <v>6.5733750690480575</v>
      </c>
      <c r="AJ512">
        <f t="shared" ca="1" si="53"/>
        <v>0</v>
      </c>
    </row>
    <row r="513" spans="28:36" x14ac:dyDescent="0.3">
      <c r="AB513">
        <f t="shared" si="54"/>
        <v>1</v>
      </c>
      <c r="AC513">
        <f t="shared" si="54"/>
        <v>3</v>
      </c>
      <c r="AD513">
        <f t="shared" si="54"/>
        <v>0</v>
      </c>
      <c r="AE513">
        <f t="shared" si="54"/>
        <v>3</v>
      </c>
      <c r="AF513">
        <f t="shared" si="54"/>
        <v>1</v>
      </c>
      <c r="AG513">
        <f t="shared" si="51"/>
        <v>8</v>
      </c>
      <c r="AH513">
        <f t="shared" ca="1" si="52"/>
        <v>0</v>
      </c>
      <c r="AI513">
        <f>IF(ROW($AA513) - $AA$51 &lt; ($H$16+1)^5, IF(AG513 &gt;= BaseBonus!$C$16, AG513*BaseBonus!$E$31, 0), "")</f>
        <v>7.5124286503406372</v>
      </c>
      <c r="AJ513">
        <f t="shared" ca="1" si="53"/>
        <v>0</v>
      </c>
    </row>
    <row r="514" spans="28:36" x14ac:dyDescent="0.3">
      <c r="AB514">
        <f t="shared" si="54"/>
        <v>2</v>
      </c>
      <c r="AC514">
        <f t="shared" si="54"/>
        <v>3</v>
      </c>
      <c r="AD514">
        <f t="shared" si="54"/>
        <v>0</v>
      </c>
      <c r="AE514">
        <f t="shared" si="54"/>
        <v>3</v>
      </c>
      <c r="AF514">
        <f t="shared" si="54"/>
        <v>1</v>
      </c>
      <c r="AG514">
        <f t="shared" si="51"/>
        <v>9</v>
      </c>
      <c r="AH514">
        <f t="shared" ca="1" si="52"/>
        <v>0</v>
      </c>
      <c r="AI514">
        <f>IF(ROW($AA514) - $AA$51 &lt; ($H$16+1)^5, IF(AG514 &gt;= BaseBonus!$C$16, AG514*BaseBonus!$E$31, 0), "")</f>
        <v>8.4514822316332161</v>
      </c>
      <c r="AJ514">
        <f t="shared" ca="1" si="53"/>
        <v>0</v>
      </c>
    </row>
    <row r="515" spans="28:36" x14ac:dyDescent="0.3">
      <c r="AB515">
        <f t="shared" si="54"/>
        <v>3</v>
      </c>
      <c r="AC515">
        <f t="shared" si="54"/>
        <v>3</v>
      </c>
      <c r="AD515">
        <f t="shared" si="54"/>
        <v>0</v>
      </c>
      <c r="AE515">
        <f t="shared" si="54"/>
        <v>3</v>
      </c>
      <c r="AF515">
        <f t="shared" si="54"/>
        <v>1</v>
      </c>
      <c r="AG515">
        <f t="shared" si="51"/>
        <v>10</v>
      </c>
      <c r="AH515">
        <f t="shared" ca="1" si="52"/>
        <v>0</v>
      </c>
      <c r="AI515">
        <f>IF(ROW($AA515) - $AA$51 &lt; ($H$16+1)^5, IF(AG515 &gt;= BaseBonus!$C$16, AG515*BaseBonus!$E$31, 0), "")</f>
        <v>9.3905358129257959</v>
      </c>
      <c r="AJ515">
        <f t="shared" ca="1" si="53"/>
        <v>0</v>
      </c>
    </row>
    <row r="516" spans="28:36" x14ac:dyDescent="0.3">
      <c r="AB516">
        <f t="shared" si="54"/>
        <v>0</v>
      </c>
      <c r="AC516">
        <f t="shared" si="54"/>
        <v>0</v>
      </c>
      <c r="AD516">
        <f t="shared" si="54"/>
        <v>1</v>
      </c>
      <c r="AE516">
        <f t="shared" si="54"/>
        <v>3</v>
      </c>
      <c r="AF516">
        <f t="shared" si="54"/>
        <v>1</v>
      </c>
      <c r="AG516">
        <f t="shared" si="51"/>
        <v>5</v>
      </c>
      <c r="AH516">
        <f t="shared" ca="1" si="52"/>
        <v>0</v>
      </c>
      <c r="AI516">
        <f>IF(ROW($AA516) - $AA$51 &lt; ($H$16+1)^5, IF(AG516 &gt;= BaseBonus!$C$16, AG516*BaseBonus!$E$31, 0), "")</f>
        <v>4.6952679064628979</v>
      </c>
      <c r="AJ516">
        <f t="shared" ca="1" si="53"/>
        <v>0</v>
      </c>
    </row>
    <row r="517" spans="28:36" x14ac:dyDescent="0.3">
      <c r="AB517">
        <f t="shared" si="54"/>
        <v>1</v>
      </c>
      <c r="AC517">
        <f t="shared" si="54"/>
        <v>0</v>
      </c>
      <c r="AD517">
        <f t="shared" si="54"/>
        <v>1</v>
      </c>
      <c r="AE517">
        <f t="shared" si="54"/>
        <v>3</v>
      </c>
      <c r="AF517">
        <f t="shared" si="54"/>
        <v>1</v>
      </c>
      <c r="AG517">
        <f t="shared" si="51"/>
        <v>6</v>
      </c>
      <c r="AH517">
        <f t="shared" ca="1" si="52"/>
        <v>0</v>
      </c>
      <c r="AI517">
        <f>IF(ROW($AA517) - $AA$51 &lt; ($H$16+1)^5, IF(AG517 &gt;= BaseBonus!$C$16, AG517*BaseBonus!$E$31, 0), "")</f>
        <v>5.6343214877554777</v>
      </c>
      <c r="AJ517">
        <f t="shared" ca="1" si="53"/>
        <v>0</v>
      </c>
    </row>
    <row r="518" spans="28:36" x14ac:dyDescent="0.3">
      <c r="AB518">
        <f t="shared" si="54"/>
        <v>2</v>
      </c>
      <c r="AC518">
        <f t="shared" si="54"/>
        <v>0</v>
      </c>
      <c r="AD518">
        <f t="shared" si="54"/>
        <v>1</v>
      </c>
      <c r="AE518">
        <f t="shared" si="54"/>
        <v>3</v>
      </c>
      <c r="AF518">
        <f t="shared" si="54"/>
        <v>1</v>
      </c>
      <c r="AG518">
        <f t="shared" si="51"/>
        <v>7</v>
      </c>
      <c r="AH518">
        <f t="shared" ca="1" si="52"/>
        <v>0</v>
      </c>
      <c r="AI518">
        <f>IF(ROW($AA518) - $AA$51 &lt; ($H$16+1)^5, IF(AG518 &gt;= BaseBonus!$C$16, AG518*BaseBonus!$E$31, 0), "")</f>
        <v>6.5733750690480575</v>
      </c>
      <c r="AJ518">
        <f t="shared" ca="1" si="53"/>
        <v>0</v>
      </c>
    </row>
    <row r="519" spans="28:36" x14ac:dyDescent="0.3">
      <c r="AB519">
        <f t="shared" si="54"/>
        <v>3</v>
      </c>
      <c r="AC519">
        <f t="shared" si="54"/>
        <v>0</v>
      </c>
      <c r="AD519">
        <f t="shared" si="54"/>
        <v>1</v>
      </c>
      <c r="AE519">
        <f t="shared" si="54"/>
        <v>3</v>
      </c>
      <c r="AF519">
        <f t="shared" si="54"/>
        <v>1</v>
      </c>
      <c r="AG519">
        <f t="shared" si="51"/>
        <v>8</v>
      </c>
      <c r="AH519">
        <f t="shared" ca="1" si="52"/>
        <v>0</v>
      </c>
      <c r="AI519">
        <f>IF(ROW($AA519) - $AA$51 &lt; ($H$16+1)^5, IF(AG519 &gt;= BaseBonus!$C$16, AG519*BaseBonus!$E$31, 0), "")</f>
        <v>7.5124286503406372</v>
      </c>
      <c r="AJ519">
        <f t="shared" ca="1" si="53"/>
        <v>0</v>
      </c>
    </row>
    <row r="520" spans="28:36" x14ac:dyDescent="0.3">
      <c r="AB520">
        <f t="shared" si="54"/>
        <v>0</v>
      </c>
      <c r="AC520">
        <f t="shared" si="54"/>
        <v>1</v>
      </c>
      <c r="AD520">
        <f t="shared" si="54"/>
        <v>1</v>
      </c>
      <c r="AE520">
        <f t="shared" si="54"/>
        <v>3</v>
      </c>
      <c r="AF520">
        <f t="shared" si="54"/>
        <v>1</v>
      </c>
      <c r="AG520">
        <f t="shared" si="51"/>
        <v>6</v>
      </c>
      <c r="AH520">
        <f t="shared" ca="1" si="52"/>
        <v>0</v>
      </c>
      <c r="AI520">
        <f>IF(ROW($AA520) - $AA$51 &lt; ($H$16+1)^5, IF(AG520 &gt;= BaseBonus!$C$16, AG520*BaseBonus!$E$31, 0), "")</f>
        <v>5.6343214877554777</v>
      </c>
      <c r="AJ520">
        <f t="shared" ca="1" si="53"/>
        <v>0</v>
      </c>
    </row>
    <row r="521" spans="28:36" x14ac:dyDescent="0.3">
      <c r="AB521">
        <f t="shared" si="54"/>
        <v>1</v>
      </c>
      <c r="AC521">
        <f t="shared" si="54"/>
        <v>1</v>
      </c>
      <c r="AD521">
        <f t="shared" si="54"/>
        <v>1</v>
      </c>
      <c r="AE521">
        <f t="shared" si="54"/>
        <v>3</v>
      </c>
      <c r="AF521">
        <f t="shared" si="54"/>
        <v>1</v>
      </c>
      <c r="AG521">
        <f t="shared" si="51"/>
        <v>7</v>
      </c>
      <c r="AH521">
        <f t="shared" ca="1" si="52"/>
        <v>0</v>
      </c>
      <c r="AI521">
        <f>IF(ROW($AA521) - $AA$51 &lt; ($H$16+1)^5, IF(AG521 &gt;= BaseBonus!$C$16, AG521*BaseBonus!$E$31, 0), "")</f>
        <v>6.5733750690480575</v>
      </c>
      <c r="AJ521">
        <f t="shared" ca="1" si="53"/>
        <v>0</v>
      </c>
    </row>
    <row r="522" spans="28:36" x14ac:dyDescent="0.3">
      <c r="AB522">
        <f t="shared" si="54"/>
        <v>2</v>
      </c>
      <c r="AC522">
        <f t="shared" si="54"/>
        <v>1</v>
      </c>
      <c r="AD522">
        <f t="shared" si="54"/>
        <v>1</v>
      </c>
      <c r="AE522">
        <f t="shared" si="54"/>
        <v>3</v>
      </c>
      <c r="AF522">
        <f t="shared" si="54"/>
        <v>1</v>
      </c>
      <c r="AG522">
        <f t="shared" si="51"/>
        <v>8</v>
      </c>
      <c r="AH522">
        <f t="shared" ca="1" si="52"/>
        <v>0</v>
      </c>
      <c r="AI522">
        <f>IF(ROW($AA522) - $AA$51 &lt; ($H$16+1)^5, IF(AG522 &gt;= BaseBonus!$C$16, AG522*BaseBonus!$E$31, 0), "")</f>
        <v>7.5124286503406372</v>
      </c>
      <c r="AJ522">
        <f t="shared" ca="1" si="53"/>
        <v>0</v>
      </c>
    </row>
    <row r="523" spans="28:36" x14ac:dyDescent="0.3">
      <c r="AB523">
        <f t="shared" si="54"/>
        <v>3</v>
      </c>
      <c r="AC523">
        <f t="shared" si="54"/>
        <v>1</v>
      </c>
      <c r="AD523">
        <f t="shared" si="54"/>
        <v>1</v>
      </c>
      <c r="AE523">
        <f t="shared" si="54"/>
        <v>3</v>
      </c>
      <c r="AF523">
        <f t="shared" si="54"/>
        <v>1</v>
      </c>
      <c r="AG523">
        <f t="shared" si="51"/>
        <v>9</v>
      </c>
      <c r="AH523">
        <f t="shared" ca="1" si="52"/>
        <v>0</v>
      </c>
      <c r="AI523">
        <f>IF(ROW($AA523) - $AA$51 &lt; ($H$16+1)^5, IF(AG523 &gt;= BaseBonus!$C$16, AG523*BaseBonus!$E$31, 0), "")</f>
        <v>8.4514822316332161</v>
      </c>
      <c r="AJ523">
        <f t="shared" ca="1" si="53"/>
        <v>0</v>
      </c>
    </row>
    <row r="524" spans="28:36" x14ac:dyDescent="0.3">
      <c r="AB524">
        <f t="shared" si="54"/>
        <v>0</v>
      </c>
      <c r="AC524">
        <f t="shared" si="54"/>
        <v>2</v>
      </c>
      <c r="AD524">
        <f t="shared" si="54"/>
        <v>1</v>
      </c>
      <c r="AE524">
        <f t="shared" si="54"/>
        <v>3</v>
      </c>
      <c r="AF524">
        <f t="shared" si="54"/>
        <v>1</v>
      </c>
      <c r="AG524">
        <f t="shared" si="51"/>
        <v>7</v>
      </c>
      <c r="AH524">
        <f t="shared" ca="1" si="52"/>
        <v>0</v>
      </c>
      <c r="AI524">
        <f>IF(ROW($AA524) - $AA$51 &lt; ($H$16+1)^5, IF(AG524 &gt;= BaseBonus!$C$16, AG524*BaseBonus!$E$31, 0), "")</f>
        <v>6.5733750690480575</v>
      </c>
      <c r="AJ524">
        <f t="shared" ca="1" si="53"/>
        <v>0</v>
      </c>
    </row>
    <row r="525" spans="28:36" x14ac:dyDescent="0.3">
      <c r="AB525">
        <f t="shared" si="54"/>
        <v>1</v>
      </c>
      <c r="AC525">
        <f t="shared" si="54"/>
        <v>2</v>
      </c>
      <c r="AD525">
        <f t="shared" si="54"/>
        <v>1</v>
      </c>
      <c r="AE525">
        <f t="shared" si="54"/>
        <v>3</v>
      </c>
      <c r="AF525">
        <f t="shared" si="54"/>
        <v>1</v>
      </c>
      <c r="AG525">
        <f t="shared" si="51"/>
        <v>8</v>
      </c>
      <c r="AH525">
        <f t="shared" ca="1" si="52"/>
        <v>0</v>
      </c>
      <c r="AI525">
        <f>IF(ROW($AA525) - $AA$51 &lt; ($H$16+1)^5, IF(AG525 &gt;= BaseBonus!$C$16, AG525*BaseBonus!$E$31, 0), "")</f>
        <v>7.5124286503406372</v>
      </c>
      <c r="AJ525">
        <f t="shared" ca="1" si="53"/>
        <v>0</v>
      </c>
    </row>
    <row r="526" spans="28:36" x14ac:dyDescent="0.3">
      <c r="AB526">
        <f t="shared" si="54"/>
        <v>2</v>
      </c>
      <c r="AC526">
        <f t="shared" si="54"/>
        <v>2</v>
      </c>
      <c r="AD526">
        <f t="shared" si="54"/>
        <v>1</v>
      </c>
      <c r="AE526">
        <f t="shared" si="54"/>
        <v>3</v>
      </c>
      <c r="AF526">
        <f t="shared" si="54"/>
        <v>1</v>
      </c>
      <c r="AG526">
        <f t="shared" si="51"/>
        <v>9</v>
      </c>
      <c r="AH526">
        <f t="shared" ca="1" si="52"/>
        <v>0</v>
      </c>
      <c r="AI526">
        <f>IF(ROW($AA526) - $AA$51 &lt; ($H$16+1)^5, IF(AG526 &gt;= BaseBonus!$C$16, AG526*BaseBonus!$E$31, 0), "")</f>
        <v>8.4514822316332161</v>
      </c>
      <c r="AJ526">
        <f t="shared" ca="1" si="53"/>
        <v>0</v>
      </c>
    </row>
    <row r="527" spans="28:36" x14ac:dyDescent="0.3">
      <c r="AB527">
        <f t="shared" si="54"/>
        <v>3</v>
      </c>
      <c r="AC527">
        <f t="shared" si="54"/>
        <v>2</v>
      </c>
      <c r="AD527">
        <f t="shared" si="54"/>
        <v>1</v>
      </c>
      <c r="AE527">
        <f t="shared" si="54"/>
        <v>3</v>
      </c>
      <c r="AF527">
        <f t="shared" si="54"/>
        <v>1</v>
      </c>
      <c r="AG527">
        <f t="shared" si="51"/>
        <v>10</v>
      </c>
      <c r="AH527">
        <f t="shared" ca="1" si="52"/>
        <v>0</v>
      </c>
      <c r="AI527">
        <f>IF(ROW($AA527) - $AA$51 &lt; ($H$16+1)^5, IF(AG527 &gt;= BaseBonus!$C$16, AG527*BaseBonus!$E$31, 0), "")</f>
        <v>9.3905358129257959</v>
      </c>
      <c r="AJ527">
        <f t="shared" ca="1" si="53"/>
        <v>0</v>
      </c>
    </row>
    <row r="528" spans="28:36" x14ac:dyDescent="0.3">
      <c r="AB528">
        <f t="shared" si="54"/>
        <v>0</v>
      </c>
      <c r="AC528">
        <f t="shared" si="54"/>
        <v>3</v>
      </c>
      <c r="AD528">
        <f t="shared" si="54"/>
        <v>1</v>
      </c>
      <c r="AE528">
        <f t="shared" si="54"/>
        <v>3</v>
      </c>
      <c r="AF528">
        <f t="shared" si="54"/>
        <v>1</v>
      </c>
      <c r="AG528">
        <f t="shared" si="51"/>
        <v>8</v>
      </c>
      <c r="AH528">
        <f t="shared" ca="1" si="52"/>
        <v>0</v>
      </c>
      <c r="AI528">
        <f>IF(ROW($AA528) - $AA$51 &lt; ($H$16+1)^5, IF(AG528 &gt;= BaseBonus!$C$16, AG528*BaseBonus!$E$31, 0), "")</f>
        <v>7.5124286503406372</v>
      </c>
      <c r="AJ528">
        <f t="shared" ca="1" si="53"/>
        <v>0</v>
      </c>
    </row>
    <row r="529" spans="28:36" x14ac:dyDescent="0.3">
      <c r="AB529">
        <f t="shared" si="54"/>
        <v>1</v>
      </c>
      <c r="AC529">
        <f t="shared" si="54"/>
        <v>3</v>
      </c>
      <c r="AD529">
        <f t="shared" si="54"/>
        <v>1</v>
      </c>
      <c r="AE529">
        <f t="shared" si="54"/>
        <v>3</v>
      </c>
      <c r="AF529">
        <f t="shared" si="54"/>
        <v>1</v>
      </c>
      <c r="AG529">
        <f t="shared" si="51"/>
        <v>9</v>
      </c>
      <c r="AH529">
        <f t="shared" ca="1" si="52"/>
        <v>0</v>
      </c>
      <c r="AI529">
        <f>IF(ROW($AA529) - $AA$51 &lt; ($H$16+1)^5, IF(AG529 &gt;= BaseBonus!$C$16, AG529*BaseBonus!$E$31, 0), "")</f>
        <v>8.4514822316332161</v>
      </c>
      <c r="AJ529">
        <f t="shared" ca="1" si="53"/>
        <v>0</v>
      </c>
    </row>
    <row r="530" spans="28:36" x14ac:dyDescent="0.3">
      <c r="AB530">
        <f t="shared" si="54"/>
        <v>2</v>
      </c>
      <c r="AC530">
        <f t="shared" si="54"/>
        <v>3</v>
      </c>
      <c r="AD530">
        <f t="shared" si="54"/>
        <v>1</v>
      </c>
      <c r="AE530">
        <f t="shared" si="54"/>
        <v>3</v>
      </c>
      <c r="AF530">
        <f t="shared" si="54"/>
        <v>1</v>
      </c>
      <c r="AG530">
        <f t="shared" si="51"/>
        <v>10</v>
      </c>
      <c r="AH530">
        <f t="shared" ca="1" si="52"/>
        <v>0</v>
      </c>
      <c r="AI530">
        <f>IF(ROW($AA530) - $AA$51 &lt; ($H$16+1)^5, IF(AG530 &gt;= BaseBonus!$C$16, AG530*BaseBonus!$E$31, 0), "")</f>
        <v>9.3905358129257959</v>
      </c>
      <c r="AJ530">
        <f t="shared" ca="1" si="53"/>
        <v>0</v>
      </c>
    </row>
    <row r="531" spans="28:36" x14ac:dyDescent="0.3">
      <c r="AB531">
        <f t="shared" si="54"/>
        <v>3</v>
      </c>
      <c r="AC531">
        <f t="shared" si="54"/>
        <v>3</v>
      </c>
      <c r="AD531">
        <f t="shared" si="54"/>
        <v>1</v>
      </c>
      <c r="AE531">
        <f t="shared" si="54"/>
        <v>3</v>
      </c>
      <c r="AF531">
        <f t="shared" si="54"/>
        <v>1</v>
      </c>
      <c r="AG531">
        <f t="shared" si="51"/>
        <v>11</v>
      </c>
      <c r="AH531">
        <f t="shared" ca="1" si="52"/>
        <v>0</v>
      </c>
      <c r="AI531">
        <f>IF(ROW($AA531) - $AA$51 &lt; ($H$16+1)^5, IF(AG531 &gt;= BaseBonus!$C$16, AG531*BaseBonus!$E$31, 0), "")</f>
        <v>10.329589394218376</v>
      </c>
      <c r="AJ531">
        <f t="shared" ca="1" si="53"/>
        <v>0</v>
      </c>
    </row>
    <row r="532" spans="28:36" x14ac:dyDescent="0.3">
      <c r="AB532">
        <f t="shared" si="54"/>
        <v>0</v>
      </c>
      <c r="AC532">
        <f t="shared" si="54"/>
        <v>0</v>
      </c>
      <c r="AD532">
        <f t="shared" si="54"/>
        <v>2</v>
      </c>
      <c r="AE532">
        <f t="shared" si="54"/>
        <v>3</v>
      </c>
      <c r="AF532">
        <f t="shared" si="54"/>
        <v>1</v>
      </c>
      <c r="AG532">
        <f t="shared" si="51"/>
        <v>6</v>
      </c>
      <c r="AH532">
        <f t="shared" ca="1" si="52"/>
        <v>0</v>
      </c>
      <c r="AI532">
        <f>IF(ROW($AA532) - $AA$51 &lt; ($H$16+1)^5, IF(AG532 &gt;= BaseBonus!$C$16, AG532*BaseBonus!$E$31, 0), "")</f>
        <v>5.6343214877554777</v>
      </c>
      <c r="AJ532">
        <f t="shared" ca="1" si="53"/>
        <v>0</v>
      </c>
    </row>
    <row r="533" spans="28:36" x14ac:dyDescent="0.3">
      <c r="AB533">
        <f t="shared" si="54"/>
        <v>1</v>
      </c>
      <c r="AC533">
        <f t="shared" si="54"/>
        <v>0</v>
      </c>
      <c r="AD533">
        <f t="shared" si="54"/>
        <v>2</v>
      </c>
      <c r="AE533">
        <f t="shared" si="54"/>
        <v>3</v>
      </c>
      <c r="AF533">
        <f t="shared" si="54"/>
        <v>1</v>
      </c>
      <c r="AG533">
        <f t="shared" si="51"/>
        <v>7</v>
      </c>
      <c r="AH533">
        <f t="shared" ca="1" si="52"/>
        <v>0</v>
      </c>
      <c r="AI533">
        <f>IF(ROW($AA533) - $AA$51 &lt; ($H$16+1)^5, IF(AG533 &gt;= BaseBonus!$C$16, AG533*BaseBonus!$E$31, 0), "")</f>
        <v>6.5733750690480575</v>
      </c>
      <c r="AJ533">
        <f t="shared" ca="1" si="53"/>
        <v>0</v>
      </c>
    </row>
    <row r="534" spans="28:36" x14ac:dyDescent="0.3">
      <c r="AB534">
        <f t="shared" si="54"/>
        <v>2</v>
      </c>
      <c r="AC534">
        <f t="shared" si="54"/>
        <v>0</v>
      </c>
      <c r="AD534">
        <f t="shared" si="54"/>
        <v>2</v>
      </c>
      <c r="AE534">
        <f t="shared" si="54"/>
        <v>3</v>
      </c>
      <c r="AF534">
        <f t="shared" si="54"/>
        <v>1</v>
      </c>
      <c r="AG534">
        <f t="shared" si="51"/>
        <v>8</v>
      </c>
      <c r="AH534">
        <f t="shared" ca="1" si="52"/>
        <v>0</v>
      </c>
      <c r="AI534">
        <f>IF(ROW($AA534) - $AA$51 &lt; ($H$16+1)^5, IF(AG534 &gt;= BaseBonus!$C$16, AG534*BaseBonus!$E$31, 0), "")</f>
        <v>7.5124286503406372</v>
      </c>
      <c r="AJ534">
        <f t="shared" ca="1" si="53"/>
        <v>0</v>
      </c>
    </row>
    <row r="535" spans="28:36" x14ac:dyDescent="0.3">
      <c r="AB535">
        <f t="shared" si="54"/>
        <v>3</v>
      </c>
      <c r="AC535">
        <f t="shared" si="54"/>
        <v>0</v>
      </c>
      <c r="AD535">
        <f t="shared" si="54"/>
        <v>2</v>
      </c>
      <c r="AE535">
        <f t="shared" si="54"/>
        <v>3</v>
      </c>
      <c r="AF535">
        <f t="shared" si="54"/>
        <v>1</v>
      </c>
      <c r="AG535">
        <f t="shared" si="51"/>
        <v>9</v>
      </c>
      <c r="AH535">
        <f t="shared" ca="1" si="52"/>
        <v>0</v>
      </c>
      <c r="AI535">
        <f>IF(ROW($AA535) - $AA$51 &lt; ($H$16+1)^5, IF(AG535 &gt;= BaseBonus!$C$16, AG535*BaseBonus!$E$31, 0), "")</f>
        <v>8.4514822316332161</v>
      </c>
      <c r="AJ535">
        <f t="shared" ca="1" si="53"/>
        <v>0</v>
      </c>
    </row>
    <row r="536" spans="28:36" x14ac:dyDescent="0.3">
      <c r="AB536">
        <f t="shared" si="54"/>
        <v>0</v>
      </c>
      <c r="AC536">
        <f t="shared" si="54"/>
        <v>1</v>
      </c>
      <c r="AD536">
        <f t="shared" si="54"/>
        <v>2</v>
      </c>
      <c r="AE536">
        <f t="shared" si="54"/>
        <v>3</v>
      </c>
      <c r="AF536">
        <f t="shared" si="54"/>
        <v>1</v>
      </c>
      <c r="AG536">
        <f t="shared" si="51"/>
        <v>7</v>
      </c>
      <c r="AH536">
        <f t="shared" ca="1" si="52"/>
        <v>0</v>
      </c>
      <c r="AI536">
        <f>IF(ROW($AA536) - $AA$51 &lt; ($H$16+1)^5, IF(AG536 &gt;= BaseBonus!$C$16, AG536*BaseBonus!$E$31, 0), "")</f>
        <v>6.5733750690480575</v>
      </c>
      <c r="AJ536">
        <f t="shared" ca="1" si="53"/>
        <v>0</v>
      </c>
    </row>
    <row r="537" spans="28:36" x14ac:dyDescent="0.3">
      <c r="AB537">
        <f t="shared" si="54"/>
        <v>1</v>
      </c>
      <c r="AC537">
        <f t="shared" si="54"/>
        <v>1</v>
      </c>
      <c r="AD537">
        <f t="shared" si="54"/>
        <v>2</v>
      </c>
      <c r="AE537">
        <f t="shared" si="54"/>
        <v>3</v>
      </c>
      <c r="AF537">
        <f t="shared" si="54"/>
        <v>1</v>
      </c>
      <c r="AG537">
        <f t="shared" si="51"/>
        <v>8</v>
      </c>
      <c r="AH537">
        <f t="shared" ca="1" si="52"/>
        <v>0</v>
      </c>
      <c r="AI537">
        <f>IF(ROW($AA537) - $AA$51 &lt; ($H$16+1)^5, IF(AG537 &gt;= BaseBonus!$C$16, AG537*BaseBonus!$E$31, 0), "")</f>
        <v>7.5124286503406372</v>
      </c>
      <c r="AJ537">
        <f t="shared" ca="1" si="53"/>
        <v>0</v>
      </c>
    </row>
    <row r="538" spans="28:36" x14ac:dyDescent="0.3">
      <c r="AB538">
        <f t="shared" si="54"/>
        <v>2</v>
      </c>
      <c r="AC538">
        <f t="shared" si="54"/>
        <v>1</v>
      </c>
      <c r="AD538">
        <f t="shared" si="54"/>
        <v>2</v>
      </c>
      <c r="AE538">
        <f t="shared" si="54"/>
        <v>3</v>
      </c>
      <c r="AF538">
        <f t="shared" si="54"/>
        <v>1</v>
      </c>
      <c r="AG538">
        <f t="shared" si="51"/>
        <v>9</v>
      </c>
      <c r="AH538">
        <f t="shared" ca="1" si="52"/>
        <v>0</v>
      </c>
      <c r="AI538">
        <f>IF(ROW($AA538) - $AA$51 &lt; ($H$16+1)^5, IF(AG538 &gt;= BaseBonus!$C$16, AG538*BaseBonus!$E$31, 0), "")</f>
        <v>8.4514822316332161</v>
      </c>
      <c r="AJ538">
        <f t="shared" ca="1" si="53"/>
        <v>0</v>
      </c>
    </row>
    <row r="539" spans="28:36" x14ac:dyDescent="0.3">
      <c r="AB539">
        <f t="shared" si="54"/>
        <v>3</v>
      </c>
      <c r="AC539">
        <f t="shared" si="54"/>
        <v>1</v>
      </c>
      <c r="AD539">
        <f t="shared" si="54"/>
        <v>2</v>
      </c>
      <c r="AE539">
        <f t="shared" si="54"/>
        <v>3</v>
      </c>
      <c r="AF539">
        <f t="shared" si="54"/>
        <v>1</v>
      </c>
      <c r="AG539">
        <f t="shared" si="51"/>
        <v>10</v>
      </c>
      <c r="AH539">
        <f t="shared" ca="1" si="52"/>
        <v>0</v>
      </c>
      <c r="AI539">
        <f>IF(ROW($AA539) - $AA$51 &lt; ($H$16+1)^5, IF(AG539 &gt;= BaseBonus!$C$16, AG539*BaseBonus!$E$31, 0), "")</f>
        <v>9.3905358129257959</v>
      </c>
      <c r="AJ539">
        <f t="shared" ca="1" si="53"/>
        <v>0</v>
      </c>
    </row>
    <row r="540" spans="28:36" x14ac:dyDescent="0.3">
      <c r="AB540">
        <f t="shared" si="54"/>
        <v>0</v>
      </c>
      <c r="AC540">
        <f t="shared" si="54"/>
        <v>2</v>
      </c>
      <c r="AD540">
        <f t="shared" si="54"/>
        <v>2</v>
      </c>
      <c r="AE540">
        <f t="shared" si="54"/>
        <v>3</v>
      </c>
      <c r="AF540">
        <f t="shared" si="54"/>
        <v>1</v>
      </c>
      <c r="AG540">
        <f t="shared" si="51"/>
        <v>8</v>
      </c>
      <c r="AH540">
        <f t="shared" ca="1" si="52"/>
        <v>0</v>
      </c>
      <c r="AI540">
        <f>IF(ROW($AA540) - $AA$51 &lt; ($H$16+1)^5, IF(AG540 &gt;= BaseBonus!$C$16, AG540*BaseBonus!$E$31, 0), "")</f>
        <v>7.5124286503406372</v>
      </c>
      <c r="AJ540">
        <f t="shared" ca="1" si="53"/>
        <v>0</v>
      </c>
    </row>
    <row r="541" spans="28:36" x14ac:dyDescent="0.3">
      <c r="AB541">
        <f t="shared" si="54"/>
        <v>1</v>
      </c>
      <c r="AC541">
        <f t="shared" si="54"/>
        <v>2</v>
      </c>
      <c r="AD541">
        <f t="shared" si="54"/>
        <v>2</v>
      </c>
      <c r="AE541">
        <f t="shared" si="54"/>
        <v>3</v>
      </c>
      <c r="AF541">
        <f t="shared" si="54"/>
        <v>1</v>
      </c>
      <c r="AG541">
        <f t="shared" si="51"/>
        <v>9</v>
      </c>
      <c r="AH541">
        <f t="shared" ca="1" si="52"/>
        <v>0</v>
      </c>
      <c r="AI541">
        <f>IF(ROW($AA541) - $AA$51 &lt; ($H$16+1)^5, IF(AG541 &gt;= BaseBonus!$C$16, AG541*BaseBonus!$E$31, 0), "")</f>
        <v>8.4514822316332161</v>
      </c>
      <c r="AJ541">
        <f t="shared" ca="1" si="53"/>
        <v>0</v>
      </c>
    </row>
    <row r="542" spans="28:36" x14ac:dyDescent="0.3">
      <c r="AB542">
        <f t="shared" si="54"/>
        <v>2</v>
      </c>
      <c r="AC542">
        <f t="shared" si="54"/>
        <v>2</v>
      </c>
      <c r="AD542">
        <f t="shared" si="54"/>
        <v>2</v>
      </c>
      <c r="AE542">
        <f t="shared" si="54"/>
        <v>3</v>
      </c>
      <c r="AF542">
        <f t="shared" si="54"/>
        <v>1</v>
      </c>
      <c r="AG542">
        <f t="shared" si="51"/>
        <v>10</v>
      </c>
      <c r="AH542">
        <f t="shared" ca="1" si="52"/>
        <v>0</v>
      </c>
      <c r="AI542">
        <f>IF(ROW($AA542) - $AA$51 &lt; ($H$16+1)^5, IF(AG542 &gt;= BaseBonus!$C$16, AG542*BaseBonus!$E$31, 0), "")</f>
        <v>9.3905358129257959</v>
      </c>
      <c r="AJ542">
        <f t="shared" ca="1" si="53"/>
        <v>0</v>
      </c>
    </row>
    <row r="543" spans="28:36" x14ac:dyDescent="0.3">
      <c r="AB543">
        <f t="shared" si="54"/>
        <v>3</v>
      </c>
      <c r="AC543">
        <f t="shared" si="54"/>
        <v>2</v>
      </c>
      <c r="AD543">
        <f t="shared" si="54"/>
        <v>2</v>
      </c>
      <c r="AE543">
        <f t="shared" si="54"/>
        <v>3</v>
      </c>
      <c r="AF543">
        <f t="shared" si="54"/>
        <v>1</v>
      </c>
      <c r="AG543">
        <f t="shared" si="51"/>
        <v>11</v>
      </c>
      <c r="AH543">
        <f t="shared" ca="1" si="52"/>
        <v>0</v>
      </c>
      <c r="AI543">
        <f>IF(ROW($AA543) - $AA$51 &lt; ($H$16+1)^5, IF(AG543 &gt;= BaseBonus!$C$16, AG543*BaseBonus!$E$31, 0), "")</f>
        <v>10.329589394218376</v>
      </c>
      <c r="AJ543">
        <f t="shared" ca="1" si="53"/>
        <v>0</v>
      </c>
    </row>
    <row r="544" spans="28:36" x14ac:dyDescent="0.3">
      <c r="AB544">
        <f t="shared" si="54"/>
        <v>0</v>
      </c>
      <c r="AC544">
        <f t="shared" si="54"/>
        <v>3</v>
      </c>
      <c r="AD544">
        <f t="shared" si="54"/>
        <v>2</v>
      </c>
      <c r="AE544">
        <f t="shared" si="54"/>
        <v>3</v>
      </c>
      <c r="AF544">
        <f t="shared" si="54"/>
        <v>1</v>
      </c>
      <c r="AG544">
        <f t="shared" si="51"/>
        <v>9</v>
      </c>
      <c r="AH544">
        <f t="shared" ca="1" si="52"/>
        <v>0</v>
      </c>
      <c r="AI544">
        <f>IF(ROW($AA544) - $AA$51 &lt; ($H$16+1)^5, IF(AG544 &gt;= BaseBonus!$C$16, AG544*BaseBonus!$E$31, 0), "")</f>
        <v>8.4514822316332161</v>
      </c>
      <c r="AJ544">
        <f t="shared" ca="1" si="53"/>
        <v>0</v>
      </c>
    </row>
    <row r="545" spans="28:36" x14ac:dyDescent="0.3">
      <c r="AB545">
        <f t="shared" si="54"/>
        <v>1</v>
      </c>
      <c r="AC545">
        <f t="shared" si="54"/>
        <v>3</v>
      </c>
      <c r="AD545">
        <f t="shared" si="54"/>
        <v>2</v>
      </c>
      <c r="AE545">
        <f t="shared" si="54"/>
        <v>3</v>
      </c>
      <c r="AF545">
        <f t="shared" si="54"/>
        <v>1</v>
      </c>
      <c r="AG545">
        <f t="shared" si="51"/>
        <v>10</v>
      </c>
      <c r="AH545">
        <f t="shared" ca="1" si="52"/>
        <v>0</v>
      </c>
      <c r="AI545">
        <f>IF(ROW($AA545) - $AA$51 &lt; ($H$16+1)^5, IF(AG545 &gt;= BaseBonus!$C$16, AG545*BaseBonus!$E$31, 0), "")</f>
        <v>9.3905358129257959</v>
      </c>
      <c r="AJ545">
        <f t="shared" ca="1" si="53"/>
        <v>0</v>
      </c>
    </row>
    <row r="546" spans="28:36" x14ac:dyDescent="0.3">
      <c r="AB546">
        <f t="shared" si="54"/>
        <v>2</v>
      </c>
      <c r="AC546">
        <f t="shared" si="54"/>
        <v>3</v>
      </c>
      <c r="AD546">
        <f t="shared" si="54"/>
        <v>2</v>
      </c>
      <c r="AE546">
        <f t="shared" si="54"/>
        <v>3</v>
      </c>
      <c r="AF546">
        <f t="shared" si="54"/>
        <v>1</v>
      </c>
      <c r="AG546">
        <f t="shared" si="51"/>
        <v>11</v>
      </c>
      <c r="AH546">
        <f t="shared" ca="1" si="52"/>
        <v>0</v>
      </c>
      <c r="AI546">
        <f>IF(ROW($AA546) - $AA$51 &lt; ($H$16+1)^5, IF(AG546 &gt;= BaseBonus!$C$16, AG546*BaseBonus!$E$31, 0), "")</f>
        <v>10.329589394218376</v>
      </c>
      <c r="AJ546">
        <f t="shared" ca="1" si="53"/>
        <v>0</v>
      </c>
    </row>
    <row r="547" spans="28:36" x14ac:dyDescent="0.3">
      <c r="AB547">
        <f t="shared" si="54"/>
        <v>3</v>
      </c>
      <c r="AC547">
        <f t="shared" si="54"/>
        <v>3</v>
      </c>
      <c r="AD547">
        <f t="shared" si="54"/>
        <v>2</v>
      </c>
      <c r="AE547">
        <f t="shared" si="54"/>
        <v>3</v>
      </c>
      <c r="AF547">
        <f t="shared" si="54"/>
        <v>1</v>
      </c>
      <c r="AG547">
        <f t="shared" si="51"/>
        <v>12</v>
      </c>
      <c r="AH547">
        <f t="shared" ca="1" si="52"/>
        <v>0</v>
      </c>
      <c r="AI547">
        <f>IF(ROW($AA547) - $AA$51 &lt; ($H$16+1)^5, IF(AG547 &gt;= BaseBonus!$C$16, AG547*BaseBonus!$E$31, 0), "")</f>
        <v>11.268642975510955</v>
      </c>
      <c r="AJ547">
        <f t="shared" ca="1" si="53"/>
        <v>0</v>
      </c>
    </row>
    <row r="548" spans="28:36" x14ac:dyDescent="0.3">
      <c r="AB548">
        <f t="shared" si="54"/>
        <v>0</v>
      </c>
      <c r="AC548">
        <f t="shared" si="54"/>
        <v>0</v>
      </c>
      <c r="AD548">
        <f t="shared" si="54"/>
        <v>3</v>
      </c>
      <c r="AE548">
        <f t="shared" si="54"/>
        <v>3</v>
      </c>
      <c r="AF548">
        <f t="shared" si="54"/>
        <v>1</v>
      </c>
      <c r="AG548">
        <f t="shared" si="51"/>
        <v>7</v>
      </c>
      <c r="AH548">
        <f t="shared" ca="1" si="52"/>
        <v>0</v>
      </c>
      <c r="AI548">
        <f>IF(ROW($AA548) - $AA$51 &lt; ($H$16+1)^5, IF(AG548 &gt;= BaseBonus!$C$16, AG548*BaseBonus!$E$31, 0), "")</f>
        <v>6.5733750690480575</v>
      </c>
      <c r="AJ548">
        <f t="shared" ca="1" si="53"/>
        <v>0</v>
      </c>
    </row>
    <row r="549" spans="28:36" x14ac:dyDescent="0.3">
      <c r="AB549">
        <f t="shared" si="54"/>
        <v>1</v>
      </c>
      <c r="AC549">
        <f t="shared" si="54"/>
        <v>0</v>
      </c>
      <c r="AD549">
        <f t="shared" si="54"/>
        <v>3</v>
      </c>
      <c r="AE549">
        <f t="shared" si="54"/>
        <v>3</v>
      </c>
      <c r="AF549">
        <f t="shared" si="54"/>
        <v>1</v>
      </c>
      <c r="AG549">
        <f t="shared" si="51"/>
        <v>8</v>
      </c>
      <c r="AH549">
        <f t="shared" ca="1" si="52"/>
        <v>0</v>
      </c>
      <c r="AI549">
        <f>IF(ROW($AA549) - $AA$51 &lt; ($H$16+1)^5, IF(AG549 &gt;= BaseBonus!$C$16, AG549*BaseBonus!$E$31, 0), "")</f>
        <v>7.5124286503406372</v>
      </c>
      <c r="AJ549">
        <f t="shared" ca="1" si="53"/>
        <v>0</v>
      </c>
    </row>
    <row r="550" spans="28:36" x14ac:dyDescent="0.3">
      <c r="AB550">
        <f t="shared" si="54"/>
        <v>2</v>
      </c>
      <c r="AC550">
        <f t="shared" si="54"/>
        <v>0</v>
      </c>
      <c r="AD550">
        <f t="shared" si="54"/>
        <v>3</v>
      </c>
      <c r="AE550">
        <f t="shared" si="54"/>
        <v>3</v>
      </c>
      <c r="AF550">
        <f t="shared" si="54"/>
        <v>1</v>
      </c>
      <c r="AG550">
        <f t="shared" si="51"/>
        <v>9</v>
      </c>
      <c r="AH550">
        <f t="shared" ca="1" si="52"/>
        <v>0</v>
      </c>
      <c r="AI550">
        <f>IF(ROW($AA550) - $AA$51 &lt; ($H$16+1)^5, IF(AG550 &gt;= BaseBonus!$C$16, AG550*BaseBonus!$E$31, 0), "")</f>
        <v>8.4514822316332161</v>
      </c>
      <c r="AJ550">
        <f t="shared" ca="1" si="53"/>
        <v>0</v>
      </c>
    </row>
    <row r="551" spans="28:36" x14ac:dyDescent="0.3">
      <c r="AB551">
        <f t="shared" si="54"/>
        <v>3</v>
      </c>
      <c r="AC551">
        <f t="shared" si="54"/>
        <v>0</v>
      </c>
      <c r="AD551">
        <f t="shared" si="54"/>
        <v>3</v>
      </c>
      <c r="AE551">
        <f t="shared" si="54"/>
        <v>3</v>
      </c>
      <c r="AF551">
        <f t="shared" si="54"/>
        <v>1</v>
      </c>
      <c r="AG551">
        <f t="shared" si="51"/>
        <v>10</v>
      </c>
      <c r="AH551">
        <f t="shared" ca="1" si="52"/>
        <v>0</v>
      </c>
      <c r="AI551">
        <f>IF(ROW($AA551) - $AA$51 &lt; ($H$16+1)^5, IF(AG551 &gt;= BaseBonus!$C$16, AG551*BaseBonus!$E$31, 0), "")</f>
        <v>9.3905358129257959</v>
      </c>
      <c r="AJ551">
        <f t="shared" ca="1" si="53"/>
        <v>0</v>
      </c>
    </row>
    <row r="552" spans="28:36" x14ac:dyDescent="0.3">
      <c r="AB552">
        <f t="shared" si="54"/>
        <v>0</v>
      </c>
      <c r="AC552">
        <f t="shared" si="54"/>
        <v>1</v>
      </c>
      <c r="AD552">
        <f t="shared" si="54"/>
        <v>3</v>
      </c>
      <c r="AE552">
        <f t="shared" si="54"/>
        <v>3</v>
      </c>
      <c r="AF552">
        <f t="shared" si="54"/>
        <v>1</v>
      </c>
      <c r="AG552">
        <f t="shared" si="51"/>
        <v>8</v>
      </c>
      <c r="AH552">
        <f t="shared" ca="1" si="52"/>
        <v>0</v>
      </c>
      <c r="AI552">
        <f>IF(ROW($AA552) - $AA$51 &lt; ($H$16+1)^5, IF(AG552 &gt;= BaseBonus!$C$16, AG552*BaseBonus!$E$31, 0), "")</f>
        <v>7.5124286503406372</v>
      </c>
      <c r="AJ552">
        <f t="shared" ca="1" si="53"/>
        <v>0</v>
      </c>
    </row>
    <row r="553" spans="28:36" x14ac:dyDescent="0.3">
      <c r="AB553">
        <f t="shared" si="54"/>
        <v>1</v>
      </c>
      <c r="AC553">
        <f t="shared" si="54"/>
        <v>1</v>
      </c>
      <c r="AD553">
        <f t="shared" si="54"/>
        <v>3</v>
      </c>
      <c r="AE553">
        <f t="shared" si="54"/>
        <v>3</v>
      </c>
      <c r="AF553">
        <f t="shared" si="54"/>
        <v>1</v>
      </c>
      <c r="AG553">
        <f t="shared" si="51"/>
        <v>9</v>
      </c>
      <c r="AH553">
        <f t="shared" ca="1" si="52"/>
        <v>0</v>
      </c>
      <c r="AI553">
        <f>IF(ROW($AA553) - $AA$51 &lt; ($H$16+1)^5, IF(AG553 &gt;= BaseBonus!$C$16, AG553*BaseBonus!$E$31, 0), "")</f>
        <v>8.4514822316332161</v>
      </c>
      <c r="AJ553">
        <f t="shared" ca="1" si="53"/>
        <v>0</v>
      </c>
    </row>
    <row r="554" spans="28:36" x14ac:dyDescent="0.3">
      <c r="AB554">
        <f t="shared" si="54"/>
        <v>2</v>
      </c>
      <c r="AC554">
        <f t="shared" si="54"/>
        <v>1</v>
      </c>
      <c r="AD554">
        <f t="shared" si="54"/>
        <v>3</v>
      </c>
      <c r="AE554">
        <f t="shared" si="54"/>
        <v>3</v>
      </c>
      <c r="AF554">
        <f t="shared" si="54"/>
        <v>1</v>
      </c>
      <c r="AG554">
        <f t="shared" si="51"/>
        <v>10</v>
      </c>
      <c r="AH554">
        <f t="shared" ca="1" si="52"/>
        <v>0</v>
      </c>
      <c r="AI554">
        <f>IF(ROW($AA554) - $AA$51 &lt; ($H$16+1)^5, IF(AG554 &gt;= BaseBonus!$C$16, AG554*BaseBonus!$E$31, 0), "")</f>
        <v>9.3905358129257959</v>
      </c>
      <c r="AJ554">
        <f t="shared" ca="1" si="53"/>
        <v>0</v>
      </c>
    </row>
    <row r="555" spans="28:36" x14ac:dyDescent="0.3">
      <c r="AB555">
        <f t="shared" si="54"/>
        <v>3</v>
      </c>
      <c r="AC555">
        <f t="shared" si="54"/>
        <v>1</v>
      </c>
      <c r="AD555">
        <f t="shared" si="54"/>
        <v>3</v>
      </c>
      <c r="AE555">
        <f t="shared" si="54"/>
        <v>3</v>
      </c>
      <c r="AF555">
        <f t="shared" si="54"/>
        <v>1</v>
      </c>
      <c r="AG555">
        <f t="shared" si="51"/>
        <v>11</v>
      </c>
      <c r="AH555">
        <f t="shared" ca="1" si="52"/>
        <v>0</v>
      </c>
      <c r="AI555">
        <f>IF(ROW($AA555) - $AA$51 &lt; ($H$16+1)^5, IF(AG555 &gt;= BaseBonus!$C$16, AG555*BaseBonus!$E$31, 0), "")</f>
        <v>10.329589394218376</v>
      </c>
      <c r="AJ555">
        <f t="shared" ca="1" si="53"/>
        <v>0</v>
      </c>
    </row>
    <row r="556" spans="28:36" x14ac:dyDescent="0.3">
      <c r="AB556">
        <f t="shared" si="54"/>
        <v>0</v>
      </c>
      <c r="AC556">
        <f t="shared" si="54"/>
        <v>2</v>
      </c>
      <c r="AD556">
        <f t="shared" si="54"/>
        <v>3</v>
      </c>
      <c r="AE556">
        <f t="shared" si="54"/>
        <v>3</v>
      </c>
      <c r="AF556">
        <f t="shared" si="54"/>
        <v>1</v>
      </c>
      <c r="AG556">
        <f t="shared" si="51"/>
        <v>9</v>
      </c>
      <c r="AH556">
        <f t="shared" ca="1" si="52"/>
        <v>0</v>
      </c>
      <c r="AI556">
        <f>IF(ROW($AA556) - $AA$51 &lt; ($H$16+1)^5, IF(AG556 &gt;= BaseBonus!$C$16, AG556*BaseBonus!$E$31, 0), "")</f>
        <v>8.4514822316332161</v>
      </c>
      <c r="AJ556">
        <f t="shared" ca="1" si="53"/>
        <v>0</v>
      </c>
    </row>
    <row r="557" spans="28:36" x14ac:dyDescent="0.3">
      <c r="AB557">
        <f t="shared" si="54"/>
        <v>1</v>
      </c>
      <c r="AC557">
        <f t="shared" si="54"/>
        <v>2</v>
      </c>
      <c r="AD557">
        <f t="shared" si="54"/>
        <v>3</v>
      </c>
      <c r="AE557">
        <f t="shared" si="54"/>
        <v>3</v>
      </c>
      <c r="AF557">
        <f t="shared" si="54"/>
        <v>1</v>
      </c>
      <c r="AG557">
        <f t="shared" si="51"/>
        <v>10</v>
      </c>
      <c r="AH557">
        <f t="shared" ca="1" si="52"/>
        <v>0</v>
      </c>
      <c r="AI557">
        <f>IF(ROW($AA557) - $AA$51 &lt; ($H$16+1)^5, IF(AG557 &gt;= BaseBonus!$C$16, AG557*BaseBonus!$E$31, 0), "")</f>
        <v>9.3905358129257959</v>
      </c>
      <c r="AJ557">
        <f t="shared" ca="1" si="53"/>
        <v>0</v>
      </c>
    </row>
    <row r="558" spans="28:36" x14ac:dyDescent="0.3">
      <c r="AB558">
        <f t="shared" si="54"/>
        <v>2</v>
      </c>
      <c r="AC558">
        <f t="shared" si="54"/>
        <v>2</v>
      </c>
      <c r="AD558">
        <f t="shared" si="54"/>
        <v>3</v>
      </c>
      <c r="AE558">
        <f t="shared" si="54"/>
        <v>3</v>
      </c>
      <c r="AF558">
        <f t="shared" si="54"/>
        <v>1</v>
      </c>
      <c r="AG558">
        <f t="shared" si="51"/>
        <v>11</v>
      </c>
      <c r="AH558">
        <f t="shared" ca="1" si="52"/>
        <v>0</v>
      </c>
      <c r="AI558">
        <f>IF(ROW($AA558) - $AA$51 &lt; ($H$16+1)^5, IF(AG558 &gt;= BaseBonus!$C$16, AG558*BaseBonus!$E$31, 0), "")</f>
        <v>10.329589394218376</v>
      </c>
      <c r="AJ558">
        <f t="shared" ca="1" si="53"/>
        <v>0</v>
      </c>
    </row>
    <row r="559" spans="28:36" x14ac:dyDescent="0.3">
      <c r="AB559">
        <f t="shared" si="54"/>
        <v>3</v>
      </c>
      <c r="AC559">
        <f t="shared" si="54"/>
        <v>2</v>
      </c>
      <c r="AD559">
        <f t="shared" si="54"/>
        <v>3</v>
      </c>
      <c r="AE559">
        <f t="shared" si="54"/>
        <v>3</v>
      </c>
      <c r="AF559">
        <f t="shared" si="54"/>
        <v>1</v>
      </c>
      <c r="AG559">
        <f t="shared" si="51"/>
        <v>12</v>
      </c>
      <c r="AH559">
        <f t="shared" ca="1" si="52"/>
        <v>0</v>
      </c>
      <c r="AI559">
        <f>IF(ROW($AA559) - $AA$51 &lt; ($H$16+1)^5, IF(AG559 &gt;= BaseBonus!$C$16, AG559*BaseBonus!$E$31, 0), "")</f>
        <v>11.268642975510955</v>
      </c>
      <c r="AJ559">
        <f t="shared" ca="1" si="53"/>
        <v>0</v>
      </c>
    </row>
    <row r="560" spans="28:36" x14ac:dyDescent="0.3">
      <c r="AB560">
        <f t="shared" si="54"/>
        <v>0</v>
      </c>
      <c r="AC560">
        <f t="shared" si="54"/>
        <v>3</v>
      </c>
      <c r="AD560">
        <f t="shared" si="54"/>
        <v>3</v>
      </c>
      <c r="AE560">
        <f t="shared" si="54"/>
        <v>3</v>
      </c>
      <c r="AF560">
        <f t="shared" si="54"/>
        <v>1</v>
      </c>
      <c r="AG560">
        <f t="shared" si="51"/>
        <v>10</v>
      </c>
      <c r="AH560">
        <f t="shared" ca="1" si="52"/>
        <v>0</v>
      </c>
      <c r="AI560">
        <f>IF(ROW($AA560) - $AA$51 &lt; ($H$16+1)^5, IF(AG560 &gt;= BaseBonus!$C$16, AG560*BaseBonus!$E$31, 0), "")</f>
        <v>9.3905358129257959</v>
      </c>
      <c r="AJ560">
        <f t="shared" ca="1" si="53"/>
        <v>0</v>
      </c>
    </row>
    <row r="561" spans="28:36" x14ac:dyDescent="0.3">
      <c r="AB561">
        <f t="shared" si="54"/>
        <v>1</v>
      </c>
      <c r="AC561">
        <f t="shared" si="54"/>
        <v>3</v>
      </c>
      <c r="AD561">
        <f t="shared" si="54"/>
        <v>3</v>
      </c>
      <c r="AE561">
        <f t="shared" si="54"/>
        <v>3</v>
      </c>
      <c r="AF561">
        <f t="shared" si="54"/>
        <v>1</v>
      </c>
      <c r="AG561">
        <f t="shared" si="51"/>
        <v>11</v>
      </c>
      <c r="AH561">
        <f t="shared" ca="1" si="52"/>
        <v>0</v>
      </c>
      <c r="AI561">
        <f>IF(ROW($AA561) - $AA$51 &lt; ($H$16+1)^5, IF(AG561 &gt;= BaseBonus!$C$16, AG561*BaseBonus!$E$31, 0), "")</f>
        <v>10.329589394218376</v>
      </c>
      <c r="AJ561">
        <f t="shared" ca="1" si="53"/>
        <v>0</v>
      </c>
    </row>
    <row r="562" spans="28:36" x14ac:dyDescent="0.3">
      <c r="AB562">
        <f t="shared" ref="AB562:AF612" si="55">IF(ROW()-$AA$51 &lt; (H$16+1)^5, MOD(_xlfn.FLOOR.MATH((ROW()-$AA$51)/AB$50), H$16+1), "")</f>
        <v>2</v>
      </c>
      <c r="AC562">
        <f t="shared" si="55"/>
        <v>3</v>
      </c>
      <c r="AD562">
        <f t="shared" si="55"/>
        <v>3</v>
      </c>
      <c r="AE562">
        <f t="shared" si="55"/>
        <v>3</v>
      </c>
      <c r="AF562">
        <f t="shared" si="55"/>
        <v>1</v>
      </c>
      <c r="AG562">
        <f t="shared" si="51"/>
        <v>12</v>
      </c>
      <c r="AH562">
        <f t="shared" ca="1" si="52"/>
        <v>0</v>
      </c>
      <c r="AI562">
        <f>IF(ROW($AA562) - $AA$51 &lt; ($H$16+1)^5, IF(AG562 &gt;= BaseBonus!$C$16, AG562*BaseBonus!$E$31, 0), "")</f>
        <v>11.268642975510955</v>
      </c>
      <c r="AJ562">
        <f t="shared" ca="1" si="53"/>
        <v>0</v>
      </c>
    </row>
    <row r="563" spans="28:36" x14ac:dyDescent="0.3">
      <c r="AB563">
        <f t="shared" si="55"/>
        <v>3</v>
      </c>
      <c r="AC563">
        <f t="shared" si="55"/>
        <v>3</v>
      </c>
      <c r="AD563">
        <f t="shared" si="55"/>
        <v>3</v>
      </c>
      <c r="AE563">
        <f t="shared" si="55"/>
        <v>3</v>
      </c>
      <c r="AF563">
        <f t="shared" si="55"/>
        <v>1</v>
      </c>
      <c r="AG563">
        <f t="shared" si="51"/>
        <v>13</v>
      </c>
      <c r="AH563">
        <f t="shared" ca="1" si="52"/>
        <v>0</v>
      </c>
      <c r="AI563">
        <f>IF(ROW($AA563) - $AA$51 &lt; ($H$16+1)^5, IF(AG563 &gt;= BaseBonus!$C$16, AG563*BaseBonus!$E$31, 0), "")</f>
        <v>12.207696556803535</v>
      </c>
      <c r="AJ563">
        <f t="shared" ca="1" si="53"/>
        <v>0</v>
      </c>
    </row>
    <row r="564" spans="28:36" x14ac:dyDescent="0.3">
      <c r="AB564">
        <f t="shared" si="55"/>
        <v>0</v>
      </c>
      <c r="AC564">
        <f t="shared" si="55"/>
        <v>0</v>
      </c>
      <c r="AD564">
        <f t="shared" si="55"/>
        <v>0</v>
      </c>
      <c r="AE564">
        <f t="shared" si="55"/>
        <v>0</v>
      </c>
      <c r="AF564">
        <f t="shared" si="55"/>
        <v>2</v>
      </c>
      <c r="AG564">
        <f t="shared" ref="AG564:AG627" si="56">IF(ROW($AA564) - $AA$51 &lt; ($H$16+1)^5, SUM(AB564:AF564), "")</f>
        <v>2</v>
      </c>
      <c r="AH564">
        <f t="shared" ref="AH564:AH627" ca="1" si="57">IF(ROW($AA564) - $AA$51 &lt; (4)^5,
    (_xlfn.XLOOKUP(AB564,$T$51:$T$55,U$51:U$55,0)/U$27) * (_xlfn.XLOOKUP(AC564,$T$51:$T$55,V$51:V$55,0)/V$27) * (_xlfn.XLOOKUP(AD564,$T$51:$T$55,W$51:W$55,0)/W$27) * (_xlfn.XLOOKUP(AE564,$T$51:$T$55,X$51:X$55,0)/X$27) * (_xlfn.XLOOKUP(AF564,$T$51:$T$55,Y$51:Y$55,0)/Y$27),
"")</f>
        <v>0</v>
      </c>
      <c r="AI564">
        <f>IF(ROW($AA564) - $AA$51 &lt; ($H$16+1)^5, IF(AG564 &gt;= BaseBonus!$C$16, AG564*BaseBonus!$E$31, 0), "")</f>
        <v>0</v>
      </c>
      <c r="AJ564">
        <f t="shared" ref="AJ564:AJ627" ca="1" si="58">IF(ROW($AA564) - $AA$51 &lt; ($H$16+1)^5, AH564*AI564, "")</f>
        <v>0</v>
      </c>
    </row>
    <row r="565" spans="28:36" x14ac:dyDescent="0.3">
      <c r="AB565">
        <f t="shared" si="55"/>
        <v>1</v>
      </c>
      <c r="AC565">
        <f t="shared" si="55"/>
        <v>0</v>
      </c>
      <c r="AD565">
        <f t="shared" si="55"/>
        <v>0</v>
      </c>
      <c r="AE565">
        <f t="shared" si="55"/>
        <v>0</v>
      </c>
      <c r="AF565">
        <f t="shared" si="55"/>
        <v>2</v>
      </c>
      <c r="AG565">
        <f t="shared" si="56"/>
        <v>3</v>
      </c>
      <c r="AH565">
        <f t="shared" ca="1" si="57"/>
        <v>0</v>
      </c>
      <c r="AI565">
        <f>IF(ROW($AA565) - $AA$51 &lt; ($H$16+1)^5, IF(AG565 &gt;= BaseBonus!$C$16, AG565*BaseBonus!$E$31, 0), "")</f>
        <v>0</v>
      </c>
      <c r="AJ565">
        <f t="shared" ca="1" si="58"/>
        <v>0</v>
      </c>
    </row>
    <row r="566" spans="28:36" x14ac:dyDescent="0.3">
      <c r="AB566">
        <f t="shared" si="55"/>
        <v>2</v>
      </c>
      <c r="AC566">
        <f t="shared" si="55"/>
        <v>0</v>
      </c>
      <c r="AD566">
        <f t="shared" si="55"/>
        <v>0</v>
      </c>
      <c r="AE566">
        <f t="shared" si="55"/>
        <v>0</v>
      </c>
      <c r="AF566">
        <f t="shared" si="55"/>
        <v>2</v>
      </c>
      <c r="AG566">
        <f t="shared" si="56"/>
        <v>4</v>
      </c>
      <c r="AH566">
        <f t="shared" ca="1" si="57"/>
        <v>0</v>
      </c>
      <c r="AI566">
        <f>IF(ROW($AA566) - $AA$51 &lt; ($H$16+1)^5, IF(AG566 &gt;= BaseBonus!$C$16, AG566*BaseBonus!$E$31, 0), "")</f>
        <v>0</v>
      </c>
      <c r="AJ566">
        <f t="shared" ca="1" si="58"/>
        <v>0</v>
      </c>
    </row>
    <row r="567" spans="28:36" x14ac:dyDescent="0.3">
      <c r="AB567">
        <f t="shared" si="55"/>
        <v>3</v>
      </c>
      <c r="AC567">
        <f t="shared" si="55"/>
        <v>0</v>
      </c>
      <c r="AD567">
        <f t="shared" si="55"/>
        <v>0</v>
      </c>
      <c r="AE567">
        <f t="shared" si="55"/>
        <v>0</v>
      </c>
      <c r="AF567">
        <f t="shared" si="55"/>
        <v>2</v>
      </c>
      <c r="AG567">
        <f t="shared" si="56"/>
        <v>5</v>
      </c>
      <c r="AH567">
        <f t="shared" ca="1" si="57"/>
        <v>0</v>
      </c>
      <c r="AI567">
        <f>IF(ROW($AA567) - $AA$51 &lt; ($H$16+1)^5, IF(AG567 &gt;= BaseBonus!$C$16, AG567*BaseBonus!$E$31, 0), "")</f>
        <v>4.6952679064628979</v>
      </c>
      <c r="AJ567">
        <f t="shared" ca="1" si="58"/>
        <v>0</v>
      </c>
    </row>
    <row r="568" spans="28:36" x14ac:dyDescent="0.3">
      <c r="AB568">
        <f t="shared" si="55"/>
        <v>0</v>
      </c>
      <c r="AC568">
        <f t="shared" si="55"/>
        <v>1</v>
      </c>
      <c r="AD568">
        <f t="shared" si="55"/>
        <v>0</v>
      </c>
      <c r="AE568">
        <f t="shared" si="55"/>
        <v>0</v>
      </c>
      <c r="AF568">
        <f t="shared" si="55"/>
        <v>2</v>
      </c>
      <c r="AG568">
        <f t="shared" si="56"/>
        <v>3</v>
      </c>
      <c r="AH568">
        <f t="shared" ca="1" si="57"/>
        <v>0</v>
      </c>
      <c r="AI568">
        <f>IF(ROW($AA568) - $AA$51 &lt; ($H$16+1)^5, IF(AG568 &gt;= BaseBonus!$C$16, AG568*BaseBonus!$E$31, 0), "")</f>
        <v>0</v>
      </c>
      <c r="AJ568">
        <f t="shared" ca="1" si="58"/>
        <v>0</v>
      </c>
    </row>
    <row r="569" spans="28:36" x14ac:dyDescent="0.3">
      <c r="AB569">
        <f t="shared" si="55"/>
        <v>1</v>
      </c>
      <c r="AC569">
        <f t="shared" si="55"/>
        <v>1</v>
      </c>
      <c r="AD569">
        <f t="shared" si="55"/>
        <v>0</v>
      </c>
      <c r="AE569">
        <f t="shared" si="55"/>
        <v>0</v>
      </c>
      <c r="AF569">
        <f t="shared" si="55"/>
        <v>2</v>
      </c>
      <c r="AG569">
        <f t="shared" si="56"/>
        <v>4</v>
      </c>
      <c r="AH569">
        <f t="shared" ca="1" si="57"/>
        <v>0</v>
      </c>
      <c r="AI569">
        <f>IF(ROW($AA569) - $AA$51 &lt; ($H$16+1)^5, IF(AG569 &gt;= BaseBonus!$C$16, AG569*BaseBonus!$E$31, 0), "")</f>
        <v>0</v>
      </c>
      <c r="AJ569">
        <f t="shared" ca="1" si="58"/>
        <v>0</v>
      </c>
    </row>
    <row r="570" spans="28:36" x14ac:dyDescent="0.3">
      <c r="AB570">
        <f t="shared" si="55"/>
        <v>2</v>
      </c>
      <c r="AC570">
        <f t="shared" si="55"/>
        <v>1</v>
      </c>
      <c r="AD570">
        <f t="shared" si="55"/>
        <v>0</v>
      </c>
      <c r="AE570">
        <f t="shared" si="55"/>
        <v>0</v>
      </c>
      <c r="AF570">
        <f t="shared" si="55"/>
        <v>2</v>
      </c>
      <c r="AG570">
        <f t="shared" si="56"/>
        <v>5</v>
      </c>
      <c r="AH570">
        <f t="shared" ca="1" si="57"/>
        <v>0</v>
      </c>
      <c r="AI570">
        <f>IF(ROW($AA570) - $AA$51 &lt; ($H$16+1)^5, IF(AG570 &gt;= BaseBonus!$C$16, AG570*BaseBonus!$E$31, 0), "")</f>
        <v>4.6952679064628979</v>
      </c>
      <c r="AJ570">
        <f t="shared" ca="1" si="58"/>
        <v>0</v>
      </c>
    </row>
    <row r="571" spans="28:36" x14ac:dyDescent="0.3">
      <c r="AB571">
        <f t="shared" si="55"/>
        <v>3</v>
      </c>
      <c r="AC571">
        <f t="shared" si="55"/>
        <v>1</v>
      </c>
      <c r="AD571">
        <f t="shared" si="55"/>
        <v>0</v>
      </c>
      <c r="AE571">
        <f t="shared" si="55"/>
        <v>0</v>
      </c>
      <c r="AF571">
        <f t="shared" si="55"/>
        <v>2</v>
      </c>
      <c r="AG571">
        <f t="shared" si="56"/>
        <v>6</v>
      </c>
      <c r="AH571">
        <f t="shared" ca="1" si="57"/>
        <v>0</v>
      </c>
      <c r="AI571">
        <f>IF(ROW($AA571) - $AA$51 &lt; ($H$16+1)^5, IF(AG571 &gt;= BaseBonus!$C$16, AG571*BaseBonus!$E$31, 0), "")</f>
        <v>5.6343214877554777</v>
      </c>
      <c r="AJ571">
        <f t="shared" ca="1" si="58"/>
        <v>0</v>
      </c>
    </row>
    <row r="572" spans="28:36" x14ac:dyDescent="0.3">
      <c r="AB572">
        <f t="shared" si="55"/>
        <v>0</v>
      </c>
      <c r="AC572">
        <f t="shared" si="55"/>
        <v>2</v>
      </c>
      <c r="AD572">
        <f t="shared" si="55"/>
        <v>0</v>
      </c>
      <c r="AE572">
        <f t="shared" si="55"/>
        <v>0</v>
      </c>
      <c r="AF572">
        <f t="shared" si="55"/>
        <v>2</v>
      </c>
      <c r="AG572">
        <f t="shared" si="56"/>
        <v>4</v>
      </c>
      <c r="AH572">
        <f t="shared" ca="1" si="57"/>
        <v>0</v>
      </c>
      <c r="AI572">
        <f>IF(ROW($AA572) - $AA$51 &lt; ($H$16+1)^5, IF(AG572 &gt;= BaseBonus!$C$16, AG572*BaseBonus!$E$31, 0), "")</f>
        <v>0</v>
      </c>
      <c r="AJ572">
        <f t="shared" ca="1" si="58"/>
        <v>0</v>
      </c>
    </row>
    <row r="573" spans="28:36" x14ac:dyDescent="0.3">
      <c r="AB573">
        <f t="shared" si="55"/>
        <v>1</v>
      </c>
      <c r="AC573">
        <f t="shared" si="55"/>
        <v>2</v>
      </c>
      <c r="AD573">
        <f t="shared" si="55"/>
        <v>0</v>
      </c>
      <c r="AE573">
        <f t="shared" si="55"/>
        <v>0</v>
      </c>
      <c r="AF573">
        <f t="shared" si="55"/>
        <v>2</v>
      </c>
      <c r="AG573">
        <f t="shared" si="56"/>
        <v>5</v>
      </c>
      <c r="AH573">
        <f t="shared" ca="1" si="57"/>
        <v>0</v>
      </c>
      <c r="AI573">
        <f>IF(ROW($AA573) - $AA$51 &lt; ($H$16+1)^5, IF(AG573 &gt;= BaseBonus!$C$16, AG573*BaseBonus!$E$31, 0), "")</f>
        <v>4.6952679064628979</v>
      </c>
      <c r="AJ573">
        <f t="shared" ca="1" si="58"/>
        <v>0</v>
      </c>
    </row>
    <row r="574" spans="28:36" x14ac:dyDescent="0.3">
      <c r="AB574">
        <f t="shared" si="55"/>
        <v>2</v>
      </c>
      <c r="AC574">
        <f t="shared" si="55"/>
        <v>2</v>
      </c>
      <c r="AD574">
        <f t="shared" si="55"/>
        <v>0</v>
      </c>
      <c r="AE574">
        <f t="shared" si="55"/>
        <v>0</v>
      </c>
      <c r="AF574">
        <f t="shared" si="55"/>
        <v>2</v>
      </c>
      <c r="AG574">
        <f t="shared" si="56"/>
        <v>6</v>
      </c>
      <c r="AH574">
        <f t="shared" ca="1" si="57"/>
        <v>0</v>
      </c>
      <c r="AI574">
        <f>IF(ROW($AA574) - $AA$51 &lt; ($H$16+1)^5, IF(AG574 &gt;= BaseBonus!$C$16, AG574*BaseBonus!$E$31, 0), "")</f>
        <v>5.6343214877554777</v>
      </c>
      <c r="AJ574">
        <f t="shared" ca="1" si="58"/>
        <v>0</v>
      </c>
    </row>
    <row r="575" spans="28:36" x14ac:dyDescent="0.3">
      <c r="AB575">
        <f t="shared" si="55"/>
        <v>3</v>
      </c>
      <c r="AC575">
        <f t="shared" si="55"/>
        <v>2</v>
      </c>
      <c r="AD575">
        <f t="shared" si="55"/>
        <v>0</v>
      </c>
      <c r="AE575">
        <f t="shared" si="55"/>
        <v>0</v>
      </c>
      <c r="AF575">
        <f t="shared" si="55"/>
        <v>2</v>
      </c>
      <c r="AG575">
        <f t="shared" si="56"/>
        <v>7</v>
      </c>
      <c r="AH575">
        <f t="shared" ca="1" si="57"/>
        <v>0</v>
      </c>
      <c r="AI575">
        <f>IF(ROW($AA575) - $AA$51 &lt; ($H$16+1)^5, IF(AG575 &gt;= BaseBonus!$C$16, AG575*BaseBonus!$E$31, 0), "")</f>
        <v>6.5733750690480575</v>
      </c>
      <c r="AJ575">
        <f t="shared" ca="1" si="58"/>
        <v>0</v>
      </c>
    </row>
    <row r="576" spans="28:36" x14ac:dyDescent="0.3">
      <c r="AB576">
        <f t="shared" si="55"/>
        <v>0</v>
      </c>
      <c r="AC576">
        <f t="shared" si="55"/>
        <v>3</v>
      </c>
      <c r="AD576">
        <f t="shared" si="55"/>
        <v>0</v>
      </c>
      <c r="AE576">
        <f t="shared" si="55"/>
        <v>0</v>
      </c>
      <c r="AF576">
        <f t="shared" si="55"/>
        <v>2</v>
      </c>
      <c r="AG576">
        <f t="shared" si="56"/>
        <v>5</v>
      </c>
      <c r="AH576">
        <f t="shared" ca="1" si="57"/>
        <v>0</v>
      </c>
      <c r="AI576">
        <f>IF(ROW($AA576) - $AA$51 &lt; ($H$16+1)^5, IF(AG576 &gt;= BaseBonus!$C$16, AG576*BaseBonus!$E$31, 0), "")</f>
        <v>4.6952679064628979</v>
      </c>
      <c r="AJ576">
        <f t="shared" ca="1" si="58"/>
        <v>0</v>
      </c>
    </row>
    <row r="577" spans="28:36" x14ac:dyDescent="0.3">
      <c r="AB577">
        <f t="shared" si="55"/>
        <v>1</v>
      </c>
      <c r="AC577">
        <f t="shared" si="55"/>
        <v>3</v>
      </c>
      <c r="AD577">
        <f t="shared" si="55"/>
        <v>0</v>
      </c>
      <c r="AE577">
        <f t="shared" si="55"/>
        <v>0</v>
      </c>
      <c r="AF577">
        <f t="shared" si="55"/>
        <v>2</v>
      </c>
      <c r="AG577">
        <f t="shared" si="56"/>
        <v>6</v>
      </c>
      <c r="AH577">
        <f t="shared" ca="1" si="57"/>
        <v>0</v>
      </c>
      <c r="AI577">
        <f>IF(ROW($AA577) - $AA$51 &lt; ($H$16+1)^5, IF(AG577 &gt;= BaseBonus!$C$16, AG577*BaseBonus!$E$31, 0), "")</f>
        <v>5.6343214877554777</v>
      </c>
      <c r="AJ577">
        <f t="shared" ca="1" si="58"/>
        <v>0</v>
      </c>
    </row>
    <row r="578" spans="28:36" x14ac:dyDescent="0.3">
      <c r="AB578">
        <f t="shared" si="55"/>
        <v>2</v>
      </c>
      <c r="AC578">
        <f t="shared" si="55"/>
        <v>3</v>
      </c>
      <c r="AD578">
        <f t="shared" si="55"/>
        <v>0</v>
      </c>
      <c r="AE578">
        <f t="shared" si="55"/>
        <v>0</v>
      </c>
      <c r="AF578">
        <f t="shared" si="55"/>
        <v>2</v>
      </c>
      <c r="AG578">
        <f t="shared" si="56"/>
        <v>7</v>
      </c>
      <c r="AH578">
        <f t="shared" ca="1" si="57"/>
        <v>0</v>
      </c>
      <c r="AI578">
        <f>IF(ROW($AA578) - $AA$51 &lt; ($H$16+1)^5, IF(AG578 &gt;= BaseBonus!$C$16, AG578*BaseBonus!$E$31, 0), "")</f>
        <v>6.5733750690480575</v>
      </c>
      <c r="AJ578">
        <f t="shared" ca="1" si="58"/>
        <v>0</v>
      </c>
    </row>
    <row r="579" spans="28:36" x14ac:dyDescent="0.3">
      <c r="AB579">
        <f t="shared" si="55"/>
        <v>3</v>
      </c>
      <c r="AC579">
        <f t="shared" si="55"/>
        <v>3</v>
      </c>
      <c r="AD579">
        <f t="shared" si="55"/>
        <v>0</v>
      </c>
      <c r="AE579">
        <f t="shared" si="55"/>
        <v>0</v>
      </c>
      <c r="AF579">
        <f t="shared" si="55"/>
        <v>2</v>
      </c>
      <c r="AG579">
        <f t="shared" si="56"/>
        <v>8</v>
      </c>
      <c r="AH579">
        <f t="shared" ca="1" si="57"/>
        <v>0</v>
      </c>
      <c r="AI579">
        <f>IF(ROW($AA579) - $AA$51 &lt; ($H$16+1)^5, IF(AG579 &gt;= BaseBonus!$C$16, AG579*BaseBonus!$E$31, 0), "")</f>
        <v>7.5124286503406372</v>
      </c>
      <c r="AJ579">
        <f t="shared" ca="1" si="58"/>
        <v>0</v>
      </c>
    </row>
    <row r="580" spans="28:36" x14ac:dyDescent="0.3">
      <c r="AB580">
        <f t="shared" si="55"/>
        <v>0</v>
      </c>
      <c r="AC580">
        <f t="shared" si="55"/>
        <v>0</v>
      </c>
      <c r="AD580">
        <f t="shared" si="55"/>
        <v>1</v>
      </c>
      <c r="AE580">
        <f t="shared" si="55"/>
        <v>0</v>
      </c>
      <c r="AF580">
        <f t="shared" si="55"/>
        <v>2</v>
      </c>
      <c r="AG580">
        <f t="shared" si="56"/>
        <v>3</v>
      </c>
      <c r="AH580">
        <f t="shared" ca="1" si="57"/>
        <v>0</v>
      </c>
      <c r="AI580">
        <f>IF(ROW($AA580) - $AA$51 &lt; ($H$16+1)^5, IF(AG580 &gt;= BaseBonus!$C$16, AG580*BaseBonus!$E$31, 0), "")</f>
        <v>0</v>
      </c>
      <c r="AJ580">
        <f t="shared" ca="1" si="58"/>
        <v>0</v>
      </c>
    </row>
    <row r="581" spans="28:36" x14ac:dyDescent="0.3">
      <c r="AB581">
        <f t="shared" si="55"/>
        <v>1</v>
      </c>
      <c r="AC581">
        <f t="shared" si="55"/>
        <v>0</v>
      </c>
      <c r="AD581">
        <f t="shared" si="55"/>
        <v>1</v>
      </c>
      <c r="AE581">
        <f t="shared" si="55"/>
        <v>0</v>
      </c>
      <c r="AF581">
        <f t="shared" si="55"/>
        <v>2</v>
      </c>
      <c r="AG581">
        <f t="shared" si="56"/>
        <v>4</v>
      </c>
      <c r="AH581">
        <f t="shared" ca="1" si="57"/>
        <v>0</v>
      </c>
      <c r="AI581">
        <f>IF(ROW($AA581) - $AA$51 &lt; ($H$16+1)^5, IF(AG581 &gt;= BaseBonus!$C$16, AG581*BaseBonus!$E$31, 0), "")</f>
        <v>0</v>
      </c>
      <c r="AJ581">
        <f t="shared" ca="1" si="58"/>
        <v>0</v>
      </c>
    </row>
    <row r="582" spans="28:36" x14ac:dyDescent="0.3">
      <c r="AB582">
        <f t="shared" si="55"/>
        <v>2</v>
      </c>
      <c r="AC582">
        <f t="shared" si="55"/>
        <v>0</v>
      </c>
      <c r="AD582">
        <f t="shared" si="55"/>
        <v>1</v>
      </c>
      <c r="AE582">
        <f t="shared" si="55"/>
        <v>0</v>
      </c>
      <c r="AF582">
        <f t="shared" si="55"/>
        <v>2</v>
      </c>
      <c r="AG582">
        <f t="shared" si="56"/>
        <v>5</v>
      </c>
      <c r="AH582">
        <f t="shared" ca="1" si="57"/>
        <v>0</v>
      </c>
      <c r="AI582">
        <f>IF(ROW($AA582) - $AA$51 &lt; ($H$16+1)^5, IF(AG582 &gt;= BaseBonus!$C$16, AG582*BaseBonus!$E$31, 0), "")</f>
        <v>4.6952679064628979</v>
      </c>
      <c r="AJ582">
        <f t="shared" ca="1" si="58"/>
        <v>0</v>
      </c>
    </row>
    <row r="583" spans="28:36" x14ac:dyDescent="0.3">
      <c r="AB583">
        <f t="shared" si="55"/>
        <v>3</v>
      </c>
      <c r="AC583">
        <f t="shared" si="55"/>
        <v>0</v>
      </c>
      <c r="AD583">
        <f t="shared" si="55"/>
        <v>1</v>
      </c>
      <c r="AE583">
        <f t="shared" si="55"/>
        <v>0</v>
      </c>
      <c r="AF583">
        <f t="shared" si="55"/>
        <v>2</v>
      </c>
      <c r="AG583">
        <f t="shared" si="56"/>
        <v>6</v>
      </c>
      <c r="AH583">
        <f t="shared" ca="1" si="57"/>
        <v>0</v>
      </c>
      <c r="AI583">
        <f>IF(ROW($AA583) - $AA$51 &lt; ($H$16+1)^5, IF(AG583 &gt;= BaseBonus!$C$16, AG583*BaseBonus!$E$31, 0), "")</f>
        <v>5.6343214877554777</v>
      </c>
      <c r="AJ583">
        <f t="shared" ca="1" si="58"/>
        <v>0</v>
      </c>
    </row>
    <row r="584" spans="28:36" x14ac:dyDescent="0.3">
      <c r="AB584">
        <f t="shared" si="55"/>
        <v>0</v>
      </c>
      <c r="AC584">
        <f t="shared" si="55"/>
        <v>1</v>
      </c>
      <c r="AD584">
        <f t="shared" si="55"/>
        <v>1</v>
      </c>
      <c r="AE584">
        <f t="shared" si="55"/>
        <v>0</v>
      </c>
      <c r="AF584">
        <f t="shared" si="55"/>
        <v>2</v>
      </c>
      <c r="AG584">
        <f t="shared" si="56"/>
        <v>4</v>
      </c>
      <c r="AH584">
        <f t="shared" ca="1" si="57"/>
        <v>0</v>
      </c>
      <c r="AI584">
        <f>IF(ROW($AA584) - $AA$51 &lt; ($H$16+1)^5, IF(AG584 &gt;= BaseBonus!$C$16, AG584*BaseBonus!$E$31, 0), "")</f>
        <v>0</v>
      </c>
      <c r="AJ584">
        <f t="shared" ca="1" si="58"/>
        <v>0</v>
      </c>
    </row>
    <row r="585" spans="28:36" x14ac:dyDescent="0.3">
      <c r="AB585">
        <f t="shared" si="55"/>
        <v>1</v>
      </c>
      <c r="AC585">
        <f t="shared" si="55"/>
        <v>1</v>
      </c>
      <c r="AD585">
        <f t="shared" si="55"/>
        <v>1</v>
      </c>
      <c r="AE585">
        <f t="shared" si="55"/>
        <v>0</v>
      </c>
      <c r="AF585">
        <f t="shared" si="55"/>
        <v>2</v>
      </c>
      <c r="AG585">
        <f t="shared" si="56"/>
        <v>5</v>
      </c>
      <c r="AH585">
        <f t="shared" ca="1" si="57"/>
        <v>0</v>
      </c>
      <c r="AI585">
        <f>IF(ROW($AA585) - $AA$51 &lt; ($H$16+1)^5, IF(AG585 &gt;= BaseBonus!$C$16, AG585*BaseBonus!$E$31, 0), "")</f>
        <v>4.6952679064628979</v>
      </c>
      <c r="AJ585">
        <f t="shared" ca="1" si="58"/>
        <v>0</v>
      </c>
    </row>
    <row r="586" spans="28:36" x14ac:dyDescent="0.3">
      <c r="AB586">
        <f t="shared" si="55"/>
        <v>2</v>
      </c>
      <c r="AC586">
        <f t="shared" si="55"/>
        <v>1</v>
      </c>
      <c r="AD586">
        <f t="shared" si="55"/>
        <v>1</v>
      </c>
      <c r="AE586">
        <f t="shared" si="55"/>
        <v>0</v>
      </c>
      <c r="AF586">
        <f t="shared" si="55"/>
        <v>2</v>
      </c>
      <c r="AG586">
        <f t="shared" si="56"/>
        <v>6</v>
      </c>
      <c r="AH586">
        <f t="shared" ca="1" si="57"/>
        <v>0</v>
      </c>
      <c r="AI586">
        <f>IF(ROW($AA586) - $AA$51 &lt; ($H$16+1)^5, IF(AG586 &gt;= BaseBonus!$C$16, AG586*BaseBonus!$E$31, 0), "")</f>
        <v>5.6343214877554777</v>
      </c>
      <c r="AJ586">
        <f t="shared" ca="1" si="58"/>
        <v>0</v>
      </c>
    </row>
    <row r="587" spans="28:36" x14ac:dyDescent="0.3">
      <c r="AB587">
        <f t="shared" si="55"/>
        <v>3</v>
      </c>
      <c r="AC587">
        <f t="shared" si="55"/>
        <v>1</v>
      </c>
      <c r="AD587">
        <f t="shared" si="55"/>
        <v>1</v>
      </c>
      <c r="AE587">
        <f t="shared" si="55"/>
        <v>0</v>
      </c>
      <c r="AF587">
        <f t="shared" si="55"/>
        <v>2</v>
      </c>
      <c r="AG587">
        <f t="shared" si="56"/>
        <v>7</v>
      </c>
      <c r="AH587">
        <f t="shared" ca="1" si="57"/>
        <v>0</v>
      </c>
      <c r="AI587">
        <f>IF(ROW($AA587) - $AA$51 &lt; ($H$16+1)^5, IF(AG587 &gt;= BaseBonus!$C$16, AG587*BaseBonus!$E$31, 0), "")</f>
        <v>6.5733750690480575</v>
      </c>
      <c r="AJ587">
        <f t="shared" ca="1" si="58"/>
        <v>0</v>
      </c>
    </row>
    <row r="588" spans="28:36" x14ac:dyDescent="0.3">
      <c r="AB588">
        <f t="shared" si="55"/>
        <v>0</v>
      </c>
      <c r="AC588">
        <f t="shared" si="55"/>
        <v>2</v>
      </c>
      <c r="AD588">
        <f t="shared" si="55"/>
        <v>1</v>
      </c>
      <c r="AE588">
        <f t="shared" si="55"/>
        <v>0</v>
      </c>
      <c r="AF588">
        <f t="shared" si="55"/>
        <v>2</v>
      </c>
      <c r="AG588">
        <f t="shared" si="56"/>
        <v>5</v>
      </c>
      <c r="AH588">
        <f t="shared" ca="1" si="57"/>
        <v>0</v>
      </c>
      <c r="AI588">
        <f>IF(ROW($AA588) - $AA$51 &lt; ($H$16+1)^5, IF(AG588 &gt;= BaseBonus!$C$16, AG588*BaseBonus!$E$31, 0), "")</f>
        <v>4.6952679064628979</v>
      </c>
      <c r="AJ588">
        <f t="shared" ca="1" si="58"/>
        <v>0</v>
      </c>
    </row>
    <row r="589" spans="28:36" x14ac:dyDescent="0.3">
      <c r="AB589">
        <f t="shared" si="55"/>
        <v>1</v>
      </c>
      <c r="AC589">
        <f t="shared" si="55"/>
        <v>2</v>
      </c>
      <c r="AD589">
        <f t="shared" si="55"/>
        <v>1</v>
      </c>
      <c r="AE589">
        <f t="shared" si="55"/>
        <v>0</v>
      </c>
      <c r="AF589">
        <f t="shared" si="55"/>
        <v>2</v>
      </c>
      <c r="AG589">
        <f t="shared" si="56"/>
        <v>6</v>
      </c>
      <c r="AH589">
        <f t="shared" ca="1" si="57"/>
        <v>0</v>
      </c>
      <c r="AI589">
        <f>IF(ROW($AA589) - $AA$51 &lt; ($H$16+1)^5, IF(AG589 &gt;= BaseBonus!$C$16, AG589*BaseBonus!$E$31, 0), "")</f>
        <v>5.6343214877554777</v>
      </c>
      <c r="AJ589">
        <f t="shared" ca="1" si="58"/>
        <v>0</v>
      </c>
    </row>
    <row r="590" spans="28:36" x14ac:dyDescent="0.3">
      <c r="AB590">
        <f t="shared" si="55"/>
        <v>2</v>
      </c>
      <c r="AC590">
        <f t="shared" si="55"/>
        <v>2</v>
      </c>
      <c r="AD590">
        <f t="shared" si="55"/>
        <v>1</v>
      </c>
      <c r="AE590">
        <f t="shared" si="55"/>
        <v>0</v>
      </c>
      <c r="AF590">
        <f t="shared" si="55"/>
        <v>2</v>
      </c>
      <c r="AG590">
        <f t="shared" si="56"/>
        <v>7</v>
      </c>
      <c r="AH590">
        <f t="shared" ca="1" si="57"/>
        <v>0</v>
      </c>
      <c r="AI590">
        <f>IF(ROW($AA590) - $AA$51 &lt; ($H$16+1)^5, IF(AG590 &gt;= BaseBonus!$C$16, AG590*BaseBonus!$E$31, 0), "")</f>
        <v>6.5733750690480575</v>
      </c>
      <c r="AJ590">
        <f t="shared" ca="1" si="58"/>
        <v>0</v>
      </c>
    </row>
    <row r="591" spans="28:36" x14ac:dyDescent="0.3">
      <c r="AB591">
        <f t="shared" si="55"/>
        <v>3</v>
      </c>
      <c r="AC591">
        <f t="shared" si="55"/>
        <v>2</v>
      </c>
      <c r="AD591">
        <f t="shared" si="55"/>
        <v>1</v>
      </c>
      <c r="AE591">
        <f t="shared" si="55"/>
        <v>0</v>
      </c>
      <c r="AF591">
        <f t="shared" si="55"/>
        <v>2</v>
      </c>
      <c r="AG591">
        <f t="shared" si="56"/>
        <v>8</v>
      </c>
      <c r="AH591">
        <f t="shared" ca="1" si="57"/>
        <v>0</v>
      </c>
      <c r="AI591">
        <f>IF(ROW($AA591) - $AA$51 &lt; ($H$16+1)^5, IF(AG591 &gt;= BaseBonus!$C$16, AG591*BaseBonus!$E$31, 0), "")</f>
        <v>7.5124286503406372</v>
      </c>
      <c r="AJ591">
        <f t="shared" ca="1" si="58"/>
        <v>0</v>
      </c>
    </row>
    <row r="592" spans="28:36" x14ac:dyDescent="0.3">
      <c r="AB592">
        <f t="shared" si="55"/>
        <v>0</v>
      </c>
      <c r="AC592">
        <f t="shared" si="55"/>
        <v>3</v>
      </c>
      <c r="AD592">
        <f t="shared" si="55"/>
        <v>1</v>
      </c>
      <c r="AE592">
        <f t="shared" si="55"/>
        <v>0</v>
      </c>
      <c r="AF592">
        <f t="shared" si="55"/>
        <v>2</v>
      </c>
      <c r="AG592">
        <f t="shared" si="56"/>
        <v>6</v>
      </c>
      <c r="AH592">
        <f t="shared" ca="1" si="57"/>
        <v>0</v>
      </c>
      <c r="AI592">
        <f>IF(ROW($AA592) - $AA$51 &lt; ($H$16+1)^5, IF(AG592 &gt;= BaseBonus!$C$16, AG592*BaseBonus!$E$31, 0), "")</f>
        <v>5.6343214877554777</v>
      </c>
      <c r="AJ592">
        <f t="shared" ca="1" si="58"/>
        <v>0</v>
      </c>
    </row>
    <row r="593" spans="28:36" x14ac:dyDescent="0.3">
      <c r="AB593">
        <f t="shared" si="55"/>
        <v>1</v>
      </c>
      <c r="AC593">
        <f t="shared" si="55"/>
        <v>3</v>
      </c>
      <c r="AD593">
        <f t="shared" si="55"/>
        <v>1</v>
      </c>
      <c r="AE593">
        <f t="shared" si="55"/>
        <v>0</v>
      </c>
      <c r="AF593">
        <f t="shared" si="55"/>
        <v>2</v>
      </c>
      <c r="AG593">
        <f t="shared" si="56"/>
        <v>7</v>
      </c>
      <c r="AH593">
        <f t="shared" ca="1" si="57"/>
        <v>0</v>
      </c>
      <c r="AI593">
        <f>IF(ROW($AA593) - $AA$51 &lt; ($H$16+1)^5, IF(AG593 &gt;= BaseBonus!$C$16, AG593*BaseBonus!$E$31, 0), "")</f>
        <v>6.5733750690480575</v>
      </c>
      <c r="AJ593">
        <f t="shared" ca="1" si="58"/>
        <v>0</v>
      </c>
    </row>
    <row r="594" spans="28:36" x14ac:dyDescent="0.3">
      <c r="AB594">
        <f t="shared" si="55"/>
        <v>2</v>
      </c>
      <c r="AC594">
        <f t="shared" si="55"/>
        <v>3</v>
      </c>
      <c r="AD594">
        <f t="shared" si="55"/>
        <v>1</v>
      </c>
      <c r="AE594">
        <f t="shared" si="55"/>
        <v>0</v>
      </c>
      <c r="AF594">
        <f t="shared" si="55"/>
        <v>2</v>
      </c>
      <c r="AG594">
        <f t="shared" si="56"/>
        <v>8</v>
      </c>
      <c r="AH594">
        <f t="shared" ca="1" si="57"/>
        <v>0</v>
      </c>
      <c r="AI594">
        <f>IF(ROW($AA594) - $AA$51 &lt; ($H$16+1)^5, IF(AG594 &gt;= BaseBonus!$C$16, AG594*BaseBonus!$E$31, 0), "")</f>
        <v>7.5124286503406372</v>
      </c>
      <c r="AJ594">
        <f t="shared" ca="1" si="58"/>
        <v>0</v>
      </c>
    </row>
    <row r="595" spans="28:36" x14ac:dyDescent="0.3">
      <c r="AB595">
        <f t="shared" si="55"/>
        <v>3</v>
      </c>
      <c r="AC595">
        <f t="shared" si="55"/>
        <v>3</v>
      </c>
      <c r="AD595">
        <f t="shared" si="55"/>
        <v>1</v>
      </c>
      <c r="AE595">
        <f t="shared" si="55"/>
        <v>0</v>
      </c>
      <c r="AF595">
        <f t="shared" si="55"/>
        <v>2</v>
      </c>
      <c r="AG595">
        <f t="shared" si="56"/>
        <v>9</v>
      </c>
      <c r="AH595">
        <f t="shared" ca="1" si="57"/>
        <v>0</v>
      </c>
      <c r="AI595">
        <f>IF(ROW($AA595) - $AA$51 &lt; ($H$16+1)^5, IF(AG595 &gt;= BaseBonus!$C$16, AG595*BaseBonus!$E$31, 0), "")</f>
        <v>8.4514822316332161</v>
      </c>
      <c r="AJ595">
        <f t="shared" ca="1" si="58"/>
        <v>0</v>
      </c>
    </row>
    <row r="596" spans="28:36" x14ac:dyDescent="0.3">
      <c r="AB596">
        <f t="shared" si="55"/>
        <v>0</v>
      </c>
      <c r="AC596">
        <f t="shared" si="55"/>
        <v>0</v>
      </c>
      <c r="AD596">
        <f t="shared" si="55"/>
        <v>2</v>
      </c>
      <c r="AE596">
        <f t="shared" si="55"/>
        <v>0</v>
      </c>
      <c r="AF596">
        <f t="shared" si="55"/>
        <v>2</v>
      </c>
      <c r="AG596">
        <f t="shared" si="56"/>
        <v>4</v>
      </c>
      <c r="AH596">
        <f t="shared" ca="1" si="57"/>
        <v>0</v>
      </c>
      <c r="AI596">
        <f>IF(ROW($AA596) - $AA$51 &lt; ($H$16+1)^5, IF(AG596 &gt;= BaseBonus!$C$16, AG596*BaseBonus!$E$31, 0), "")</f>
        <v>0</v>
      </c>
      <c r="AJ596">
        <f t="shared" ca="1" si="58"/>
        <v>0</v>
      </c>
    </row>
    <row r="597" spans="28:36" x14ac:dyDescent="0.3">
      <c r="AB597">
        <f t="shared" si="55"/>
        <v>1</v>
      </c>
      <c r="AC597">
        <f t="shared" si="55"/>
        <v>0</v>
      </c>
      <c r="AD597">
        <f t="shared" si="55"/>
        <v>2</v>
      </c>
      <c r="AE597">
        <f t="shared" si="55"/>
        <v>0</v>
      </c>
      <c r="AF597">
        <f t="shared" si="55"/>
        <v>2</v>
      </c>
      <c r="AG597">
        <f t="shared" si="56"/>
        <v>5</v>
      </c>
      <c r="AH597">
        <f t="shared" ca="1" si="57"/>
        <v>0</v>
      </c>
      <c r="AI597">
        <f>IF(ROW($AA597) - $AA$51 &lt; ($H$16+1)^5, IF(AG597 &gt;= BaseBonus!$C$16, AG597*BaseBonus!$E$31, 0), "")</f>
        <v>4.6952679064628979</v>
      </c>
      <c r="AJ597">
        <f t="shared" ca="1" si="58"/>
        <v>0</v>
      </c>
    </row>
    <row r="598" spans="28:36" x14ac:dyDescent="0.3">
      <c r="AB598">
        <f t="shared" si="55"/>
        <v>2</v>
      </c>
      <c r="AC598">
        <f t="shared" si="55"/>
        <v>0</v>
      </c>
      <c r="AD598">
        <f t="shared" si="55"/>
        <v>2</v>
      </c>
      <c r="AE598">
        <f t="shared" si="55"/>
        <v>0</v>
      </c>
      <c r="AF598">
        <f t="shared" si="55"/>
        <v>2</v>
      </c>
      <c r="AG598">
        <f t="shared" si="56"/>
        <v>6</v>
      </c>
      <c r="AH598">
        <f t="shared" ca="1" si="57"/>
        <v>0</v>
      </c>
      <c r="AI598">
        <f>IF(ROW($AA598) - $AA$51 &lt; ($H$16+1)^5, IF(AG598 &gt;= BaseBonus!$C$16, AG598*BaseBonus!$E$31, 0), "")</f>
        <v>5.6343214877554777</v>
      </c>
      <c r="AJ598">
        <f t="shared" ca="1" si="58"/>
        <v>0</v>
      </c>
    </row>
    <row r="599" spans="28:36" x14ac:dyDescent="0.3">
      <c r="AB599">
        <f t="shared" si="55"/>
        <v>3</v>
      </c>
      <c r="AC599">
        <f t="shared" si="55"/>
        <v>0</v>
      </c>
      <c r="AD599">
        <f t="shared" si="55"/>
        <v>2</v>
      </c>
      <c r="AE599">
        <f t="shared" si="55"/>
        <v>0</v>
      </c>
      <c r="AF599">
        <f t="shared" si="55"/>
        <v>2</v>
      </c>
      <c r="AG599">
        <f t="shared" si="56"/>
        <v>7</v>
      </c>
      <c r="AH599">
        <f t="shared" ca="1" si="57"/>
        <v>0</v>
      </c>
      <c r="AI599">
        <f>IF(ROW($AA599) - $AA$51 &lt; ($H$16+1)^5, IF(AG599 &gt;= BaseBonus!$C$16, AG599*BaseBonus!$E$31, 0), "")</f>
        <v>6.5733750690480575</v>
      </c>
      <c r="AJ599">
        <f t="shared" ca="1" si="58"/>
        <v>0</v>
      </c>
    </row>
    <row r="600" spans="28:36" x14ac:dyDescent="0.3">
      <c r="AB600">
        <f t="shared" si="55"/>
        <v>0</v>
      </c>
      <c r="AC600">
        <f t="shared" si="55"/>
        <v>1</v>
      </c>
      <c r="AD600">
        <f t="shared" si="55"/>
        <v>2</v>
      </c>
      <c r="AE600">
        <f t="shared" si="55"/>
        <v>0</v>
      </c>
      <c r="AF600">
        <f t="shared" si="55"/>
        <v>2</v>
      </c>
      <c r="AG600">
        <f t="shared" si="56"/>
        <v>5</v>
      </c>
      <c r="AH600">
        <f t="shared" ca="1" si="57"/>
        <v>0</v>
      </c>
      <c r="AI600">
        <f>IF(ROW($AA600) - $AA$51 &lt; ($H$16+1)^5, IF(AG600 &gt;= BaseBonus!$C$16, AG600*BaseBonus!$E$31, 0), "")</f>
        <v>4.6952679064628979</v>
      </c>
      <c r="AJ600">
        <f t="shared" ca="1" si="58"/>
        <v>0</v>
      </c>
    </row>
    <row r="601" spans="28:36" x14ac:dyDescent="0.3">
      <c r="AB601">
        <f t="shared" si="55"/>
        <v>1</v>
      </c>
      <c r="AC601">
        <f t="shared" si="55"/>
        <v>1</v>
      </c>
      <c r="AD601">
        <f t="shared" si="55"/>
        <v>2</v>
      </c>
      <c r="AE601">
        <f t="shared" si="55"/>
        <v>0</v>
      </c>
      <c r="AF601">
        <f t="shared" si="55"/>
        <v>2</v>
      </c>
      <c r="AG601">
        <f t="shared" si="56"/>
        <v>6</v>
      </c>
      <c r="AH601">
        <f t="shared" ca="1" si="57"/>
        <v>0</v>
      </c>
      <c r="AI601">
        <f>IF(ROW($AA601) - $AA$51 &lt; ($H$16+1)^5, IF(AG601 &gt;= BaseBonus!$C$16, AG601*BaseBonus!$E$31, 0), "")</f>
        <v>5.6343214877554777</v>
      </c>
      <c r="AJ601">
        <f t="shared" ca="1" si="58"/>
        <v>0</v>
      </c>
    </row>
    <row r="602" spans="28:36" x14ac:dyDescent="0.3">
      <c r="AB602">
        <f t="shared" si="55"/>
        <v>2</v>
      </c>
      <c r="AC602">
        <f t="shared" si="55"/>
        <v>1</v>
      </c>
      <c r="AD602">
        <f t="shared" si="55"/>
        <v>2</v>
      </c>
      <c r="AE602">
        <f t="shared" si="55"/>
        <v>0</v>
      </c>
      <c r="AF602">
        <f t="shared" si="55"/>
        <v>2</v>
      </c>
      <c r="AG602">
        <f t="shared" si="56"/>
        <v>7</v>
      </c>
      <c r="AH602">
        <f t="shared" ca="1" si="57"/>
        <v>0</v>
      </c>
      <c r="AI602">
        <f>IF(ROW($AA602) - $AA$51 &lt; ($H$16+1)^5, IF(AG602 &gt;= BaseBonus!$C$16, AG602*BaseBonus!$E$31, 0), "")</f>
        <v>6.5733750690480575</v>
      </c>
      <c r="AJ602">
        <f t="shared" ca="1" si="58"/>
        <v>0</v>
      </c>
    </row>
    <row r="603" spans="28:36" x14ac:dyDescent="0.3">
      <c r="AB603">
        <f t="shared" si="55"/>
        <v>3</v>
      </c>
      <c r="AC603">
        <f t="shared" si="55"/>
        <v>1</v>
      </c>
      <c r="AD603">
        <f t="shared" si="55"/>
        <v>2</v>
      </c>
      <c r="AE603">
        <f t="shared" si="55"/>
        <v>0</v>
      </c>
      <c r="AF603">
        <f t="shared" si="55"/>
        <v>2</v>
      </c>
      <c r="AG603">
        <f t="shared" si="56"/>
        <v>8</v>
      </c>
      <c r="AH603">
        <f t="shared" ca="1" si="57"/>
        <v>0</v>
      </c>
      <c r="AI603">
        <f>IF(ROW($AA603) - $AA$51 &lt; ($H$16+1)^5, IF(AG603 &gt;= BaseBonus!$C$16, AG603*BaseBonus!$E$31, 0), "")</f>
        <v>7.5124286503406372</v>
      </c>
      <c r="AJ603">
        <f t="shared" ca="1" si="58"/>
        <v>0</v>
      </c>
    </row>
    <row r="604" spans="28:36" x14ac:dyDescent="0.3">
      <c r="AB604">
        <f t="shared" si="55"/>
        <v>0</v>
      </c>
      <c r="AC604">
        <f t="shared" si="55"/>
        <v>2</v>
      </c>
      <c r="AD604">
        <f t="shared" si="55"/>
        <v>2</v>
      </c>
      <c r="AE604">
        <f t="shared" si="55"/>
        <v>0</v>
      </c>
      <c r="AF604">
        <f t="shared" si="55"/>
        <v>2</v>
      </c>
      <c r="AG604">
        <f t="shared" si="56"/>
        <v>6</v>
      </c>
      <c r="AH604">
        <f t="shared" ca="1" si="57"/>
        <v>0</v>
      </c>
      <c r="AI604">
        <f>IF(ROW($AA604) - $AA$51 &lt; ($H$16+1)^5, IF(AG604 &gt;= BaseBonus!$C$16, AG604*BaseBonus!$E$31, 0), "")</f>
        <v>5.6343214877554777</v>
      </c>
      <c r="AJ604">
        <f t="shared" ca="1" si="58"/>
        <v>0</v>
      </c>
    </row>
    <row r="605" spans="28:36" x14ac:dyDescent="0.3">
      <c r="AB605">
        <f t="shared" si="55"/>
        <v>1</v>
      </c>
      <c r="AC605">
        <f t="shared" si="55"/>
        <v>2</v>
      </c>
      <c r="AD605">
        <f t="shared" si="55"/>
        <v>2</v>
      </c>
      <c r="AE605">
        <f t="shared" si="55"/>
        <v>0</v>
      </c>
      <c r="AF605">
        <f t="shared" si="55"/>
        <v>2</v>
      </c>
      <c r="AG605">
        <f t="shared" si="56"/>
        <v>7</v>
      </c>
      <c r="AH605">
        <f t="shared" ca="1" si="57"/>
        <v>0</v>
      </c>
      <c r="AI605">
        <f>IF(ROW($AA605) - $AA$51 &lt; ($H$16+1)^5, IF(AG605 &gt;= BaseBonus!$C$16, AG605*BaseBonus!$E$31, 0), "")</f>
        <v>6.5733750690480575</v>
      </c>
      <c r="AJ605">
        <f t="shared" ca="1" si="58"/>
        <v>0</v>
      </c>
    </row>
    <row r="606" spans="28:36" x14ac:dyDescent="0.3">
      <c r="AB606">
        <f t="shared" si="55"/>
        <v>2</v>
      </c>
      <c r="AC606">
        <f t="shared" si="55"/>
        <v>2</v>
      </c>
      <c r="AD606">
        <f t="shared" si="55"/>
        <v>2</v>
      </c>
      <c r="AE606">
        <f t="shared" si="55"/>
        <v>0</v>
      </c>
      <c r="AF606">
        <f t="shared" si="55"/>
        <v>2</v>
      </c>
      <c r="AG606">
        <f t="shared" si="56"/>
        <v>8</v>
      </c>
      <c r="AH606">
        <f t="shared" ca="1" si="57"/>
        <v>0</v>
      </c>
      <c r="AI606">
        <f>IF(ROW($AA606) - $AA$51 &lt; ($H$16+1)^5, IF(AG606 &gt;= BaseBonus!$C$16, AG606*BaseBonus!$E$31, 0), "")</f>
        <v>7.5124286503406372</v>
      </c>
      <c r="AJ606">
        <f t="shared" ca="1" si="58"/>
        <v>0</v>
      </c>
    </row>
    <row r="607" spans="28:36" x14ac:dyDescent="0.3">
      <c r="AB607">
        <f t="shared" si="55"/>
        <v>3</v>
      </c>
      <c r="AC607">
        <f t="shared" si="55"/>
        <v>2</v>
      </c>
      <c r="AD607">
        <f t="shared" si="55"/>
        <v>2</v>
      </c>
      <c r="AE607">
        <f t="shared" si="55"/>
        <v>0</v>
      </c>
      <c r="AF607">
        <f t="shared" si="55"/>
        <v>2</v>
      </c>
      <c r="AG607">
        <f t="shared" si="56"/>
        <v>9</v>
      </c>
      <c r="AH607">
        <f t="shared" ca="1" si="57"/>
        <v>0</v>
      </c>
      <c r="AI607">
        <f>IF(ROW($AA607) - $AA$51 &lt; ($H$16+1)^5, IF(AG607 &gt;= BaseBonus!$C$16, AG607*BaseBonus!$E$31, 0), "")</f>
        <v>8.4514822316332161</v>
      </c>
      <c r="AJ607">
        <f t="shared" ca="1" si="58"/>
        <v>0</v>
      </c>
    </row>
    <row r="608" spans="28:36" x14ac:dyDescent="0.3">
      <c r="AB608">
        <f t="shared" si="55"/>
        <v>0</v>
      </c>
      <c r="AC608">
        <f t="shared" si="55"/>
        <v>3</v>
      </c>
      <c r="AD608">
        <f t="shared" si="55"/>
        <v>2</v>
      </c>
      <c r="AE608">
        <f t="shared" si="55"/>
        <v>0</v>
      </c>
      <c r="AF608">
        <f t="shared" si="55"/>
        <v>2</v>
      </c>
      <c r="AG608">
        <f t="shared" si="56"/>
        <v>7</v>
      </c>
      <c r="AH608">
        <f t="shared" ca="1" si="57"/>
        <v>0</v>
      </c>
      <c r="AI608">
        <f>IF(ROW($AA608) - $AA$51 &lt; ($H$16+1)^5, IF(AG608 &gt;= BaseBonus!$C$16, AG608*BaseBonus!$E$31, 0), "")</f>
        <v>6.5733750690480575</v>
      </c>
      <c r="AJ608">
        <f t="shared" ca="1" si="58"/>
        <v>0</v>
      </c>
    </row>
    <row r="609" spans="28:36" x14ac:dyDescent="0.3">
      <c r="AB609">
        <f t="shared" si="55"/>
        <v>1</v>
      </c>
      <c r="AC609">
        <f t="shared" si="55"/>
        <v>3</v>
      </c>
      <c r="AD609">
        <f t="shared" si="55"/>
        <v>2</v>
      </c>
      <c r="AE609">
        <f t="shared" si="55"/>
        <v>0</v>
      </c>
      <c r="AF609">
        <f t="shared" si="55"/>
        <v>2</v>
      </c>
      <c r="AG609">
        <f t="shared" si="56"/>
        <v>8</v>
      </c>
      <c r="AH609">
        <f t="shared" ca="1" si="57"/>
        <v>0</v>
      </c>
      <c r="AI609">
        <f>IF(ROW($AA609) - $AA$51 &lt; ($H$16+1)^5, IF(AG609 &gt;= BaseBonus!$C$16, AG609*BaseBonus!$E$31, 0), "")</f>
        <v>7.5124286503406372</v>
      </c>
      <c r="AJ609">
        <f t="shared" ca="1" si="58"/>
        <v>0</v>
      </c>
    </row>
    <row r="610" spans="28:36" x14ac:dyDescent="0.3">
      <c r="AB610">
        <f t="shared" si="55"/>
        <v>2</v>
      </c>
      <c r="AC610">
        <f t="shared" si="55"/>
        <v>3</v>
      </c>
      <c r="AD610">
        <f t="shared" si="55"/>
        <v>2</v>
      </c>
      <c r="AE610">
        <f t="shared" si="55"/>
        <v>0</v>
      </c>
      <c r="AF610">
        <f t="shared" si="55"/>
        <v>2</v>
      </c>
      <c r="AG610">
        <f t="shared" si="56"/>
        <v>9</v>
      </c>
      <c r="AH610">
        <f t="shared" ca="1" si="57"/>
        <v>0</v>
      </c>
      <c r="AI610">
        <f>IF(ROW($AA610) - $AA$51 &lt; ($H$16+1)^5, IF(AG610 &gt;= BaseBonus!$C$16, AG610*BaseBonus!$E$31, 0), "")</f>
        <v>8.4514822316332161</v>
      </c>
      <c r="AJ610">
        <f t="shared" ca="1" si="58"/>
        <v>0</v>
      </c>
    </row>
    <row r="611" spans="28:36" x14ac:dyDescent="0.3">
      <c r="AB611">
        <f t="shared" si="55"/>
        <v>3</v>
      </c>
      <c r="AC611">
        <f t="shared" si="55"/>
        <v>3</v>
      </c>
      <c r="AD611">
        <f t="shared" si="55"/>
        <v>2</v>
      </c>
      <c r="AE611">
        <f t="shared" si="55"/>
        <v>0</v>
      </c>
      <c r="AF611">
        <f t="shared" si="55"/>
        <v>2</v>
      </c>
      <c r="AG611">
        <f t="shared" si="56"/>
        <v>10</v>
      </c>
      <c r="AH611">
        <f t="shared" ca="1" si="57"/>
        <v>0</v>
      </c>
      <c r="AI611">
        <f>IF(ROW($AA611) - $AA$51 &lt; ($H$16+1)^5, IF(AG611 &gt;= BaseBonus!$C$16, AG611*BaseBonus!$E$31, 0), "")</f>
        <v>9.3905358129257959</v>
      </c>
      <c r="AJ611">
        <f t="shared" ca="1" si="58"/>
        <v>0</v>
      </c>
    </row>
    <row r="612" spans="28:36" x14ac:dyDescent="0.3">
      <c r="AB612">
        <f t="shared" si="55"/>
        <v>0</v>
      </c>
      <c r="AC612">
        <f t="shared" si="55"/>
        <v>0</v>
      </c>
      <c r="AD612">
        <f t="shared" si="55"/>
        <v>3</v>
      </c>
      <c r="AE612">
        <f t="shared" si="55"/>
        <v>0</v>
      </c>
      <c r="AF612">
        <f t="shared" si="55"/>
        <v>2</v>
      </c>
      <c r="AG612">
        <f t="shared" si="56"/>
        <v>5</v>
      </c>
      <c r="AH612">
        <f t="shared" ca="1" si="57"/>
        <v>0</v>
      </c>
      <c r="AI612">
        <f>IF(ROW($AA612) - $AA$51 &lt; ($H$16+1)^5, IF(AG612 &gt;= BaseBonus!$C$16, AG612*BaseBonus!$E$31, 0), "")</f>
        <v>4.6952679064628979</v>
      </c>
      <c r="AJ612">
        <f t="shared" ca="1" si="58"/>
        <v>0</v>
      </c>
    </row>
    <row r="613" spans="28:36" x14ac:dyDescent="0.3">
      <c r="AB613">
        <f t="shared" ref="AB613:AF663" si="59">IF(ROW()-$AA$51 &lt; (H$16+1)^5, MOD(_xlfn.FLOOR.MATH((ROW()-$AA$51)/AB$50), H$16+1), "")</f>
        <v>1</v>
      </c>
      <c r="AC613">
        <f t="shared" si="59"/>
        <v>0</v>
      </c>
      <c r="AD613">
        <f t="shared" si="59"/>
        <v>3</v>
      </c>
      <c r="AE613">
        <f t="shared" si="59"/>
        <v>0</v>
      </c>
      <c r="AF613">
        <f t="shared" si="59"/>
        <v>2</v>
      </c>
      <c r="AG613">
        <f t="shared" si="56"/>
        <v>6</v>
      </c>
      <c r="AH613">
        <f t="shared" ca="1" si="57"/>
        <v>0</v>
      </c>
      <c r="AI613">
        <f>IF(ROW($AA613) - $AA$51 &lt; ($H$16+1)^5, IF(AG613 &gt;= BaseBonus!$C$16, AG613*BaseBonus!$E$31, 0), "")</f>
        <v>5.6343214877554777</v>
      </c>
      <c r="AJ613">
        <f t="shared" ca="1" si="58"/>
        <v>0</v>
      </c>
    </row>
    <row r="614" spans="28:36" x14ac:dyDescent="0.3">
      <c r="AB614">
        <f t="shared" si="59"/>
        <v>2</v>
      </c>
      <c r="AC614">
        <f t="shared" si="59"/>
        <v>0</v>
      </c>
      <c r="AD614">
        <f t="shared" si="59"/>
        <v>3</v>
      </c>
      <c r="AE614">
        <f t="shared" si="59"/>
        <v>0</v>
      </c>
      <c r="AF614">
        <f t="shared" si="59"/>
        <v>2</v>
      </c>
      <c r="AG614">
        <f t="shared" si="56"/>
        <v>7</v>
      </c>
      <c r="AH614">
        <f t="shared" ca="1" si="57"/>
        <v>0</v>
      </c>
      <c r="AI614">
        <f>IF(ROW($AA614) - $AA$51 &lt; ($H$16+1)^5, IF(AG614 &gt;= BaseBonus!$C$16, AG614*BaseBonus!$E$31, 0), "")</f>
        <v>6.5733750690480575</v>
      </c>
      <c r="AJ614">
        <f t="shared" ca="1" si="58"/>
        <v>0</v>
      </c>
    </row>
    <row r="615" spans="28:36" x14ac:dyDescent="0.3">
      <c r="AB615">
        <f t="shared" si="59"/>
        <v>3</v>
      </c>
      <c r="AC615">
        <f t="shared" si="59"/>
        <v>0</v>
      </c>
      <c r="AD615">
        <f t="shared" si="59"/>
        <v>3</v>
      </c>
      <c r="AE615">
        <f t="shared" si="59"/>
        <v>0</v>
      </c>
      <c r="AF615">
        <f t="shared" si="59"/>
        <v>2</v>
      </c>
      <c r="AG615">
        <f t="shared" si="56"/>
        <v>8</v>
      </c>
      <c r="AH615">
        <f t="shared" ca="1" si="57"/>
        <v>0</v>
      </c>
      <c r="AI615">
        <f>IF(ROW($AA615) - $AA$51 &lt; ($H$16+1)^5, IF(AG615 &gt;= BaseBonus!$C$16, AG615*BaseBonus!$E$31, 0), "")</f>
        <v>7.5124286503406372</v>
      </c>
      <c r="AJ615">
        <f t="shared" ca="1" si="58"/>
        <v>0</v>
      </c>
    </row>
    <row r="616" spans="28:36" x14ac:dyDescent="0.3">
      <c r="AB616">
        <f t="shared" si="59"/>
        <v>0</v>
      </c>
      <c r="AC616">
        <f t="shared" si="59"/>
        <v>1</v>
      </c>
      <c r="AD616">
        <f t="shared" si="59"/>
        <v>3</v>
      </c>
      <c r="AE616">
        <f t="shared" si="59"/>
        <v>0</v>
      </c>
      <c r="AF616">
        <f t="shared" si="59"/>
        <v>2</v>
      </c>
      <c r="AG616">
        <f t="shared" si="56"/>
        <v>6</v>
      </c>
      <c r="AH616">
        <f t="shared" ca="1" si="57"/>
        <v>0</v>
      </c>
      <c r="AI616">
        <f>IF(ROW($AA616) - $AA$51 &lt; ($H$16+1)^5, IF(AG616 &gt;= BaseBonus!$C$16, AG616*BaseBonus!$E$31, 0), "")</f>
        <v>5.6343214877554777</v>
      </c>
      <c r="AJ616">
        <f t="shared" ca="1" si="58"/>
        <v>0</v>
      </c>
    </row>
    <row r="617" spans="28:36" x14ac:dyDescent="0.3">
      <c r="AB617">
        <f t="shared" si="59"/>
        <v>1</v>
      </c>
      <c r="AC617">
        <f t="shared" si="59"/>
        <v>1</v>
      </c>
      <c r="AD617">
        <f t="shared" si="59"/>
        <v>3</v>
      </c>
      <c r="AE617">
        <f t="shared" si="59"/>
        <v>0</v>
      </c>
      <c r="AF617">
        <f t="shared" si="59"/>
        <v>2</v>
      </c>
      <c r="AG617">
        <f t="shared" si="56"/>
        <v>7</v>
      </c>
      <c r="AH617">
        <f t="shared" ca="1" si="57"/>
        <v>0</v>
      </c>
      <c r="AI617">
        <f>IF(ROW($AA617) - $AA$51 &lt; ($H$16+1)^5, IF(AG617 &gt;= BaseBonus!$C$16, AG617*BaseBonus!$E$31, 0), "")</f>
        <v>6.5733750690480575</v>
      </c>
      <c r="AJ617">
        <f t="shared" ca="1" si="58"/>
        <v>0</v>
      </c>
    </row>
    <row r="618" spans="28:36" x14ac:dyDescent="0.3">
      <c r="AB618">
        <f t="shared" si="59"/>
        <v>2</v>
      </c>
      <c r="AC618">
        <f t="shared" si="59"/>
        <v>1</v>
      </c>
      <c r="AD618">
        <f t="shared" si="59"/>
        <v>3</v>
      </c>
      <c r="AE618">
        <f t="shared" si="59"/>
        <v>0</v>
      </c>
      <c r="AF618">
        <f t="shared" si="59"/>
        <v>2</v>
      </c>
      <c r="AG618">
        <f t="shared" si="56"/>
        <v>8</v>
      </c>
      <c r="AH618">
        <f t="shared" ca="1" si="57"/>
        <v>0</v>
      </c>
      <c r="AI618">
        <f>IF(ROW($AA618) - $AA$51 &lt; ($H$16+1)^5, IF(AG618 &gt;= BaseBonus!$C$16, AG618*BaseBonus!$E$31, 0), "")</f>
        <v>7.5124286503406372</v>
      </c>
      <c r="AJ618">
        <f t="shared" ca="1" si="58"/>
        <v>0</v>
      </c>
    </row>
    <row r="619" spans="28:36" x14ac:dyDescent="0.3">
      <c r="AB619">
        <f t="shared" si="59"/>
        <v>3</v>
      </c>
      <c r="AC619">
        <f t="shared" si="59"/>
        <v>1</v>
      </c>
      <c r="AD619">
        <f t="shared" si="59"/>
        <v>3</v>
      </c>
      <c r="AE619">
        <f t="shared" si="59"/>
        <v>0</v>
      </c>
      <c r="AF619">
        <f t="shared" si="59"/>
        <v>2</v>
      </c>
      <c r="AG619">
        <f t="shared" si="56"/>
        <v>9</v>
      </c>
      <c r="AH619">
        <f t="shared" ca="1" si="57"/>
        <v>0</v>
      </c>
      <c r="AI619">
        <f>IF(ROW($AA619) - $AA$51 &lt; ($H$16+1)^5, IF(AG619 &gt;= BaseBonus!$C$16, AG619*BaseBonus!$E$31, 0), "")</f>
        <v>8.4514822316332161</v>
      </c>
      <c r="AJ619">
        <f t="shared" ca="1" si="58"/>
        <v>0</v>
      </c>
    </row>
    <row r="620" spans="28:36" x14ac:dyDescent="0.3">
      <c r="AB620">
        <f t="shared" si="59"/>
        <v>0</v>
      </c>
      <c r="AC620">
        <f t="shared" si="59"/>
        <v>2</v>
      </c>
      <c r="AD620">
        <f t="shared" si="59"/>
        <v>3</v>
      </c>
      <c r="AE620">
        <f t="shared" si="59"/>
        <v>0</v>
      </c>
      <c r="AF620">
        <f t="shared" si="59"/>
        <v>2</v>
      </c>
      <c r="AG620">
        <f t="shared" si="56"/>
        <v>7</v>
      </c>
      <c r="AH620">
        <f t="shared" ca="1" si="57"/>
        <v>0</v>
      </c>
      <c r="AI620">
        <f>IF(ROW($AA620) - $AA$51 &lt; ($H$16+1)^5, IF(AG620 &gt;= BaseBonus!$C$16, AG620*BaseBonus!$E$31, 0), "")</f>
        <v>6.5733750690480575</v>
      </c>
      <c r="AJ620">
        <f t="shared" ca="1" si="58"/>
        <v>0</v>
      </c>
    </row>
    <row r="621" spans="28:36" x14ac:dyDescent="0.3">
      <c r="AB621">
        <f t="shared" si="59"/>
        <v>1</v>
      </c>
      <c r="AC621">
        <f t="shared" si="59"/>
        <v>2</v>
      </c>
      <c r="AD621">
        <f t="shared" si="59"/>
        <v>3</v>
      </c>
      <c r="AE621">
        <f t="shared" si="59"/>
        <v>0</v>
      </c>
      <c r="AF621">
        <f t="shared" si="59"/>
        <v>2</v>
      </c>
      <c r="AG621">
        <f t="shared" si="56"/>
        <v>8</v>
      </c>
      <c r="AH621">
        <f t="shared" ca="1" si="57"/>
        <v>0</v>
      </c>
      <c r="AI621">
        <f>IF(ROW($AA621) - $AA$51 &lt; ($H$16+1)^5, IF(AG621 &gt;= BaseBonus!$C$16, AG621*BaseBonus!$E$31, 0), "")</f>
        <v>7.5124286503406372</v>
      </c>
      <c r="AJ621">
        <f t="shared" ca="1" si="58"/>
        <v>0</v>
      </c>
    </row>
    <row r="622" spans="28:36" x14ac:dyDescent="0.3">
      <c r="AB622">
        <f t="shared" si="59"/>
        <v>2</v>
      </c>
      <c r="AC622">
        <f t="shared" si="59"/>
        <v>2</v>
      </c>
      <c r="AD622">
        <f t="shared" si="59"/>
        <v>3</v>
      </c>
      <c r="AE622">
        <f t="shared" si="59"/>
        <v>0</v>
      </c>
      <c r="AF622">
        <f t="shared" si="59"/>
        <v>2</v>
      </c>
      <c r="AG622">
        <f t="shared" si="56"/>
        <v>9</v>
      </c>
      <c r="AH622">
        <f t="shared" ca="1" si="57"/>
        <v>0</v>
      </c>
      <c r="AI622">
        <f>IF(ROW($AA622) - $AA$51 &lt; ($H$16+1)^5, IF(AG622 &gt;= BaseBonus!$C$16, AG622*BaseBonus!$E$31, 0), "")</f>
        <v>8.4514822316332161</v>
      </c>
      <c r="AJ622">
        <f t="shared" ca="1" si="58"/>
        <v>0</v>
      </c>
    </row>
    <row r="623" spans="28:36" x14ac:dyDescent="0.3">
      <c r="AB623">
        <f t="shared" si="59"/>
        <v>3</v>
      </c>
      <c r="AC623">
        <f t="shared" si="59"/>
        <v>2</v>
      </c>
      <c r="AD623">
        <f t="shared" si="59"/>
        <v>3</v>
      </c>
      <c r="AE623">
        <f t="shared" si="59"/>
        <v>0</v>
      </c>
      <c r="AF623">
        <f t="shared" si="59"/>
        <v>2</v>
      </c>
      <c r="AG623">
        <f t="shared" si="56"/>
        <v>10</v>
      </c>
      <c r="AH623">
        <f t="shared" ca="1" si="57"/>
        <v>0</v>
      </c>
      <c r="AI623">
        <f>IF(ROW($AA623) - $AA$51 &lt; ($H$16+1)^5, IF(AG623 &gt;= BaseBonus!$C$16, AG623*BaseBonus!$E$31, 0), "")</f>
        <v>9.3905358129257959</v>
      </c>
      <c r="AJ623">
        <f t="shared" ca="1" si="58"/>
        <v>0</v>
      </c>
    </row>
    <row r="624" spans="28:36" x14ac:dyDescent="0.3">
      <c r="AB624">
        <f t="shared" si="59"/>
        <v>0</v>
      </c>
      <c r="AC624">
        <f t="shared" si="59"/>
        <v>3</v>
      </c>
      <c r="AD624">
        <f t="shared" si="59"/>
        <v>3</v>
      </c>
      <c r="AE624">
        <f t="shared" si="59"/>
        <v>0</v>
      </c>
      <c r="AF624">
        <f t="shared" si="59"/>
        <v>2</v>
      </c>
      <c r="AG624">
        <f t="shared" si="56"/>
        <v>8</v>
      </c>
      <c r="AH624">
        <f t="shared" ca="1" si="57"/>
        <v>0</v>
      </c>
      <c r="AI624">
        <f>IF(ROW($AA624) - $AA$51 &lt; ($H$16+1)^5, IF(AG624 &gt;= BaseBonus!$C$16, AG624*BaseBonus!$E$31, 0), "")</f>
        <v>7.5124286503406372</v>
      </c>
      <c r="AJ624">
        <f t="shared" ca="1" si="58"/>
        <v>0</v>
      </c>
    </row>
    <row r="625" spans="28:36" x14ac:dyDescent="0.3">
      <c r="AB625">
        <f t="shared" si="59"/>
        <v>1</v>
      </c>
      <c r="AC625">
        <f t="shared" si="59"/>
        <v>3</v>
      </c>
      <c r="AD625">
        <f t="shared" si="59"/>
        <v>3</v>
      </c>
      <c r="AE625">
        <f t="shared" si="59"/>
        <v>0</v>
      </c>
      <c r="AF625">
        <f t="shared" si="59"/>
        <v>2</v>
      </c>
      <c r="AG625">
        <f t="shared" si="56"/>
        <v>9</v>
      </c>
      <c r="AH625">
        <f t="shared" ca="1" si="57"/>
        <v>0</v>
      </c>
      <c r="AI625">
        <f>IF(ROW($AA625) - $AA$51 &lt; ($H$16+1)^5, IF(AG625 &gt;= BaseBonus!$C$16, AG625*BaseBonus!$E$31, 0), "")</f>
        <v>8.4514822316332161</v>
      </c>
      <c r="AJ625">
        <f t="shared" ca="1" si="58"/>
        <v>0</v>
      </c>
    </row>
    <row r="626" spans="28:36" x14ac:dyDescent="0.3">
      <c r="AB626">
        <f t="shared" si="59"/>
        <v>2</v>
      </c>
      <c r="AC626">
        <f t="shared" si="59"/>
        <v>3</v>
      </c>
      <c r="AD626">
        <f t="shared" si="59"/>
        <v>3</v>
      </c>
      <c r="AE626">
        <f t="shared" si="59"/>
        <v>0</v>
      </c>
      <c r="AF626">
        <f t="shared" si="59"/>
        <v>2</v>
      </c>
      <c r="AG626">
        <f t="shared" si="56"/>
        <v>10</v>
      </c>
      <c r="AH626">
        <f t="shared" ca="1" si="57"/>
        <v>0</v>
      </c>
      <c r="AI626">
        <f>IF(ROW($AA626) - $AA$51 &lt; ($H$16+1)^5, IF(AG626 &gt;= BaseBonus!$C$16, AG626*BaseBonus!$E$31, 0), "")</f>
        <v>9.3905358129257959</v>
      </c>
      <c r="AJ626">
        <f t="shared" ca="1" si="58"/>
        <v>0</v>
      </c>
    </row>
    <row r="627" spans="28:36" x14ac:dyDescent="0.3">
      <c r="AB627">
        <f t="shared" si="59"/>
        <v>3</v>
      </c>
      <c r="AC627">
        <f t="shared" si="59"/>
        <v>3</v>
      </c>
      <c r="AD627">
        <f t="shared" si="59"/>
        <v>3</v>
      </c>
      <c r="AE627">
        <f t="shared" si="59"/>
        <v>0</v>
      </c>
      <c r="AF627">
        <f t="shared" si="59"/>
        <v>2</v>
      </c>
      <c r="AG627">
        <f t="shared" si="56"/>
        <v>11</v>
      </c>
      <c r="AH627">
        <f t="shared" ca="1" si="57"/>
        <v>0</v>
      </c>
      <c r="AI627">
        <f>IF(ROW($AA627) - $AA$51 &lt; ($H$16+1)^5, IF(AG627 &gt;= BaseBonus!$C$16, AG627*BaseBonus!$E$31, 0), "")</f>
        <v>10.329589394218376</v>
      </c>
      <c r="AJ627">
        <f t="shared" ca="1" si="58"/>
        <v>0</v>
      </c>
    </row>
    <row r="628" spans="28:36" x14ac:dyDescent="0.3">
      <c r="AB628">
        <f t="shared" si="59"/>
        <v>0</v>
      </c>
      <c r="AC628">
        <f t="shared" si="59"/>
        <v>0</v>
      </c>
      <c r="AD628">
        <f t="shared" si="59"/>
        <v>0</v>
      </c>
      <c r="AE628">
        <f t="shared" si="59"/>
        <v>1</v>
      </c>
      <c r="AF628">
        <f t="shared" si="59"/>
        <v>2</v>
      </c>
      <c r="AG628">
        <f t="shared" ref="AG628:AG691" si="60">IF(ROW($AA628) - $AA$51 &lt; ($H$16+1)^5, SUM(AB628:AF628), "")</f>
        <v>3</v>
      </c>
      <c r="AH628">
        <f t="shared" ref="AH628:AH691" ca="1" si="61">IF(ROW($AA628) - $AA$51 &lt; (4)^5,
    (_xlfn.XLOOKUP(AB628,$T$51:$T$55,U$51:U$55,0)/U$27) * (_xlfn.XLOOKUP(AC628,$T$51:$T$55,V$51:V$55,0)/V$27) * (_xlfn.XLOOKUP(AD628,$T$51:$T$55,W$51:W$55,0)/W$27) * (_xlfn.XLOOKUP(AE628,$T$51:$T$55,X$51:X$55,0)/X$27) * (_xlfn.XLOOKUP(AF628,$T$51:$T$55,Y$51:Y$55,0)/Y$27),
"")</f>
        <v>0</v>
      </c>
      <c r="AI628">
        <f>IF(ROW($AA628) - $AA$51 &lt; ($H$16+1)^5, IF(AG628 &gt;= BaseBonus!$C$16, AG628*BaseBonus!$E$31, 0), "")</f>
        <v>0</v>
      </c>
      <c r="AJ628">
        <f t="shared" ref="AJ628:AJ691" ca="1" si="62">IF(ROW($AA628) - $AA$51 &lt; ($H$16+1)^5, AH628*AI628, "")</f>
        <v>0</v>
      </c>
    </row>
    <row r="629" spans="28:36" x14ac:dyDescent="0.3">
      <c r="AB629">
        <f t="shared" si="59"/>
        <v>1</v>
      </c>
      <c r="AC629">
        <f t="shared" si="59"/>
        <v>0</v>
      </c>
      <c r="AD629">
        <f t="shared" si="59"/>
        <v>0</v>
      </c>
      <c r="AE629">
        <f t="shared" si="59"/>
        <v>1</v>
      </c>
      <c r="AF629">
        <f t="shared" si="59"/>
        <v>2</v>
      </c>
      <c r="AG629">
        <f t="shared" si="60"/>
        <v>4</v>
      </c>
      <c r="AH629">
        <f t="shared" ca="1" si="61"/>
        <v>0</v>
      </c>
      <c r="AI629">
        <f>IF(ROW($AA629) - $AA$51 &lt; ($H$16+1)^5, IF(AG629 &gt;= BaseBonus!$C$16, AG629*BaseBonus!$E$31, 0), "")</f>
        <v>0</v>
      </c>
      <c r="AJ629">
        <f t="shared" ca="1" si="62"/>
        <v>0</v>
      </c>
    </row>
    <row r="630" spans="28:36" x14ac:dyDescent="0.3">
      <c r="AB630">
        <f t="shared" si="59"/>
        <v>2</v>
      </c>
      <c r="AC630">
        <f t="shared" si="59"/>
        <v>0</v>
      </c>
      <c r="AD630">
        <f t="shared" si="59"/>
        <v>0</v>
      </c>
      <c r="AE630">
        <f t="shared" si="59"/>
        <v>1</v>
      </c>
      <c r="AF630">
        <f t="shared" si="59"/>
        <v>2</v>
      </c>
      <c r="AG630">
        <f t="shared" si="60"/>
        <v>5</v>
      </c>
      <c r="AH630">
        <f t="shared" ca="1" si="61"/>
        <v>0</v>
      </c>
      <c r="AI630">
        <f>IF(ROW($AA630) - $AA$51 &lt; ($H$16+1)^5, IF(AG630 &gt;= BaseBonus!$C$16, AG630*BaseBonus!$E$31, 0), "")</f>
        <v>4.6952679064628979</v>
      </c>
      <c r="AJ630">
        <f t="shared" ca="1" si="62"/>
        <v>0</v>
      </c>
    </row>
    <row r="631" spans="28:36" x14ac:dyDescent="0.3">
      <c r="AB631">
        <f t="shared" si="59"/>
        <v>3</v>
      </c>
      <c r="AC631">
        <f t="shared" si="59"/>
        <v>0</v>
      </c>
      <c r="AD631">
        <f t="shared" si="59"/>
        <v>0</v>
      </c>
      <c r="AE631">
        <f t="shared" si="59"/>
        <v>1</v>
      </c>
      <c r="AF631">
        <f t="shared" si="59"/>
        <v>2</v>
      </c>
      <c r="AG631">
        <f t="shared" si="60"/>
        <v>6</v>
      </c>
      <c r="AH631">
        <f t="shared" ca="1" si="61"/>
        <v>0</v>
      </c>
      <c r="AI631">
        <f>IF(ROW($AA631) - $AA$51 &lt; ($H$16+1)^5, IF(AG631 &gt;= BaseBonus!$C$16, AG631*BaseBonus!$E$31, 0), "")</f>
        <v>5.6343214877554777</v>
      </c>
      <c r="AJ631">
        <f t="shared" ca="1" si="62"/>
        <v>0</v>
      </c>
    </row>
    <row r="632" spans="28:36" x14ac:dyDescent="0.3">
      <c r="AB632">
        <f t="shared" si="59"/>
        <v>0</v>
      </c>
      <c r="AC632">
        <f t="shared" si="59"/>
        <v>1</v>
      </c>
      <c r="AD632">
        <f t="shared" si="59"/>
        <v>0</v>
      </c>
      <c r="AE632">
        <f t="shared" si="59"/>
        <v>1</v>
      </c>
      <c r="AF632">
        <f t="shared" si="59"/>
        <v>2</v>
      </c>
      <c r="AG632">
        <f t="shared" si="60"/>
        <v>4</v>
      </c>
      <c r="AH632">
        <f t="shared" ca="1" si="61"/>
        <v>0</v>
      </c>
      <c r="AI632">
        <f>IF(ROW($AA632) - $AA$51 &lt; ($H$16+1)^5, IF(AG632 &gt;= BaseBonus!$C$16, AG632*BaseBonus!$E$31, 0), "")</f>
        <v>0</v>
      </c>
      <c r="AJ632">
        <f t="shared" ca="1" si="62"/>
        <v>0</v>
      </c>
    </row>
    <row r="633" spans="28:36" x14ac:dyDescent="0.3">
      <c r="AB633">
        <f t="shared" si="59"/>
        <v>1</v>
      </c>
      <c r="AC633">
        <f t="shared" si="59"/>
        <v>1</v>
      </c>
      <c r="AD633">
        <f t="shared" si="59"/>
        <v>0</v>
      </c>
      <c r="AE633">
        <f t="shared" si="59"/>
        <v>1</v>
      </c>
      <c r="AF633">
        <f t="shared" si="59"/>
        <v>2</v>
      </c>
      <c r="AG633">
        <f t="shared" si="60"/>
        <v>5</v>
      </c>
      <c r="AH633">
        <f t="shared" ca="1" si="61"/>
        <v>0</v>
      </c>
      <c r="AI633">
        <f>IF(ROW($AA633) - $AA$51 &lt; ($H$16+1)^5, IF(AG633 &gt;= BaseBonus!$C$16, AG633*BaseBonus!$E$31, 0), "")</f>
        <v>4.6952679064628979</v>
      </c>
      <c r="AJ633">
        <f t="shared" ca="1" si="62"/>
        <v>0</v>
      </c>
    </row>
    <row r="634" spans="28:36" x14ac:dyDescent="0.3">
      <c r="AB634">
        <f t="shared" si="59"/>
        <v>2</v>
      </c>
      <c r="AC634">
        <f t="shared" si="59"/>
        <v>1</v>
      </c>
      <c r="AD634">
        <f t="shared" si="59"/>
        <v>0</v>
      </c>
      <c r="AE634">
        <f t="shared" si="59"/>
        <v>1</v>
      </c>
      <c r="AF634">
        <f t="shared" si="59"/>
        <v>2</v>
      </c>
      <c r="AG634">
        <f t="shared" si="60"/>
        <v>6</v>
      </c>
      <c r="AH634">
        <f t="shared" ca="1" si="61"/>
        <v>0</v>
      </c>
      <c r="AI634">
        <f>IF(ROW($AA634) - $AA$51 &lt; ($H$16+1)^5, IF(AG634 &gt;= BaseBonus!$C$16, AG634*BaseBonus!$E$31, 0), "")</f>
        <v>5.6343214877554777</v>
      </c>
      <c r="AJ634">
        <f t="shared" ca="1" si="62"/>
        <v>0</v>
      </c>
    </row>
    <row r="635" spans="28:36" x14ac:dyDescent="0.3">
      <c r="AB635">
        <f t="shared" si="59"/>
        <v>3</v>
      </c>
      <c r="AC635">
        <f t="shared" si="59"/>
        <v>1</v>
      </c>
      <c r="AD635">
        <f t="shared" si="59"/>
        <v>0</v>
      </c>
      <c r="AE635">
        <f t="shared" si="59"/>
        <v>1</v>
      </c>
      <c r="AF635">
        <f t="shared" si="59"/>
        <v>2</v>
      </c>
      <c r="AG635">
        <f t="shared" si="60"/>
        <v>7</v>
      </c>
      <c r="AH635">
        <f t="shared" ca="1" si="61"/>
        <v>0</v>
      </c>
      <c r="AI635">
        <f>IF(ROW($AA635) - $AA$51 &lt; ($H$16+1)^5, IF(AG635 &gt;= BaseBonus!$C$16, AG635*BaseBonus!$E$31, 0), "")</f>
        <v>6.5733750690480575</v>
      </c>
      <c r="AJ635">
        <f t="shared" ca="1" si="62"/>
        <v>0</v>
      </c>
    </row>
    <row r="636" spans="28:36" x14ac:dyDescent="0.3">
      <c r="AB636">
        <f t="shared" si="59"/>
        <v>0</v>
      </c>
      <c r="AC636">
        <f t="shared" si="59"/>
        <v>2</v>
      </c>
      <c r="AD636">
        <f t="shared" si="59"/>
        <v>0</v>
      </c>
      <c r="AE636">
        <f t="shared" si="59"/>
        <v>1</v>
      </c>
      <c r="AF636">
        <f t="shared" si="59"/>
        <v>2</v>
      </c>
      <c r="AG636">
        <f t="shared" si="60"/>
        <v>5</v>
      </c>
      <c r="AH636">
        <f t="shared" ca="1" si="61"/>
        <v>0</v>
      </c>
      <c r="AI636">
        <f>IF(ROW($AA636) - $AA$51 &lt; ($H$16+1)^5, IF(AG636 &gt;= BaseBonus!$C$16, AG636*BaseBonus!$E$31, 0), "")</f>
        <v>4.6952679064628979</v>
      </c>
      <c r="AJ636">
        <f t="shared" ca="1" si="62"/>
        <v>0</v>
      </c>
    </row>
    <row r="637" spans="28:36" x14ac:dyDescent="0.3">
      <c r="AB637">
        <f t="shared" si="59"/>
        <v>1</v>
      </c>
      <c r="AC637">
        <f t="shared" si="59"/>
        <v>2</v>
      </c>
      <c r="AD637">
        <f t="shared" si="59"/>
        <v>0</v>
      </c>
      <c r="AE637">
        <f t="shared" si="59"/>
        <v>1</v>
      </c>
      <c r="AF637">
        <f t="shared" si="59"/>
        <v>2</v>
      </c>
      <c r="AG637">
        <f t="shared" si="60"/>
        <v>6</v>
      </c>
      <c r="AH637">
        <f t="shared" ca="1" si="61"/>
        <v>0</v>
      </c>
      <c r="AI637">
        <f>IF(ROW($AA637) - $AA$51 &lt; ($H$16+1)^5, IF(AG637 &gt;= BaseBonus!$C$16, AG637*BaseBonus!$E$31, 0), "")</f>
        <v>5.6343214877554777</v>
      </c>
      <c r="AJ637">
        <f t="shared" ca="1" si="62"/>
        <v>0</v>
      </c>
    </row>
    <row r="638" spans="28:36" x14ac:dyDescent="0.3">
      <c r="AB638">
        <f t="shared" si="59"/>
        <v>2</v>
      </c>
      <c r="AC638">
        <f t="shared" si="59"/>
        <v>2</v>
      </c>
      <c r="AD638">
        <f t="shared" si="59"/>
        <v>0</v>
      </c>
      <c r="AE638">
        <f t="shared" si="59"/>
        <v>1</v>
      </c>
      <c r="AF638">
        <f t="shared" si="59"/>
        <v>2</v>
      </c>
      <c r="AG638">
        <f t="shared" si="60"/>
        <v>7</v>
      </c>
      <c r="AH638">
        <f t="shared" ca="1" si="61"/>
        <v>0</v>
      </c>
      <c r="AI638">
        <f>IF(ROW($AA638) - $AA$51 &lt; ($H$16+1)^5, IF(AG638 &gt;= BaseBonus!$C$16, AG638*BaseBonus!$E$31, 0), "")</f>
        <v>6.5733750690480575</v>
      </c>
      <c r="AJ638">
        <f t="shared" ca="1" si="62"/>
        <v>0</v>
      </c>
    </row>
    <row r="639" spans="28:36" x14ac:dyDescent="0.3">
      <c r="AB639">
        <f t="shared" si="59"/>
        <v>3</v>
      </c>
      <c r="AC639">
        <f t="shared" si="59"/>
        <v>2</v>
      </c>
      <c r="AD639">
        <f t="shared" si="59"/>
        <v>0</v>
      </c>
      <c r="AE639">
        <f t="shared" si="59"/>
        <v>1</v>
      </c>
      <c r="AF639">
        <f t="shared" si="59"/>
        <v>2</v>
      </c>
      <c r="AG639">
        <f t="shared" si="60"/>
        <v>8</v>
      </c>
      <c r="AH639">
        <f t="shared" ca="1" si="61"/>
        <v>0</v>
      </c>
      <c r="AI639">
        <f>IF(ROW($AA639) - $AA$51 &lt; ($H$16+1)^5, IF(AG639 &gt;= BaseBonus!$C$16, AG639*BaseBonus!$E$31, 0), "")</f>
        <v>7.5124286503406372</v>
      </c>
      <c r="AJ639">
        <f t="shared" ca="1" si="62"/>
        <v>0</v>
      </c>
    </row>
    <row r="640" spans="28:36" x14ac:dyDescent="0.3">
      <c r="AB640">
        <f t="shared" si="59"/>
        <v>0</v>
      </c>
      <c r="AC640">
        <f t="shared" si="59"/>
        <v>3</v>
      </c>
      <c r="AD640">
        <f t="shared" si="59"/>
        <v>0</v>
      </c>
      <c r="AE640">
        <f t="shared" si="59"/>
        <v>1</v>
      </c>
      <c r="AF640">
        <f t="shared" si="59"/>
        <v>2</v>
      </c>
      <c r="AG640">
        <f t="shared" si="60"/>
        <v>6</v>
      </c>
      <c r="AH640">
        <f t="shared" ca="1" si="61"/>
        <v>0</v>
      </c>
      <c r="AI640">
        <f>IF(ROW($AA640) - $AA$51 &lt; ($H$16+1)^5, IF(AG640 &gt;= BaseBonus!$C$16, AG640*BaseBonus!$E$31, 0), "")</f>
        <v>5.6343214877554777</v>
      </c>
      <c r="AJ640">
        <f t="shared" ca="1" si="62"/>
        <v>0</v>
      </c>
    </row>
    <row r="641" spans="28:36" x14ac:dyDescent="0.3">
      <c r="AB641">
        <f t="shared" si="59"/>
        <v>1</v>
      </c>
      <c r="AC641">
        <f t="shared" si="59"/>
        <v>3</v>
      </c>
      <c r="AD641">
        <f t="shared" si="59"/>
        <v>0</v>
      </c>
      <c r="AE641">
        <f t="shared" si="59"/>
        <v>1</v>
      </c>
      <c r="AF641">
        <f t="shared" si="59"/>
        <v>2</v>
      </c>
      <c r="AG641">
        <f t="shared" si="60"/>
        <v>7</v>
      </c>
      <c r="AH641">
        <f t="shared" ca="1" si="61"/>
        <v>0</v>
      </c>
      <c r="AI641">
        <f>IF(ROW($AA641) - $AA$51 &lt; ($H$16+1)^5, IF(AG641 &gt;= BaseBonus!$C$16, AG641*BaseBonus!$E$31, 0), "")</f>
        <v>6.5733750690480575</v>
      </c>
      <c r="AJ641">
        <f t="shared" ca="1" si="62"/>
        <v>0</v>
      </c>
    </row>
    <row r="642" spans="28:36" x14ac:dyDescent="0.3">
      <c r="AB642">
        <f t="shared" si="59"/>
        <v>2</v>
      </c>
      <c r="AC642">
        <f t="shared" si="59"/>
        <v>3</v>
      </c>
      <c r="AD642">
        <f t="shared" si="59"/>
        <v>0</v>
      </c>
      <c r="AE642">
        <f t="shared" si="59"/>
        <v>1</v>
      </c>
      <c r="AF642">
        <f t="shared" si="59"/>
        <v>2</v>
      </c>
      <c r="AG642">
        <f t="shared" si="60"/>
        <v>8</v>
      </c>
      <c r="AH642">
        <f t="shared" ca="1" si="61"/>
        <v>0</v>
      </c>
      <c r="AI642">
        <f>IF(ROW($AA642) - $AA$51 &lt; ($H$16+1)^5, IF(AG642 &gt;= BaseBonus!$C$16, AG642*BaseBonus!$E$31, 0), "")</f>
        <v>7.5124286503406372</v>
      </c>
      <c r="AJ642">
        <f t="shared" ca="1" si="62"/>
        <v>0</v>
      </c>
    </row>
    <row r="643" spans="28:36" x14ac:dyDescent="0.3">
      <c r="AB643">
        <f t="shared" si="59"/>
        <v>3</v>
      </c>
      <c r="AC643">
        <f t="shared" si="59"/>
        <v>3</v>
      </c>
      <c r="AD643">
        <f t="shared" si="59"/>
        <v>0</v>
      </c>
      <c r="AE643">
        <f t="shared" si="59"/>
        <v>1</v>
      </c>
      <c r="AF643">
        <f t="shared" si="59"/>
        <v>2</v>
      </c>
      <c r="AG643">
        <f t="shared" si="60"/>
        <v>9</v>
      </c>
      <c r="AH643">
        <f t="shared" ca="1" si="61"/>
        <v>0</v>
      </c>
      <c r="AI643">
        <f>IF(ROW($AA643) - $AA$51 &lt; ($H$16+1)^5, IF(AG643 &gt;= BaseBonus!$C$16, AG643*BaseBonus!$E$31, 0), "")</f>
        <v>8.4514822316332161</v>
      </c>
      <c r="AJ643">
        <f t="shared" ca="1" si="62"/>
        <v>0</v>
      </c>
    </row>
    <row r="644" spans="28:36" x14ac:dyDescent="0.3">
      <c r="AB644">
        <f t="shared" si="59"/>
        <v>0</v>
      </c>
      <c r="AC644">
        <f t="shared" si="59"/>
        <v>0</v>
      </c>
      <c r="AD644">
        <f t="shared" si="59"/>
        <v>1</v>
      </c>
      <c r="AE644">
        <f t="shared" si="59"/>
        <v>1</v>
      </c>
      <c r="AF644">
        <f t="shared" si="59"/>
        <v>2</v>
      </c>
      <c r="AG644">
        <f t="shared" si="60"/>
        <v>4</v>
      </c>
      <c r="AH644">
        <f t="shared" ca="1" si="61"/>
        <v>0</v>
      </c>
      <c r="AI644">
        <f>IF(ROW($AA644) - $AA$51 &lt; ($H$16+1)^5, IF(AG644 &gt;= BaseBonus!$C$16, AG644*BaseBonus!$E$31, 0), "")</f>
        <v>0</v>
      </c>
      <c r="AJ644">
        <f t="shared" ca="1" si="62"/>
        <v>0</v>
      </c>
    </row>
    <row r="645" spans="28:36" x14ac:dyDescent="0.3">
      <c r="AB645">
        <f t="shared" si="59"/>
        <v>1</v>
      </c>
      <c r="AC645">
        <f t="shared" si="59"/>
        <v>0</v>
      </c>
      <c r="AD645">
        <f t="shared" si="59"/>
        <v>1</v>
      </c>
      <c r="AE645">
        <f t="shared" si="59"/>
        <v>1</v>
      </c>
      <c r="AF645">
        <f t="shared" si="59"/>
        <v>2</v>
      </c>
      <c r="AG645">
        <f t="shared" si="60"/>
        <v>5</v>
      </c>
      <c r="AH645">
        <f t="shared" ca="1" si="61"/>
        <v>0</v>
      </c>
      <c r="AI645">
        <f>IF(ROW($AA645) - $AA$51 &lt; ($H$16+1)^5, IF(AG645 &gt;= BaseBonus!$C$16, AG645*BaseBonus!$E$31, 0), "")</f>
        <v>4.6952679064628979</v>
      </c>
      <c r="AJ645">
        <f t="shared" ca="1" si="62"/>
        <v>0</v>
      </c>
    </row>
    <row r="646" spans="28:36" x14ac:dyDescent="0.3">
      <c r="AB646">
        <f t="shared" si="59"/>
        <v>2</v>
      </c>
      <c r="AC646">
        <f t="shared" si="59"/>
        <v>0</v>
      </c>
      <c r="AD646">
        <f t="shared" si="59"/>
        <v>1</v>
      </c>
      <c r="AE646">
        <f t="shared" si="59"/>
        <v>1</v>
      </c>
      <c r="AF646">
        <f t="shared" si="59"/>
        <v>2</v>
      </c>
      <c r="AG646">
        <f t="shared" si="60"/>
        <v>6</v>
      </c>
      <c r="AH646">
        <f t="shared" ca="1" si="61"/>
        <v>0</v>
      </c>
      <c r="AI646">
        <f>IF(ROW($AA646) - $AA$51 &lt; ($H$16+1)^5, IF(AG646 &gt;= BaseBonus!$C$16, AG646*BaseBonus!$E$31, 0), "")</f>
        <v>5.6343214877554777</v>
      </c>
      <c r="AJ646">
        <f t="shared" ca="1" si="62"/>
        <v>0</v>
      </c>
    </row>
    <row r="647" spans="28:36" x14ac:dyDescent="0.3">
      <c r="AB647">
        <f t="shared" si="59"/>
        <v>3</v>
      </c>
      <c r="AC647">
        <f t="shared" si="59"/>
        <v>0</v>
      </c>
      <c r="AD647">
        <f t="shared" si="59"/>
        <v>1</v>
      </c>
      <c r="AE647">
        <f t="shared" si="59"/>
        <v>1</v>
      </c>
      <c r="AF647">
        <f t="shared" si="59"/>
        <v>2</v>
      </c>
      <c r="AG647">
        <f t="shared" si="60"/>
        <v>7</v>
      </c>
      <c r="AH647">
        <f t="shared" ca="1" si="61"/>
        <v>0</v>
      </c>
      <c r="AI647">
        <f>IF(ROW($AA647) - $AA$51 &lt; ($H$16+1)^5, IF(AG647 &gt;= BaseBonus!$C$16, AG647*BaseBonus!$E$31, 0), "")</f>
        <v>6.5733750690480575</v>
      </c>
      <c r="AJ647">
        <f t="shared" ca="1" si="62"/>
        <v>0</v>
      </c>
    </row>
    <row r="648" spans="28:36" x14ac:dyDescent="0.3">
      <c r="AB648">
        <f t="shared" si="59"/>
        <v>0</v>
      </c>
      <c r="AC648">
        <f t="shared" si="59"/>
        <v>1</v>
      </c>
      <c r="AD648">
        <f t="shared" si="59"/>
        <v>1</v>
      </c>
      <c r="AE648">
        <f t="shared" si="59"/>
        <v>1</v>
      </c>
      <c r="AF648">
        <f t="shared" si="59"/>
        <v>2</v>
      </c>
      <c r="AG648">
        <f t="shared" si="60"/>
        <v>5</v>
      </c>
      <c r="AH648">
        <f t="shared" ca="1" si="61"/>
        <v>0</v>
      </c>
      <c r="AI648">
        <f>IF(ROW($AA648) - $AA$51 &lt; ($H$16+1)^5, IF(AG648 &gt;= BaseBonus!$C$16, AG648*BaseBonus!$E$31, 0), "")</f>
        <v>4.6952679064628979</v>
      </c>
      <c r="AJ648">
        <f t="shared" ca="1" si="62"/>
        <v>0</v>
      </c>
    </row>
    <row r="649" spans="28:36" x14ac:dyDescent="0.3">
      <c r="AB649">
        <f t="shared" si="59"/>
        <v>1</v>
      </c>
      <c r="AC649">
        <f t="shared" si="59"/>
        <v>1</v>
      </c>
      <c r="AD649">
        <f t="shared" si="59"/>
        <v>1</v>
      </c>
      <c r="AE649">
        <f t="shared" si="59"/>
        <v>1</v>
      </c>
      <c r="AF649">
        <f t="shared" si="59"/>
        <v>2</v>
      </c>
      <c r="AG649">
        <f t="shared" si="60"/>
        <v>6</v>
      </c>
      <c r="AH649">
        <f t="shared" ca="1" si="61"/>
        <v>0</v>
      </c>
      <c r="AI649">
        <f>IF(ROW($AA649) - $AA$51 &lt; ($H$16+1)^5, IF(AG649 &gt;= BaseBonus!$C$16, AG649*BaseBonus!$E$31, 0), "")</f>
        <v>5.6343214877554777</v>
      </c>
      <c r="AJ649">
        <f t="shared" ca="1" si="62"/>
        <v>0</v>
      </c>
    </row>
    <row r="650" spans="28:36" x14ac:dyDescent="0.3">
      <c r="AB650">
        <f t="shared" si="59"/>
        <v>2</v>
      </c>
      <c r="AC650">
        <f t="shared" si="59"/>
        <v>1</v>
      </c>
      <c r="AD650">
        <f t="shared" si="59"/>
        <v>1</v>
      </c>
      <c r="AE650">
        <f t="shared" si="59"/>
        <v>1</v>
      </c>
      <c r="AF650">
        <f t="shared" si="59"/>
        <v>2</v>
      </c>
      <c r="AG650">
        <f t="shared" si="60"/>
        <v>7</v>
      </c>
      <c r="AH650">
        <f t="shared" ca="1" si="61"/>
        <v>0</v>
      </c>
      <c r="AI650">
        <f>IF(ROW($AA650) - $AA$51 &lt; ($H$16+1)^5, IF(AG650 &gt;= BaseBonus!$C$16, AG650*BaseBonus!$E$31, 0), "")</f>
        <v>6.5733750690480575</v>
      </c>
      <c r="AJ650">
        <f t="shared" ca="1" si="62"/>
        <v>0</v>
      </c>
    </row>
    <row r="651" spans="28:36" x14ac:dyDescent="0.3">
      <c r="AB651">
        <f t="shared" si="59"/>
        <v>3</v>
      </c>
      <c r="AC651">
        <f t="shared" si="59"/>
        <v>1</v>
      </c>
      <c r="AD651">
        <f t="shared" si="59"/>
        <v>1</v>
      </c>
      <c r="AE651">
        <f t="shared" si="59"/>
        <v>1</v>
      </c>
      <c r="AF651">
        <f t="shared" si="59"/>
        <v>2</v>
      </c>
      <c r="AG651">
        <f t="shared" si="60"/>
        <v>8</v>
      </c>
      <c r="AH651">
        <f t="shared" ca="1" si="61"/>
        <v>0</v>
      </c>
      <c r="AI651">
        <f>IF(ROW($AA651) - $AA$51 &lt; ($H$16+1)^5, IF(AG651 &gt;= BaseBonus!$C$16, AG651*BaseBonus!$E$31, 0), "")</f>
        <v>7.5124286503406372</v>
      </c>
      <c r="AJ651">
        <f t="shared" ca="1" si="62"/>
        <v>0</v>
      </c>
    </row>
    <row r="652" spans="28:36" x14ac:dyDescent="0.3">
      <c r="AB652">
        <f t="shared" si="59"/>
        <v>0</v>
      </c>
      <c r="AC652">
        <f t="shared" si="59"/>
        <v>2</v>
      </c>
      <c r="AD652">
        <f t="shared" si="59"/>
        <v>1</v>
      </c>
      <c r="AE652">
        <f t="shared" si="59"/>
        <v>1</v>
      </c>
      <c r="AF652">
        <f t="shared" si="59"/>
        <v>2</v>
      </c>
      <c r="AG652">
        <f t="shared" si="60"/>
        <v>6</v>
      </c>
      <c r="AH652">
        <f t="shared" ca="1" si="61"/>
        <v>0</v>
      </c>
      <c r="AI652">
        <f>IF(ROW($AA652) - $AA$51 &lt; ($H$16+1)^5, IF(AG652 &gt;= BaseBonus!$C$16, AG652*BaseBonus!$E$31, 0), "")</f>
        <v>5.6343214877554777</v>
      </c>
      <c r="AJ652">
        <f t="shared" ca="1" si="62"/>
        <v>0</v>
      </c>
    </row>
    <row r="653" spans="28:36" x14ac:dyDescent="0.3">
      <c r="AB653">
        <f t="shared" si="59"/>
        <v>1</v>
      </c>
      <c r="AC653">
        <f t="shared" si="59"/>
        <v>2</v>
      </c>
      <c r="AD653">
        <f t="shared" si="59"/>
        <v>1</v>
      </c>
      <c r="AE653">
        <f t="shared" si="59"/>
        <v>1</v>
      </c>
      <c r="AF653">
        <f t="shared" si="59"/>
        <v>2</v>
      </c>
      <c r="AG653">
        <f t="shared" si="60"/>
        <v>7</v>
      </c>
      <c r="AH653">
        <f t="shared" ca="1" si="61"/>
        <v>0</v>
      </c>
      <c r="AI653">
        <f>IF(ROW($AA653) - $AA$51 &lt; ($H$16+1)^5, IF(AG653 &gt;= BaseBonus!$C$16, AG653*BaseBonus!$E$31, 0), "")</f>
        <v>6.5733750690480575</v>
      </c>
      <c r="AJ653">
        <f t="shared" ca="1" si="62"/>
        <v>0</v>
      </c>
    </row>
    <row r="654" spans="28:36" x14ac:dyDescent="0.3">
      <c r="AB654">
        <f t="shared" si="59"/>
        <v>2</v>
      </c>
      <c r="AC654">
        <f t="shared" si="59"/>
        <v>2</v>
      </c>
      <c r="AD654">
        <f t="shared" si="59"/>
        <v>1</v>
      </c>
      <c r="AE654">
        <f t="shared" si="59"/>
        <v>1</v>
      </c>
      <c r="AF654">
        <f t="shared" si="59"/>
        <v>2</v>
      </c>
      <c r="AG654">
        <f t="shared" si="60"/>
        <v>8</v>
      </c>
      <c r="AH654">
        <f t="shared" ca="1" si="61"/>
        <v>0</v>
      </c>
      <c r="AI654">
        <f>IF(ROW($AA654) - $AA$51 &lt; ($H$16+1)^5, IF(AG654 &gt;= BaseBonus!$C$16, AG654*BaseBonus!$E$31, 0), "")</f>
        <v>7.5124286503406372</v>
      </c>
      <c r="AJ654">
        <f t="shared" ca="1" si="62"/>
        <v>0</v>
      </c>
    </row>
    <row r="655" spans="28:36" x14ac:dyDescent="0.3">
      <c r="AB655">
        <f t="shared" si="59"/>
        <v>3</v>
      </c>
      <c r="AC655">
        <f t="shared" si="59"/>
        <v>2</v>
      </c>
      <c r="AD655">
        <f t="shared" si="59"/>
        <v>1</v>
      </c>
      <c r="AE655">
        <f t="shared" si="59"/>
        <v>1</v>
      </c>
      <c r="AF655">
        <f t="shared" si="59"/>
        <v>2</v>
      </c>
      <c r="AG655">
        <f t="shared" si="60"/>
        <v>9</v>
      </c>
      <c r="AH655">
        <f t="shared" ca="1" si="61"/>
        <v>0</v>
      </c>
      <c r="AI655">
        <f>IF(ROW($AA655) - $AA$51 &lt; ($H$16+1)^5, IF(AG655 &gt;= BaseBonus!$C$16, AG655*BaseBonus!$E$31, 0), "")</f>
        <v>8.4514822316332161</v>
      </c>
      <c r="AJ655">
        <f t="shared" ca="1" si="62"/>
        <v>0</v>
      </c>
    </row>
    <row r="656" spans="28:36" x14ac:dyDescent="0.3">
      <c r="AB656">
        <f t="shared" si="59"/>
        <v>0</v>
      </c>
      <c r="AC656">
        <f t="shared" si="59"/>
        <v>3</v>
      </c>
      <c r="AD656">
        <f t="shared" si="59"/>
        <v>1</v>
      </c>
      <c r="AE656">
        <f t="shared" si="59"/>
        <v>1</v>
      </c>
      <c r="AF656">
        <f t="shared" si="59"/>
        <v>2</v>
      </c>
      <c r="AG656">
        <f t="shared" si="60"/>
        <v>7</v>
      </c>
      <c r="AH656">
        <f t="shared" ca="1" si="61"/>
        <v>0</v>
      </c>
      <c r="AI656">
        <f>IF(ROW($AA656) - $AA$51 &lt; ($H$16+1)^5, IF(AG656 &gt;= BaseBonus!$C$16, AG656*BaseBonus!$E$31, 0), "")</f>
        <v>6.5733750690480575</v>
      </c>
      <c r="AJ656">
        <f t="shared" ca="1" si="62"/>
        <v>0</v>
      </c>
    </row>
    <row r="657" spans="28:36" x14ac:dyDescent="0.3">
      <c r="AB657">
        <f t="shared" si="59"/>
        <v>1</v>
      </c>
      <c r="AC657">
        <f t="shared" si="59"/>
        <v>3</v>
      </c>
      <c r="AD657">
        <f t="shared" si="59"/>
        <v>1</v>
      </c>
      <c r="AE657">
        <f t="shared" si="59"/>
        <v>1</v>
      </c>
      <c r="AF657">
        <f t="shared" si="59"/>
        <v>2</v>
      </c>
      <c r="AG657">
        <f t="shared" si="60"/>
        <v>8</v>
      </c>
      <c r="AH657">
        <f t="shared" ca="1" si="61"/>
        <v>0</v>
      </c>
      <c r="AI657">
        <f>IF(ROW($AA657) - $AA$51 &lt; ($H$16+1)^5, IF(AG657 &gt;= BaseBonus!$C$16, AG657*BaseBonus!$E$31, 0), "")</f>
        <v>7.5124286503406372</v>
      </c>
      <c r="AJ657">
        <f t="shared" ca="1" si="62"/>
        <v>0</v>
      </c>
    </row>
    <row r="658" spans="28:36" x14ac:dyDescent="0.3">
      <c r="AB658">
        <f t="shared" si="59"/>
        <v>2</v>
      </c>
      <c r="AC658">
        <f t="shared" si="59"/>
        <v>3</v>
      </c>
      <c r="AD658">
        <f t="shared" si="59"/>
        <v>1</v>
      </c>
      <c r="AE658">
        <f t="shared" si="59"/>
        <v>1</v>
      </c>
      <c r="AF658">
        <f t="shared" si="59"/>
        <v>2</v>
      </c>
      <c r="AG658">
        <f t="shared" si="60"/>
        <v>9</v>
      </c>
      <c r="AH658">
        <f t="shared" ca="1" si="61"/>
        <v>0</v>
      </c>
      <c r="AI658">
        <f>IF(ROW($AA658) - $AA$51 &lt; ($H$16+1)^5, IF(AG658 &gt;= BaseBonus!$C$16, AG658*BaseBonus!$E$31, 0), "")</f>
        <v>8.4514822316332161</v>
      </c>
      <c r="AJ658">
        <f t="shared" ca="1" si="62"/>
        <v>0</v>
      </c>
    </row>
    <row r="659" spans="28:36" x14ac:dyDescent="0.3">
      <c r="AB659">
        <f t="shared" si="59"/>
        <v>3</v>
      </c>
      <c r="AC659">
        <f t="shared" si="59"/>
        <v>3</v>
      </c>
      <c r="AD659">
        <f t="shared" si="59"/>
        <v>1</v>
      </c>
      <c r="AE659">
        <f t="shared" si="59"/>
        <v>1</v>
      </c>
      <c r="AF659">
        <f t="shared" si="59"/>
        <v>2</v>
      </c>
      <c r="AG659">
        <f t="shared" si="60"/>
        <v>10</v>
      </c>
      <c r="AH659">
        <f t="shared" ca="1" si="61"/>
        <v>0</v>
      </c>
      <c r="AI659">
        <f>IF(ROW($AA659) - $AA$51 &lt; ($H$16+1)^5, IF(AG659 &gt;= BaseBonus!$C$16, AG659*BaseBonus!$E$31, 0), "")</f>
        <v>9.3905358129257959</v>
      </c>
      <c r="AJ659">
        <f t="shared" ca="1" si="62"/>
        <v>0</v>
      </c>
    </row>
    <row r="660" spans="28:36" x14ac:dyDescent="0.3">
      <c r="AB660">
        <f t="shared" si="59"/>
        <v>0</v>
      </c>
      <c r="AC660">
        <f t="shared" si="59"/>
        <v>0</v>
      </c>
      <c r="AD660">
        <f t="shared" si="59"/>
        <v>2</v>
      </c>
      <c r="AE660">
        <f t="shared" si="59"/>
        <v>1</v>
      </c>
      <c r="AF660">
        <f t="shared" si="59"/>
        <v>2</v>
      </c>
      <c r="AG660">
        <f t="shared" si="60"/>
        <v>5</v>
      </c>
      <c r="AH660">
        <f t="shared" ca="1" si="61"/>
        <v>0</v>
      </c>
      <c r="AI660">
        <f>IF(ROW($AA660) - $AA$51 &lt; ($H$16+1)^5, IF(AG660 &gt;= BaseBonus!$C$16, AG660*BaseBonus!$E$31, 0), "")</f>
        <v>4.6952679064628979</v>
      </c>
      <c r="AJ660">
        <f t="shared" ca="1" si="62"/>
        <v>0</v>
      </c>
    </row>
    <row r="661" spans="28:36" x14ac:dyDescent="0.3">
      <c r="AB661">
        <f t="shared" si="59"/>
        <v>1</v>
      </c>
      <c r="AC661">
        <f t="shared" si="59"/>
        <v>0</v>
      </c>
      <c r="AD661">
        <f t="shared" si="59"/>
        <v>2</v>
      </c>
      <c r="AE661">
        <f t="shared" si="59"/>
        <v>1</v>
      </c>
      <c r="AF661">
        <f t="shared" si="59"/>
        <v>2</v>
      </c>
      <c r="AG661">
        <f t="shared" si="60"/>
        <v>6</v>
      </c>
      <c r="AH661">
        <f t="shared" ca="1" si="61"/>
        <v>0</v>
      </c>
      <c r="AI661">
        <f>IF(ROW($AA661) - $AA$51 &lt; ($H$16+1)^5, IF(AG661 &gt;= BaseBonus!$C$16, AG661*BaseBonus!$E$31, 0), "")</f>
        <v>5.6343214877554777</v>
      </c>
      <c r="AJ661">
        <f t="shared" ca="1" si="62"/>
        <v>0</v>
      </c>
    </row>
    <row r="662" spans="28:36" x14ac:dyDescent="0.3">
      <c r="AB662">
        <f t="shared" si="59"/>
        <v>2</v>
      </c>
      <c r="AC662">
        <f t="shared" si="59"/>
        <v>0</v>
      </c>
      <c r="AD662">
        <f t="shared" si="59"/>
        <v>2</v>
      </c>
      <c r="AE662">
        <f t="shared" si="59"/>
        <v>1</v>
      </c>
      <c r="AF662">
        <f t="shared" si="59"/>
        <v>2</v>
      </c>
      <c r="AG662">
        <f t="shared" si="60"/>
        <v>7</v>
      </c>
      <c r="AH662">
        <f t="shared" ca="1" si="61"/>
        <v>0</v>
      </c>
      <c r="AI662">
        <f>IF(ROW($AA662) - $AA$51 &lt; ($H$16+1)^5, IF(AG662 &gt;= BaseBonus!$C$16, AG662*BaseBonus!$E$31, 0), "")</f>
        <v>6.5733750690480575</v>
      </c>
      <c r="AJ662">
        <f t="shared" ca="1" si="62"/>
        <v>0</v>
      </c>
    </row>
    <row r="663" spans="28:36" x14ac:dyDescent="0.3">
      <c r="AB663">
        <f t="shared" si="59"/>
        <v>3</v>
      </c>
      <c r="AC663">
        <f t="shared" si="59"/>
        <v>0</v>
      </c>
      <c r="AD663">
        <f t="shared" si="59"/>
        <v>2</v>
      </c>
      <c r="AE663">
        <f t="shared" si="59"/>
        <v>1</v>
      </c>
      <c r="AF663">
        <f t="shared" si="59"/>
        <v>2</v>
      </c>
      <c r="AG663">
        <f t="shared" si="60"/>
        <v>8</v>
      </c>
      <c r="AH663">
        <f t="shared" ca="1" si="61"/>
        <v>0</v>
      </c>
      <c r="AI663">
        <f>IF(ROW($AA663) - $AA$51 &lt; ($H$16+1)^5, IF(AG663 &gt;= BaseBonus!$C$16, AG663*BaseBonus!$E$31, 0), "")</f>
        <v>7.5124286503406372</v>
      </c>
      <c r="AJ663">
        <f t="shared" ca="1" si="62"/>
        <v>0</v>
      </c>
    </row>
    <row r="664" spans="28:36" x14ac:dyDescent="0.3">
      <c r="AB664">
        <f t="shared" ref="AB664:AF714" si="63">IF(ROW()-$AA$51 &lt; (H$16+1)^5, MOD(_xlfn.FLOOR.MATH((ROW()-$AA$51)/AB$50), H$16+1), "")</f>
        <v>0</v>
      </c>
      <c r="AC664">
        <f t="shared" si="63"/>
        <v>1</v>
      </c>
      <c r="AD664">
        <f t="shared" si="63"/>
        <v>2</v>
      </c>
      <c r="AE664">
        <f t="shared" si="63"/>
        <v>1</v>
      </c>
      <c r="AF664">
        <f t="shared" si="63"/>
        <v>2</v>
      </c>
      <c r="AG664">
        <f t="shared" si="60"/>
        <v>6</v>
      </c>
      <c r="AH664">
        <f t="shared" ca="1" si="61"/>
        <v>0</v>
      </c>
      <c r="AI664">
        <f>IF(ROW($AA664) - $AA$51 &lt; ($H$16+1)^5, IF(AG664 &gt;= BaseBonus!$C$16, AG664*BaseBonus!$E$31, 0), "")</f>
        <v>5.6343214877554777</v>
      </c>
      <c r="AJ664">
        <f t="shared" ca="1" si="62"/>
        <v>0</v>
      </c>
    </row>
    <row r="665" spans="28:36" x14ac:dyDescent="0.3">
      <c r="AB665">
        <f t="shared" si="63"/>
        <v>1</v>
      </c>
      <c r="AC665">
        <f t="shared" si="63"/>
        <v>1</v>
      </c>
      <c r="AD665">
        <f t="shared" si="63"/>
        <v>2</v>
      </c>
      <c r="AE665">
        <f t="shared" si="63"/>
        <v>1</v>
      </c>
      <c r="AF665">
        <f t="shared" si="63"/>
        <v>2</v>
      </c>
      <c r="AG665">
        <f t="shared" si="60"/>
        <v>7</v>
      </c>
      <c r="AH665">
        <f t="shared" ca="1" si="61"/>
        <v>0</v>
      </c>
      <c r="AI665">
        <f>IF(ROW($AA665) - $AA$51 &lt; ($H$16+1)^5, IF(AG665 &gt;= BaseBonus!$C$16, AG665*BaseBonus!$E$31, 0), "")</f>
        <v>6.5733750690480575</v>
      </c>
      <c r="AJ665">
        <f t="shared" ca="1" si="62"/>
        <v>0</v>
      </c>
    </row>
    <row r="666" spans="28:36" x14ac:dyDescent="0.3">
      <c r="AB666">
        <f t="shared" si="63"/>
        <v>2</v>
      </c>
      <c r="AC666">
        <f t="shared" si="63"/>
        <v>1</v>
      </c>
      <c r="AD666">
        <f t="shared" si="63"/>
        <v>2</v>
      </c>
      <c r="AE666">
        <f t="shared" si="63"/>
        <v>1</v>
      </c>
      <c r="AF666">
        <f t="shared" si="63"/>
        <v>2</v>
      </c>
      <c r="AG666">
        <f t="shared" si="60"/>
        <v>8</v>
      </c>
      <c r="AH666">
        <f t="shared" ca="1" si="61"/>
        <v>0</v>
      </c>
      <c r="AI666">
        <f>IF(ROW($AA666) - $AA$51 &lt; ($H$16+1)^5, IF(AG666 &gt;= BaseBonus!$C$16, AG666*BaseBonus!$E$31, 0), "")</f>
        <v>7.5124286503406372</v>
      </c>
      <c r="AJ666">
        <f t="shared" ca="1" si="62"/>
        <v>0</v>
      </c>
    </row>
    <row r="667" spans="28:36" x14ac:dyDescent="0.3">
      <c r="AB667">
        <f t="shared" si="63"/>
        <v>3</v>
      </c>
      <c r="AC667">
        <f t="shared" si="63"/>
        <v>1</v>
      </c>
      <c r="AD667">
        <f t="shared" si="63"/>
        <v>2</v>
      </c>
      <c r="AE667">
        <f t="shared" si="63"/>
        <v>1</v>
      </c>
      <c r="AF667">
        <f t="shared" si="63"/>
        <v>2</v>
      </c>
      <c r="AG667">
        <f t="shared" si="60"/>
        <v>9</v>
      </c>
      <c r="AH667">
        <f t="shared" ca="1" si="61"/>
        <v>0</v>
      </c>
      <c r="AI667">
        <f>IF(ROW($AA667) - $AA$51 &lt; ($H$16+1)^5, IF(AG667 &gt;= BaseBonus!$C$16, AG667*BaseBonus!$E$31, 0), "")</f>
        <v>8.4514822316332161</v>
      </c>
      <c r="AJ667">
        <f t="shared" ca="1" si="62"/>
        <v>0</v>
      </c>
    </row>
    <row r="668" spans="28:36" x14ac:dyDescent="0.3">
      <c r="AB668">
        <f t="shared" si="63"/>
        <v>0</v>
      </c>
      <c r="AC668">
        <f t="shared" si="63"/>
        <v>2</v>
      </c>
      <c r="AD668">
        <f t="shared" si="63"/>
        <v>2</v>
      </c>
      <c r="AE668">
        <f t="shared" si="63"/>
        <v>1</v>
      </c>
      <c r="AF668">
        <f t="shared" si="63"/>
        <v>2</v>
      </c>
      <c r="AG668">
        <f t="shared" si="60"/>
        <v>7</v>
      </c>
      <c r="AH668">
        <f t="shared" ca="1" si="61"/>
        <v>0</v>
      </c>
      <c r="AI668">
        <f>IF(ROW($AA668) - $AA$51 &lt; ($H$16+1)^5, IF(AG668 &gt;= BaseBonus!$C$16, AG668*BaseBonus!$E$31, 0), "")</f>
        <v>6.5733750690480575</v>
      </c>
      <c r="AJ668">
        <f t="shared" ca="1" si="62"/>
        <v>0</v>
      </c>
    </row>
    <row r="669" spans="28:36" x14ac:dyDescent="0.3">
      <c r="AB669">
        <f t="shared" si="63"/>
        <v>1</v>
      </c>
      <c r="AC669">
        <f t="shared" si="63"/>
        <v>2</v>
      </c>
      <c r="AD669">
        <f t="shared" si="63"/>
        <v>2</v>
      </c>
      <c r="AE669">
        <f t="shared" si="63"/>
        <v>1</v>
      </c>
      <c r="AF669">
        <f t="shared" si="63"/>
        <v>2</v>
      </c>
      <c r="AG669">
        <f t="shared" si="60"/>
        <v>8</v>
      </c>
      <c r="AH669">
        <f t="shared" ca="1" si="61"/>
        <v>0</v>
      </c>
      <c r="AI669">
        <f>IF(ROW($AA669) - $AA$51 &lt; ($H$16+1)^5, IF(AG669 &gt;= BaseBonus!$C$16, AG669*BaseBonus!$E$31, 0), "")</f>
        <v>7.5124286503406372</v>
      </c>
      <c r="AJ669">
        <f t="shared" ca="1" si="62"/>
        <v>0</v>
      </c>
    </row>
    <row r="670" spans="28:36" x14ac:dyDescent="0.3">
      <c r="AB670">
        <f t="shared" si="63"/>
        <v>2</v>
      </c>
      <c r="AC670">
        <f t="shared" si="63"/>
        <v>2</v>
      </c>
      <c r="AD670">
        <f t="shared" si="63"/>
        <v>2</v>
      </c>
      <c r="AE670">
        <f t="shared" si="63"/>
        <v>1</v>
      </c>
      <c r="AF670">
        <f t="shared" si="63"/>
        <v>2</v>
      </c>
      <c r="AG670">
        <f t="shared" si="60"/>
        <v>9</v>
      </c>
      <c r="AH670">
        <f t="shared" ca="1" si="61"/>
        <v>0</v>
      </c>
      <c r="AI670">
        <f>IF(ROW($AA670) - $AA$51 &lt; ($H$16+1)^5, IF(AG670 &gt;= BaseBonus!$C$16, AG670*BaseBonus!$E$31, 0), "")</f>
        <v>8.4514822316332161</v>
      </c>
      <c r="AJ670">
        <f t="shared" ca="1" si="62"/>
        <v>0</v>
      </c>
    </row>
    <row r="671" spans="28:36" x14ac:dyDescent="0.3">
      <c r="AB671">
        <f t="shared" si="63"/>
        <v>3</v>
      </c>
      <c r="AC671">
        <f t="shared" si="63"/>
        <v>2</v>
      </c>
      <c r="AD671">
        <f t="shared" si="63"/>
        <v>2</v>
      </c>
      <c r="AE671">
        <f t="shared" si="63"/>
        <v>1</v>
      </c>
      <c r="AF671">
        <f t="shared" si="63"/>
        <v>2</v>
      </c>
      <c r="AG671">
        <f t="shared" si="60"/>
        <v>10</v>
      </c>
      <c r="AH671">
        <f t="shared" ca="1" si="61"/>
        <v>0</v>
      </c>
      <c r="AI671">
        <f>IF(ROW($AA671) - $AA$51 &lt; ($H$16+1)^5, IF(AG671 &gt;= BaseBonus!$C$16, AG671*BaseBonus!$E$31, 0), "")</f>
        <v>9.3905358129257959</v>
      </c>
      <c r="AJ671">
        <f t="shared" ca="1" si="62"/>
        <v>0</v>
      </c>
    </row>
    <row r="672" spans="28:36" x14ac:dyDescent="0.3">
      <c r="AB672">
        <f t="shared" si="63"/>
        <v>0</v>
      </c>
      <c r="AC672">
        <f t="shared" si="63"/>
        <v>3</v>
      </c>
      <c r="AD672">
        <f t="shared" si="63"/>
        <v>2</v>
      </c>
      <c r="AE672">
        <f t="shared" si="63"/>
        <v>1</v>
      </c>
      <c r="AF672">
        <f t="shared" si="63"/>
        <v>2</v>
      </c>
      <c r="AG672">
        <f t="shared" si="60"/>
        <v>8</v>
      </c>
      <c r="AH672">
        <f t="shared" ca="1" si="61"/>
        <v>0</v>
      </c>
      <c r="AI672">
        <f>IF(ROW($AA672) - $AA$51 &lt; ($H$16+1)^5, IF(AG672 &gt;= BaseBonus!$C$16, AG672*BaseBonus!$E$31, 0), "")</f>
        <v>7.5124286503406372</v>
      </c>
      <c r="AJ672">
        <f t="shared" ca="1" si="62"/>
        <v>0</v>
      </c>
    </row>
    <row r="673" spans="28:36" x14ac:dyDescent="0.3">
      <c r="AB673">
        <f t="shared" si="63"/>
        <v>1</v>
      </c>
      <c r="AC673">
        <f t="shared" si="63"/>
        <v>3</v>
      </c>
      <c r="AD673">
        <f t="shared" si="63"/>
        <v>2</v>
      </c>
      <c r="AE673">
        <f t="shared" si="63"/>
        <v>1</v>
      </c>
      <c r="AF673">
        <f t="shared" si="63"/>
        <v>2</v>
      </c>
      <c r="AG673">
        <f t="shared" si="60"/>
        <v>9</v>
      </c>
      <c r="AH673">
        <f t="shared" ca="1" si="61"/>
        <v>0</v>
      </c>
      <c r="AI673">
        <f>IF(ROW($AA673) - $AA$51 &lt; ($H$16+1)^5, IF(AG673 &gt;= BaseBonus!$C$16, AG673*BaseBonus!$E$31, 0), "")</f>
        <v>8.4514822316332161</v>
      </c>
      <c r="AJ673">
        <f t="shared" ca="1" si="62"/>
        <v>0</v>
      </c>
    </row>
    <row r="674" spans="28:36" x14ac:dyDescent="0.3">
      <c r="AB674">
        <f t="shared" si="63"/>
        <v>2</v>
      </c>
      <c r="AC674">
        <f t="shared" si="63"/>
        <v>3</v>
      </c>
      <c r="AD674">
        <f t="shared" si="63"/>
        <v>2</v>
      </c>
      <c r="AE674">
        <f t="shared" si="63"/>
        <v>1</v>
      </c>
      <c r="AF674">
        <f t="shared" si="63"/>
        <v>2</v>
      </c>
      <c r="AG674">
        <f t="shared" si="60"/>
        <v>10</v>
      </c>
      <c r="AH674">
        <f t="shared" ca="1" si="61"/>
        <v>0</v>
      </c>
      <c r="AI674">
        <f>IF(ROW($AA674) - $AA$51 &lt; ($H$16+1)^5, IF(AG674 &gt;= BaseBonus!$C$16, AG674*BaseBonus!$E$31, 0), "")</f>
        <v>9.3905358129257959</v>
      </c>
      <c r="AJ674">
        <f t="shared" ca="1" si="62"/>
        <v>0</v>
      </c>
    </row>
    <row r="675" spans="28:36" x14ac:dyDescent="0.3">
      <c r="AB675">
        <f t="shared" si="63"/>
        <v>3</v>
      </c>
      <c r="AC675">
        <f t="shared" si="63"/>
        <v>3</v>
      </c>
      <c r="AD675">
        <f t="shared" si="63"/>
        <v>2</v>
      </c>
      <c r="AE675">
        <f t="shared" si="63"/>
        <v>1</v>
      </c>
      <c r="AF675">
        <f t="shared" si="63"/>
        <v>2</v>
      </c>
      <c r="AG675">
        <f t="shared" si="60"/>
        <v>11</v>
      </c>
      <c r="AH675">
        <f t="shared" ca="1" si="61"/>
        <v>0</v>
      </c>
      <c r="AI675">
        <f>IF(ROW($AA675) - $AA$51 &lt; ($H$16+1)^5, IF(AG675 &gt;= BaseBonus!$C$16, AG675*BaseBonus!$E$31, 0), "")</f>
        <v>10.329589394218376</v>
      </c>
      <c r="AJ675">
        <f t="shared" ca="1" si="62"/>
        <v>0</v>
      </c>
    </row>
    <row r="676" spans="28:36" x14ac:dyDescent="0.3">
      <c r="AB676">
        <f t="shared" si="63"/>
        <v>0</v>
      </c>
      <c r="AC676">
        <f t="shared" si="63"/>
        <v>0</v>
      </c>
      <c r="AD676">
        <f t="shared" si="63"/>
        <v>3</v>
      </c>
      <c r="AE676">
        <f t="shared" si="63"/>
        <v>1</v>
      </c>
      <c r="AF676">
        <f t="shared" si="63"/>
        <v>2</v>
      </c>
      <c r="AG676">
        <f t="shared" si="60"/>
        <v>6</v>
      </c>
      <c r="AH676">
        <f t="shared" ca="1" si="61"/>
        <v>0</v>
      </c>
      <c r="AI676">
        <f>IF(ROW($AA676) - $AA$51 &lt; ($H$16+1)^5, IF(AG676 &gt;= BaseBonus!$C$16, AG676*BaseBonus!$E$31, 0), "")</f>
        <v>5.6343214877554777</v>
      </c>
      <c r="AJ676">
        <f t="shared" ca="1" si="62"/>
        <v>0</v>
      </c>
    </row>
    <row r="677" spans="28:36" x14ac:dyDescent="0.3">
      <c r="AB677">
        <f t="shared" si="63"/>
        <v>1</v>
      </c>
      <c r="AC677">
        <f t="shared" si="63"/>
        <v>0</v>
      </c>
      <c r="AD677">
        <f t="shared" si="63"/>
        <v>3</v>
      </c>
      <c r="AE677">
        <f t="shared" si="63"/>
        <v>1</v>
      </c>
      <c r="AF677">
        <f t="shared" si="63"/>
        <v>2</v>
      </c>
      <c r="AG677">
        <f t="shared" si="60"/>
        <v>7</v>
      </c>
      <c r="AH677">
        <f t="shared" ca="1" si="61"/>
        <v>0</v>
      </c>
      <c r="AI677">
        <f>IF(ROW($AA677) - $AA$51 &lt; ($H$16+1)^5, IF(AG677 &gt;= BaseBonus!$C$16, AG677*BaseBonus!$E$31, 0), "")</f>
        <v>6.5733750690480575</v>
      </c>
      <c r="AJ677">
        <f t="shared" ca="1" si="62"/>
        <v>0</v>
      </c>
    </row>
    <row r="678" spans="28:36" x14ac:dyDescent="0.3">
      <c r="AB678">
        <f t="shared" si="63"/>
        <v>2</v>
      </c>
      <c r="AC678">
        <f t="shared" si="63"/>
        <v>0</v>
      </c>
      <c r="AD678">
        <f t="shared" si="63"/>
        <v>3</v>
      </c>
      <c r="AE678">
        <f t="shared" si="63"/>
        <v>1</v>
      </c>
      <c r="AF678">
        <f t="shared" si="63"/>
        <v>2</v>
      </c>
      <c r="AG678">
        <f t="shared" si="60"/>
        <v>8</v>
      </c>
      <c r="AH678">
        <f t="shared" ca="1" si="61"/>
        <v>0</v>
      </c>
      <c r="AI678">
        <f>IF(ROW($AA678) - $AA$51 &lt; ($H$16+1)^5, IF(AG678 &gt;= BaseBonus!$C$16, AG678*BaseBonus!$E$31, 0), "")</f>
        <v>7.5124286503406372</v>
      </c>
      <c r="AJ678">
        <f t="shared" ca="1" si="62"/>
        <v>0</v>
      </c>
    </row>
    <row r="679" spans="28:36" x14ac:dyDescent="0.3">
      <c r="AB679">
        <f t="shared" si="63"/>
        <v>3</v>
      </c>
      <c r="AC679">
        <f t="shared" si="63"/>
        <v>0</v>
      </c>
      <c r="AD679">
        <f t="shared" si="63"/>
        <v>3</v>
      </c>
      <c r="AE679">
        <f t="shared" si="63"/>
        <v>1</v>
      </c>
      <c r="AF679">
        <f t="shared" si="63"/>
        <v>2</v>
      </c>
      <c r="AG679">
        <f t="shared" si="60"/>
        <v>9</v>
      </c>
      <c r="AH679">
        <f t="shared" ca="1" si="61"/>
        <v>0</v>
      </c>
      <c r="AI679">
        <f>IF(ROW($AA679) - $AA$51 &lt; ($H$16+1)^5, IF(AG679 &gt;= BaseBonus!$C$16, AG679*BaseBonus!$E$31, 0), "")</f>
        <v>8.4514822316332161</v>
      </c>
      <c r="AJ679">
        <f t="shared" ca="1" si="62"/>
        <v>0</v>
      </c>
    </row>
    <row r="680" spans="28:36" x14ac:dyDescent="0.3">
      <c r="AB680">
        <f t="shared" si="63"/>
        <v>0</v>
      </c>
      <c r="AC680">
        <f t="shared" si="63"/>
        <v>1</v>
      </c>
      <c r="AD680">
        <f t="shared" si="63"/>
        <v>3</v>
      </c>
      <c r="AE680">
        <f t="shared" si="63"/>
        <v>1</v>
      </c>
      <c r="AF680">
        <f t="shared" si="63"/>
        <v>2</v>
      </c>
      <c r="AG680">
        <f t="shared" si="60"/>
        <v>7</v>
      </c>
      <c r="AH680">
        <f t="shared" ca="1" si="61"/>
        <v>0</v>
      </c>
      <c r="AI680">
        <f>IF(ROW($AA680) - $AA$51 &lt; ($H$16+1)^5, IF(AG680 &gt;= BaseBonus!$C$16, AG680*BaseBonus!$E$31, 0), "")</f>
        <v>6.5733750690480575</v>
      </c>
      <c r="AJ680">
        <f t="shared" ca="1" si="62"/>
        <v>0</v>
      </c>
    </row>
    <row r="681" spans="28:36" x14ac:dyDescent="0.3">
      <c r="AB681">
        <f t="shared" si="63"/>
        <v>1</v>
      </c>
      <c r="AC681">
        <f t="shared" si="63"/>
        <v>1</v>
      </c>
      <c r="AD681">
        <f t="shared" si="63"/>
        <v>3</v>
      </c>
      <c r="AE681">
        <f t="shared" si="63"/>
        <v>1</v>
      </c>
      <c r="AF681">
        <f t="shared" si="63"/>
        <v>2</v>
      </c>
      <c r="AG681">
        <f t="shared" si="60"/>
        <v>8</v>
      </c>
      <c r="AH681">
        <f t="shared" ca="1" si="61"/>
        <v>0</v>
      </c>
      <c r="AI681">
        <f>IF(ROW($AA681) - $AA$51 &lt; ($H$16+1)^5, IF(AG681 &gt;= BaseBonus!$C$16, AG681*BaseBonus!$E$31, 0), "")</f>
        <v>7.5124286503406372</v>
      </c>
      <c r="AJ681">
        <f t="shared" ca="1" si="62"/>
        <v>0</v>
      </c>
    </row>
    <row r="682" spans="28:36" x14ac:dyDescent="0.3">
      <c r="AB682">
        <f t="shared" si="63"/>
        <v>2</v>
      </c>
      <c r="AC682">
        <f t="shared" si="63"/>
        <v>1</v>
      </c>
      <c r="AD682">
        <f t="shared" si="63"/>
        <v>3</v>
      </c>
      <c r="AE682">
        <f t="shared" si="63"/>
        <v>1</v>
      </c>
      <c r="AF682">
        <f t="shared" si="63"/>
        <v>2</v>
      </c>
      <c r="AG682">
        <f t="shared" si="60"/>
        <v>9</v>
      </c>
      <c r="AH682">
        <f t="shared" ca="1" si="61"/>
        <v>0</v>
      </c>
      <c r="AI682">
        <f>IF(ROW($AA682) - $AA$51 &lt; ($H$16+1)^5, IF(AG682 &gt;= BaseBonus!$C$16, AG682*BaseBonus!$E$31, 0), "")</f>
        <v>8.4514822316332161</v>
      </c>
      <c r="AJ682">
        <f t="shared" ca="1" si="62"/>
        <v>0</v>
      </c>
    </row>
    <row r="683" spans="28:36" x14ac:dyDescent="0.3">
      <c r="AB683">
        <f t="shared" si="63"/>
        <v>3</v>
      </c>
      <c r="AC683">
        <f t="shared" si="63"/>
        <v>1</v>
      </c>
      <c r="AD683">
        <f t="shared" si="63"/>
        <v>3</v>
      </c>
      <c r="AE683">
        <f t="shared" si="63"/>
        <v>1</v>
      </c>
      <c r="AF683">
        <f t="shared" si="63"/>
        <v>2</v>
      </c>
      <c r="AG683">
        <f t="shared" si="60"/>
        <v>10</v>
      </c>
      <c r="AH683">
        <f t="shared" ca="1" si="61"/>
        <v>0</v>
      </c>
      <c r="AI683">
        <f>IF(ROW($AA683) - $AA$51 &lt; ($H$16+1)^5, IF(AG683 &gt;= BaseBonus!$C$16, AG683*BaseBonus!$E$31, 0), "")</f>
        <v>9.3905358129257959</v>
      </c>
      <c r="AJ683">
        <f t="shared" ca="1" si="62"/>
        <v>0</v>
      </c>
    </row>
    <row r="684" spans="28:36" x14ac:dyDescent="0.3">
      <c r="AB684">
        <f t="shared" si="63"/>
        <v>0</v>
      </c>
      <c r="AC684">
        <f t="shared" si="63"/>
        <v>2</v>
      </c>
      <c r="AD684">
        <f t="shared" si="63"/>
        <v>3</v>
      </c>
      <c r="AE684">
        <f t="shared" si="63"/>
        <v>1</v>
      </c>
      <c r="AF684">
        <f t="shared" si="63"/>
        <v>2</v>
      </c>
      <c r="AG684">
        <f t="shared" si="60"/>
        <v>8</v>
      </c>
      <c r="AH684">
        <f t="shared" ca="1" si="61"/>
        <v>0</v>
      </c>
      <c r="AI684">
        <f>IF(ROW($AA684) - $AA$51 &lt; ($H$16+1)^5, IF(AG684 &gt;= BaseBonus!$C$16, AG684*BaseBonus!$E$31, 0), "")</f>
        <v>7.5124286503406372</v>
      </c>
      <c r="AJ684">
        <f t="shared" ca="1" si="62"/>
        <v>0</v>
      </c>
    </row>
    <row r="685" spans="28:36" x14ac:dyDescent="0.3">
      <c r="AB685">
        <f t="shared" si="63"/>
        <v>1</v>
      </c>
      <c r="AC685">
        <f t="shared" si="63"/>
        <v>2</v>
      </c>
      <c r="AD685">
        <f t="shared" si="63"/>
        <v>3</v>
      </c>
      <c r="AE685">
        <f t="shared" si="63"/>
        <v>1</v>
      </c>
      <c r="AF685">
        <f t="shared" si="63"/>
        <v>2</v>
      </c>
      <c r="AG685">
        <f t="shared" si="60"/>
        <v>9</v>
      </c>
      <c r="AH685">
        <f t="shared" ca="1" si="61"/>
        <v>0</v>
      </c>
      <c r="AI685">
        <f>IF(ROW($AA685) - $AA$51 &lt; ($H$16+1)^5, IF(AG685 &gt;= BaseBonus!$C$16, AG685*BaseBonus!$E$31, 0), "")</f>
        <v>8.4514822316332161</v>
      </c>
      <c r="AJ685">
        <f t="shared" ca="1" si="62"/>
        <v>0</v>
      </c>
    </row>
    <row r="686" spans="28:36" x14ac:dyDescent="0.3">
      <c r="AB686">
        <f t="shared" si="63"/>
        <v>2</v>
      </c>
      <c r="AC686">
        <f t="shared" si="63"/>
        <v>2</v>
      </c>
      <c r="AD686">
        <f t="shared" si="63"/>
        <v>3</v>
      </c>
      <c r="AE686">
        <f t="shared" si="63"/>
        <v>1</v>
      </c>
      <c r="AF686">
        <f t="shared" si="63"/>
        <v>2</v>
      </c>
      <c r="AG686">
        <f t="shared" si="60"/>
        <v>10</v>
      </c>
      <c r="AH686">
        <f t="shared" ca="1" si="61"/>
        <v>0</v>
      </c>
      <c r="AI686">
        <f>IF(ROW($AA686) - $AA$51 &lt; ($H$16+1)^5, IF(AG686 &gt;= BaseBonus!$C$16, AG686*BaseBonus!$E$31, 0), "")</f>
        <v>9.3905358129257959</v>
      </c>
      <c r="AJ686">
        <f t="shared" ca="1" si="62"/>
        <v>0</v>
      </c>
    </row>
    <row r="687" spans="28:36" x14ac:dyDescent="0.3">
      <c r="AB687">
        <f t="shared" si="63"/>
        <v>3</v>
      </c>
      <c r="AC687">
        <f t="shared" si="63"/>
        <v>2</v>
      </c>
      <c r="AD687">
        <f t="shared" si="63"/>
        <v>3</v>
      </c>
      <c r="AE687">
        <f t="shared" si="63"/>
        <v>1</v>
      </c>
      <c r="AF687">
        <f t="shared" si="63"/>
        <v>2</v>
      </c>
      <c r="AG687">
        <f t="shared" si="60"/>
        <v>11</v>
      </c>
      <c r="AH687">
        <f t="shared" ca="1" si="61"/>
        <v>0</v>
      </c>
      <c r="AI687">
        <f>IF(ROW($AA687) - $AA$51 &lt; ($H$16+1)^5, IF(AG687 &gt;= BaseBonus!$C$16, AG687*BaseBonus!$E$31, 0), "")</f>
        <v>10.329589394218376</v>
      </c>
      <c r="AJ687">
        <f t="shared" ca="1" si="62"/>
        <v>0</v>
      </c>
    </row>
    <row r="688" spans="28:36" x14ac:dyDescent="0.3">
      <c r="AB688">
        <f t="shared" si="63"/>
        <v>0</v>
      </c>
      <c r="AC688">
        <f t="shared" si="63"/>
        <v>3</v>
      </c>
      <c r="AD688">
        <f t="shared" si="63"/>
        <v>3</v>
      </c>
      <c r="AE688">
        <f t="shared" si="63"/>
        <v>1</v>
      </c>
      <c r="AF688">
        <f t="shared" si="63"/>
        <v>2</v>
      </c>
      <c r="AG688">
        <f t="shared" si="60"/>
        <v>9</v>
      </c>
      <c r="AH688">
        <f t="shared" ca="1" si="61"/>
        <v>0</v>
      </c>
      <c r="AI688">
        <f>IF(ROW($AA688) - $AA$51 &lt; ($H$16+1)^5, IF(AG688 &gt;= BaseBonus!$C$16, AG688*BaseBonus!$E$31, 0), "")</f>
        <v>8.4514822316332161</v>
      </c>
      <c r="AJ688">
        <f t="shared" ca="1" si="62"/>
        <v>0</v>
      </c>
    </row>
    <row r="689" spans="28:36" x14ac:dyDescent="0.3">
      <c r="AB689">
        <f t="shared" si="63"/>
        <v>1</v>
      </c>
      <c r="AC689">
        <f t="shared" si="63"/>
        <v>3</v>
      </c>
      <c r="AD689">
        <f t="shared" si="63"/>
        <v>3</v>
      </c>
      <c r="AE689">
        <f t="shared" si="63"/>
        <v>1</v>
      </c>
      <c r="AF689">
        <f t="shared" si="63"/>
        <v>2</v>
      </c>
      <c r="AG689">
        <f t="shared" si="60"/>
        <v>10</v>
      </c>
      <c r="AH689">
        <f t="shared" ca="1" si="61"/>
        <v>0</v>
      </c>
      <c r="AI689">
        <f>IF(ROW($AA689) - $AA$51 &lt; ($H$16+1)^5, IF(AG689 &gt;= BaseBonus!$C$16, AG689*BaseBonus!$E$31, 0), "")</f>
        <v>9.3905358129257959</v>
      </c>
      <c r="AJ689">
        <f t="shared" ca="1" si="62"/>
        <v>0</v>
      </c>
    </row>
    <row r="690" spans="28:36" x14ac:dyDescent="0.3">
      <c r="AB690">
        <f t="shared" si="63"/>
        <v>2</v>
      </c>
      <c r="AC690">
        <f t="shared" si="63"/>
        <v>3</v>
      </c>
      <c r="AD690">
        <f t="shared" si="63"/>
        <v>3</v>
      </c>
      <c r="AE690">
        <f t="shared" si="63"/>
        <v>1</v>
      </c>
      <c r="AF690">
        <f t="shared" si="63"/>
        <v>2</v>
      </c>
      <c r="AG690">
        <f t="shared" si="60"/>
        <v>11</v>
      </c>
      <c r="AH690">
        <f t="shared" ca="1" si="61"/>
        <v>0</v>
      </c>
      <c r="AI690">
        <f>IF(ROW($AA690) - $AA$51 &lt; ($H$16+1)^5, IF(AG690 &gt;= BaseBonus!$C$16, AG690*BaseBonus!$E$31, 0), "")</f>
        <v>10.329589394218376</v>
      </c>
      <c r="AJ690">
        <f t="shared" ca="1" si="62"/>
        <v>0</v>
      </c>
    </row>
    <row r="691" spans="28:36" x14ac:dyDescent="0.3">
      <c r="AB691">
        <f t="shared" si="63"/>
        <v>3</v>
      </c>
      <c r="AC691">
        <f t="shared" si="63"/>
        <v>3</v>
      </c>
      <c r="AD691">
        <f t="shared" si="63"/>
        <v>3</v>
      </c>
      <c r="AE691">
        <f t="shared" si="63"/>
        <v>1</v>
      </c>
      <c r="AF691">
        <f t="shared" si="63"/>
        <v>2</v>
      </c>
      <c r="AG691">
        <f t="shared" si="60"/>
        <v>12</v>
      </c>
      <c r="AH691">
        <f t="shared" ca="1" si="61"/>
        <v>0</v>
      </c>
      <c r="AI691">
        <f>IF(ROW($AA691) - $AA$51 &lt; ($H$16+1)^5, IF(AG691 &gt;= BaseBonus!$C$16, AG691*BaseBonus!$E$31, 0), "")</f>
        <v>11.268642975510955</v>
      </c>
      <c r="AJ691">
        <f t="shared" ca="1" si="62"/>
        <v>0</v>
      </c>
    </row>
    <row r="692" spans="28:36" x14ac:dyDescent="0.3">
      <c r="AB692">
        <f t="shared" si="63"/>
        <v>0</v>
      </c>
      <c r="AC692">
        <f t="shared" si="63"/>
        <v>0</v>
      </c>
      <c r="AD692">
        <f t="shared" si="63"/>
        <v>0</v>
      </c>
      <c r="AE692">
        <f t="shared" si="63"/>
        <v>2</v>
      </c>
      <c r="AF692">
        <f t="shared" si="63"/>
        <v>2</v>
      </c>
      <c r="AG692">
        <f t="shared" ref="AG692:AG755" si="64">IF(ROW($AA692) - $AA$51 &lt; ($H$16+1)^5, SUM(AB692:AF692), "")</f>
        <v>4</v>
      </c>
      <c r="AH692">
        <f t="shared" ref="AH692:AH755" ca="1" si="65">IF(ROW($AA692) - $AA$51 &lt; (4)^5,
    (_xlfn.XLOOKUP(AB692,$T$51:$T$55,U$51:U$55,0)/U$27) * (_xlfn.XLOOKUP(AC692,$T$51:$T$55,V$51:V$55,0)/V$27) * (_xlfn.XLOOKUP(AD692,$T$51:$T$55,W$51:W$55,0)/W$27) * (_xlfn.XLOOKUP(AE692,$T$51:$T$55,X$51:X$55,0)/X$27) * (_xlfn.XLOOKUP(AF692,$T$51:$T$55,Y$51:Y$55,0)/Y$27),
"")</f>
        <v>0</v>
      </c>
      <c r="AI692">
        <f>IF(ROW($AA692) - $AA$51 &lt; ($H$16+1)^5, IF(AG692 &gt;= BaseBonus!$C$16, AG692*BaseBonus!$E$31, 0), "")</f>
        <v>0</v>
      </c>
      <c r="AJ692">
        <f t="shared" ref="AJ692:AJ755" ca="1" si="66">IF(ROW($AA692) - $AA$51 &lt; ($H$16+1)^5, AH692*AI692, "")</f>
        <v>0</v>
      </c>
    </row>
    <row r="693" spans="28:36" x14ac:dyDescent="0.3">
      <c r="AB693">
        <f t="shared" si="63"/>
        <v>1</v>
      </c>
      <c r="AC693">
        <f t="shared" si="63"/>
        <v>0</v>
      </c>
      <c r="AD693">
        <f t="shared" si="63"/>
        <v>0</v>
      </c>
      <c r="AE693">
        <f t="shared" si="63"/>
        <v>2</v>
      </c>
      <c r="AF693">
        <f t="shared" si="63"/>
        <v>2</v>
      </c>
      <c r="AG693">
        <f t="shared" si="64"/>
        <v>5</v>
      </c>
      <c r="AH693">
        <f t="shared" ca="1" si="65"/>
        <v>0</v>
      </c>
      <c r="AI693">
        <f>IF(ROW($AA693) - $AA$51 &lt; ($H$16+1)^5, IF(AG693 &gt;= BaseBonus!$C$16, AG693*BaseBonus!$E$31, 0), "")</f>
        <v>4.6952679064628979</v>
      </c>
      <c r="AJ693">
        <f t="shared" ca="1" si="66"/>
        <v>0</v>
      </c>
    </row>
    <row r="694" spans="28:36" x14ac:dyDescent="0.3">
      <c r="AB694">
        <f t="shared" si="63"/>
        <v>2</v>
      </c>
      <c r="AC694">
        <f t="shared" si="63"/>
        <v>0</v>
      </c>
      <c r="AD694">
        <f t="shared" si="63"/>
        <v>0</v>
      </c>
      <c r="AE694">
        <f t="shared" si="63"/>
        <v>2</v>
      </c>
      <c r="AF694">
        <f t="shared" si="63"/>
        <v>2</v>
      </c>
      <c r="AG694">
        <f t="shared" si="64"/>
        <v>6</v>
      </c>
      <c r="AH694">
        <f t="shared" ca="1" si="65"/>
        <v>0</v>
      </c>
      <c r="AI694">
        <f>IF(ROW($AA694) - $AA$51 &lt; ($H$16+1)^5, IF(AG694 &gt;= BaseBonus!$C$16, AG694*BaseBonus!$E$31, 0), "")</f>
        <v>5.6343214877554777</v>
      </c>
      <c r="AJ694">
        <f t="shared" ca="1" si="66"/>
        <v>0</v>
      </c>
    </row>
    <row r="695" spans="28:36" x14ac:dyDescent="0.3">
      <c r="AB695">
        <f t="shared" si="63"/>
        <v>3</v>
      </c>
      <c r="AC695">
        <f t="shared" si="63"/>
        <v>0</v>
      </c>
      <c r="AD695">
        <f t="shared" si="63"/>
        <v>0</v>
      </c>
      <c r="AE695">
        <f t="shared" si="63"/>
        <v>2</v>
      </c>
      <c r="AF695">
        <f t="shared" si="63"/>
        <v>2</v>
      </c>
      <c r="AG695">
        <f t="shared" si="64"/>
        <v>7</v>
      </c>
      <c r="AH695">
        <f t="shared" ca="1" si="65"/>
        <v>0</v>
      </c>
      <c r="AI695">
        <f>IF(ROW($AA695) - $AA$51 &lt; ($H$16+1)^5, IF(AG695 &gt;= BaseBonus!$C$16, AG695*BaseBonus!$E$31, 0), "")</f>
        <v>6.5733750690480575</v>
      </c>
      <c r="AJ695">
        <f t="shared" ca="1" si="66"/>
        <v>0</v>
      </c>
    </row>
    <row r="696" spans="28:36" x14ac:dyDescent="0.3">
      <c r="AB696">
        <f t="shared" si="63"/>
        <v>0</v>
      </c>
      <c r="AC696">
        <f t="shared" si="63"/>
        <v>1</v>
      </c>
      <c r="AD696">
        <f t="shared" si="63"/>
        <v>0</v>
      </c>
      <c r="AE696">
        <f t="shared" si="63"/>
        <v>2</v>
      </c>
      <c r="AF696">
        <f t="shared" si="63"/>
        <v>2</v>
      </c>
      <c r="AG696">
        <f t="shared" si="64"/>
        <v>5</v>
      </c>
      <c r="AH696">
        <f t="shared" ca="1" si="65"/>
        <v>0</v>
      </c>
      <c r="AI696">
        <f>IF(ROW($AA696) - $AA$51 &lt; ($H$16+1)^5, IF(AG696 &gt;= BaseBonus!$C$16, AG696*BaseBonus!$E$31, 0), "")</f>
        <v>4.6952679064628979</v>
      </c>
      <c r="AJ696">
        <f t="shared" ca="1" si="66"/>
        <v>0</v>
      </c>
    </row>
    <row r="697" spans="28:36" x14ac:dyDescent="0.3">
      <c r="AB697">
        <f t="shared" si="63"/>
        <v>1</v>
      </c>
      <c r="AC697">
        <f t="shared" si="63"/>
        <v>1</v>
      </c>
      <c r="AD697">
        <f t="shared" si="63"/>
        <v>0</v>
      </c>
      <c r="AE697">
        <f t="shared" si="63"/>
        <v>2</v>
      </c>
      <c r="AF697">
        <f t="shared" si="63"/>
        <v>2</v>
      </c>
      <c r="AG697">
        <f t="shared" si="64"/>
        <v>6</v>
      </c>
      <c r="AH697">
        <f t="shared" ca="1" si="65"/>
        <v>0</v>
      </c>
      <c r="AI697">
        <f>IF(ROW($AA697) - $AA$51 &lt; ($H$16+1)^5, IF(AG697 &gt;= BaseBonus!$C$16, AG697*BaseBonus!$E$31, 0), "")</f>
        <v>5.6343214877554777</v>
      </c>
      <c r="AJ697">
        <f t="shared" ca="1" si="66"/>
        <v>0</v>
      </c>
    </row>
    <row r="698" spans="28:36" x14ac:dyDescent="0.3">
      <c r="AB698">
        <f t="shared" si="63"/>
        <v>2</v>
      </c>
      <c r="AC698">
        <f t="shared" si="63"/>
        <v>1</v>
      </c>
      <c r="AD698">
        <f t="shared" si="63"/>
        <v>0</v>
      </c>
      <c r="AE698">
        <f t="shared" si="63"/>
        <v>2</v>
      </c>
      <c r="AF698">
        <f t="shared" si="63"/>
        <v>2</v>
      </c>
      <c r="AG698">
        <f t="shared" si="64"/>
        <v>7</v>
      </c>
      <c r="AH698">
        <f t="shared" ca="1" si="65"/>
        <v>0</v>
      </c>
      <c r="AI698">
        <f>IF(ROW($AA698) - $AA$51 &lt; ($H$16+1)^5, IF(AG698 &gt;= BaseBonus!$C$16, AG698*BaseBonus!$E$31, 0), "")</f>
        <v>6.5733750690480575</v>
      </c>
      <c r="AJ698">
        <f t="shared" ca="1" si="66"/>
        <v>0</v>
      </c>
    </row>
    <row r="699" spans="28:36" x14ac:dyDescent="0.3">
      <c r="AB699">
        <f t="shared" si="63"/>
        <v>3</v>
      </c>
      <c r="AC699">
        <f t="shared" si="63"/>
        <v>1</v>
      </c>
      <c r="AD699">
        <f t="shared" si="63"/>
        <v>0</v>
      </c>
      <c r="AE699">
        <f t="shared" si="63"/>
        <v>2</v>
      </c>
      <c r="AF699">
        <f t="shared" si="63"/>
        <v>2</v>
      </c>
      <c r="AG699">
        <f t="shared" si="64"/>
        <v>8</v>
      </c>
      <c r="AH699">
        <f t="shared" ca="1" si="65"/>
        <v>0</v>
      </c>
      <c r="AI699">
        <f>IF(ROW($AA699) - $AA$51 &lt; ($H$16+1)^5, IF(AG699 &gt;= BaseBonus!$C$16, AG699*BaseBonus!$E$31, 0), "")</f>
        <v>7.5124286503406372</v>
      </c>
      <c r="AJ699">
        <f t="shared" ca="1" si="66"/>
        <v>0</v>
      </c>
    </row>
    <row r="700" spans="28:36" x14ac:dyDescent="0.3">
      <c r="AB700">
        <f t="shared" si="63"/>
        <v>0</v>
      </c>
      <c r="AC700">
        <f t="shared" si="63"/>
        <v>2</v>
      </c>
      <c r="AD700">
        <f t="shared" si="63"/>
        <v>0</v>
      </c>
      <c r="AE700">
        <f t="shared" si="63"/>
        <v>2</v>
      </c>
      <c r="AF700">
        <f t="shared" si="63"/>
        <v>2</v>
      </c>
      <c r="AG700">
        <f t="shared" si="64"/>
        <v>6</v>
      </c>
      <c r="AH700">
        <f t="shared" ca="1" si="65"/>
        <v>0</v>
      </c>
      <c r="AI700">
        <f>IF(ROW($AA700) - $AA$51 &lt; ($H$16+1)^5, IF(AG700 &gt;= BaseBonus!$C$16, AG700*BaseBonus!$E$31, 0), "")</f>
        <v>5.6343214877554777</v>
      </c>
      <c r="AJ700">
        <f t="shared" ca="1" si="66"/>
        <v>0</v>
      </c>
    </row>
    <row r="701" spans="28:36" x14ac:dyDescent="0.3">
      <c r="AB701">
        <f t="shared" si="63"/>
        <v>1</v>
      </c>
      <c r="AC701">
        <f t="shared" si="63"/>
        <v>2</v>
      </c>
      <c r="AD701">
        <f t="shared" si="63"/>
        <v>0</v>
      </c>
      <c r="AE701">
        <f t="shared" si="63"/>
        <v>2</v>
      </c>
      <c r="AF701">
        <f t="shared" si="63"/>
        <v>2</v>
      </c>
      <c r="AG701">
        <f t="shared" si="64"/>
        <v>7</v>
      </c>
      <c r="AH701">
        <f t="shared" ca="1" si="65"/>
        <v>0</v>
      </c>
      <c r="AI701">
        <f>IF(ROW($AA701) - $AA$51 &lt; ($H$16+1)^5, IF(AG701 &gt;= BaseBonus!$C$16, AG701*BaseBonus!$E$31, 0), "")</f>
        <v>6.5733750690480575</v>
      </c>
      <c r="AJ701">
        <f t="shared" ca="1" si="66"/>
        <v>0</v>
      </c>
    </row>
    <row r="702" spans="28:36" x14ac:dyDescent="0.3">
      <c r="AB702">
        <f t="shared" si="63"/>
        <v>2</v>
      </c>
      <c r="AC702">
        <f t="shared" si="63"/>
        <v>2</v>
      </c>
      <c r="AD702">
        <f t="shared" si="63"/>
        <v>0</v>
      </c>
      <c r="AE702">
        <f t="shared" si="63"/>
        <v>2</v>
      </c>
      <c r="AF702">
        <f t="shared" si="63"/>
        <v>2</v>
      </c>
      <c r="AG702">
        <f t="shared" si="64"/>
        <v>8</v>
      </c>
      <c r="AH702">
        <f t="shared" ca="1" si="65"/>
        <v>0</v>
      </c>
      <c r="AI702">
        <f>IF(ROW($AA702) - $AA$51 &lt; ($H$16+1)^5, IF(AG702 &gt;= BaseBonus!$C$16, AG702*BaseBonus!$E$31, 0), "")</f>
        <v>7.5124286503406372</v>
      </c>
      <c r="AJ702">
        <f t="shared" ca="1" si="66"/>
        <v>0</v>
      </c>
    </row>
    <row r="703" spans="28:36" x14ac:dyDescent="0.3">
      <c r="AB703">
        <f t="shared" si="63"/>
        <v>3</v>
      </c>
      <c r="AC703">
        <f t="shared" si="63"/>
        <v>2</v>
      </c>
      <c r="AD703">
        <f t="shared" si="63"/>
        <v>0</v>
      </c>
      <c r="AE703">
        <f t="shared" si="63"/>
        <v>2</v>
      </c>
      <c r="AF703">
        <f t="shared" si="63"/>
        <v>2</v>
      </c>
      <c r="AG703">
        <f t="shared" si="64"/>
        <v>9</v>
      </c>
      <c r="AH703">
        <f t="shared" ca="1" si="65"/>
        <v>0</v>
      </c>
      <c r="AI703">
        <f>IF(ROW($AA703) - $AA$51 &lt; ($H$16+1)^5, IF(AG703 &gt;= BaseBonus!$C$16, AG703*BaseBonus!$E$31, 0), "")</f>
        <v>8.4514822316332161</v>
      </c>
      <c r="AJ703">
        <f t="shared" ca="1" si="66"/>
        <v>0</v>
      </c>
    </row>
    <row r="704" spans="28:36" x14ac:dyDescent="0.3">
      <c r="AB704">
        <f t="shared" si="63"/>
        <v>0</v>
      </c>
      <c r="AC704">
        <f t="shared" si="63"/>
        <v>3</v>
      </c>
      <c r="AD704">
        <f t="shared" si="63"/>
        <v>0</v>
      </c>
      <c r="AE704">
        <f t="shared" si="63"/>
        <v>2</v>
      </c>
      <c r="AF704">
        <f t="shared" si="63"/>
        <v>2</v>
      </c>
      <c r="AG704">
        <f t="shared" si="64"/>
        <v>7</v>
      </c>
      <c r="AH704">
        <f t="shared" ca="1" si="65"/>
        <v>0</v>
      </c>
      <c r="AI704">
        <f>IF(ROW($AA704) - $AA$51 &lt; ($H$16+1)^5, IF(AG704 &gt;= BaseBonus!$C$16, AG704*BaseBonus!$E$31, 0), "")</f>
        <v>6.5733750690480575</v>
      </c>
      <c r="AJ704">
        <f t="shared" ca="1" si="66"/>
        <v>0</v>
      </c>
    </row>
    <row r="705" spans="28:36" x14ac:dyDescent="0.3">
      <c r="AB705">
        <f t="shared" si="63"/>
        <v>1</v>
      </c>
      <c r="AC705">
        <f t="shared" si="63"/>
        <v>3</v>
      </c>
      <c r="AD705">
        <f t="shared" si="63"/>
        <v>0</v>
      </c>
      <c r="AE705">
        <f t="shared" si="63"/>
        <v>2</v>
      </c>
      <c r="AF705">
        <f t="shared" si="63"/>
        <v>2</v>
      </c>
      <c r="AG705">
        <f t="shared" si="64"/>
        <v>8</v>
      </c>
      <c r="AH705">
        <f t="shared" ca="1" si="65"/>
        <v>0</v>
      </c>
      <c r="AI705">
        <f>IF(ROW($AA705) - $AA$51 &lt; ($H$16+1)^5, IF(AG705 &gt;= BaseBonus!$C$16, AG705*BaseBonus!$E$31, 0), "")</f>
        <v>7.5124286503406372</v>
      </c>
      <c r="AJ705">
        <f t="shared" ca="1" si="66"/>
        <v>0</v>
      </c>
    </row>
    <row r="706" spans="28:36" x14ac:dyDescent="0.3">
      <c r="AB706">
        <f t="shared" si="63"/>
        <v>2</v>
      </c>
      <c r="AC706">
        <f t="shared" si="63"/>
        <v>3</v>
      </c>
      <c r="AD706">
        <f t="shared" si="63"/>
        <v>0</v>
      </c>
      <c r="AE706">
        <f t="shared" si="63"/>
        <v>2</v>
      </c>
      <c r="AF706">
        <f t="shared" si="63"/>
        <v>2</v>
      </c>
      <c r="AG706">
        <f t="shared" si="64"/>
        <v>9</v>
      </c>
      <c r="AH706">
        <f t="shared" ca="1" si="65"/>
        <v>0</v>
      </c>
      <c r="AI706">
        <f>IF(ROW($AA706) - $AA$51 &lt; ($H$16+1)^5, IF(AG706 &gt;= BaseBonus!$C$16, AG706*BaseBonus!$E$31, 0), "")</f>
        <v>8.4514822316332161</v>
      </c>
      <c r="AJ706">
        <f t="shared" ca="1" si="66"/>
        <v>0</v>
      </c>
    </row>
    <row r="707" spans="28:36" x14ac:dyDescent="0.3">
      <c r="AB707">
        <f t="shared" si="63"/>
        <v>3</v>
      </c>
      <c r="AC707">
        <f t="shared" si="63"/>
        <v>3</v>
      </c>
      <c r="AD707">
        <f t="shared" si="63"/>
        <v>0</v>
      </c>
      <c r="AE707">
        <f t="shared" si="63"/>
        <v>2</v>
      </c>
      <c r="AF707">
        <f t="shared" si="63"/>
        <v>2</v>
      </c>
      <c r="AG707">
        <f t="shared" si="64"/>
        <v>10</v>
      </c>
      <c r="AH707">
        <f t="shared" ca="1" si="65"/>
        <v>0</v>
      </c>
      <c r="AI707">
        <f>IF(ROW($AA707) - $AA$51 &lt; ($H$16+1)^5, IF(AG707 &gt;= BaseBonus!$C$16, AG707*BaseBonus!$E$31, 0), "")</f>
        <v>9.3905358129257959</v>
      </c>
      <c r="AJ707">
        <f t="shared" ca="1" si="66"/>
        <v>0</v>
      </c>
    </row>
    <row r="708" spans="28:36" x14ac:dyDescent="0.3">
      <c r="AB708">
        <f t="shared" si="63"/>
        <v>0</v>
      </c>
      <c r="AC708">
        <f t="shared" si="63"/>
        <v>0</v>
      </c>
      <c r="AD708">
        <f t="shared" si="63"/>
        <v>1</v>
      </c>
      <c r="AE708">
        <f t="shared" si="63"/>
        <v>2</v>
      </c>
      <c r="AF708">
        <f t="shared" si="63"/>
        <v>2</v>
      </c>
      <c r="AG708">
        <f t="shared" si="64"/>
        <v>5</v>
      </c>
      <c r="AH708">
        <f t="shared" ca="1" si="65"/>
        <v>0</v>
      </c>
      <c r="AI708">
        <f>IF(ROW($AA708) - $AA$51 &lt; ($H$16+1)^5, IF(AG708 &gt;= BaseBonus!$C$16, AG708*BaseBonus!$E$31, 0), "")</f>
        <v>4.6952679064628979</v>
      </c>
      <c r="AJ708">
        <f t="shared" ca="1" si="66"/>
        <v>0</v>
      </c>
    </row>
    <row r="709" spans="28:36" x14ac:dyDescent="0.3">
      <c r="AB709">
        <f t="shared" si="63"/>
        <v>1</v>
      </c>
      <c r="AC709">
        <f t="shared" si="63"/>
        <v>0</v>
      </c>
      <c r="AD709">
        <f t="shared" si="63"/>
        <v>1</v>
      </c>
      <c r="AE709">
        <f t="shared" si="63"/>
        <v>2</v>
      </c>
      <c r="AF709">
        <f t="shared" si="63"/>
        <v>2</v>
      </c>
      <c r="AG709">
        <f t="shared" si="64"/>
        <v>6</v>
      </c>
      <c r="AH709">
        <f t="shared" ca="1" si="65"/>
        <v>0</v>
      </c>
      <c r="AI709">
        <f>IF(ROW($AA709) - $AA$51 &lt; ($H$16+1)^5, IF(AG709 &gt;= BaseBonus!$C$16, AG709*BaseBonus!$E$31, 0), "")</f>
        <v>5.6343214877554777</v>
      </c>
      <c r="AJ709">
        <f t="shared" ca="1" si="66"/>
        <v>0</v>
      </c>
    </row>
    <row r="710" spans="28:36" x14ac:dyDescent="0.3">
      <c r="AB710">
        <f t="shared" si="63"/>
        <v>2</v>
      </c>
      <c r="AC710">
        <f t="shared" si="63"/>
        <v>0</v>
      </c>
      <c r="AD710">
        <f t="shared" si="63"/>
        <v>1</v>
      </c>
      <c r="AE710">
        <f t="shared" si="63"/>
        <v>2</v>
      </c>
      <c r="AF710">
        <f t="shared" si="63"/>
        <v>2</v>
      </c>
      <c r="AG710">
        <f t="shared" si="64"/>
        <v>7</v>
      </c>
      <c r="AH710">
        <f t="shared" ca="1" si="65"/>
        <v>0</v>
      </c>
      <c r="AI710">
        <f>IF(ROW($AA710) - $AA$51 &lt; ($H$16+1)^5, IF(AG710 &gt;= BaseBonus!$C$16, AG710*BaseBonus!$E$31, 0), "")</f>
        <v>6.5733750690480575</v>
      </c>
      <c r="AJ710">
        <f t="shared" ca="1" si="66"/>
        <v>0</v>
      </c>
    </row>
    <row r="711" spans="28:36" x14ac:dyDescent="0.3">
      <c r="AB711">
        <f t="shared" si="63"/>
        <v>3</v>
      </c>
      <c r="AC711">
        <f t="shared" si="63"/>
        <v>0</v>
      </c>
      <c r="AD711">
        <f t="shared" si="63"/>
        <v>1</v>
      </c>
      <c r="AE711">
        <f t="shared" si="63"/>
        <v>2</v>
      </c>
      <c r="AF711">
        <f t="shared" si="63"/>
        <v>2</v>
      </c>
      <c r="AG711">
        <f t="shared" si="64"/>
        <v>8</v>
      </c>
      <c r="AH711">
        <f t="shared" ca="1" si="65"/>
        <v>0</v>
      </c>
      <c r="AI711">
        <f>IF(ROW($AA711) - $AA$51 &lt; ($H$16+1)^5, IF(AG711 &gt;= BaseBonus!$C$16, AG711*BaseBonus!$E$31, 0), "")</f>
        <v>7.5124286503406372</v>
      </c>
      <c r="AJ711">
        <f t="shared" ca="1" si="66"/>
        <v>0</v>
      </c>
    </row>
    <row r="712" spans="28:36" x14ac:dyDescent="0.3">
      <c r="AB712">
        <f t="shared" si="63"/>
        <v>0</v>
      </c>
      <c r="AC712">
        <f t="shared" si="63"/>
        <v>1</v>
      </c>
      <c r="AD712">
        <f t="shared" si="63"/>
        <v>1</v>
      </c>
      <c r="AE712">
        <f t="shared" si="63"/>
        <v>2</v>
      </c>
      <c r="AF712">
        <f t="shared" si="63"/>
        <v>2</v>
      </c>
      <c r="AG712">
        <f t="shared" si="64"/>
        <v>6</v>
      </c>
      <c r="AH712">
        <f t="shared" ca="1" si="65"/>
        <v>0</v>
      </c>
      <c r="AI712">
        <f>IF(ROW($AA712) - $AA$51 &lt; ($H$16+1)^5, IF(AG712 &gt;= BaseBonus!$C$16, AG712*BaseBonus!$E$31, 0), "")</f>
        <v>5.6343214877554777</v>
      </c>
      <c r="AJ712">
        <f t="shared" ca="1" si="66"/>
        <v>0</v>
      </c>
    </row>
    <row r="713" spans="28:36" x14ac:dyDescent="0.3">
      <c r="AB713">
        <f t="shared" si="63"/>
        <v>1</v>
      </c>
      <c r="AC713">
        <f t="shared" si="63"/>
        <v>1</v>
      </c>
      <c r="AD713">
        <f t="shared" si="63"/>
        <v>1</v>
      </c>
      <c r="AE713">
        <f t="shared" si="63"/>
        <v>2</v>
      </c>
      <c r="AF713">
        <f t="shared" si="63"/>
        <v>2</v>
      </c>
      <c r="AG713">
        <f t="shared" si="64"/>
        <v>7</v>
      </c>
      <c r="AH713">
        <f t="shared" ca="1" si="65"/>
        <v>0</v>
      </c>
      <c r="AI713">
        <f>IF(ROW($AA713) - $AA$51 &lt; ($H$16+1)^5, IF(AG713 &gt;= BaseBonus!$C$16, AG713*BaseBonus!$E$31, 0), "")</f>
        <v>6.5733750690480575</v>
      </c>
      <c r="AJ713">
        <f t="shared" ca="1" si="66"/>
        <v>0</v>
      </c>
    </row>
    <row r="714" spans="28:36" x14ac:dyDescent="0.3">
      <c r="AB714">
        <f t="shared" si="63"/>
        <v>2</v>
      </c>
      <c r="AC714">
        <f t="shared" si="63"/>
        <v>1</v>
      </c>
      <c r="AD714">
        <f t="shared" si="63"/>
        <v>1</v>
      </c>
      <c r="AE714">
        <f t="shared" si="63"/>
        <v>2</v>
      </c>
      <c r="AF714">
        <f t="shared" si="63"/>
        <v>2</v>
      </c>
      <c r="AG714">
        <f t="shared" si="64"/>
        <v>8</v>
      </c>
      <c r="AH714">
        <f t="shared" ca="1" si="65"/>
        <v>0</v>
      </c>
      <c r="AI714">
        <f>IF(ROW($AA714) - $AA$51 &lt; ($H$16+1)^5, IF(AG714 &gt;= BaseBonus!$C$16, AG714*BaseBonus!$E$31, 0), "")</f>
        <v>7.5124286503406372</v>
      </c>
      <c r="AJ714">
        <f t="shared" ca="1" si="66"/>
        <v>0</v>
      </c>
    </row>
    <row r="715" spans="28:36" x14ac:dyDescent="0.3">
      <c r="AB715">
        <f t="shared" ref="AB715:AF765" si="67">IF(ROW()-$AA$51 &lt; (H$16+1)^5, MOD(_xlfn.FLOOR.MATH((ROW()-$AA$51)/AB$50), H$16+1), "")</f>
        <v>3</v>
      </c>
      <c r="AC715">
        <f t="shared" si="67"/>
        <v>1</v>
      </c>
      <c r="AD715">
        <f t="shared" si="67"/>
        <v>1</v>
      </c>
      <c r="AE715">
        <f t="shared" si="67"/>
        <v>2</v>
      </c>
      <c r="AF715">
        <f t="shared" si="67"/>
        <v>2</v>
      </c>
      <c r="AG715">
        <f t="shared" si="64"/>
        <v>9</v>
      </c>
      <c r="AH715">
        <f t="shared" ca="1" si="65"/>
        <v>0</v>
      </c>
      <c r="AI715">
        <f>IF(ROW($AA715) - $AA$51 &lt; ($H$16+1)^5, IF(AG715 &gt;= BaseBonus!$C$16, AG715*BaseBonus!$E$31, 0), "")</f>
        <v>8.4514822316332161</v>
      </c>
      <c r="AJ715">
        <f t="shared" ca="1" si="66"/>
        <v>0</v>
      </c>
    </row>
    <row r="716" spans="28:36" x14ac:dyDescent="0.3">
      <c r="AB716">
        <f t="shared" si="67"/>
        <v>0</v>
      </c>
      <c r="AC716">
        <f t="shared" si="67"/>
        <v>2</v>
      </c>
      <c r="AD716">
        <f t="shared" si="67"/>
        <v>1</v>
      </c>
      <c r="AE716">
        <f t="shared" si="67"/>
        <v>2</v>
      </c>
      <c r="AF716">
        <f t="shared" si="67"/>
        <v>2</v>
      </c>
      <c r="AG716">
        <f t="shared" si="64"/>
        <v>7</v>
      </c>
      <c r="AH716">
        <f t="shared" ca="1" si="65"/>
        <v>0</v>
      </c>
      <c r="AI716">
        <f>IF(ROW($AA716) - $AA$51 &lt; ($H$16+1)^5, IF(AG716 &gt;= BaseBonus!$C$16, AG716*BaseBonus!$E$31, 0), "")</f>
        <v>6.5733750690480575</v>
      </c>
      <c r="AJ716">
        <f t="shared" ca="1" si="66"/>
        <v>0</v>
      </c>
    </row>
    <row r="717" spans="28:36" x14ac:dyDescent="0.3">
      <c r="AB717">
        <f t="shared" si="67"/>
        <v>1</v>
      </c>
      <c r="AC717">
        <f t="shared" si="67"/>
        <v>2</v>
      </c>
      <c r="AD717">
        <f t="shared" si="67"/>
        <v>1</v>
      </c>
      <c r="AE717">
        <f t="shared" si="67"/>
        <v>2</v>
      </c>
      <c r="AF717">
        <f t="shared" si="67"/>
        <v>2</v>
      </c>
      <c r="AG717">
        <f t="shared" si="64"/>
        <v>8</v>
      </c>
      <c r="AH717">
        <f t="shared" ca="1" si="65"/>
        <v>0</v>
      </c>
      <c r="AI717">
        <f>IF(ROW($AA717) - $AA$51 &lt; ($H$16+1)^5, IF(AG717 &gt;= BaseBonus!$C$16, AG717*BaseBonus!$E$31, 0), "")</f>
        <v>7.5124286503406372</v>
      </c>
      <c r="AJ717">
        <f t="shared" ca="1" si="66"/>
        <v>0</v>
      </c>
    </row>
    <row r="718" spans="28:36" x14ac:dyDescent="0.3">
      <c r="AB718">
        <f t="shared" si="67"/>
        <v>2</v>
      </c>
      <c r="AC718">
        <f t="shared" si="67"/>
        <v>2</v>
      </c>
      <c r="AD718">
        <f t="shared" si="67"/>
        <v>1</v>
      </c>
      <c r="AE718">
        <f t="shared" si="67"/>
        <v>2</v>
      </c>
      <c r="AF718">
        <f t="shared" si="67"/>
        <v>2</v>
      </c>
      <c r="AG718">
        <f t="shared" si="64"/>
        <v>9</v>
      </c>
      <c r="AH718">
        <f t="shared" ca="1" si="65"/>
        <v>0</v>
      </c>
      <c r="AI718">
        <f>IF(ROW($AA718) - $AA$51 &lt; ($H$16+1)^5, IF(AG718 &gt;= BaseBonus!$C$16, AG718*BaseBonus!$E$31, 0), "")</f>
        <v>8.4514822316332161</v>
      </c>
      <c r="AJ718">
        <f t="shared" ca="1" si="66"/>
        <v>0</v>
      </c>
    </row>
    <row r="719" spans="28:36" x14ac:dyDescent="0.3">
      <c r="AB719">
        <f t="shared" si="67"/>
        <v>3</v>
      </c>
      <c r="AC719">
        <f t="shared" si="67"/>
        <v>2</v>
      </c>
      <c r="AD719">
        <f t="shared" si="67"/>
        <v>1</v>
      </c>
      <c r="AE719">
        <f t="shared" si="67"/>
        <v>2</v>
      </c>
      <c r="AF719">
        <f t="shared" si="67"/>
        <v>2</v>
      </c>
      <c r="AG719">
        <f t="shared" si="64"/>
        <v>10</v>
      </c>
      <c r="AH719">
        <f t="shared" ca="1" si="65"/>
        <v>0</v>
      </c>
      <c r="AI719">
        <f>IF(ROW($AA719) - $AA$51 &lt; ($H$16+1)^5, IF(AG719 &gt;= BaseBonus!$C$16, AG719*BaseBonus!$E$31, 0), "")</f>
        <v>9.3905358129257959</v>
      </c>
      <c r="AJ719">
        <f t="shared" ca="1" si="66"/>
        <v>0</v>
      </c>
    </row>
    <row r="720" spans="28:36" x14ac:dyDescent="0.3">
      <c r="AB720">
        <f t="shared" si="67"/>
        <v>0</v>
      </c>
      <c r="AC720">
        <f t="shared" si="67"/>
        <v>3</v>
      </c>
      <c r="AD720">
        <f t="shared" si="67"/>
        <v>1</v>
      </c>
      <c r="AE720">
        <f t="shared" si="67"/>
        <v>2</v>
      </c>
      <c r="AF720">
        <f t="shared" si="67"/>
        <v>2</v>
      </c>
      <c r="AG720">
        <f t="shared" si="64"/>
        <v>8</v>
      </c>
      <c r="AH720">
        <f t="shared" ca="1" si="65"/>
        <v>0</v>
      </c>
      <c r="AI720">
        <f>IF(ROW($AA720) - $AA$51 &lt; ($H$16+1)^5, IF(AG720 &gt;= BaseBonus!$C$16, AG720*BaseBonus!$E$31, 0), "")</f>
        <v>7.5124286503406372</v>
      </c>
      <c r="AJ720">
        <f t="shared" ca="1" si="66"/>
        <v>0</v>
      </c>
    </row>
    <row r="721" spans="28:36" x14ac:dyDescent="0.3">
      <c r="AB721">
        <f t="shared" si="67"/>
        <v>1</v>
      </c>
      <c r="AC721">
        <f t="shared" si="67"/>
        <v>3</v>
      </c>
      <c r="AD721">
        <f t="shared" si="67"/>
        <v>1</v>
      </c>
      <c r="AE721">
        <f t="shared" si="67"/>
        <v>2</v>
      </c>
      <c r="AF721">
        <f t="shared" si="67"/>
        <v>2</v>
      </c>
      <c r="AG721">
        <f t="shared" si="64"/>
        <v>9</v>
      </c>
      <c r="AH721">
        <f t="shared" ca="1" si="65"/>
        <v>0</v>
      </c>
      <c r="AI721">
        <f>IF(ROW($AA721) - $AA$51 &lt; ($H$16+1)^5, IF(AG721 &gt;= BaseBonus!$C$16, AG721*BaseBonus!$E$31, 0), "")</f>
        <v>8.4514822316332161</v>
      </c>
      <c r="AJ721">
        <f t="shared" ca="1" si="66"/>
        <v>0</v>
      </c>
    </row>
    <row r="722" spans="28:36" x14ac:dyDescent="0.3">
      <c r="AB722">
        <f t="shared" si="67"/>
        <v>2</v>
      </c>
      <c r="AC722">
        <f t="shared" si="67"/>
        <v>3</v>
      </c>
      <c r="AD722">
        <f t="shared" si="67"/>
        <v>1</v>
      </c>
      <c r="AE722">
        <f t="shared" si="67"/>
        <v>2</v>
      </c>
      <c r="AF722">
        <f t="shared" si="67"/>
        <v>2</v>
      </c>
      <c r="AG722">
        <f t="shared" si="64"/>
        <v>10</v>
      </c>
      <c r="AH722">
        <f t="shared" ca="1" si="65"/>
        <v>0</v>
      </c>
      <c r="AI722">
        <f>IF(ROW($AA722) - $AA$51 &lt; ($H$16+1)^5, IF(AG722 &gt;= BaseBonus!$C$16, AG722*BaseBonus!$E$31, 0), "")</f>
        <v>9.3905358129257959</v>
      </c>
      <c r="AJ722">
        <f t="shared" ca="1" si="66"/>
        <v>0</v>
      </c>
    </row>
    <row r="723" spans="28:36" x14ac:dyDescent="0.3">
      <c r="AB723">
        <f t="shared" si="67"/>
        <v>3</v>
      </c>
      <c r="AC723">
        <f t="shared" si="67"/>
        <v>3</v>
      </c>
      <c r="AD723">
        <f t="shared" si="67"/>
        <v>1</v>
      </c>
      <c r="AE723">
        <f t="shared" si="67"/>
        <v>2</v>
      </c>
      <c r="AF723">
        <f t="shared" si="67"/>
        <v>2</v>
      </c>
      <c r="AG723">
        <f t="shared" si="64"/>
        <v>11</v>
      </c>
      <c r="AH723">
        <f t="shared" ca="1" si="65"/>
        <v>0</v>
      </c>
      <c r="AI723">
        <f>IF(ROW($AA723) - $AA$51 &lt; ($H$16+1)^5, IF(AG723 &gt;= BaseBonus!$C$16, AG723*BaseBonus!$E$31, 0), "")</f>
        <v>10.329589394218376</v>
      </c>
      <c r="AJ723">
        <f t="shared" ca="1" si="66"/>
        <v>0</v>
      </c>
    </row>
    <row r="724" spans="28:36" x14ac:dyDescent="0.3">
      <c r="AB724">
        <f t="shared" si="67"/>
        <v>0</v>
      </c>
      <c r="AC724">
        <f t="shared" si="67"/>
        <v>0</v>
      </c>
      <c r="AD724">
        <f t="shared" si="67"/>
        <v>2</v>
      </c>
      <c r="AE724">
        <f t="shared" si="67"/>
        <v>2</v>
      </c>
      <c r="AF724">
        <f t="shared" si="67"/>
        <v>2</v>
      </c>
      <c r="AG724">
        <f t="shared" si="64"/>
        <v>6</v>
      </c>
      <c r="AH724">
        <f t="shared" ca="1" si="65"/>
        <v>0</v>
      </c>
      <c r="AI724">
        <f>IF(ROW($AA724) - $AA$51 &lt; ($H$16+1)^5, IF(AG724 &gt;= BaseBonus!$C$16, AG724*BaseBonus!$E$31, 0), "")</f>
        <v>5.6343214877554777</v>
      </c>
      <c r="AJ724">
        <f t="shared" ca="1" si="66"/>
        <v>0</v>
      </c>
    </row>
    <row r="725" spans="28:36" x14ac:dyDescent="0.3">
      <c r="AB725">
        <f t="shared" si="67"/>
        <v>1</v>
      </c>
      <c r="AC725">
        <f t="shared" si="67"/>
        <v>0</v>
      </c>
      <c r="AD725">
        <f t="shared" si="67"/>
        <v>2</v>
      </c>
      <c r="AE725">
        <f t="shared" si="67"/>
        <v>2</v>
      </c>
      <c r="AF725">
        <f t="shared" si="67"/>
        <v>2</v>
      </c>
      <c r="AG725">
        <f t="shared" si="64"/>
        <v>7</v>
      </c>
      <c r="AH725">
        <f t="shared" ca="1" si="65"/>
        <v>0</v>
      </c>
      <c r="AI725">
        <f>IF(ROW($AA725) - $AA$51 &lt; ($H$16+1)^5, IF(AG725 &gt;= BaseBonus!$C$16, AG725*BaseBonus!$E$31, 0), "")</f>
        <v>6.5733750690480575</v>
      </c>
      <c r="AJ725">
        <f t="shared" ca="1" si="66"/>
        <v>0</v>
      </c>
    </row>
    <row r="726" spans="28:36" x14ac:dyDescent="0.3">
      <c r="AB726">
        <f t="shared" si="67"/>
        <v>2</v>
      </c>
      <c r="AC726">
        <f t="shared" si="67"/>
        <v>0</v>
      </c>
      <c r="AD726">
        <f t="shared" si="67"/>
        <v>2</v>
      </c>
      <c r="AE726">
        <f t="shared" si="67"/>
        <v>2</v>
      </c>
      <c r="AF726">
        <f t="shared" si="67"/>
        <v>2</v>
      </c>
      <c r="AG726">
        <f t="shared" si="64"/>
        <v>8</v>
      </c>
      <c r="AH726">
        <f t="shared" ca="1" si="65"/>
        <v>0</v>
      </c>
      <c r="AI726">
        <f>IF(ROW($AA726) - $AA$51 &lt; ($H$16+1)^5, IF(AG726 &gt;= BaseBonus!$C$16, AG726*BaseBonus!$E$31, 0), "")</f>
        <v>7.5124286503406372</v>
      </c>
      <c r="AJ726">
        <f t="shared" ca="1" si="66"/>
        <v>0</v>
      </c>
    </row>
    <row r="727" spans="28:36" x14ac:dyDescent="0.3">
      <c r="AB727">
        <f t="shared" si="67"/>
        <v>3</v>
      </c>
      <c r="AC727">
        <f t="shared" si="67"/>
        <v>0</v>
      </c>
      <c r="AD727">
        <f t="shared" si="67"/>
        <v>2</v>
      </c>
      <c r="AE727">
        <f t="shared" si="67"/>
        <v>2</v>
      </c>
      <c r="AF727">
        <f t="shared" si="67"/>
        <v>2</v>
      </c>
      <c r="AG727">
        <f t="shared" si="64"/>
        <v>9</v>
      </c>
      <c r="AH727">
        <f t="shared" ca="1" si="65"/>
        <v>0</v>
      </c>
      <c r="AI727">
        <f>IF(ROW($AA727) - $AA$51 &lt; ($H$16+1)^5, IF(AG727 &gt;= BaseBonus!$C$16, AG727*BaseBonus!$E$31, 0), "")</f>
        <v>8.4514822316332161</v>
      </c>
      <c r="AJ727">
        <f t="shared" ca="1" si="66"/>
        <v>0</v>
      </c>
    </row>
    <row r="728" spans="28:36" x14ac:dyDescent="0.3">
      <c r="AB728">
        <f t="shared" si="67"/>
        <v>0</v>
      </c>
      <c r="AC728">
        <f t="shared" si="67"/>
        <v>1</v>
      </c>
      <c r="AD728">
        <f t="shared" si="67"/>
        <v>2</v>
      </c>
      <c r="AE728">
        <f t="shared" si="67"/>
        <v>2</v>
      </c>
      <c r="AF728">
        <f t="shared" si="67"/>
        <v>2</v>
      </c>
      <c r="AG728">
        <f t="shared" si="64"/>
        <v>7</v>
      </c>
      <c r="AH728">
        <f t="shared" ca="1" si="65"/>
        <v>0</v>
      </c>
      <c r="AI728">
        <f>IF(ROW($AA728) - $AA$51 &lt; ($H$16+1)^5, IF(AG728 &gt;= BaseBonus!$C$16, AG728*BaseBonus!$E$31, 0), "")</f>
        <v>6.5733750690480575</v>
      </c>
      <c r="AJ728">
        <f t="shared" ca="1" si="66"/>
        <v>0</v>
      </c>
    </row>
    <row r="729" spans="28:36" x14ac:dyDescent="0.3">
      <c r="AB729">
        <f t="shared" si="67"/>
        <v>1</v>
      </c>
      <c r="AC729">
        <f t="shared" si="67"/>
        <v>1</v>
      </c>
      <c r="AD729">
        <f t="shared" si="67"/>
        <v>2</v>
      </c>
      <c r="AE729">
        <f t="shared" si="67"/>
        <v>2</v>
      </c>
      <c r="AF729">
        <f t="shared" si="67"/>
        <v>2</v>
      </c>
      <c r="AG729">
        <f t="shared" si="64"/>
        <v>8</v>
      </c>
      <c r="AH729">
        <f t="shared" ca="1" si="65"/>
        <v>0</v>
      </c>
      <c r="AI729">
        <f>IF(ROW($AA729) - $AA$51 &lt; ($H$16+1)^5, IF(AG729 &gt;= BaseBonus!$C$16, AG729*BaseBonus!$E$31, 0), "")</f>
        <v>7.5124286503406372</v>
      </c>
      <c r="AJ729">
        <f t="shared" ca="1" si="66"/>
        <v>0</v>
      </c>
    </row>
    <row r="730" spans="28:36" x14ac:dyDescent="0.3">
      <c r="AB730">
        <f t="shared" si="67"/>
        <v>2</v>
      </c>
      <c r="AC730">
        <f t="shared" si="67"/>
        <v>1</v>
      </c>
      <c r="AD730">
        <f t="shared" si="67"/>
        <v>2</v>
      </c>
      <c r="AE730">
        <f t="shared" si="67"/>
        <v>2</v>
      </c>
      <c r="AF730">
        <f t="shared" si="67"/>
        <v>2</v>
      </c>
      <c r="AG730">
        <f t="shared" si="64"/>
        <v>9</v>
      </c>
      <c r="AH730">
        <f t="shared" ca="1" si="65"/>
        <v>0</v>
      </c>
      <c r="AI730">
        <f>IF(ROW($AA730) - $AA$51 &lt; ($H$16+1)^5, IF(AG730 &gt;= BaseBonus!$C$16, AG730*BaseBonus!$E$31, 0), "")</f>
        <v>8.4514822316332161</v>
      </c>
      <c r="AJ730">
        <f t="shared" ca="1" si="66"/>
        <v>0</v>
      </c>
    </row>
    <row r="731" spans="28:36" x14ac:dyDescent="0.3">
      <c r="AB731">
        <f t="shared" si="67"/>
        <v>3</v>
      </c>
      <c r="AC731">
        <f t="shared" si="67"/>
        <v>1</v>
      </c>
      <c r="AD731">
        <f t="shared" si="67"/>
        <v>2</v>
      </c>
      <c r="AE731">
        <f t="shared" si="67"/>
        <v>2</v>
      </c>
      <c r="AF731">
        <f t="shared" si="67"/>
        <v>2</v>
      </c>
      <c r="AG731">
        <f t="shared" si="64"/>
        <v>10</v>
      </c>
      <c r="AH731">
        <f t="shared" ca="1" si="65"/>
        <v>0</v>
      </c>
      <c r="AI731">
        <f>IF(ROW($AA731) - $AA$51 &lt; ($H$16+1)^5, IF(AG731 &gt;= BaseBonus!$C$16, AG731*BaseBonus!$E$31, 0), "")</f>
        <v>9.3905358129257959</v>
      </c>
      <c r="AJ731">
        <f t="shared" ca="1" si="66"/>
        <v>0</v>
      </c>
    </row>
    <row r="732" spans="28:36" x14ac:dyDescent="0.3">
      <c r="AB732">
        <f t="shared" si="67"/>
        <v>0</v>
      </c>
      <c r="AC732">
        <f t="shared" si="67"/>
        <v>2</v>
      </c>
      <c r="AD732">
        <f t="shared" si="67"/>
        <v>2</v>
      </c>
      <c r="AE732">
        <f t="shared" si="67"/>
        <v>2</v>
      </c>
      <c r="AF732">
        <f t="shared" si="67"/>
        <v>2</v>
      </c>
      <c r="AG732">
        <f t="shared" si="64"/>
        <v>8</v>
      </c>
      <c r="AH732">
        <f t="shared" ca="1" si="65"/>
        <v>0</v>
      </c>
      <c r="AI732">
        <f>IF(ROW($AA732) - $AA$51 &lt; ($H$16+1)^5, IF(AG732 &gt;= BaseBonus!$C$16, AG732*BaseBonus!$E$31, 0), "")</f>
        <v>7.5124286503406372</v>
      </c>
      <c r="AJ732">
        <f t="shared" ca="1" si="66"/>
        <v>0</v>
      </c>
    </row>
    <row r="733" spans="28:36" x14ac:dyDescent="0.3">
      <c r="AB733">
        <f t="shared" si="67"/>
        <v>1</v>
      </c>
      <c r="AC733">
        <f t="shared" si="67"/>
        <v>2</v>
      </c>
      <c r="AD733">
        <f t="shared" si="67"/>
        <v>2</v>
      </c>
      <c r="AE733">
        <f t="shared" si="67"/>
        <v>2</v>
      </c>
      <c r="AF733">
        <f t="shared" si="67"/>
        <v>2</v>
      </c>
      <c r="AG733">
        <f t="shared" si="64"/>
        <v>9</v>
      </c>
      <c r="AH733">
        <f t="shared" ca="1" si="65"/>
        <v>0</v>
      </c>
      <c r="AI733">
        <f>IF(ROW($AA733) - $AA$51 &lt; ($H$16+1)^5, IF(AG733 &gt;= BaseBonus!$C$16, AG733*BaseBonus!$E$31, 0), "")</f>
        <v>8.4514822316332161</v>
      </c>
      <c r="AJ733">
        <f t="shared" ca="1" si="66"/>
        <v>0</v>
      </c>
    </row>
    <row r="734" spans="28:36" x14ac:dyDescent="0.3">
      <c r="AB734">
        <f t="shared" si="67"/>
        <v>2</v>
      </c>
      <c r="AC734">
        <f t="shared" si="67"/>
        <v>2</v>
      </c>
      <c r="AD734">
        <f t="shared" si="67"/>
        <v>2</v>
      </c>
      <c r="AE734">
        <f t="shared" si="67"/>
        <v>2</v>
      </c>
      <c r="AF734">
        <f t="shared" si="67"/>
        <v>2</v>
      </c>
      <c r="AG734">
        <f t="shared" si="64"/>
        <v>10</v>
      </c>
      <c r="AH734">
        <f t="shared" ca="1" si="65"/>
        <v>0</v>
      </c>
      <c r="AI734">
        <f>IF(ROW($AA734) - $AA$51 &lt; ($H$16+1)^5, IF(AG734 &gt;= BaseBonus!$C$16, AG734*BaseBonus!$E$31, 0), "")</f>
        <v>9.3905358129257959</v>
      </c>
      <c r="AJ734">
        <f t="shared" ca="1" si="66"/>
        <v>0</v>
      </c>
    </row>
    <row r="735" spans="28:36" x14ac:dyDescent="0.3">
      <c r="AB735">
        <f t="shared" si="67"/>
        <v>3</v>
      </c>
      <c r="AC735">
        <f t="shared" si="67"/>
        <v>2</v>
      </c>
      <c r="AD735">
        <f t="shared" si="67"/>
        <v>2</v>
      </c>
      <c r="AE735">
        <f t="shared" si="67"/>
        <v>2</v>
      </c>
      <c r="AF735">
        <f t="shared" si="67"/>
        <v>2</v>
      </c>
      <c r="AG735">
        <f t="shared" si="64"/>
        <v>11</v>
      </c>
      <c r="AH735">
        <f t="shared" ca="1" si="65"/>
        <v>0</v>
      </c>
      <c r="AI735">
        <f>IF(ROW($AA735) - $AA$51 &lt; ($H$16+1)^5, IF(AG735 &gt;= BaseBonus!$C$16, AG735*BaseBonus!$E$31, 0), "")</f>
        <v>10.329589394218376</v>
      </c>
      <c r="AJ735">
        <f t="shared" ca="1" si="66"/>
        <v>0</v>
      </c>
    </row>
    <row r="736" spans="28:36" x14ac:dyDescent="0.3">
      <c r="AB736">
        <f t="shared" si="67"/>
        <v>0</v>
      </c>
      <c r="AC736">
        <f t="shared" si="67"/>
        <v>3</v>
      </c>
      <c r="AD736">
        <f t="shared" si="67"/>
        <v>2</v>
      </c>
      <c r="AE736">
        <f t="shared" si="67"/>
        <v>2</v>
      </c>
      <c r="AF736">
        <f t="shared" si="67"/>
        <v>2</v>
      </c>
      <c r="AG736">
        <f t="shared" si="64"/>
        <v>9</v>
      </c>
      <c r="AH736">
        <f t="shared" ca="1" si="65"/>
        <v>0</v>
      </c>
      <c r="AI736">
        <f>IF(ROW($AA736) - $AA$51 &lt; ($H$16+1)^5, IF(AG736 &gt;= BaseBonus!$C$16, AG736*BaseBonus!$E$31, 0), "")</f>
        <v>8.4514822316332161</v>
      </c>
      <c r="AJ736">
        <f t="shared" ca="1" si="66"/>
        <v>0</v>
      </c>
    </row>
    <row r="737" spans="28:36" x14ac:dyDescent="0.3">
      <c r="AB737">
        <f t="shared" si="67"/>
        <v>1</v>
      </c>
      <c r="AC737">
        <f t="shared" si="67"/>
        <v>3</v>
      </c>
      <c r="AD737">
        <f t="shared" si="67"/>
        <v>2</v>
      </c>
      <c r="AE737">
        <f t="shared" si="67"/>
        <v>2</v>
      </c>
      <c r="AF737">
        <f t="shared" si="67"/>
        <v>2</v>
      </c>
      <c r="AG737">
        <f t="shared" si="64"/>
        <v>10</v>
      </c>
      <c r="AH737">
        <f t="shared" ca="1" si="65"/>
        <v>0</v>
      </c>
      <c r="AI737">
        <f>IF(ROW($AA737) - $AA$51 &lt; ($H$16+1)^5, IF(AG737 &gt;= BaseBonus!$C$16, AG737*BaseBonus!$E$31, 0), "")</f>
        <v>9.3905358129257959</v>
      </c>
      <c r="AJ737">
        <f t="shared" ca="1" si="66"/>
        <v>0</v>
      </c>
    </row>
    <row r="738" spans="28:36" x14ac:dyDescent="0.3">
      <c r="AB738">
        <f t="shared" si="67"/>
        <v>2</v>
      </c>
      <c r="AC738">
        <f t="shared" si="67"/>
        <v>3</v>
      </c>
      <c r="AD738">
        <f t="shared" si="67"/>
        <v>2</v>
      </c>
      <c r="AE738">
        <f t="shared" si="67"/>
        <v>2</v>
      </c>
      <c r="AF738">
        <f t="shared" si="67"/>
        <v>2</v>
      </c>
      <c r="AG738">
        <f t="shared" si="64"/>
        <v>11</v>
      </c>
      <c r="AH738">
        <f t="shared" ca="1" si="65"/>
        <v>0</v>
      </c>
      <c r="AI738">
        <f>IF(ROW($AA738) - $AA$51 &lt; ($H$16+1)^5, IF(AG738 &gt;= BaseBonus!$C$16, AG738*BaseBonus!$E$31, 0), "")</f>
        <v>10.329589394218376</v>
      </c>
      <c r="AJ738">
        <f t="shared" ca="1" si="66"/>
        <v>0</v>
      </c>
    </row>
    <row r="739" spans="28:36" x14ac:dyDescent="0.3">
      <c r="AB739">
        <f t="shared" si="67"/>
        <v>3</v>
      </c>
      <c r="AC739">
        <f t="shared" si="67"/>
        <v>3</v>
      </c>
      <c r="AD739">
        <f t="shared" si="67"/>
        <v>2</v>
      </c>
      <c r="AE739">
        <f t="shared" si="67"/>
        <v>2</v>
      </c>
      <c r="AF739">
        <f t="shared" si="67"/>
        <v>2</v>
      </c>
      <c r="AG739">
        <f t="shared" si="64"/>
        <v>12</v>
      </c>
      <c r="AH739">
        <f t="shared" ca="1" si="65"/>
        <v>0</v>
      </c>
      <c r="AI739">
        <f>IF(ROW($AA739) - $AA$51 &lt; ($H$16+1)^5, IF(AG739 &gt;= BaseBonus!$C$16, AG739*BaseBonus!$E$31, 0), "")</f>
        <v>11.268642975510955</v>
      </c>
      <c r="AJ739">
        <f t="shared" ca="1" si="66"/>
        <v>0</v>
      </c>
    </row>
    <row r="740" spans="28:36" x14ac:dyDescent="0.3">
      <c r="AB740">
        <f t="shared" si="67"/>
        <v>0</v>
      </c>
      <c r="AC740">
        <f t="shared" si="67"/>
        <v>0</v>
      </c>
      <c r="AD740">
        <f t="shared" si="67"/>
        <v>3</v>
      </c>
      <c r="AE740">
        <f t="shared" si="67"/>
        <v>2</v>
      </c>
      <c r="AF740">
        <f t="shared" si="67"/>
        <v>2</v>
      </c>
      <c r="AG740">
        <f t="shared" si="64"/>
        <v>7</v>
      </c>
      <c r="AH740">
        <f t="shared" ca="1" si="65"/>
        <v>0</v>
      </c>
      <c r="AI740">
        <f>IF(ROW($AA740) - $AA$51 &lt; ($H$16+1)^5, IF(AG740 &gt;= BaseBonus!$C$16, AG740*BaseBonus!$E$31, 0), "")</f>
        <v>6.5733750690480575</v>
      </c>
      <c r="AJ740">
        <f t="shared" ca="1" si="66"/>
        <v>0</v>
      </c>
    </row>
    <row r="741" spans="28:36" x14ac:dyDescent="0.3">
      <c r="AB741">
        <f t="shared" si="67"/>
        <v>1</v>
      </c>
      <c r="AC741">
        <f t="shared" si="67"/>
        <v>0</v>
      </c>
      <c r="AD741">
        <f t="shared" si="67"/>
        <v>3</v>
      </c>
      <c r="AE741">
        <f t="shared" si="67"/>
        <v>2</v>
      </c>
      <c r="AF741">
        <f t="shared" si="67"/>
        <v>2</v>
      </c>
      <c r="AG741">
        <f t="shared" si="64"/>
        <v>8</v>
      </c>
      <c r="AH741">
        <f t="shared" ca="1" si="65"/>
        <v>0</v>
      </c>
      <c r="AI741">
        <f>IF(ROW($AA741) - $AA$51 &lt; ($H$16+1)^5, IF(AG741 &gt;= BaseBonus!$C$16, AG741*BaseBonus!$E$31, 0), "")</f>
        <v>7.5124286503406372</v>
      </c>
      <c r="AJ741">
        <f t="shared" ca="1" si="66"/>
        <v>0</v>
      </c>
    </row>
    <row r="742" spans="28:36" x14ac:dyDescent="0.3">
      <c r="AB742">
        <f t="shared" si="67"/>
        <v>2</v>
      </c>
      <c r="AC742">
        <f t="shared" si="67"/>
        <v>0</v>
      </c>
      <c r="AD742">
        <f t="shared" si="67"/>
        <v>3</v>
      </c>
      <c r="AE742">
        <f t="shared" si="67"/>
        <v>2</v>
      </c>
      <c r="AF742">
        <f t="shared" si="67"/>
        <v>2</v>
      </c>
      <c r="AG742">
        <f t="shared" si="64"/>
        <v>9</v>
      </c>
      <c r="AH742">
        <f t="shared" ca="1" si="65"/>
        <v>0</v>
      </c>
      <c r="AI742">
        <f>IF(ROW($AA742) - $AA$51 &lt; ($H$16+1)^5, IF(AG742 &gt;= BaseBonus!$C$16, AG742*BaseBonus!$E$31, 0), "")</f>
        <v>8.4514822316332161</v>
      </c>
      <c r="AJ742">
        <f t="shared" ca="1" si="66"/>
        <v>0</v>
      </c>
    </row>
    <row r="743" spans="28:36" x14ac:dyDescent="0.3">
      <c r="AB743">
        <f t="shared" si="67"/>
        <v>3</v>
      </c>
      <c r="AC743">
        <f t="shared" si="67"/>
        <v>0</v>
      </c>
      <c r="AD743">
        <f t="shared" si="67"/>
        <v>3</v>
      </c>
      <c r="AE743">
        <f t="shared" si="67"/>
        <v>2</v>
      </c>
      <c r="AF743">
        <f t="shared" si="67"/>
        <v>2</v>
      </c>
      <c r="AG743">
        <f t="shared" si="64"/>
        <v>10</v>
      </c>
      <c r="AH743">
        <f t="shared" ca="1" si="65"/>
        <v>0</v>
      </c>
      <c r="AI743">
        <f>IF(ROW($AA743) - $AA$51 &lt; ($H$16+1)^5, IF(AG743 &gt;= BaseBonus!$C$16, AG743*BaseBonus!$E$31, 0), "")</f>
        <v>9.3905358129257959</v>
      </c>
      <c r="AJ743">
        <f t="shared" ca="1" si="66"/>
        <v>0</v>
      </c>
    </row>
    <row r="744" spans="28:36" x14ac:dyDescent="0.3">
      <c r="AB744">
        <f t="shared" si="67"/>
        <v>0</v>
      </c>
      <c r="AC744">
        <f t="shared" si="67"/>
        <v>1</v>
      </c>
      <c r="AD744">
        <f t="shared" si="67"/>
        <v>3</v>
      </c>
      <c r="AE744">
        <f t="shared" si="67"/>
        <v>2</v>
      </c>
      <c r="AF744">
        <f t="shared" si="67"/>
        <v>2</v>
      </c>
      <c r="AG744">
        <f t="shared" si="64"/>
        <v>8</v>
      </c>
      <c r="AH744">
        <f t="shared" ca="1" si="65"/>
        <v>0</v>
      </c>
      <c r="AI744">
        <f>IF(ROW($AA744) - $AA$51 &lt; ($H$16+1)^5, IF(AG744 &gt;= BaseBonus!$C$16, AG744*BaseBonus!$E$31, 0), "")</f>
        <v>7.5124286503406372</v>
      </c>
      <c r="AJ744">
        <f t="shared" ca="1" si="66"/>
        <v>0</v>
      </c>
    </row>
    <row r="745" spans="28:36" x14ac:dyDescent="0.3">
      <c r="AB745">
        <f t="shared" si="67"/>
        <v>1</v>
      </c>
      <c r="AC745">
        <f t="shared" si="67"/>
        <v>1</v>
      </c>
      <c r="AD745">
        <f t="shared" si="67"/>
        <v>3</v>
      </c>
      <c r="AE745">
        <f t="shared" si="67"/>
        <v>2</v>
      </c>
      <c r="AF745">
        <f t="shared" si="67"/>
        <v>2</v>
      </c>
      <c r="AG745">
        <f t="shared" si="64"/>
        <v>9</v>
      </c>
      <c r="AH745">
        <f t="shared" ca="1" si="65"/>
        <v>0</v>
      </c>
      <c r="AI745">
        <f>IF(ROW($AA745) - $AA$51 &lt; ($H$16+1)^5, IF(AG745 &gt;= BaseBonus!$C$16, AG745*BaseBonus!$E$31, 0), "")</f>
        <v>8.4514822316332161</v>
      </c>
      <c r="AJ745">
        <f t="shared" ca="1" si="66"/>
        <v>0</v>
      </c>
    </row>
    <row r="746" spans="28:36" x14ac:dyDescent="0.3">
      <c r="AB746">
        <f t="shared" si="67"/>
        <v>2</v>
      </c>
      <c r="AC746">
        <f t="shared" si="67"/>
        <v>1</v>
      </c>
      <c r="AD746">
        <f t="shared" si="67"/>
        <v>3</v>
      </c>
      <c r="AE746">
        <f t="shared" si="67"/>
        <v>2</v>
      </c>
      <c r="AF746">
        <f t="shared" si="67"/>
        <v>2</v>
      </c>
      <c r="AG746">
        <f t="shared" si="64"/>
        <v>10</v>
      </c>
      <c r="AH746">
        <f t="shared" ca="1" si="65"/>
        <v>0</v>
      </c>
      <c r="AI746">
        <f>IF(ROW($AA746) - $AA$51 &lt; ($H$16+1)^5, IF(AG746 &gt;= BaseBonus!$C$16, AG746*BaseBonus!$E$31, 0), "")</f>
        <v>9.3905358129257959</v>
      </c>
      <c r="AJ746">
        <f t="shared" ca="1" si="66"/>
        <v>0</v>
      </c>
    </row>
    <row r="747" spans="28:36" x14ac:dyDescent="0.3">
      <c r="AB747">
        <f t="shared" si="67"/>
        <v>3</v>
      </c>
      <c r="AC747">
        <f t="shared" si="67"/>
        <v>1</v>
      </c>
      <c r="AD747">
        <f t="shared" si="67"/>
        <v>3</v>
      </c>
      <c r="AE747">
        <f t="shared" si="67"/>
        <v>2</v>
      </c>
      <c r="AF747">
        <f t="shared" si="67"/>
        <v>2</v>
      </c>
      <c r="AG747">
        <f t="shared" si="64"/>
        <v>11</v>
      </c>
      <c r="AH747">
        <f t="shared" ca="1" si="65"/>
        <v>0</v>
      </c>
      <c r="AI747">
        <f>IF(ROW($AA747) - $AA$51 &lt; ($H$16+1)^5, IF(AG747 &gt;= BaseBonus!$C$16, AG747*BaseBonus!$E$31, 0), "")</f>
        <v>10.329589394218376</v>
      </c>
      <c r="AJ747">
        <f t="shared" ca="1" si="66"/>
        <v>0</v>
      </c>
    </row>
    <row r="748" spans="28:36" x14ac:dyDescent="0.3">
      <c r="AB748">
        <f t="shared" si="67"/>
        <v>0</v>
      </c>
      <c r="AC748">
        <f t="shared" si="67"/>
        <v>2</v>
      </c>
      <c r="AD748">
        <f t="shared" si="67"/>
        <v>3</v>
      </c>
      <c r="AE748">
        <f t="shared" si="67"/>
        <v>2</v>
      </c>
      <c r="AF748">
        <f t="shared" si="67"/>
        <v>2</v>
      </c>
      <c r="AG748">
        <f t="shared" si="64"/>
        <v>9</v>
      </c>
      <c r="AH748">
        <f t="shared" ca="1" si="65"/>
        <v>0</v>
      </c>
      <c r="AI748">
        <f>IF(ROW($AA748) - $AA$51 &lt; ($H$16+1)^5, IF(AG748 &gt;= BaseBonus!$C$16, AG748*BaseBonus!$E$31, 0), "")</f>
        <v>8.4514822316332161</v>
      </c>
      <c r="AJ748">
        <f t="shared" ca="1" si="66"/>
        <v>0</v>
      </c>
    </row>
    <row r="749" spans="28:36" x14ac:dyDescent="0.3">
      <c r="AB749">
        <f t="shared" si="67"/>
        <v>1</v>
      </c>
      <c r="AC749">
        <f t="shared" si="67"/>
        <v>2</v>
      </c>
      <c r="AD749">
        <f t="shared" si="67"/>
        <v>3</v>
      </c>
      <c r="AE749">
        <f t="shared" si="67"/>
        <v>2</v>
      </c>
      <c r="AF749">
        <f t="shared" si="67"/>
        <v>2</v>
      </c>
      <c r="AG749">
        <f t="shared" si="64"/>
        <v>10</v>
      </c>
      <c r="AH749">
        <f t="shared" ca="1" si="65"/>
        <v>0</v>
      </c>
      <c r="AI749">
        <f>IF(ROW($AA749) - $AA$51 &lt; ($H$16+1)^5, IF(AG749 &gt;= BaseBonus!$C$16, AG749*BaseBonus!$E$31, 0), "")</f>
        <v>9.3905358129257959</v>
      </c>
      <c r="AJ749">
        <f t="shared" ca="1" si="66"/>
        <v>0</v>
      </c>
    </row>
    <row r="750" spans="28:36" x14ac:dyDescent="0.3">
      <c r="AB750">
        <f t="shared" si="67"/>
        <v>2</v>
      </c>
      <c r="AC750">
        <f t="shared" si="67"/>
        <v>2</v>
      </c>
      <c r="AD750">
        <f t="shared" si="67"/>
        <v>3</v>
      </c>
      <c r="AE750">
        <f t="shared" si="67"/>
        <v>2</v>
      </c>
      <c r="AF750">
        <f t="shared" si="67"/>
        <v>2</v>
      </c>
      <c r="AG750">
        <f t="shared" si="64"/>
        <v>11</v>
      </c>
      <c r="AH750">
        <f t="shared" ca="1" si="65"/>
        <v>0</v>
      </c>
      <c r="AI750">
        <f>IF(ROW($AA750) - $AA$51 &lt; ($H$16+1)^5, IF(AG750 &gt;= BaseBonus!$C$16, AG750*BaseBonus!$E$31, 0), "")</f>
        <v>10.329589394218376</v>
      </c>
      <c r="AJ750">
        <f t="shared" ca="1" si="66"/>
        <v>0</v>
      </c>
    </row>
    <row r="751" spans="28:36" x14ac:dyDescent="0.3">
      <c r="AB751">
        <f t="shared" si="67"/>
        <v>3</v>
      </c>
      <c r="AC751">
        <f t="shared" si="67"/>
        <v>2</v>
      </c>
      <c r="AD751">
        <f t="shared" si="67"/>
        <v>3</v>
      </c>
      <c r="AE751">
        <f t="shared" si="67"/>
        <v>2</v>
      </c>
      <c r="AF751">
        <f t="shared" si="67"/>
        <v>2</v>
      </c>
      <c r="AG751">
        <f t="shared" si="64"/>
        <v>12</v>
      </c>
      <c r="AH751">
        <f t="shared" ca="1" si="65"/>
        <v>0</v>
      </c>
      <c r="AI751">
        <f>IF(ROW($AA751) - $AA$51 &lt; ($H$16+1)^5, IF(AG751 &gt;= BaseBonus!$C$16, AG751*BaseBonus!$E$31, 0), "")</f>
        <v>11.268642975510955</v>
      </c>
      <c r="AJ751">
        <f t="shared" ca="1" si="66"/>
        <v>0</v>
      </c>
    </row>
    <row r="752" spans="28:36" x14ac:dyDescent="0.3">
      <c r="AB752">
        <f t="shared" si="67"/>
        <v>0</v>
      </c>
      <c r="AC752">
        <f t="shared" si="67"/>
        <v>3</v>
      </c>
      <c r="AD752">
        <f t="shared" si="67"/>
        <v>3</v>
      </c>
      <c r="AE752">
        <f t="shared" si="67"/>
        <v>2</v>
      </c>
      <c r="AF752">
        <f t="shared" si="67"/>
        <v>2</v>
      </c>
      <c r="AG752">
        <f t="shared" si="64"/>
        <v>10</v>
      </c>
      <c r="AH752">
        <f t="shared" ca="1" si="65"/>
        <v>0</v>
      </c>
      <c r="AI752">
        <f>IF(ROW($AA752) - $AA$51 &lt; ($H$16+1)^5, IF(AG752 &gt;= BaseBonus!$C$16, AG752*BaseBonus!$E$31, 0), "")</f>
        <v>9.3905358129257959</v>
      </c>
      <c r="AJ752">
        <f t="shared" ca="1" si="66"/>
        <v>0</v>
      </c>
    </row>
    <row r="753" spans="28:36" x14ac:dyDescent="0.3">
      <c r="AB753">
        <f t="shared" si="67"/>
        <v>1</v>
      </c>
      <c r="AC753">
        <f t="shared" si="67"/>
        <v>3</v>
      </c>
      <c r="AD753">
        <f t="shared" si="67"/>
        <v>3</v>
      </c>
      <c r="AE753">
        <f t="shared" si="67"/>
        <v>2</v>
      </c>
      <c r="AF753">
        <f t="shared" si="67"/>
        <v>2</v>
      </c>
      <c r="AG753">
        <f t="shared" si="64"/>
        <v>11</v>
      </c>
      <c r="AH753">
        <f t="shared" ca="1" si="65"/>
        <v>0</v>
      </c>
      <c r="AI753">
        <f>IF(ROW($AA753) - $AA$51 &lt; ($H$16+1)^5, IF(AG753 &gt;= BaseBonus!$C$16, AG753*BaseBonus!$E$31, 0), "")</f>
        <v>10.329589394218376</v>
      </c>
      <c r="AJ753">
        <f t="shared" ca="1" si="66"/>
        <v>0</v>
      </c>
    </row>
    <row r="754" spans="28:36" x14ac:dyDescent="0.3">
      <c r="AB754">
        <f t="shared" si="67"/>
        <v>2</v>
      </c>
      <c r="AC754">
        <f t="shared" si="67"/>
        <v>3</v>
      </c>
      <c r="AD754">
        <f t="shared" si="67"/>
        <v>3</v>
      </c>
      <c r="AE754">
        <f t="shared" si="67"/>
        <v>2</v>
      </c>
      <c r="AF754">
        <f t="shared" si="67"/>
        <v>2</v>
      </c>
      <c r="AG754">
        <f t="shared" si="64"/>
        <v>12</v>
      </c>
      <c r="AH754">
        <f t="shared" ca="1" si="65"/>
        <v>0</v>
      </c>
      <c r="AI754">
        <f>IF(ROW($AA754) - $AA$51 &lt; ($H$16+1)^5, IF(AG754 &gt;= BaseBonus!$C$16, AG754*BaseBonus!$E$31, 0), "")</f>
        <v>11.268642975510955</v>
      </c>
      <c r="AJ754">
        <f t="shared" ca="1" si="66"/>
        <v>0</v>
      </c>
    </row>
    <row r="755" spans="28:36" x14ac:dyDescent="0.3">
      <c r="AB755">
        <f t="shared" si="67"/>
        <v>3</v>
      </c>
      <c r="AC755">
        <f t="shared" si="67"/>
        <v>3</v>
      </c>
      <c r="AD755">
        <f t="shared" si="67"/>
        <v>3</v>
      </c>
      <c r="AE755">
        <f t="shared" si="67"/>
        <v>2</v>
      </c>
      <c r="AF755">
        <f t="shared" si="67"/>
        <v>2</v>
      </c>
      <c r="AG755">
        <f t="shared" si="64"/>
        <v>13</v>
      </c>
      <c r="AH755">
        <f t="shared" ca="1" si="65"/>
        <v>0</v>
      </c>
      <c r="AI755">
        <f>IF(ROW($AA755) - $AA$51 &lt; ($H$16+1)^5, IF(AG755 &gt;= BaseBonus!$C$16, AG755*BaseBonus!$E$31, 0), "")</f>
        <v>12.207696556803535</v>
      </c>
      <c r="AJ755">
        <f t="shared" ca="1" si="66"/>
        <v>0</v>
      </c>
    </row>
    <row r="756" spans="28:36" x14ac:dyDescent="0.3">
      <c r="AB756">
        <f t="shared" si="67"/>
        <v>0</v>
      </c>
      <c r="AC756">
        <f t="shared" si="67"/>
        <v>0</v>
      </c>
      <c r="AD756">
        <f t="shared" si="67"/>
        <v>0</v>
      </c>
      <c r="AE756">
        <f t="shared" si="67"/>
        <v>3</v>
      </c>
      <c r="AF756">
        <f t="shared" si="67"/>
        <v>2</v>
      </c>
      <c r="AG756">
        <f t="shared" ref="AG756:AG819" si="68">IF(ROW($AA756) - $AA$51 &lt; ($H$16+1)^5, SUM(AB756:AF756), "")</f>
        <v>5</v>
      </c>
      <c r="AH756">
        <f t="shared" ref="AH756:AH819" ca="1" si="69">IF(ROW($AA756) - $AA$51 &lt; (4)^5,
    (_xlfn.XLOOKUP(AB756,$T$51:$T$55,U$51:U$55,0)/U$27) * (_xlfn.XLOOKUP(AC756,$T$51:$T$55,V$51:V$55,0)/V$27) * (_xlfn.XLOOKUP(AD756,$T$51:$T$55,W$51:W$55,0)/W$27) * (_xlfn.XLOOKUP(AE756,$T$51:$T$55,X$51:X$55,0)/X$27) * (_xlfn.XLOOKUP(AF756,$T$51:$T$55,Y$51:Y$55,0)/Y$27),
"")</f>
        <v>0</v>
      </c>
      <c r="AI756">
        <f>IF(ROW($AA756) - $AA$51 &lt; ($H$16+1)^5, IF(AG756 &gt;= BaseBonus!$C$16, AG756*BaseBonus!$E$31, 0), "")</f>
        <v>4.6952679064628979</v>
      </c>
      <c r="AJ756">
        <f t="shared" ref="AJ756:AJ819" ca="1" si="70">IF(ROW($AA756) - $AA$51 &lt; ($H$16+1)^5, AH756*AI756, "")</f>
        <v>0</v>
      </c>
    </row>
    <row r="757" spans="28:36" x14ac:dyDescent="0.3">
      <c r="AB757">
        <f t="shared" si="67"/>
        <v>1</v>
      </c>
      <c r="AC757">
        <f t="shared" si="67"/>
        <v>0</v>
      </c>
      <c r="AD757">
        <f t="shared" si="67"/>
        <v>0</v>
      </c>
      <c r="AE757">
        <f t="shared" si="67"/>
        <v>3</v>
      </c>
      <c r="AF757">
        <f t="shared" si="67"/>
        <v>2</v>
      </c>
      <c r="AG757">
        <f t="shared" si="68"/>
        <v>6</v>
      </c>
      <c r="AH757">
        <f t="shared" ca="1" si="69"/>
        <v>0</v>
      </c>
      <c r="AI757">
        <f>IF(ROW($AA757) - $AA$51 &lt; ($H$16+1)^5, IF(AG757 &gt;= BaseBonus!$C$16, AG757*BaseBonus!$E$31, 0), "")</f>
        <v>5.6343214877554777</v>
      </c>
      <c r="AJ757">
        <f t="shared" ca="1" si="70"/>
        <v>0</v>
      </c>
    </row>
    <row r="758" spans="28:36" x14ac:dyDescent="0.3">
      <c r="AB758">
        <f t="shared" si="67"/>
        <v>2</v>
      </c>
      <c r="AC758">
        <f t="shared" si="67"/>
        <v>0</v>
      </c>
      <c r="AD758">
        <f t="shared" si="67"/>
        <v>0</v>
      </c>
      <c r="AE758">
        <f t="shared" si="67"/>
        <v>3</v>
      </c>
      <c r="AF758">
        <f t="shared" si="67"/>
        <v>2</v>
      </c>
      <c r="AG758">
        <f t="shared" si="68"/>
        <v>7</v>
      </c>
      <c r="AH758">
        <f t="shared" ca="1" si="69"/>
        <v>0</v>
      </c>
      <c r="AI758">
        <f>IF(ROW($AA758) - $AA$51 &lt; ($H$16+1)^5, IF(AG758 &gt;= BaseBonus!$C$16, AG758*BaseBonus!$E$31, 0), "")</f>
        <v>6.5733750690480575</v>
      </c>
      <c r="AJ758">
        <f t="shared" ca="1" si="70"/>
        <v>0</v>
      </c>
    </row>
    <row r="759" spans="28:36" x14ac:dyDescent="0.3">
      <c r="AB759">
        <f t="shared" si="67"/>
        <v>3</v>
      </c>
      <c r="AC759">
        <f t="shared" si="67"/>
        <v>0</v>
      </c>
      <c r="AD759">
        <f t="shared" si="67"/>
        <v>0</v>
      </c>
      <c r="AE759">
        <f t="shared" si="67"/>
        <v>3</v>
      </c>
      <c r="AF759">
        <f t="shared" si="67"/>
        <v>2</v>
      </c>
      <c r="AG759">
        <f t="shared" si="68"/>
        <v>8</v>
      </c>
      <c r="AH759">
        <f t="shared" ca="1" si="69"/>
        <v>0</v>
      </c>
      <c r="AI759">
        <f>IF(ROW($AA759) - $AA$51 &lt; ($H$16+1)^5, IF(AG759 &gt;= BaseBonus!$C$16, AG759*BaseBonus!$E$31, 0), "")</f>
        <v>7.5124286503406372</v>
      </c>
      <c r="AJ759">
        <f t="shared" ca="1" si="70"/>
        <v>0</v>
      </c>
    </row>
    <row r="760" spans="28:36" x14ac:dyDescent="0.3">
      <c r="AB760">
        <f t="shared" si="67"/>
        <v>0</v>
      </c>
      <c r="AC760">
        <f t="shared" si="67"/>
        <v>1</v>
      </c>
      <c r="AD760">
        <f t="shared" si="67"/>
        <v>0</v>
      </c>
      <c r="AE760">
        <f t="shared" si="67"/>
        <v>3</v>
      </c>
      <c r="AF760">
        <f t="shared" si="67"/>
        <v>2</v>
      </c>
      <c r="AG760">
        <f t="shared" si="68"/>
        <v>6</v>
      </c>
      <c r="AH760">
        <f t="shared" ca="1" si="69"/>
        <v>0</v>
      </c>
      <c r="AI760">
        <f>IF(ROW($AA760) - $AA$51 &lt; ($H$16+1)^5, IF(AG760 &gt;= BaseBonus!$C$16, AG760*BaseBonus!$E$31, 0), "")</f>
        <v>5.6343214877554777</v>
      </c>
      <c r="AJ760">
        <f t="shared" ca="1" si="70"/>
        <v>0</v>
      </c>
    </row>
    <row r="761" spans="28:36" x14ac:dyDescent="0.3">
      <c r="AB761">
        <f t="shared" si="67"/>
        <v>1</v>
      </c>
      <c r="AC761">
        <f t="shared" si="67"/>
        <v>1</v>
      </c>
      <c r="AD761">
        <f t="shared" si="67"/>
        <v>0</v>
      </c>
      <c r="AE761">
        <f t="shared" si="67"/>
        <v>3</v>
      </c>
      <c r="AF761">
        <f t="shared" si="67"/>
        <v>2</v>
      </c>
      <c r="AG761">
        <f t="shared" si="68"/>
        <v>7</v>
      </c>
      <c r="AH761">
        <f t="shared" ca="1" si="69"/>
        <v>0</v>
      </c>
      <c r="AI761">
        <f>IF(ROW($AA761) - $AA$51 &lt; ($H$16+1)^5, IF(AG761 &gt;= BaseBonus!$C$16, AG761*BaseBonus!$E$31, 0), "")</f>
        <v>6.5733750690480575</v>
      </c>
      <c r="AJ761">
        <f t="shared" ca="1" si="70"/>
        <v>0</v>
      </c>
    </row>
    <row r="762" spans="28:36" x14ac:dyDescent="0.3">
      <c r="AB762">
        <f t="shared" si="67"/>
        <v>2</v>
      </c>
      <c r="AC762">
        <f t="shared" si="67"/>
        <v>1</v>
      </c>
      <c r="AD762">
        <f t="shared" si="67"/>
        <v>0</v>
      </c>
      <c r="AE762">
        <f t="shared" si="67"/>
        <v>3</v>
      </c>
      <c r="AF762">
        <f t="shared" si="67"/>
        <v>2</v>
      </c>
      <c r="AG762">
        <f t="shared" si="68"/>
        <v>8</v>
      </c>
      <c r="AH762">
        <f t="shared" ca="1" si="69"/>
        <v>0</v>
      </c>
      <c r="AI762">
        <f>IF(ROW($AA762) - $AA$51 &lt; ($H$16+1)^5, IF(AG762 &gt;= BaseBonus!$C$16, AG762*BaseBonus!$E$31, 0), "")</f>
        <v>7.5124286503406372</v>
      </c>
      <c r="AJ762">
        <f t="shared" ca="1" si="70"/>
        <v>0</v>
      </c>
    </row>
    <row r="763" spans="28:36" x14ac:dyDescent="0.3">
      <c r="AB763">
        <f t="shared" si="67"/>
        <v>3</v>
      </c>
      <c r="AC763">
        <f t="shared" si="67"/>
        <v>1</v>
      </c>
      <c r="AD763">
        <f t="shared" si="67"/>
        <v>0</v>
      </c>
      <c r="AE763">
        <f t="shared" si="67"/>
        <v>3</v>
      </c>
      <c r="AF763">
        <f t="shared" si="67"/>
        <v>2</v>
      </c>
      <c r="AG763">
        <f t="shared" si="68"/>
        <v>9</v>
      </c>
      <c r="AH763">
        <f t="shared" ca="1" si="69"/>
        <v>0</v>
      </c>
      <c r="AI763">
        <f>IF(ROW($AA763) - $AA$51 &lt; ($H$16+1)^5, IF(AG763 &gt;= BaseBonus!$C$16, AG763*BaseBonus!$E$31, 0), "")</f>
        <v>8.4514822316332161</v>
      </c>
      <c r="AJ763">
        <f t="shared" ca="1" si="70"/>
        <v>0</v>
      </c>
    </row>
    <row r="764" spans="28:36" x14ac:dyDescent="0.3">
      <c r="AB764">
        <f t="shared" si="67"/>
        <v>0</v>
      </c>
      <c r="AC764">
        <f t="shared" si="67"/>
        <v>2</v>
      </c>
      <c r="AD764">
        <f t="shared" si="67"/>
        <v>0</v>
      </c>
      <c r="AE764">
        <f t="shared" si="67"/>
        <v>3</v>
      </c>
      <c r="AF764">
        <f t="shared" si="67"/>
        <v>2</v>
      </c>
      <c r="AG764">
        <f t="shared" si="68"/>
        <v>7</v>
      </c>
      <c r="AH764">
        <f t="shared" ca="1" si="69"/>
        <v>0</v>
      </c>
      <c r="AI764">
        <f>IF(ROW($AA764) - $AA$51 &lt; ($H$16+1)^5, IF(AG764 &gt;= BaseBonus!$C$16, AG764*BaseBonus!$E$31, 0), "")</f>
        <v>6.5733750690480575</v>
      </c>
      <c r="AJ764">
        <f t="shared" ca="1" si="70"/>
        <v>0</v>
      </c>
    </row>
    <row r="765" spans="28:36" x14ac:dyDescent="0.3">
      <c r="AB765">
        <f t="shared" si="67"/>
        <v>1</v>
      </c>
      <c r="AC765">
        <f t="shared" si="67"/>
        <v>2</v>
      </c>
      <c r="AD765">
        <f t="shared" si="67"/>
        <v>0</v>
      </c>
      <c r="AE765">
        <f t="shared" si="67"/>
        <v>3</v>
      </c>
      <c r="AF765">
        <f t="shared" si="67"/>
        <v>2</v>
      </c>
      <c r="AG765">
        <f t="shared" si="68"/>
        <v>8</v>
      </c>
      <c r="AH765">
        <f t="shared" ca="1" si="69"/>
        <v>0</v>
      </c>
      <c r="AI765">
        <f>IF(ROW($AA765) - $AA$51 &lt; ($H$16+1)^5, IF(AG765 &gt;= BaseBonus!$C$16, AG765*BaseBonus!$E$31, 0), "")</f>
        <v>7.5124286503406372</v>
      </c>
      <c r="AJ765">
        <f t="shared" ca="1" si="70"/>
        <v>0</v>
      </c>
    </row>
    <row r="766" spans="28:36" x14ac:dyDescent="0.3">
      <c r="AB766">
        <f t="shared" ref="AB766:AF816" si="71">IF(ROW()-$AA$51 &lt; (H$16+1)^5, MOD(_xlfn.FLOOR.MATH((ROW()-$AA$51)/AB$50), H$16+1), "")</f>
        <v>2</v>
      </c>
      <c r="AC766">
        <f t="shared" si="71"/>
        <v>2</v>
      </c>
      <c r="AD766">
        <f t="shared" si="71"/>
        <v>0</v>
      </c>
      <c r="AE766">
        <f t="shared" si="71"/>
        <v>3</v>
      </c>
      <c r="AF766">
        <f t="shared" si="71"/>
        <v>2</v>
      </c>
      <c r="AG766">
        <f t="shared" si="68"/>
        <v>9</v>
      </c>
      <c r="AH766">
        <f t="shared" ca="1" si="69"/>
        <v>0</v>
      </c>
      <c r="AI766">
        <f>IF(ROW($AA766) - $AA$51 &lt; ($H$16+1)^5, IF(AG766 &gt;= BaseBonus!$C$16, AG766*BaseBonus!$E$31, 0), "")</f>
        <v>8.4514822316332161</v>
      </c>
      <c r="AJ766">
        <f t="shared" ca="1" si="70"/>
        <v>0</v>
      </c>
    </row>
    <row r="767" spans="28:36" x14ac:dyDescent="0.3">
      <c r="AB767">
        <f t="shared" si="71"/>
        <v>3</v>
      </c>
      <c r="AC767">
        <f t="shared" si="71"/>
        <v>2</v>
      </c>
      <c r="AD767">
        <f t="shared" si="71"/>
        <v>0</v>
      </c>
      <c r="AE767">
        <f t="shared" si="71"/>
        <v>3</v>
      </c>
      <c r="AF767">
        <f t="shared" si="71"/>
        <v>2</v>
      </c>
      <c r="AG767">
        <f t="shared" si="68"/>
        <v>10</v>
      </c>
      <c r="AH767">
        <f t="shared" ca="1" si="69"/>
        <v>0</v>
      </c>
      <c r="AI767">
        <f>IF(ROW($AA767) - $AA$51 &lt; ($H$16+1)^5, IF(AG767 &gt;= BaseBonus!$C$16, AG767*BaseBonus!$E$31, 0), "")</f>
        <v>9.3905358129257959</v>
      </c>
      <c r="AJ767">
        <f t="shared" ca="1" si="70"/>
        <v>0</v>
      </c>
    </row>
    <row r="768" spans="28:36" x14ac:dyDescent="0.3">
      <c r="AB768">
        <f t="shared" si="71"/>
        <v>0</v>
      </c>
      <c r="AC768">
        <f t="shared" si="71"/>
        <v>3</v>
      </c>
      <c r="AD768">
        <f t="shared" si="71"/>
        <v>0</v>
      </c>
      <c r="AE768">
        <f t="shared" si="71"/>
        <v>3</v>
      </c>
      <c r="AF768">
        <f t="shared" si="71"/>
        <v>2</v>
      </c>
      <c r="AG768">
        <f t="shared" si="68"/>
        <v>8</v>
      </c>
      <c r="AH768">
        <f t="shared" ca="1" si="69"/>
        <v>0</v>
      </c>
      <c r="AI768">
        <f>IF(ROW($AA768) - $AA$51 &lt; ($H$16+1)^5, IF(AG768 &gt;= BaseBonus!$C$16, AG768*BaseBonus!$E$31, 0), "")</f>
        <v>7.5124286503406372</v>
      </c>
      <c r="AJ768">
        <f t="shared" ca="1" si="70"/>
        <v>0</v>
      </c>
    </row>
    <row r="769" spans="28:36" x14ac:dyDescent="0.3">
      <c r="AB769">
        <f t="shared" si="71"/>
        <v>1</v>
      </c>
      <c r="AC769">
        <f t="shared" si="71"/>
        <v>3</v>
      </c>
      <c r="AD769">
        <f t="shared" si="71"/>
        <v>0</v>
      </c>
      <c r="AE769">
        <f t="shared" si="71"/>
        <v>3</v>
      </c>
      <c r="AF769">
        <f t="shared" si="71"/>
        <v>2</v>
      </c>
      <c r="AG769">
        <f t="shared" si="68"/>
        <v>9</v>
      </c>
      <c r="AH769">
        <f t="shared" ca="1" si="69"/>
        <v>0</v>
      </c>
      <c r="AI769">
        <f>IF(ROW($AA769) - $AA$51 &lt; ($H$16+1)^5, IF(AG769 &gt;= BaseBonus!$C$16, AG769*BaseBonus!$E$31, 0), "")</f>
        <v>8.4514822316332161</v>
      </c>
      <c r="AJ769">
        <f t="shared" ca="1" si="70"/>
        <v>0</v>
      </c>
    </row>
    <row r="770" spans="28:36" x14ac:dyDescent="0.3">
      <c r="AB770">
        <f t="shared" si="71"/>
        <v>2</v>
      </c>
      <c r="AC770">
        <f t="shared" si="71"/>
        <v>3</v>
      </c>
      <c r="AD770">
        <f t="shared" si="71"/>
        <v>0</v>
      </c>
      <c r="AE770">
        <f t="shared" si="71"/>
        <v>3</v>
      </c>
      <c r="AF770">
        <f t="shared" si="71"/>
        <v>2</v>
      </c>
      <c r="AG770">
        <f t="shared" si="68"/>
        <v>10</v>
      </c>
      <c r="AH770">
        <f t="shared" ca="1" si="69"/>
        <v>0</v>
      </c>
      <c r="AI770">
        <f>IF(ROW($AA770) - $AA$51 &lt; ($H$16+1)^5, IF(AG770 &gt;= BaseBonus!$C$16, AG770*BaseBonus!$E$31, 0), "")</f>
        <v>9.3905358129257959</v>
      </c>
      <c r="AJ770">
        <f t="shared" ca="1" si="70"/>
        <v>0</v>
      </c>
    </row>
    <row r="771" spans="28:36" x14ac:dyDescent="0.3">
      <c r="AB771">
        <f t="shared" si="71"/>
        <v>3</v>
      </c>
      <c r="AC771">
        <f t="shared" si="71"/>
        <v>3</v>
      </c>
      <c r="AD771">
        <f t="shared" si="71"/>
        <v>0</v>
      </c>
      <c r="AE771">
        <f t="shared" si="71"/>
        <v>3</v>
      </c>
      <c r="AF771">
        <f t="shared" si="71"/>
        <v>2</v>
      </c>
      <c r="AG771">
        <f t="shared" si="68"/>
        <v>11</v>
      </c>
      <c r="AH771">
        <f t="shared" ca="1" si="69"/>
        <v>0</v>
      </c>
      <c r="AI771">
        <f>IF(ROW($AA771) - $AA$51 &lt; ($H$16+1)^5, IF(AG771 &gt;= BaseBonus!$C$16, AG771*BaseBonus!$E$31, 0), "")</f>
        <v>10.329589394218376</v>
      </c>
      <c r="AJ771">
        <f t="shared" ca="1" si="70"/>
        <v>0</v>
      </c>
    </row>
    <row r="772" spans="28:36" x14ac:dyDescent="0.3">
      <c r="AB772">
        <f t="shared" si="71"/>
        <v>0</v>
      </c>
      <c r="AC772">
        <f t="shared" si="71"/>
        <v>0</v>
      </c>
      <c r="AD772">
        <f t="shared" si="71"/>
        <v>1</v>
      </c>
      <c r="AE772">
        <f t="shared" si="71"/>
        <v>3</v>
      </c>
      <c r="AF772">
        <f t="shared" si="71"/>
        <v>2</v>
      </c>
      <c r="AG772">
        <f t="shared" si="68"/>
        <v>6</v>
      </c>
      <c r="AH772">
        <f t="shared" ca="1" si="69"/>
        <v>0</v>
      </c>
      <c r="AI772">
        <f>IF(ROW($AA772) - $AA$51 &lt; ($H$16+1)^5, IF(AG772 &gt;= BaseBonus!$C$16, AG772*BaseBonus!$E$31, 0), "")</f>
        <v>5.6343214877554777</v>
      </c>
      <c r="AJ772">
        <f t="shared" ca="1" si="70"/>
        <v>0</v>
      </c>
    </row>
    <row r="773" spans="28:36" x14ac:dyDescent="0.3">
      <c r="AB773">
        <f t="shared" si="71"/>
        <v>1</v>
      </c>
      <c r="AC773">
        <f t="shared" si="71"/>
        <v>0</v>
      </c>
      <c r="AD773">
        <f t="shared" si="71"/>
        <v>1</v>
      </c>
      <c r="AE773">
        <f t="shared" si="71"/>
        <v>3</v>
      </c>
      <c r="AF773">
        <f t="shared" si="71"/>
        <v>2</v>
      </c>
      <c r="AG773">
        <f t="shared" si="68"/>
        <v>7</v>
      </c>
      <c r="AH773">
        <f t="shared" ca="1" si="69"/>
        <v>0</v>
      </c>
      <c r="AI773">
        <f>IF(ROW($AA773) - $AA$51 &lt; ($H$16+1)^5, IF(AG773 &gt;= BaseBonus!$C$16, AG773*BaseBonus!$E$31, 0), "")</f>
        <v>6.5733750690480575</v>
      </c>
      <c r="AJ773">
        <f t="shared" ca="1" si="70"/>
        <v>0</v>
      </c>
    </row>
    <row r="774" spans="28:36" x14ac:dyDescent="0.3">
      <c r="AB774">
        <f t="shared" si="71"/>
        <v>2</v>
      </c>
      <c r="AC774">
        <f t="shared" si="71"/>
        <v>0</v>
      </c>
      <c r="AD774">
        <f t="shared" si="71"/>
        <v>1</v>
      </c>
      <c r="AE774">
        <f t="shared" si="71"/>
        <v>3</v>
      </c>
      <c r="AF774">
        <f t="shared" si="71"/>
        <v>2</v>
      </c>
      <c r="AG774">
        <f t="shared" si="68"/>
        <v>8</v>
      </c>
      <c r="AH774">
        <f t="shared" ca="1" si="69"/>
        <v>0</v>
      </c>
      <c r="AI774">
        <f>IF(ROW($AA774) - $AA$51 &lt; ($H$16+1)^5, IF(AG774 &gt;= BaseBonus!$C$16, AG774*BaseBonus!$E$31, 0), "")</f>
        <v>7.5124286503406372</v>
      </c>
      <c r="AJ774">
        <f t="shared" ca="1" si="70"/>
        <v>0</v>
      </c>
    </row>
    <row r="775" spans="28:36" x14ac:dyDescent="0.3">
      <c r="AB775">
        <f t="shared" si="71"/>
        <v>3</v>
      </c>
      <c r="AC775">
        <f t="shared" si="71"/>
        <v>0</v>
      </c>
      <c r="AD775">
        <f t="shared" si="71"/>
        <v>1</v>
      </c>
      <c r="AE775">
        <f t="shared" si="71"/>
        <v>3</v>
      </c>
      <c r="AF775">
        <f t="shared" si="71"/>
        <v>2</v>
      </c>
      <c r="AG775">
        <f t="shared" si="68"/>
        <v>9</v>
      </c>
      <c r="AH775">
        <f t="shared" ca="1" si="69"/>
        <v>0</v>
      </c>
      <c r="AI775">
        <f>IF(ROW($AA775) - $AA$51 &lt; ($H$16+1)^5, IF(AG775 &gt;= BaseBonus!$C$16, AG775*BaseBonus!$E$31, 0), "")</f>
        <v>8.4514822316332161</v>
      </c>
      <c r="AJ775">
        <f t="shared" ca="1" si="70"/>
        <v>0</v>
      </c>
    </row>
    <row r="776" spans="28:36" x14ac:dyDescent="0.3">
      <c r="AB776">
        <f t="shared" si="71"/>
        <v>0</v>
      </c>
      <c r="AC776">
        <f t="shared" si="71"/>
        <v>1</v>
      </c>
      <c r="AD776">
        <f t="shared" si="71"/>
        <v>1</v>
      </c>
      <c r="AE776">
        <f t="shared" si="71"/>
        <v>3</v>
      </c>
      <c r="AF776">
        <f t="shared" si="71"/>
        <v>2</v>
      </c>
      <c r="AG776">
        <f t="shared" si="68"/>
        <v>7</v>
      </c>
      <c r="AH776">
        <f t="shared" ca="1" si="69"/>
        <v>0</v>
      </c>
      <c r="AI776">
        <f>IF(ROW($AA776) - $AA$51 &lt; ($H$16+1)^5, IF(AG776 &gt;= BaseBonus!$C$16, AG776*BaseBonus!$E$31, 0), "")</f>
        <v>6.5733750690480575</v>
      </c>
      <c r="AJ776">
        <f t="shared" ca="1" si="70"/>
        <v>0</v>
      </c>
    </row>
    <row r="777" spans="28:36" x14ac:dyDescent="0.3">
      <c r="AB777">
        <f t="shared" si="71"/>
        <v>1</v>
      </c>
      <c r="AC777">
        <f t="shared" si="71"/>
        <v>1</v>
      </c>
      <c r="AD777">
        <f t="shared" si="71"/>
        <v>1</v>
      </c>
      <c r="AE777">
        <f t="shared" si="71"/>
        <v>3</v>
      </c>
      <c r="AF777">
        <f t="shared" si="71"/>
        <v>2</v>
      </c>
      <c r="AG777">
        <f t="shared" si="68"/>
        <v>8</v>
      </c>
      <c r="AH777">
        <f t="shared" ca="1" si="69"/>
        <v>0</v>
      </c>
      <c r="AI777">
        <f>IF(ROW($AA777) - $AA$51 &lt; ($H$16+1)^5, IF(AG777 &gt;= BaseBonus!$C$16, AG777*BaseBonus!$E$31, 0), "")</f>
        <v>7.5124286503406372</v>
      </c>
      <c r="AJ777">
        <f t="shared" ca="1" si="70"/>
        <v>0</v>
      </c>
    </row>
    <row r="778" spans="28:36" x14ac:dyDescent="0.3">
      <c r="AB778">
        <f t="shared" si="71"/>
        <v>2</v>
      </c>
      <c r="AC778">
        <f t="shared" si="71"/>
        <v>1</v>
      </c>
      <c r="AD778">
        <f t="shared" si="71"/>
        <v>1</v>
      </c>
      <c r="AE778">
        <f t="shared" si="71"/>
        <v>3</v>
      </c>
      <c r="AF778">
        <f t="shared" si="71"/>
        <v>2</v>
      </c>
      <c r="AG778">
        <f t="shared" si="68"/>
        <v>9</v>
      </c>
      <c r="AH778">
        <f t="shared" ca="1" si="69"/>
        <v>0</v>
      </c>
      <c r="AI778">
        <f>IF(ROW($AA778) - $AA$51 &lt; ($H$16+1)^5, IF(AG778 &gt;= BaseBonus!$C$16, AG778*BaseBonus!$E$31, 0), "")</f>
        <v>8.4514822316332161</v>
      </c>
      <c r="AJ778">
        <f t="shared" ca="1" si="70"/>
        <v>0</v>
      </c>
    </row>
    <row r="779" spans="28:36" x14ac:dyDescent="0.3">
      <c r="AB779">
        <f t="shared" si="71"/>
        <v>3</v>
      </c>
      <c r="AC779">
        <f t="shared" si="71"/>
        <v>1</v>
      </c>
      <c r="AD779">
        <f t="shared" si="71"/>
        <v>1</v>
      </c>
      <c r="AE779">
        <f t="shared" si="71"/>
        <v>3</v>
      </c>
      <c r="AF779">
        <f t="shared" si="71"/>
        <v>2</v>
      </c>
      <c r="AG779">
        <f t="shared" si="68"/>
        <v>10</v>
      </c>
      <c r="AH779">
        <f t="shared" ca="1" si="69"/>
        <v>0</v>
      </c>
      <c r="AI779">
        <f>IF(ROW($AA779) - $AA$51 &lt; ($H$16+1)^5, IF(AG779 &gt;= BaseBonus!$C$16, AG779*BaseBonus!$E$31, 0), "")</f>
        <v>9.3905358129257959</v>
      </c>
      <c r="AJ779">
        <f t="shared" ca="1" si="70"/>
        <v>0</v>
      </c>
    </row>
    <row r="780" spans="28:36" x14ac:dyDescent="0.3">
      <c r="AB780">
        <f t="shared" si="71"/>
        <v>0</v>
      </c>
      <c r="AC780">
        <f t="shared" si="71"/>
        <v>2</v>
      </c>
      <c r="AD780">
        <f t="shared" si="71"/>
        <v>1</v>
      </c>
      <c r="AE780">
        <f t="shared" si="71"/>
        <v>3</v>
      </c>
      <c r="AF780">
        <f t="shared" si="71"/>
        <v>2</v>
      </c>
      <c r="AG780">
        <f t="shared" si="68"/>
        <v>8</v>
      </c>
      <c r="AH780">
        <f t="shared" ca="1" si="69"/>
        <v>0</v>
      </c>
      <c r="AI780">
        <f>IF(ROW($AA780) - $AA$51 &lt; ($H$16+1)^5, IF(AG780 &gt;= BaseBonus!$C$16, AG780*BaseBonus!$E$31, 0), "")</f>
        <v>7.5124286503406372</v>
      </c>
      <c r="AJ780">
        <f t="shared" ca="1" si="70"/>
        <v>0</v>
      </c>
    </row>
    <row r="781" spans="28:36" x14ac:dyDescent="0.3">
      <c r="AB781">
        <f t="shared" si="71"/>
        <v>1</v>
      </c>
      <c r="AC781">
        <f t="shared" si="71"/>
        <v>2</v>
      </c>
      <c r="AD781">
        <f t="shared" si="71"/>
        <v>1</v>
      </c>
      <c r="AE781">
        <f t="shared" si="71"/>
        <v>3</v>
      </c>
      <c r="AF781">
        <f t="shared" si="71"/>
        <v>2</v>
      </c>
      <c r="AG781">
        <f t="shared" si="68"/>
        <v>9</v>
      </c>
      <c r="AH781">
        <f t="shared" ca="1" si="69"/>
        <v>0</v>
      </c>
      <c r="AI781">
        <f>IF(ROW($AA781) - $AA$51 &lt; ($H$16+1)^5, IF(AG781 &gt;= BaseBonus!$C$16, AG781*BaseBonus!$E$31, 0), "")</f>
        <v>8.4514822316332161</v>
      </c>
      <c r="AJ781">
        <f t="shared" ca="1" si="70"/>
        <v>0</v>
      </c>
    </row>
    <row r="782" spans="28:36" x14ac:dyDescent="0.3">
      <c r="AB782">
        <f t="shared" si="71"/>
        <v>2</v>
      </c>
      <c r="AC782">
        <f t="shared" si="71"/>
        <v>2</v>
      </c>
      <c r="AD782">
        <f t="shared" si="71"/>
        <v>1</v>
      </c>
      <c r="AE782">
        <f t="shared" si="71"/>
        <v>3</v>
      </c>
      <c r="AF782">
        <f t="shared" si="71"/>
        <v>2</v>
      </c>
      <c r="AG782">
        <f t="shared" si="68"/>
        <v>10</v>
      </c>
      <c r="AH782">
        <f t="shared" ca="1" si="69"/>
        <v>0</v>
      </c>
      <c r="AI782">
        <f>IF(ROW($AA782) - $AA$51 &lt; ($H$16+1)^5, IF(AG782 &gt;= BaseBonus!$C$16, AG782*BaseBonus!$E$31, 0), "")</f>
        <v>9.3905358129257959</v>
      </c>
      <c r="AJ782">
        <f t="shared" ca="1" si="70"/>
        <v>0</v>
      </c>
    </row>
    <row r="783" spans="28:36" x14ac:dyDescent="0.3">
      <c r="AB783">
        <f t="shared" si="71"/>
        <v>3</v>
      </c>
      <c r="AC783">
        <f t="shared" si="71"/>
        <v>2</v>
      </c>
      <c r="AD783">
        <f t="shared" si="71"/>
        <v>1</v>
      </c>
      <c r="AE783">
        <f t="shared" si="71"/>
        <v>3</v>
      </c>
      <c r="AF783">
        <f t="shared" si="71"/>
        <v>2</v>
      </c>
      <c r="AG783">
        <f t="shared" si="68"/>
        <v>11</v>
      </c>
      <c r="AH783">
        <f t="shared" ca="1" si="69"/>
        <v>0</v>
      </c>
      <c r="AI783">
        <f>IF(ROW($AA783) - $AA$51 &lt; ($H$16+1)^5, IF(AG783 &gt;= BaseBonus!$C$16, AG783*BaseBonus!$E$31, 0), "")</f>
        <v>10.329589394218376</v>
      </c>
      <c r="AJ783">
        <f t="shared" ca="1" si="70"/>
        <v>0</v>
      </c>
    </row>
    <row r="784" spans="28:36" x14ac:dyDescent="0.3">
      <c r="AB784">
        <f t="shared" si="71"/>
        <v>0</v>
      </c>
      <c r="AC784">
        <f t="shared" si="71"/>
        <v>3</v>
      </c>
      <c r="AD784">
        <f t="shared" si="71"/>
        <v>1</v>
      </c>
      <c r="AE784">
        <f t="shared" si="71"/>
        <v>3</v>
      </c>
      <c r="AF784">
        <f t="shared" si="71"/>
        <v>2</v>
      </c>
      <c r="AG784">
        <f t="shared" si="68"/>
        <v>9</v>
      </c>
      <c r="AH784">
        <f t="shared" ca="1" si="69"/>
        <v>0</v>
      </c>
      <c r="AI784">
        <f>IF(ROW($AA784) - $AA$51 &lt; ($H$16+1)^5, IF(AG784 &gt;= BaseBonus!$C$16, AG784*BaseBonus!$E$31, 0), "")</f>
        <v>8.4514822316332161</v>
      </c>
      <c r="AJ784">
        <f t="shared" ca="1" si="70"/>
        <v>0</v>
      </c>
    </row>
    <row r="785" spans="28:36" x14ac:dyDescent="0.3">
      <c r="AB785">
        <f t="shared" si="71"/>
        <v>1</v>
      </c>
      <c r="AC785">
        <f t="shared" si="71"/>
        <v>3</v>
      </c>
      <c r="AD785">
        <f t="shared" si="71"/>
        <v>1</v>
      </c>
      <c r="AE785">
        <f t="shared" si="71"/>
        <v>3</v>
      </c>
      <c r="AF785">
        <f t="shared" si="71"/>
        <v>2</v>
      </c>
      <c r="AG785">
        <f t="shared" si="68"/>
        <v>10</v>
      </c>
      <c r="AH785">
        <f t="shared" ca="1" si="69"/>
        <v>0</v>
      </c>
      <c r="AI785">
        <f>IF(ROW($AA785) - $AA$51 &lt; ($H$16+1)^5, IF(AG785 &gt;= BaseBonus!$C$16, AG785*BaseBonus!$E$31, 0), "")</f>
        <v>9.3905358129257959</v>
      </c>
      <c r="AJ785">
        <f t="shared" ca="1" si="70"/>
        <v>0</v>
      </c>
    </row>
    <row r="786" spans="28:36" x14ac:dyDescent="0.3">
      <c r="AB786">
        <f t="shared" si="71"/>
        <v>2</v>
      </c>
      <c r="AC786">
        <f t="shared" si="71"/>
        <v>3</v>
      </c>
      <c r="AD786">
        <f t="shared" si="71"/>
        <v>1</v>
      </c>
      <c r="AE786">
        <f t="shared" si="71"/>
        <v>3</v>
      </c>
      <c r="AF786">
        <f t="shared" si="71"/>
        <v>2</v>
      </c>
      <c r="AG786">
        <f t="shared" si="68"/>
        <v>11</v>
      </c>
      <c r="AH786">
        <f t="shared" ca="1" si="69"/>
        <v>0</v>
      </c>
      <c r="AI786">
        <f>IF(ROW($AA786) - $AA$51 &lt; ($H$16+1)^5, IF(AG786 &gt;= BaseBonus!$C$16, AG786*BaseBonus!$E$31, 0), "")</f>
        <v>10.329589394218376</v>
      </c>
      <c r="AJ786">
        <f t="shared" ca="1" si="70"/>
        <v>0</v>
      </c>
    </row>
    <row r="787" spans="28:36" x14ac:dyDescent="0.3">
      <c r="AB787">
        <f t="shared" si="71"/>
        <v>3</v>
      </c>
      <c r="AC787">
        <f t="shared" si="71"/>
        <v>3</v>
      </c>
      <c r="AD787">
        <f t="shared" si="71"/>
        <v>1</v>
      </c>
      <c r="AE787">
        <f t="shared" si="71"/>
        <v>3</v>
      </c>
      <c r="AF787">
        <f t="shared" si="71"/>
        <v>2</v>
      </c>
      <c r="AG787">
        <f t="shared" si="68"/>
        <v>12</v>
      </c>
      <c r="AH787">
        <f t="shared" ca="1" si="69"/>
        <v>0</v>
      </c>
      <c r="AI787">
        <f>IF(ROW($AA787) - $AA$51 &lt; ($H$16+1)^5, IF(AG787 &gt;= BaseBonus!$C$16, AG787*BaseBonus!$E$31, 0), "")</f>
        <v>11.268642975510955</v>
      </c>
      <c r="AJ787">
        <f t="shared" ca="1" si="70"/>
        <v>0</v>
      </c>
    </row>
    <row r="788" spans="28:36" x14ac:dyDescent="0.3">
      <c r="AB788">
        <f t="shared" si="71"/>
        <v>0</v>
      </c>
      <c r="AC788">
        <f t="shared" si="71"/>
        <v>0</v>
      </c>
      <c r="AD788">
        <f t="shared" si="71"/>
        <v>2</v>
      </c>
      <c r="AE788">
        <f t="shared" si="71"/>
        <v>3</v>
      </c>
      <c r="AF788">
        <f t="shared" si="71"/>
        <v>2</v>
      </c>
      <c r="AG788">
        <f t="shared" si="68"/>
        <v>7</v>
      </c>
      <c r="AH788">
        <f t="shared" ca="1" si="69"/>
        <v>0</v>
      </c>
      <c r="AI788">
        <f>IF(ROW($AA788) - $AA$51 &lt; ($H$16+1)^5, IF(AG788 &gt;= BaseBonus!$C$16, AG788*BaseBonus!$E$31, 0), "")</f>
        <v>6.5733750690480575</v>
      </c>
      <c r="AJ788">
        <f t="shared" ca="1" si="70"/>
        <v>0</v>
      </c>
    </row>
    <row r="789" spans="28:36" x14ac:dyDescent="0.3">
      <c r="AB789">
        <f t="shared" si="71"/>
        <v>1</v>
      </c>
      <c r="AC789">
        <f t="shared" si="71"/>
        <v>0</v>
      </c>
      <c r="AD789">
        <f t="shared" si="71"/>
        <v>2</v>
      </c>
      <c r="AE789">
        <f t="shared" si="71"/>
        <v>3</v>
      </c>
      <c r="AF789">
        <f t="shared" si="71"/>
        <v>2</v>
      </c>
      <c r="AG789">
        <f t="shared" si="68"/>
        <v>8</v>
      </c>
      <c r="AH789">
        <f t="shared" ca="1" si="69"/>
        <v>0</v>
      </c>
      <c r="AI789">
        <f>IF(ROW($AA789) - $AA$51 &lt; ($H$16+1)^5, IF(AG789 &gt;= BaseBonus!$C$16, AG789*BaseBonus!$E$31, 0), "")</f>
        <v>7.5124286503406372</v>
      </c>
      <c r="AJ789">
        <f t="shared" ca="1" si="70"/>
        <v>0</v>
      </c>
    </row>
    <row r="790" spans="28:36" x14ac:dyDescent="0.3">
      <c r="AB790">
        <f t="shared" si="71"/>
        <v>2</v>
      </c>
      <c r="AC790">
        <f t="shared" si="71"/>
        <v>0</v>
      </c>
      <c r="AD790">
        <f t="shared" si="71"/>
        <v>2</v>
      </c>
      <c r="AE790">
        <f t="shared" si="71"/>
        <v>3</v>
      </c>
      <c r="AF790">
        <f t="shared" si="71"/>
        <v>2</v>
      </c>
      <c r="AG790">
        <f t="shared" si="68"/>
        <v>9</v>
      </c>
      <c r="AH790">
        <f t="shared" ca="1" si="69"/>
        <v>0</v>
      </c>
      <c r="AI790">
        <f>IF(ROW($AA790) - $AA$51 &lt; ($H$16+1)^5, IF(AG790 &gt;= BaseBonus!$C$16, AG790*BaseBonus!$E$31, 0), "")</f>
        <v>8.4514822316332161</v>
      </c>
      <c r="AJ790">
        <f t="shared" ca="1" si="70"/>
        <v>0</v>
      </c>
    </row>
    <row r="791" spans="28:36" x14ac:dyDescent="0.3">
      <c r="AB791">
        <f t="shared" si="71"/>
        <v>3</v>
      </c>
      <c r="AC791">
        <f t="shared" si="71"/>
        <v>0</v>
      </c>
      <c r="AD791">
        <f t="shared" si="71"/>
        <v>2</v>
      </c>
      <c r="AE791">
        <f t="shared" si="71"/>
        <v>3</v>
      </c>
      <c r="AF791">
        <f t="shared" si="71"/>
        <v>2</v>
      </c>
      <c r="AG791">
        <f t="shared" si="68"/>
        <v>10</v>
      </c>
      <c r="AH791">
        <f t="shared" ca="1" si="69"/>
        <v>0</v>
      </c>
      <c r="AI791">
        <f>IF(ROW($AA791) - $AA$51 &lt; ($H$16+1)^5, IF(AG791 &gt;= BaseBonus!$C$16, AG791*BaseBonus!$E$31, 0), "")</f>
        <v>9.3905358129257959</v>
      </c>
      <c r="AJ791">
        <f t="shared" ca="1" si="70"/>
        <v>0</v>
      </c>
    </row>
    <row r="792" spans="28:36" x14ac:dyDescent="0.3">
      <c r="AB792">
        <f t="shared" si="71"/>
        <v>0</v>
      </c>
      <c r="AC792">
        <f t="shared" si="71"/>
        <v>1</v>
      </c>
      <c r="AD792">
        <f t="shared" si="71"/>
        <v>2</v>
      </c>
      <c r="AE792">
        <f t="shared" si="71"/>
        <v>3</v>
      </c>
      <c r="AF792">
        <f t="shared" si="71"/>
        <v>2</v>
      </c>
      <c r="AG792">
        <f t="shared" si="68"/>
        <v>8</v>
      </c>
      <c r="AH792">
        <f t="shared" ca="1" si="69"/>
        <v>0</v>
      </c>
      <c r="AI792">
        <f>IF(ROW($AA792) - $AA$51 &lt; ($H$16+1)^5, IF(AG792 &gt;= BaseBonus!$C$16, AG792*BaseBonus!$E$31, 0), "")</f>
        <v>7.5124286503406372</v>
      </c>
      <c r="AJ792">
        <f t="shared" ca="1" si="70"/>
        <v>0</v>
      </c>
    </row>
    <row r="793" spans="28:36" x14ac:dyDescent="0.3">
      <c r="AB793">
        <f t="shared" si="71"/>
        <v>1</v>
      </c>
      <c r="AC793">
        <f t="shared" si="71"/>
        <v>1</v>
      </c>
      <c r="AD793">
        <f t="shared" si="71"/>
        <v>2</v>
      </c>
      <c r="AE793">
        <f t="shared" si="71"/>
        <v>3</v>
      </c>
      <c r="AF793">
        <f t="shared" si="71"/>
        <v>2</v>
      </c>
      <c r="AG793">
        <f t="shared" si="68"/>
        <v>9</v>
      </c>
      <c r="AH793">
        <f t="shared" ca="1" si="69"/>
        <v>0</v>
      </c>
      <c r="AI793">
        <f>IF(ROW($AA793) - $AA$51 &lt; ($H$16+1)^5, IF(AG793 &gt;= BaseBonus!$C$16, AG793*BaseBonus!$E$31, 0), "")</f>
        <v>8.4514822316332161</v>
      </c>
      <c r="AJ793">
        <f t="shared" ca="1" si="70"/>
        <v>0</v>
      </c>
    </row>
    <row r="794" spans="28:36" x14ac:dyDescent="0.3">
      <c r="AB794">
        <f t="shared" si="71"/>
        <v>2</v>
      </c>
      <c r="AC794">
        <f t="shared" si="71"/>
        <v>1</v>
      </c>
      <c r="AD794">
        <f t="shared" si="71"/>
        <v>2</v>
      </c>
      <c r="AE794">
        <f t="shared" si="71"/>
        <v>3</v>
      </c>
      <c r="AF794">
        <f t="shared" si="71"/>
        <v>2</v>
      </c>
      <c r="AG794">
        <f t="shared" si="68"/>
        <v>10</v>
      </c>
      <c r="AH794">
        <f t="shared" ca="1" si="69"/>
        <v>0</v>
      </c>
      <c r="AI794">
        <f>IF(ROW($AA794) - $AA$51 &lt; ($H$16+1)^5, IF(AG794 &gt;= BaseBonus!$C$16, AG794*BaseBonus!$E$31, 0), "")</f>
        <v>9.3905358129257959</v>
      </c>
      <c r="AJ794">
        <f t="shared" ca="1" si="70"/>
        <v>0</v>
      </c>
    </row>
    <row r="795" spans="28:36" x14ac:dyDescent="0.3">
      <c r="AB795">
        <f t="shared" si="71"/>
        <v>3</v>
      </c>
      <c r="AC795">
        <f t="shared" si="71"/>
        <v>1</v>
      </c>
      <c r="AD795">
        <f t="shared" si="71"/>
        <v>2</v>
      </c>
      <c r="AE795">
        <f t="shared" si="71"/>
        <v>3</v>
      </c>
      <c r="AF795">
        <f t="shared" si="71"/>
        <v>2</v>
      </c>
      <c r="AG795">
        <f t="shared" si="68"/>
        <v>11</v>
      </c>
      <c r="AH795">
        <f t="shared" ca="1" si="69"/>
        <v>0</v>
      </c>
      <c r="AI795">
        <f>IF(ROW($AA795) - $AA$51 &lt; ($H$16+1)^5, IF(AG795 &gt;= BaseBonus!$C$16, AG795*BaseBonus!$E$31, 0), "")</f>
        <v>10.329589394218376</v>
      </c>
      <c r="AJ795">
        <f t="shared" ca="1" si="70"/>
        <v>0</v>
      </c>
    </row>
    <row r="796" spans="28:36" x14ac:dyDescent="0.3">
      <c r="AB796">
        <f t="shared" si="71"/>
        <v>0</v>
      </c>
      <c r="AC796">
        <f t="shared" si="71"/>
        <v>2</v>
      </c>
      <c r="AD796">
        <f t="shared" si="71"/>
        <v>2</v>
      </c>
      <c r="AE796">
        <f t="shared" si="71"/>
        <v>3</v>
      </c>
      <c r="AF796">
        <f t="shared" si="71"/>
        <v>2</v>
      </c>
      <c r="AG796">
        <f t="shared" si="68"/>
        <v>9</v>
      </c>
      <c r="AH796">
        <f t="shared" ca="1" si="69"/>
        <v>0</v>
      </c>
      <c r="AI796">
        <f>IF(ROW($AA796) - $AA$51 &lt; ($H$16+1)^5, IF(AG796 &gt;= BaseBonus!$C$16, AG796*BaseBonus!$E$31, 0), "")</f>
        <v>8.4514822316332161</v>
      </c>
      <c r="AJ796">
        <f t="shared" ca="1" si="70"/>
        <v>0</v>
      </c>
    </row>
    <row r="797" spans="28:36" x14ac:dyDescent="0.3">
      <c r="AB797">
        <f t="shared" si="71"/>
        <v>1</v>
      </c>
      <c r="AC797">
        <f t="shared" si="71"/>
        <v>2</v>
      </c>
      <c r="AD797">
        <f t="shared" si="71"/>
        <v>2</v>
      </c>
      <c r="AE797">
        <f t="shared" si="71"/>
        <v>3</v>
      </c>
      <c r="AF797">
        <f t="shared" si="71"/>
        <v>2</v>
      </c>
      <c r="AG797">
        <f t="shared" si="68"/>
        <v>10</v>
      </c>
      <c r="AH797">
        <f t="shared" ca="1" si="69"/>
        <v>0</v>
      </c>
      <c r="AI797">
        <f>IF(ROW($AA797) - $AA$51 &lt; ($H$16+1)^5, IF(AG797 &gt;= BaseBonus!$C$16, AG797*BaseBonus!$E$31, 0), "")</f>
        <v>9.3905358129257959</v>
      </c>
      <c r="AJ797">
        <f t="shared" ca="1" si="70"/>
        <v>0</v>
      </c>
    </row>
    <row r="798" spans="28:36" x14ac:dyDescent="0.3">
      <c r="AB798">
        <f t="shared" si="71"/>
        <v>2</v>
      </c>
      <c r="AC798">
        <f t="shared" si="71"/>
        <v>2</v>
      </c>
      <c r="AD798">
        <f t="shared" si="71"/>
        <v>2</v>
      </c>
      <c r="AE798">
        <f t="shared" si="71"/>
        <v>3</v>
      </c>
      <c r="AF798">
        <f t="shared" si="71"/>
        <v>2</v>
      </c>
      <c r="AG798">
        <f t="shared" si="68"/>
        <v>11</v>
      </c>
      <c r="AH798">
        <f t="shared" ca="1" si="69"/>
        <v>0</v>
      </c>
      <c r="AI798">
        <f>IF(ROW($AA798) - $AA$51 &lt; ($H$16+1)^5, IF(AG798 &gt;= BaseBonus!$C$16, AG798*BaseBonus!$E$31, 0), "")</f>
        <v>10.329589394218376</v>
      </c>
      <c r="AJ798">
        <f t="shared" ca="1" si="70"/>
        <v>0</v>
      </c>
    </row>
    <row r="799" spans="28:36" x14ac:dyDescent="0.3">
      <c r="AB799">
        <f t="shared" si="71"/>
        <v>3</v>
      </c>
      <c r="AC799">
        <f t="shared" si="71"/>
        <v>2</v>
      </c>
      <c r="AD799">
        <f t="shared" si="71"/>
        <v>2</v>
      </c>
      <c r="AE799">
        <f t="shared" si="71"/>
        <v>3</v>
      </c>
      <c r="AF799">
        <f t="shared" si="71"/>
        <v>2</v>
      </c>
      <c r="AG799">
        <f t="shared" si="68"/>
        <v>12</v>
      </c>
      <c r="AH799">
        <f t="shared" ca="1" si="69"/>
        <v>0</v>
      </c>
      <c r="AI799">
        <f>IF(ROW($AA799) - $AA$51 &lt; ($H$16+1)^5, IF(AG799 &gt;= BaseBonus!$C$16, AG799*BaseBonus!$E$31, 0), "")</f>
        <v>11.268642975510955</v>
      </c>
      <c r="AJ799">
        <f t="shared" ca="1" si="70"/>
        <v>0</v>
      </c>
    </row>
    <row r="800" spans="28:36" x14ac:dyDescent="0.3">
      <c r="AB800">
        <f t="shared" si="71"/>
        <v>0</v>
      </c>
      <c r="AC800">
        <f t="shared" si="71"/>
        <v>3</v>
      </c>
      <c r="AD800">
        <f t="shared" si="71"/>
        <v>2</v>
      </c>
      <c r="AE800">
        <f t="shared" si="71"/>
        <v>3</v>
      </c>
      <c r="AF800">
        <f t="shared" si="71"/>
        <v>2</v>
      </c>
      <c r="AG800">
        <f t="shared" si="68"/>
        <v>10</v>
      </c>
      <c r="AH800">
        <f t="shared" ca="1" si="69"/>
        <v>0</v>
      </c>
      <c r="AI800">
        <f>IF(ROW($AA800) - $AA$51 &lt; ($H$16+1)^5, IF(AG800 &gt;= BaseBonus!$C$16, AG800*BaseBonus!$E$31, 0), "")</f>
        <v>9.3905358129257959</v>
      </c>
      <c r="AJ800">
        <f t="shared" ca="1" si="70"/>
        <v>0</v>
      </c>
    </row>
    <row r="801" spans="28:36" x14ac:dyDescent="0.3">
      <c r="AB801">
        <f t="shared" si="71"/>
        <v>1</v>
      </c>
      <c r="AC801">
        <f t="shared" si="71"/>
        <v>3</v>
      </c>
      <c r="AD801">
        <f t="shared" si="71"/>
        <v>2</v>
      </c>
      <c r="AE801">
        <f t="shared" si="71"/>
        <v>3</v>
      </c>
      <c r="AF801">
        <f t="shared" si="71"/>
        <v>2</v>
      </c>
      <c r="AG801">
        <f t="shared" si="68"/>
        <v>11</v>
      </c>
      <c r="AH801">
        <f t="shared" ca="1" si="69"/>
        <v>0</v>
      </c>
      <c r="AI801">
        <f>IF(ROW($AA801) - $AA$51 &lt; ($H$16+1)^5, IF(AG801 &gt;= BaseBonus!$C$16, AG801*BaseBonus!$E$31, 0), "")</f>
        <v>10.329589394218376</v>
      </c>
      <c r="AJ801">
        <f t="shared" ca="1" si="70"/>
        <v>0</v>
      </c>
    </row>
    <row r="802" spans="28:36" x14ac:dyDescent="0.3">
      <c r="AB802">
        <f t="shared" si="71"/>
        <v>2</v>
      </c>
      <c r="AC802">
        <f t="shared" si="71"/>
        <v>3</v>
      </c>
      <c r="AD802">
        <f t="shared" si="71"/>
        <v>2</v>
      </c>
      <c r="AE802">
        <f t="shared" si="71"/>
        <v>3</v>
      </c>
      <c r="AF802">
        <f t="shared" si="71"/>
        <v>2</v>
      </c>
      <c r="AG802">
        <f t="shared" si="68"/>
        <v>12</v>
      </c>
      <c r="AH802">
        <f t="shared" ca="1" si="69"/>
        <v>0</v>
      </c>
      <c r="AI802">
        <f>IF(ROW($AA802) - $AA$51 &lt; ($H$16+1)^5, IF(AG802 &gt;= BaseBonus!$C$16, AG802*BaseBonus!$E$31, 0), "")</f>
        <v>11.268642975510955</v>
      </c>
      <c r="AJ802">
        <f t="shared" ca="1" si="70"/>
        <v>0</v>
      </c>
    </row>
    <row r="803" spans="28:36" x14ac:dyDescent="0.3">
      <c r="AB803">
        <f t="shared" si="71"/>
        <v>3</v>
      </c>
      <c r="AC803">
        <f t="shared" si="71"/>
        <v>3</v>
      </c>
      <c r="AD803">
        <f t="shared" si="71"/>
        <v>2</v>
      </c>
      <c r="AE803">
        <f t="shared" si="71"/>
        <v>3</v>
      </c>
      <c r="AF803">
        <f t="shared" si="71"/>
        <v>2</v>
      </c>
      <c r="AG803">
        <f t="shared" si="68"/>
        <v>13</v>
      </c>
      <c r="AH803">
        <f t="shared" ca="1" si="69"/>
        <v>0</v>
      </c>
      <c r="AI803">
        <f>IF(ROW($AA803) - $AA$51 &lt; ($H$16+1)^5, IF(AG803 &gt;= BaseBonus!$C$16, AG803*BaseBonus!$E$31, 0), "")</f>
        <v>12.207696556803535</v>
      </c>
      <c r="AJ803">
        <f t="shared" ca="1" si="70"/>
        <v>0</v>
      </c>
    </row>
    <row r="804" spans="28:36" x14ac:dyDescent="0.3">
      <c r="AB804">
        <f t="shared" si="71"/>
        <v>0</v>
      </c>
      <c r="AC804">
        <f t="shared" si="71"/>
        <v>0</v>
      </c>
      <c r="AD804">
        <f t="shared" si="71"/>
        <v>3</v>
      </c>
      <c r="AE804">
        <f t="shared" si="71"/>
        <v>3</v>
      </c>
      <c r="AF804">
        <f t="shared" si="71"/>
        <v>2</v>
      </c>
      <c r="AG804">
        <f t="shared" si="68"/>
        <v>8</v>
      </c>
      <c r="AH804">
        <f t="shared" ca="1" si="69"/>
        <v>0</v>
      </c>
      <c r="AI804">
        <f>IF(ROW($AA804) - $AA$51 &lt; ($H$16+1)^5, IF(AG804 &gt;= BaseBonus!$C$16, AG804*BaseBonus!$E$31, 0), "")</f>
        <v>7.5124286503406372</v>
      </c>
      <c r="AJ804">
        <f t="shared" ca="1" si="70"/>
        <v>0</v>
      </c>
    </row>
    <row r="805" spans="28:36" x14ac:dyDescent="0.3">
      <c r="AB805">
        <f t="shared" si="71"/>
        <v>1</v>
      </c>
      <c r="AC805">
        <f t="shared" si="71"/>
        <v>0</v>
      </c>
      <c r="AD805">
        <f t="shared" si="71"/>
        <v>3</v>
      </c>
      <c r="AE805">
        <f t="shared" si="71"/>
        <v>3</v>
      </c>
      <c r="AF805">
        <f t="shared" si="71"/>
        <v>2</v>
      </c>
      <c r="AG805">
        <f t="shared" si="68"/>
        <v>9</v>
      </c>
      <c r="AH805">
        <f t="shared" ca="1" si="69"/>
        <v>0</v>
      </c>
      <c r="AI805">
        <f>IF(ROW($AA805) - $AA$51 &lt; ($H$16+1)^5, IF(AG805 &gt;= BaseBonus!$C$16, AG805*BaseBonus!$E$31, 0), "")</f>
        <v>8.4514822316332161</v>
      </c>
      <c r="AJ805">
        <f t="shared" ca="1" si="70"/>
        <v>0</v>
      </c>
    </row>
    <row r="806" spans="28:36" x14ac:dyDescent="0.3">
      <c r="AB806">
        <f t="shared" si="71"/>
        <v>2</v>
      </c>
      <c r="AC806">
        <f t="shared" si="71"/>
        <v>0</v>
      </c>
      <c r="AD806">
        <f t="shared" si="71"/>
        <v>3</v>
      </c>
      <c r="AE806">
        <f t="shared" si="71"/>
        <v>3</v>
      </c>
      <c r="AF806">
        <f t="shared" si="71"/>
        <v>2</v>
      </c>
      <c r="AG806">
        <f t="shared" si="68"/>
        <v>10</v>
      </c>
      <c r="AH806">
        <f t="shared" ca="1" si="69"/>
        <v>0</v>
      </c>
      <c r="AI806">
        <f>IF(ROW($AA806) - $AA$51 &lt; ($H$16+1)^5, IF(AG806 &gt;= BaseBonus!$C$16, AG806*BaseBonus!$E$31, 0), "")</f>
        <v>9.3905358129257959</v>
      </c>
      <c r="AJ806">
        <f t="shared" ca="1" si="70"/>
        <v>0</v>
      </c>
    </row>
    <row r="807" spans="28:36" x14ac:dyDescent="0.3">
      <c r="AB807">
        <f t="shared" si="71"/>
        <v>3</v>
      </c>
      <c r="AC807">
        <f t="shared" si="71"/>
        <v>0</v>
      </c>
      <c r="AD807">
        <f t="shared" si="71"/>
        <v>3</v>
      </c>
      <c r="AE807">
        <f t="shared" si="71"/>
        <v>3</v>
      </c>
      <c r="AF807">
        <f t="shared" si="71"/>
        <v>2</v>
      </c>
      <c r="AG807">
        <f t="shared" si="68"/>
        <v>11</v>
      </c>
      <c r="AH807">
        <f t="shared" ca="1" si="69"/>
        <v>0</v>
      </c>
      <c r="AI807">
        <f>IF(ROW($AA807) - $AA$51 &lt; ($H$16+1)^5, IF(AG807 &gt;= BaseBonus!$C$16, AG807*BaseBonus!$E$31, 0), "")</f>
        <v>10.329589394218376</v>
      </c>
      <c r="AJ807">
        <f t="shared" ca="1" si="70"/>
        <v>0</v>
      </c>
    </row>
    <row r="808" spans="28:36" x14ac:dyDescent="0.3">
      <c r="AB808">
        <f t="shared" si="71"/>
        <v>0</v>
      </c>
      <c r="AC808">
        <f t="shared" si="71"/>
        <v>1</v>
      </c>
      <c r="AD808">
        <f t="shared" si="71"/>
        <v>3</v>
      </c>
      <c r="AE808">
        <f t="shared" si="71"/>
        <v>3</v>
      </c>
      <c r="AF808">
        <f t="shared" si="71"/>
        <v>2</v>
      </c>
      <c r="AG808">
        <f t="shared" si="68"/>
        <v>9</v>
      </c>
      <c r="AH808">
        <f t="shared" ca="1" si="69"/>
        <v>0</v>
      </c>
      <c r="AI808">
        <f>IF(ROW($AA808) - $AA$51 &lt; ($H$16+1)^5, IF(AG808 &gt;= BaseBonus!$C$16, AG808*BaseBonus!$E$31, 0), "")</f>
        <v>8.4514822316332161</v>
      </c>
      <c r="AJ808">
        <f t="shared" ca="1" si="70"/>
        <v>0</v>
      </c>
    </row>
    <row r="809" spans="28:36" x14ac:dyDescent="0.3">
      <c r="AB809">
        <f t="shared" si="71"/>
        <v>1</v>
      </c>
      <c r="AC809">
        <f t="shared" si="71"/>
        <v>1</v>
      </c>
      <c r="AD809">
        <f t="shared" si="71"/>
        <v>3</v>
      </c>
      <c r="AE809">
        <f t="shared" si="71"/>
        <v>3</v>
      </c>
      <c r="AF809">
        <f t="shared" si="71"/>
        <v>2</v>
      </c>
      <c r="AG809">
        <f t="shared" si="68"/>
        <v>10</v>
      </c>
      <c r="AH809">
        <f t="shared" ca="1" si="69"/>
        <v>0</v>
      </c>
      <c r="AI809">
        <f>IF(ROW($AA809) - $AA$51 &lt; ($H$16+1)^5, IF(AG809 &gt;= BaseBonus!$C$16, AG809*BaseBonus!$E$31, 0), "")</f>
        <v>9.3905358129257959</v>
      </c>
      <c r="AJ809">
        <f t="shared" ca="1" si="70"/>
        <v>0</v>
      </c>
    </row>
    <row r="810" spans="28:36" x14ac:dyDescent="0.3">
      <c r="AB810">
        <f t="shared" si="71"/>
        <v>2</v>
      </c>
      <c r="AC810">
        <f t="shared" si="71"/>
        <v>1</v>
      </c>
      <c r="AD810">
        <f t="shared" si="71"/>
        <v>3</v>
      </c>
      <c r="AE810">
        <f t="shared" si="71"/>
        <v>3</v>
      </c>
      <c r="AF810">
        <f t="shared" si="71"/>
        <v>2</v>
      </c>
      <c r="AG810">
        <f t="shared" si="68"/>
        <v>11</v>
      </c>
      <c r="AH810">
        <f t="shared" ca="1" si="69"/>
        <v>0</v>
      </c>
      <c r="AI810">
        <f>IF(ROW($AA810) - $AA$51 &lt; ($H$16+1)^5, IF(AG810 &gt;= BaseBonus!$C$16, AG810*BaseBonus!$E$31, 0), "")</f>
        <v>10.329589394218376</v>
      </c>
      <c r="AJ810">
        <f t="shared" ca="1" si="70"/>
        <v>0</v>
      </c>
    </row>
    <row r="811" spans="28:36" x14ac:dyDescent="0.3">
      <c r="AB811">
        <f t="shared" si="71"/>
        <v>3</v>
      </c>
      <c r="AC811">
        <f t="shared" si="71"/>
        <v>1</v>
      </c>
      <c r="AD811">
        <f t="shared" si="71"/>
        <v>3</v>
      </c>
      <c r="AE811">
        <f t="shared" si="71"/>
        <v>3</v>
      </c>
      <c r="AF811">
        <f t="shared" si="71"/>
        <v>2</v>
      </c>
      <c r="AG811">
        <f t="shared" si="68"/>
        <v>12</v>
      </c>
      <c r="AH811">
        <f t="shared" ca="1" si="69"/>
        <v>0</v>
      </c>
      <c r="AI811">
        <f>IF(ROW($AA811) - $AA$51 &lt; ($H$16+1)^5, IF(AG811 &gt;= BaseBonus!$C$16, AG811*BaseBonus!$E$31, 0), "")</f>
        <v>11.268642975510955</v>
      </c>
      <c r="AJ811">
        <f t="shared" ca="1" si="70"/>
        <v>0</v>
      </c>
    </row>
    <row r="812" spans="28:36" x14ac:dyDescent="0.3">
      <c r="AB812">
        <f t="shared" si="71"/>
        <v>0</v>
      </c>
      <c r="AC812">
        <f t="shared" si="71"/>
        <v>2</v>
      </c>
      <c r="AD812">
        <f t="shared" si="71"/>
        <v>3</v>
      </c>
      <c r="AE812">
        <f t="shared" si="71"/>
        <v>3</v>
      </c>
      <c r="AF812">
        <f t="shared" si="71"/>
        <v>2</v>
      </c>
      <c r="AG812">
        <f t="shared" si="68"/>
        <v>10</v>
      </c>
      <c r="AH812">
        <f t="shared" ca="1" si="69"/>
        <v>0</v>
      </c>
      <c r="AI812">
        <f>IF(ROW($AA812) - $AA$51 &lt; ($H$16+1)^5, IF(AG812 &gt;= BaseBonus!$C$16, AG812*BaseBonus!$E$31, 0), "")</f>
        <v>9.3905358129257959</v>
      </c>
      <c r="AJ812">
        <f t="shared" ca="1" si="70"/>
        <v>0</v>
      </c>
    </row>
    <row r="813" spans="28:36" x14ac:dyDescent="0.3">
      <c r="AB813">
        <f t="shared" si="71"/>
        <v>1</v>
      </c>
      <c r="AC813">
        <f t="shared" si="71"/>
        <v>2</v>
      </c>
      <c r="AD813">
        <f t="shared" si="71"/>
        <v>3</v>
      </c>
      <c r="AE813">
        <f t="shared" si="71"/>
        <v>3</v>
      </c>
      <c r="AF813">
        <f t="shared" si="71"/>
        <v>2</v>
      </c>
      <c r="AG813">
        <f t="shared" si="68"/>
        <v>11</v>
      </c>
      <c r="AH813">
        <f t="shared" ca="1" si="69"/>
        <v>0</v>
      </c>
      <c r="AI813">
        <f>IF(ROW($AA813) - $AA$51 &lt; ($H$16+1)^5, IF(AG813 &gt;= BaseBonus!$C$16, AG813*BaseBonus!$E$31, 0), "")</f>
        <v>10.329589394218376</v>
      </c>
      <c r="AJ813">
        <f t="shared" ca="1" si="70"/>
        <v>0</v>
      </c>
    </row>
    <row r="814" spans="28:36" x14ac:dyDescent="0.3">
      <c r="AB814">
        <f t="shared" si="71"/>
        <v>2</v>
      </c>
      <c r="AC814">
        <f t="shared" si="71"/>
        <v>2</v>
      </c>
      <c r="AD814">
        <f t="shared" si="71"/>
        <v>3</v>
      </c>
      <c r="AE814">
        <f t="shared" si="71"/>
        <v>3</v>
      </c>
      <c r="AF814">
        <f t="shared" si="71"/>
        <v>2</v>
      </c>
      <c r="AG814">
        <f t="shared" si="68"/>
        <v>12</v>
      </c>
      <c r="AH814">
        <f t="shared" ca="1" si="69"/>
        <v>0</v>
      </c>
      <c r="AI814">
        <f>IF(ROW($AA814) - $AA$51 &lt; ($H$16+1)^5, IF(AG814 &gt;= BaseBonus!$C$16, AG814*BaseBonus!$E$31, 0), "")</f>
        <v>11.268642975510955</v>
      </c>
      <c r="AJ814">
        <f t="shared" ca="1" si="70"/>
        <v>0</v>
      </c>
    </row>
    <row r="815" spans="28:36" x14ac:dyDescent="0.3">
      <c r="AB815">
        <f t="shared" si="71"/>
        <v>3</v>
      </c>
      <c r="AC815">
        <f t="shared" si="71"/>
        <v>2</v>
      </c>
      <c r="AD815">
        <f t="shared" si="71"/>
        <v>3</v>
      </c>
      <c r="AE815">
        <f t="shared" si="71"/>
        <v>3</v>
      </c>
      <c r="AF815">
        <f t="shared" si="71"/>
        <v>2</v>
      </c>
      <c r="AG815">
        <f t="shared" si="68"/>
        <v>13</v>
      </c>
      <c r="AH815">
        <f t="shared" ca="1" si="69"/>
        <v>0</v>
      </c>
      <c r="AI815">
        <f>IF(ROW($AA815) - $AA$51 &lt; ($H$16+1)^5, IF(AG815 &gt;= BaseBonus!$C$16, AG815*BaseBonus!$E$31, 0), "")</f>
        <v>12.207696556803535</v>
      </c>
      <c r="AJ815">
        <f t="shared" ca="1" si="70"/>
        <v>0</v>
      </c>
    </row>
    <row r="816" spans="28:36" x14ac:dyDescent="0.3">
      <c r="AB816">
        <f t="shared" si="71"/>
        <v>0</v>
      </c>
      <c r="AC816">
        <f t="shared" si="71"/>
        <v>3</v>
      </c>
      <c r="AD816">
        <f t="shared" si="71"/>
        <v>3</v>
      </c>
      <c r="AE816">
        <f t="shared" si="71"/>
        <v>3</v>
      </c>
      <c r="AF816">
        <f t="shared" si="71"/>
        <v>2</v>
      </c>
      <c r="AG816">
        <f t="shared" si="68"/>
        <v>11</v>
      </c>
      <c r="AH816">
        <f t="shared" ca="1" si="69"/>
        <v>0</v>
      </c>
      <c r="AI816">
        <f>IF(ROW($AA816) - $AA$51 &lt; ($H$16+1)^5, IF(AG816 &gt;= BaseBonus!$C$16, AG816*BaseBonus!$E$31, 0), "")</f>
        <v>10.329589394218376</v>
      </c>
      <c r="AJ816">
        <f t="shared" ca="1" si="70"/>
        <v>0</v>
      </c>
    </row>
    <row r="817" spans="28:36" x14ac:dyDescent="0.3">
      <c r="AB817">
        <f t="shared" ref="AB817:AF867" si="72">IF(ROW()-$AA$51 &lt; (H$16+1)^5, MOD(_xlfn.FLOOR.MATH((ROW()-$AA$51)/AB$50), H$16+1), "")</f>
        <v>1</v>
      </c>
      <c r="AC817">
        <f t="shared" si="72"/>
        <v>3</v>
      </c>
      <c r="AD817">
        <f t="shared" si="72"/>
        <v>3</v>
      </c>
      <c r="AE817">
        <f t="shared" si="72"/>
        <v>3</v>
      </c>
      <c r="AF817">
        <f t="shared" si="72"/>
        <v>2</v>
      </c>
      <c r="AG817">
        <f t="shared" si="68"/>
        <v>12</v>
      </c>
      <c r="AH817">
        <f t="shared" ca="1" si="69"/>
        <v>0</v>
      </c>
      <c r="AI817">
        <f>IF(ROW($AA817) - $AA$51 &lt; ($H$16+1)^5, IF(AG817 &gt;= BaseBonus!$C$16, AG817*BaseBonus!$E$31, 0), "")</f>
        <v>11.268642975510955</v>
      </c>
      <c r="AJ817">
        <f t="shared" ca="1" si="70"/>
        <v>0</v>
      </c>
    </row>
    <row r="818" spans="28:36" x14ac:dyDescent="0.3">
      <c r="AB818">
        <f t="shared" si="72"/>
        <v>2</v>
      </c>
      <c r="AC818">
        <f t="shared" si="72"/>
        <v>3</v>
      </c>
      <c r="AD818">
        <f t="shared" si="72"/>
        <v>3</v>
      </c>
      <c r="AE818">
        <f t="shared" si="72"/>
        <v>3</v>
      </c>
      <c r="AF818">
        <f t="shared" si="72"/>
        <v>2</v>
      </c>
      <c r="AG818">
        <f t="shared" si="68"/>
        <v>13</v>
      </c>
      <c r="AH818">
        <f t="shared" ca="1" si="69"/>
        <v>0</v>
      </c>
      <c r="AI818">
        <f>IF(ROW($AA818) - $AA$51 &lt; ($H$16+1)^5, IF(AG818 &gt;= BaseBonus!$C$16, AG818*BaseBonus!$E$31, 0), "")</f>
        <v>12.207696556803535</v>
      </c>
      <c r="AJ818">
        <f t="shared" ca="1" si="70"/>
        <v>0</v>
      </c>
    </row>
    <row r="819" spans="28:36" x14ac:dyDescent="0.3">
      <c r="AB819">
        <f t="shared" si="72"/>
        <v>3</v>
      </c>
      <c r="AC819">
        <f t="shared" si="72"/>
        <v>3</v>
      </c>
      <c r="AD819">
        <f t="shared" si="72"/>
        <v>3</v>
      </c>
      <c r="AE819">
        <f t="shared" si="72"/>
        <v>3</v>
      </c>
      <c r="AF819">
        <f t="shared" si="72"/>
        <v>2</v>
      </c>
      <c r="AG819">
        <f t="shared" si="68"/>
        <v>14</v>
      </c>
      <c r="AH819">
        <f t="shared" ca="1" si="69"/>
        <v>0</v>
      </c>
      <c r="AI819">
        <f>IF(ROW($AA819) - $AA$51 &lt; ($H$16+1)^5, IF(AG819 &gt;= BaseBonus!$C$16, AG819*BaseBonus!$E$31, 0), "")</f>
        <v>13.146750138096115</v>
      </c>
      <c r="AJ819">
        <f t="shared" ca="1" si="70"/>
        <v>0</v>
      </c>
    </row>
    <row r="820" spans="28:36" x14ac:dyDescent="0.3">
      <c r="AB820">
        <f t="shared" si="72"/>
        <v>0</v>
      </c>
      <c r="AC820">
        <f t="shared" si="72"/>
        <v>0</v>
      </c>
      <c r="AD820">
        <f t="shared" si="72"/>
        <v>0</v>
      </c>
      <c r="AE820">
        <f t="shared" si="72"/>
        <v>0</v>
      </c>
      <c r="AF820">
        <f t="shared" si="72"/>
        <v>3</v>
      </c>
      <c r="AG820">
        <f t="shared" ref="AG820:AG883" si="73">IF(ROW($AA820) - $AA$51 &lt; ($H$16+1)^5, SUM(AB820:AF820), "")</f>
        <v>3</v>
      </c>
      <c r="AH820">
        <f t="shared" ref="AH820:AH883" ca="1" si="74">IF(ROW($AA820) - $AA$51 &lt; (4)^5,
    (_xlfn.XLOOKUP(AB820,$T$51:$T$55,U$51:U$55,0)/U$27) * (_xlfn.XLOOKUP(AC820,$T$51:$T$55,V$51:V$55,0)/V$27) * (_xlfn.XLOOKUP(AD820,$T$51:$T$55,W$51:W$55,0)/W$27) * (_xlfn.XLOOKUP(AE820,$T$51:$T$55,X$51:X$55,0)/X$27) * (_xlfn.XLOOKUP(AF820,$T$51:$T$55,Y$51:Y$55,0)/Y$27),
"")</f>
        <v>0</v>
      </c>
      <c r="AI820">
        <f>IF(ROW($AA820) - $AA$51 &lt; ($H$16+1)^5, IF(AG820 &gt;= BaseBonus!$C$16, AG820*BaseBonus!$E$31, 0), "")</f>
        <v>0</v>
      </c>
      <c r="AJ820">
        <f t="shared" ref="AJ820:AJ883" ca="1" si="75">IF(ROW($AA820) - $AA$51 &lt; ($H$16+1)^5, AH820*AI820, "")</f>
        <v>0</v>
      </c>
    </row>
    <row r="821" spans="28:36" x14ac:dyDescent="0.3">
      <c r="AB821">
        <f t="shared" si="72"/>
        <v>1</v>
      </c>
      <c r="AC821">
        <f t="shared" si="72"/>
        <v>0</v>
      </c>
      <c r="AD821">
        <f t="shared" si="72"/>
        <v>0</v>
      </c>
      <c r="AE821">
        <f t="shared" si="72"/>
        <v>0</v>
      </c>
      <c r="AF821">
        <f t="shared" si="72"/>
        <v>3</v>
      </c>
      <c r="AG821">
        <f t="shared" si="73"/>
        <v>4</v>
      </c>
      <c r="AH821">
        <f t="shared" ca="1" si="74"/>
        <v>0</v>
      </c>
      <c r="AI821">
        <f>IF(ROW($AA821) - $AA$51 &lt; ($H$16+1)^5, IF(AG821 &gt;= BaseBonus!$C$16, AG821*BaseBonus!$E$31, 0), "")</f>
        <v>0</v>
      </c>
      <c r="AJ821">
        <f t="shared" ca="1" si="75"/>
        <v>0</v>
      </c>
    </row>
    <row r="822" spans="28:36" x14ac:dyDescent="0.3">
      <c r="AB822">
        <f t="shared" si="72"/>
        <v>2</v>
      </c>
      <c r="AC822">
        <f t="shared" si="72"/>
        <v>0</v>
      </c>
      <c r="AD822">
        <f t="shared" si="72"/>
        <v>0</v>
      </c>
      <c r="AE822">
        <f t="shared" si="72"/>
        <v>0</v>
      </c>
      <c r="AF822">
        <f t="shared" si="72"/>
        <v>3</v>
      </c>
      <c r="AG822">
        <f t="shared" si="73"/>
        <v>5</v>
      </c>
      <c r="AH822">
        <f t="shared" ca="1" si="74"/>
        <v>0</v>
      </c>
      <c r="AI822">
        <f>IF(ROW($AA822) - $AA$51 &lt; ($H$16+1)^5, IF(AG822 &gt;= BaseBonus!$C$16, AG822*BaseBonus!$E$31, 0), "")</f>
        <v>4.6952679064628979</v>
      </c>
      <c r="AJ822">
        <f t="shared" ca="1" si="75"/>
        <v>0</v>
      </c>
    </row>
    <row r="823" spans="28:36" x14ac:dyDescent="0.3">
      <c r="AB823">
        <f t="shared" si="72"/>
        <v>3</v>
      </c>
      <c r="AC823">
        <f t="shared" si="72"/>
        <v>0</v>
      </c>
      <c r="AD823">
        <f t="shared" si="72"/>
        <v>0</v>
      </c>
      <c r="AE823">
        <f t="shared" si="72"/>
        <v>0</v>
      </c>
      <c r="AF823">
        <f t="shared" si="72"/>
        <v>3</v>
      </c>
      <c r="AG823">
        <f t="shared" si="73"/>
        <v>6</v>
      </c>
      <c r="AH823">
        <f t="shared" ca="1" si="74"/>
        <v>0</v>
      </c>
      <c r="AI823">
        <f>IF(ROW($AA823) - $AA$51 &lt; ($H$16+1)^5, IF(AG823 &gt;= BaseBonus!$C$16, AG823*BaseBonus!$E$31, 0), "")</f>
        <v>5.6343214877554777</v>
      </c>
      <c r="AJ823">
        <f t="shared" ca="1" si="75"/>
        <v>0</v>
      </c>
    </row>
    <row r="824" spans="28:36" x14ac:dyDescent="0.3">
      <c r="AB824">
        <f t="shared" si="72"/>
        <v>0</v>
      </c>
      <c r="AC824">
        <f t="shared" si="72"/>
        <v>1</v>
      </c>
      <c r="AD824">
        <f t="shared" si="72"/>
        <v>0</v>
      </c>
      <c r="AE824">
        <f t="shared" si="72"/>
        <v>0</v>
      </c>
      <c r="AF824">
        <f t="shared" si="72"/>
        <v>3</v>
      </c>
      <c r="AG824">
        <f t="shared" si="73"/>
        <v>4</v>
      </c>
      <c r="AH824">
        <f t="shared" ca="1" si="74"/>
        <v>0</v>
      </c>
      <c r="AI824">
        <f>IF(ROW($AA824) - $AA$51 &lt; ($H$16+1)^5, IF(AG824 &gt;= BaseBonus!$C$16, AG824*BaseBonus!$E$31, 0), "")</f>
        <v>0</v>
      </c>
      <c r="AJ824">
        <f t="shared" ca="1" si="75"/>
        <v>0</v>
      </c>
    </row>
    <row r="825" spans="28:36" x14ac:dyDescent="0.3">
      <c r="AB825">
        <f t="shared" si="72"/>
        <v>1</v>
      </c>
      <c r="AC825">
        <f t="shared" si="72"/>
        <v>1</v>
      </c>
      <c r="AD825">
        <f t="shared" si="72"/>
        <v>0</v>
      </c>
      <c r="AE825">
        <f t="shared" si="72"/>
        <v>0</v>
      </c>
      <c r="AF825">
        <f t="shared" si="72"/>
        <v>3</v>
      </c>
      <c r="AG825">
        <f t="shared" si="73"/>
        <v>5</v>
      </c>
      <c r="AH825">
        <f t="shared" ca="1" si="74"/>
        <v>0</v>
      </c>
      <c r="AI825">
        <f>IF(ROW($AA825) - $AA$51 &lt; ($H$16+1)^5, IF(AG825 &gt;= BaseBonus!$C$16, AG825*BaseBonus!$E$31, 0), "")</f>
        <v>4.6952679064628979</v>
      </c>
      <c r="AJ825">
        <f t="shared" ca="1" si="75"/>
        <v>0</v>
      </c>
    </row>
    <row r="826" spans="28:36" x14ac:dyDescent="0.3">
      <c r="AB826">
        <f t="shared" si="72"/>
        <v>2</v>
      </c>
      <c r="AC826">
        <f t="shared" si="72"/>
        <v>1</v>
      </c>
      <c r="AD826">
        <f t="shared" si="72"/>
        <v>0</v>
      </c>
      <c r="AE826">
        <f t="shared" si="72"/>
        <v>0</v>
      </c>
      <c r="AF826">
        <f t="shared" si="72"/>
        <v>3</v>
      </c>
      <c r="AG826">
        <f t="shared" si="73"/>
        <v>6</v>
      </c>
      <c r="AH826">
        <f t="shared" ca="1" si="74"/>
        <v>0</v>
      </c>
      <c r="AI826">
        <f>IF(ROW($AA826) - $AA$51 &lt; ($H$16+1)^5, IF(AG826 &gt;= BaseBonus!$C$16, AG826*BaseBonus!$E$31, 0), "")</f>
        <v>5.6343214877554777</v>
      </c>
      <c r="AJ826">
        <f t="shared" ca="1" si="75"/>
        <v>0</v>
      </c>
    </row>
    <row r="827" spans="28:36" x14ac:dyDescent="0.3">
      <c r="AB827">
        <f t="shared" si="72"/>
        <v>3</v>
      </c>
      <c r="AC827">
        <f t="shared" si="72"/>
        <v>1</v>
      </c>
      <c r="AD827">
        <f t="shared" si="72"/>
        <v>0</v>
      </c>
      <c r="AE827">
        <f t="shared" si="72"/>
        <v>0</v>
      </c>
      <c r="AF827">
        <f t="shared" si="72"/>
        <v>3</v>
      </c>
      <c r="AG827">
        <f t="shared" si="73"/>
        <v>7</v>
      </c>
      <c r="AH827">
        <f t="shared" ca="1" si="74"/>
        <v>0</v>
      </c>
      <c r="AI827">
        <f>IF(ROW($AA827) - $AA$51 &lt; ($H$16+1)^5, IF(AG827 &gt;= BaseBonus!$C$16, AG827*BaseBonus!$E$31, 0), "")</f>
        <v>6.5733750690480575</v>
      </c>
      <c r="AJ827">
        <f t="shared" ca="1" si="75"/>
        <v>0</v>
      </c>
    </row>
    <row r="828" spans="28:36" x14ac:dyDescent="0.3">
      <c r="AB828">
        <f t="shared" si="72"/>
        <v>0</v>
      </c>
      <c r="AC828">
        <f t="shared" si="72"/>
        <v>2</v>
      </c>
      <c r="AD828">
        <f t="shared" si="72"/>
        <v>0</v>
      </c>
      <c r="AE828">
        <f t="shared" si="72"/>
        <v>0</v>
      </c>
      <c r="AF828">
        <f t="shared" si="72"/>
        <v>3</v>
      </c>
      <c r="AG828">
        <f t="shared" si="73"/>
        <v>5</v>
      </c>
      <c r="AH828">
        <f t="shared" ca="1" si="74"/>
        <v>0</v>
      </c>
      <c r="AI828">
        <f>IF(ROW($AA828) - $AA$51 &lt; ($H$16+1)^5, IF(AG828 &gt;= BaseBonus!$C$16, AG828*BaseBonus!$E$31, 0), "")</f>
        <v>4.6952679064628979</v>
      </c>
      <c r="AJ828">
        <f t="shared" ca="1" si="75"/>
        <v>0</v>
      </c>
    </row>
    <row r="829" spans="28:36" x14ac:dyDescent="0.3">
      <c r="AB829">
        <f t="shared" si="72"/>
        <v>1</v>
      </c>
      <c r="AC829">
        <f t="shared" si="72"/>
        <v>2</v>
      </c>
      <c r="AD829">
        <f t="shared" si="72"/>
        <v>0</v>
      </c>
      <c r="AE829">
        <f t="shared" si="72"/>
        <v>0</v>
      </c>
      <c r="AF829">
        <f t="shared" si="72"/>
        <v>3</v>
      </c>
      <c r="AG829">
        <f t="shared" si="73"/>
        <v>6</v>
      </c>
      <c r="AH829">
        <f t="shared" ca="1" si="74"/>
        <v>0</v>
      </c>
      <c r="AI829">
        <f>IF(ROW($AA829) - $AA$51 &lt; ($H$16+1)^5, IF(AG829 &gt;= BaseBonus!$C$16, AG829*BaseBonus!$E$31, 0), "")</f>
        <v>5.6343214877554777</v>
      </c>
      <c r="AJ829">
        <f t="shared" ca="1" si="75"/>
        <v>0</v>
      </c>
    </row>
    <row r="830" spans="28:36" x14ac:dyDescent="0.3">
      <c r="AB830">
        <f t="shared" si="72"/>
        <v>2</v>
      </c>
      <c r="AC830">
        <f t="shared" si="72"/>
        <v>2</v>
      </c>
      <c r="AD830">
        <f t="shared" si="72"/>
        <v>0</v>
      </c>
      <c r="AE830">
        <f t="shared" si="72"/>
        <v>0</v>
      </c>
      <c r="AF830">
        <f t="shared" si="72"/>
        <v>3</v>
      </c>
      <c r="AG830">
        <f t="shared" si="73"/>
        <v>7</v>
      </c>
      <c r="AH830">
        <f t="shared" ca="1" si="74"/>
        <v>0</v>
      </c>
      <c r="AI830">
        <f>IF(ROW($AA830) - $AA$51 &lt; ($H$16+1)^5, IF(AG830 &gt;= BaseBonus!$C$16, AG830*BaseBonus!$E$31, 0), "")</f>
        <v>6.5733750690480575</v>
      </c>
      <c r="AJ830">
        <f t="shared" ca="1" si="75"/>
        <v>0</v>
      </c>
    </row>
    <row r="831" spans="28:36" x14ac:dyDescent="0.3">
      <c r="AB831">
        <f t="shared" si="72"/>
        <v>3</v>
      </c>
      <c r="AC831">
        <f t="shared" si="72"/>
        <v>2</v>
      </c>
      <c r="AD831">
        <f t="shared" si="72"/>
        <v>0</v>
      </c>
      <c r="AE831">
        <f t="shared" si="72"/>
        <v>0</v>
      </c>
      <c r="AF831">
        <f t="shared" si="72"/>
        <v>3</v>
      </c>
      <c r="AG831">
        <f t="shared" si="73"/>
        <v>8</v>
      </c>
      <c r="AH831">
        <f t="shared" ca="1" si="74"/>
        <v>0</v>
      </c>
      <c r="AI831">
        <f>IF(ROW($AA831) - $AA$51 &lt; ($H$16+1)^5, IF(AG831 &gt;= BaseBonus!$C$16, AG831*BaseBonus!$E$31, 0), "")</f>
        <v>7.5124286503406372</v>
      </c>
      <c r="AJ831">
        <f t="shared" ca="1" si="75"/>
        <v>0</v>
      </c>
    </row>
    <row r="832" spans="28:36" x14ac:dyDescent="0.3">
      <c r="AB832">
        <f t="shared" si="72"/>
        <v>0</v>
      </c>
      <c r="AC832">
        <f t="shared" si="72"/>
        <v>3</v>
      </c>
      <c r="AD832">
        <f t="shared" si="72"/>
        <v>0</v>
      </c>
      <c r="AE832">
        <f t="shared" si="72"/>
        <v>0</v>
      </c>
      <c r="AF832">
        <f t="shared" si="72"/>
        <v>3</v>
      </c>
      <c r="AG832">
        <f t="shared" si="73"/>
        <v>6</v>
      </c>
      <c r="AH832">
        <f t="shared" ca="1" si="74"/>
        <v>0</v>
      </c>
      <c r="AI832">
        <f>IF(ROW($AA832) - $AA$51 &lt; ($H$16+1)^5, IF(AG832 &gt;= BaseBonus!$C$16, AG832*BaseBonus!$E$31, 0), "")</f>
        <v>5.6343214877554777</v>
      </c>
      <c r="AJ832">
        <f t="shared" ca="1" si="75"/>
        <v>0</v>
      </c>
    </row>
    <row r="833" spans="28:36" x14ac:dyDescent="0.3">
      <c r="AB833">
        <f t="shared" si="72"/>
        <v>1</v>
      </c>
      <c r="AC833">
        <f t="shared" si="72"/>
        <v>3</v>
      </c>
      <c r="AD833">
        <f t="shared" si="72"/>
        <v>0</v>
      </c>
      <c r="AE833">
        <f t="shared" si="72"/>
        <v>0</v>
      </c>
      <c r="AF833">
        <f t="shared" si="72"/>
        <v>3</v>
      </c>
      <c r="AG833">
        <f t="shared" si="73"/>
        <v>7</v>
      </c>
      <c r="AH833">
        <f t="shared" ca="1" si="74"/>
        <v>0</v>
      </c>
      <c r="AI833">
        <f>IF(ROW($AA833) - $AA$51 &lt; ($H$16+1)^5, IF(AG833 &gt;= BaseBonus!$C$16, AG833*BaseBonus!$E$31, 0), "")</f>
        <v>6.5733750690480575</v>
      </c>
      <c r="AJ833">
        <f t="shared" ca="1" si="75"/>
        <v>0</v>
      </c>
    </row>
    <row r="834" spans="28:36" x14ac:dyDescent="0.3">
      <c r="AB834">
        <f t="shared" si="72"/>
        <v>2</v>
      </c>
      <c r="AC834">
        <f t="shared" si="72"/>
        <v>3</v>
      </c>
      <c r="AD834">
        <f t="shared" si="72"/>
        <v>0</v>
      </c>
      <c r="AE834">
        <f t="shared" si="72"/>
        <v>0</v>
      </c>
      <c r="AF834">
        <f t="shared" si="72"/>
        <v>3</v>
      </c>
      <c r="AG834">
        <f t="shared" si="73"/>
        <v>8</v>
      </c>
      <c r="AH834">
        <f t="shared" ca="1" si="74"/>
        <v>0</v>
      </c>
      <c r="AI834">
        <f>IF(ROW($AA834) - $AA$51 &lt; ($H$16+1)^5, IF(AG834 &gt;= BaseBonus!$C$16, AG834*BaseBonus!$E$31, 0), "")</f>
        <v>7.5124286503406372</v>
      </c>
      <c r="AJ834">
        <f t="shared" ca="1" si="75"/>
        <v>0</v>
      </c>
    </row>
    <row r="835" spans="28:36" x14ac:dyDescent="0.3">
      <c r="AB835">
        <f t="shared" si="72"/>
        <v>3</v>
      </c>
      <c r="AC835">
        <f t="shared" si="72"/>
        <v>3</v>
      </c>
      <c r="AD835">
        <f t="shared" si="72"/>
        <v>0</v>
      </c>
      <c r="AE835">
        <f t="shared" si="72"/>
        <v>0</v>
      </c>
      <c r="AF835">
        <f t="shared" si="72"/>
        <v>3</v>
      </c>
      <c r="AG835">
        <f t="shared" si="73"/>
        <v>9</v>
      </c>
      <c r="AH835">
        <f t="shared" ca="1" si="74"/>
        <v>0</v>
      </c>
      <c r="AI835">
        <f>IF(ROW($AA835) - $AA$51 &lt; ($H$16+1)^5, IF(AG835 &gt;= BaseBonus!$C$16, AG835*BaseBonus!$E$31, 0), "")</f>
        <v>8.4514822316332161</v>
      </c>
      <c r="AJ835">
        <f t="shared" ca="1" si="75"/>
        <v>0</v>
      </c>
    </row>
    <row r="836" spans="28:36" x14ac:dyDescent="0.3">
      <c r="AB836">
        <f t="shared" si="72"/>
        <v>0</v>
      </c>
      <c r="AC836">
        <f t="shared" si="72"/>
        <v>0</v>
      </c>
      <c r="AD836">
        <f t="shared" si="72"/>
        <v>1</v>
      </c>
      <c r="AE836">
        <f t="shared" si="72"/>
        <v>0</v>
      </c>
      <c r="AF836">
        <f t="shared" si="72"/>
        <v>3</v>
      </c>
      <c r="AG836">
        <f t="shared" si="73"/>
        <v>4</v>
      </c>
      <c r="AH836">
        <f t="shared" ca="1" si="74"/>
        <v>0</v>
      </c>
      <c r="AI836">
        <f>IF(ROW($AA836) - $AA$51 &lt; ($H$16+1)^5, IF(AG836 &gt;= BaseBonus!$C$16, AG836*BaseBonus!$E$31, 0), "")</f>
        <v>0</v>
      </c>
      <c r="AJ836">
        <f t="shared" ca="1" si="75"/>
        <v>0</v>
      </c>
    </row>
    <row r="837" spans="28:36" x14ac:dyDescent="0.3">
      <c r="AB837">
        <f t="shared" si="72"/>
        <v>1</v>
      </c>
      <c r="AC837">
        <f t="shared" si="72"/>
        <v>0</v>
      </c>
      <c r="AD837">
        <f t="shared" si="72"/>
        <v>1</v>
      </c>
      <c r="AE837">
        <f t="shared" si="72"/>
        <v>0</v>
      </c>
      <c r="AF837">
        <f t="shared" si="72"/>
        <v>3</v>
      </c>
      <c r="AG837">
        <f t="shared" si="73"/>
        <v>5</v>
      </c>
      <c r="AH837">
        <f t="shared" ca="1" si="74"/>
        <v>0</v>
      </c>
      <c r="AI837">
        <f>IF(ROW($AA837) - $AA$51 &lt; ($H$16+1)^5, IF(AG837 &gt;= BaseBonus!$C$16, AG837*BaseBonus!$E$31, 0), "")</f>
        <v>4.6952679064628979</v>
      </c>
      <c r="AJ837">
        <f t="shared" ca="1" si="75"/>
        <v>0</v>
      </c>
    </row>
    <row r="838" spans="28:36" x14ac:dyDescent="0.3">
      <c r="AB838">
        <f t="shared" si="72"/>
        <v>2</v>
      </c>
      <c r="AC838">
        <f t="shared" si="72"/>
        <v>0</v>
      </c>
      <c r="AD838">
        <f t="shared" si="72"/>
        <v>1</v>
      </c>
      <c r="AE838">
        <f t="shared" si="72"/>
        <v>0</v>
      </c>
      <c r="AF838">
        <f t="shared" si="72"/>
        <v>3</v>
      </c>
      <c r="AG838">
        <f t="shared" si="73"/>
        <v>6</v>
      </c>
      <c r="AH838">
        <f t="shared" ca="1" si="74"/>
        <v>0</v>
      </c>
      <c r="AI838">
        <f>IF(ROW($AA838) - $AA$51 &lt; ($H$16+1)^5, IF(AG838 &gt;= BaseBonus!$C$16, AG838*BaseBonus!$E$31, 0), "")</f>
        <v>5.6343214877554777</v>
      </c>
      <c r="AJ838">
        <f t="shared" ca="1" si="75"/>
        <v>0</v>
      </c>
    </row>
    <row r="839" spans="28:36" x14ac:dyDescent="0.3">
      <c r="AB839">
        <f t="shared" si="72"/>
        <v>3</v>
      </c>
      <c r="AC839">
        <f t="shared" si="72"/>
        <v>0</v>
      </c>
      <c r="AD839">
        <f t="shared" si="72"/>
        <v>1</v>
      </c>
      <c r="AE839">
        <f t="shared" si="72"/>
        <v>0</v>
      </c>
      <c r="AF839">
        <f t="shared" si="72"/>
        <v>3</v>
      </c>
      <c r="AG839">
        <f t="shared" si="73"/>
        <v>7</v>
      </c>
      <c r="AH839">
        <f t="shared" ca="1" si="74"/>
        <v>0</v>
      </c>
      <c r="AI839">
        <f>IF(ROW($AA839) - $AA$51 &lt; ($H$16+1)^5, IF(AG839 &gt;= BaseBonus!$C$16, AG839*BaseBonus!$E$31, 0), "")</f>
        <v>6.5733750690480575</v>
      </c>
      <c r="AJ839">
        <f t="shared" ca="1" si="75"/>
        <v>0</v>
      </c>
    </row>
    <row r="840" spans="28:36" x14ac:dyDescent="0.3">
      <c r="AB840">
        <f t="shared" si="72"/>
        <v>0</v>
      </c>
      <c r="AC840">
        <f t="shared" si="72"/>
        <v>1</v>
      </c>
      <c r="AD840">
        <f t="shared" si="72"/>
        <v>1</v>
      </c>
      <c r="AE840">
        <f t="shared" si="72"/>
        <v>0</v>
      </c>
      <c r="AF840">
        <f t="shared" si="72"/>
        <v>3</v>
      </c>
      <c r="AG840">
        <f t="shared" si="73"/>
        <v>5</v>
      </c>
      <c r="AH840">
        <f t="shared" ca="1" si="74"/>
        <v>0</v>
      </c>
      <c r="AI840">
        <f>IF(ROW($AA840) - $AA$51 &lt; ($H$16+1)^5, IF(AG840 &gt;= BaseBonus!$C$16, AG840*BaseBonus!$E$31, 0), "")</f>
        <v>4.6952679064628979</v>
      </c>
      <c r="AJ840">
        <f t="shared" ca="1" si="75"/>
        <v>0</v>
      </c>
    </row>
    <row r="841" spans="28:36" x14ac:dyDescent="0.3">
      <c r="AB841">
        <f t="shared" si="72"/>
        <v>1</v>
      </c>
      <c r="AC841">
        <f t="shared" si="72"/>
        <v>1</v>
      </c>
      <c r="AD841">
        <f t="shared" si="72"/>
        <v>1</v>
      </c>
      <c r="AE841">
        <f t="shared" si="72"/>
        <v>0</v>
      </c>
      <c r="AF841">
        <f t="shared" si="72"/>
        <v>3</v>
      </c>
      <c r="AG841">
        <f t="shared" si="73"/>
        <v>6</v>
      </c>
      <c r="AH841">
        <f t="shared" ca="1" si="74"/>
        <v>0</v>
      </c>
      <c r="AI841">
        <f>IF(ROW($AA841) - $AA$51 &lt; ($H$16+1)^5, IF(AG841 &gt;= BaseBonus!$C$16, AG841*BaseBonus!$E$31, 0), "")</f>
        <v>5.6343214877554777</v>
      </c>
      <c r="AJ841">
        <f t="shared" ca="1" si="75"/>
        <v>0</v>
      </c>
    </row>
    <row r="842" spans="28:36" x14ac:dyDescent="0.3">
      <c r="AB842">
        <f t="shared" si="72"/>
        <v>2</v>
      </c>
      <c r="AC842">
        <f t="shared" si="72"/>
        <v>1</v>
      </c>
      <c r="AD842">
        <f t="shared" si="72"/>
        <v>1</v>
      </c>
      <c r="AE842">
        <f t="shared" si="72"/>
        <v>0</v>
      </c>
      <c r="AF842">
        <f t="shared" si="72"/>
        <v>3</v>
      </c>
      <c r="AG842">
        <f t="shared" si="73"/>
        <v>7</v>
      </c>
      <c r="AH842">
        <f t="shared" ca="1" si="74"/>
        <v>0</v>
      </c>
      <c r="AI842">
        <f>IF(ROW($AA842) - $AA$51 &lt; ($H$16+1)^5, IF(AG842 &gt;= BaseBonus!$C$16, AG842*BaseBonus!$E$31, 0), "")</f>
        <v>6.5733750690480575</v>
      </c>
      <c r="AJ842">
        <f t="shared" ca="1" si="75"/>
        <v>0</v>
      </c>
    </row>
    <row r="843" spans="28:36" x14ac:dyDescent="0.3">
      <c r="AB843">
        <f t="shared" si="72"/>
        <v>3</v>
      </c>
      <c r="AC843">
        <f t="shared" si="72"/>
        <v>1</v>
      </c>
      <c r="AD843">
        <f t="shared" si="72"/>
        <v>1</v>
      </c>
      <c r="AE843">
        <f t="shared" si="72"/>
        <v>0</v>
      </c>
      <c r="AF843">
        <f t="shared" si="72"/>
        <v>3</v>
      </c>
      <c r="AG843">
        <f t="shared" si="73"/>
        <v>8</v>
      </c>
      <c r="AH843">
        <f t="shared" ca="1" si="74"/>
        <v>0</v>
      </c>
      <c r="AI843">
        <f>IF(ROW($AA843) - $AA$51 &lt; ($H$16+1)^5, IF(AG843 &gt;= BaseBonus!$C$16, AG843*BaseBonus!$E$31, 0), "")</f>
        <v>7.5124286503406372</v>
      </c>
      <c r="AJ843">
        <f t="shared" ca="1" si="75"/>
        <v>0</v>
      </c>
    </row>
    <row r="844" spans="28:36" x14ac:dyDescent="0.3">
      <c r="AB844">
        <f t="shared" si="72"/>
        <v>0</v>
      </c>
      <c r="AC844">
        <f t="shared" si="72"/>
        <v>2</v>
      </c>
      <c r="AD844">
        <f t="shared" si="72"/>
        <v>1</v>
      </c>
      <c r="AE844">
        <f t="shared" si="72"/>
        <v>0</v>
      </c>
      <c r="AF844">
        <f t="shared" si="72"/>
        <v>3</v>
      </c>
      <c r="AG844">
        <f t="shared" si="73"/>
        <v>6</v>
      </c>
      <c r="AH844">
        <f t="shared" ca="1" si="74"/>
        <v>0</v>
      </c>
      <c r="AI844">
        <f>IF(ROW($AA844) - $AA$51 &lt; ($H$16+1)^5, IF(AG844 &gt;= BaseBonus!$C$16, AG844*BaseBonus!$E$31, 0), "")</f>
        <v>5.6343214877554777</v>
      </c>
      <c r="AJ844">
        <f t="shared" ca="1" si="75"/>
        <v>0</v>
      </c>
    </row>
    <row r="845" spans="28:36" x14ac:dyDescent="0.3">
      <c r="AB845">
        <f t="shared" si="72"/>
        <v>1</v>
      </c>
      <c r="AC845">
        <f t="shared" si="72"/>
        <v>2</v>
      </c>
      <c r="AD845">
        <f t="shared" si="72"/>
        <v>1</v>
      </c>
      <c r="AE845">
        <f t="shared" si="72"/>
        <v>0</v>
      </c>
      <c r="AF845">
        <f t="shared" si="72"/>
        <v>3</v>
      </c>
      <c r="AG845">
        <f t="shared" si="73"/>
        <v>7</v>
      </c>
      <c r="AH845">
        <f t="shared" ca="1" si="74"/>
        <v>0</v>
      </c>
      <c r="AI845">
        <f>IF(ROW($AA845) - $AA$51 &lt; ($H$16+1)^5, IF(AG845 &gt;= BaseBonus!$C$16, AG845*BaseBonus!$E$31, 0), "")</f>
        <v>6.5733750690480575</v>
      </c>
      <c r="AJ845">
        <f t="shared" ca="1" si="75"/>
        <v>0</v>
      </c>
    </row>
    <row r="846" spans="28:36" x14ac:dyDescent="0.3">
      <c r="AB846">
        <f t="shared" si="72"/>
        <v>2</v>
      </c>
      <c r="AC846">
        <f t="shared" si="72"/>
        <v>2</v>
      </c>
      <c r="AD846">
        <f t="shared" si="72"/>
        <v>1</v>
      </c>
      <c r="AE846">
        <f t="shared" si="72"/>
        <v>0</v>
      </c>
      <c r="AF846">
        <f t="shared" si="72"/>
        <v>3</v>
      </c>
      <c r="AG846">
        <f t="shared" si="73"/>
        <v>8</v>
      </c>
      <c r="AH846">
        <f t="shared" ca="1" si="74"/>
        <v>0</v>
      </c>
      <c r="AI846">
        <f>IF(ROW($AA846) - $AA$51 &lt; ($H$16+1)^5, IF(AG846 &gt;= BaseBonus!$C$16, AG846*BaseBonus!$E$31, 0), "")</f>
        <v>7.5124286503406372</v>
      </c>
      <c r="AJ846">
        <f t="shared" ca="1" si="75"/>
        <v>0</v>
      </c>
    </row>
    <row r="847" spans="28:36" x14ac:dyDescent="0.3">
      <c r="AB847">
        <f t="shared" si="72"/>
        <v>3</v>
      </c>
      <c r="AC847">
        <f t="shared" si="72"/>
        <v>2</v>
      </c>
      <c r="AD847">
        <f t="shared" si="72"/>
        <v>1</v>
      </c>
      <c r="AE847">
        <f t="shared" si="72"/>
        <v>0</v>
      </c>
      <c r="AF847">
        <f t="shared" si="72"/>
        <v>3</v>
      </c>
      <c r="AG847">
        <f t="shared" si="73"/>
        <v>9</v>
      </c>
      <c r="AH847">
        <f t="shared" ca="1" si="74"/>
        <v>0</v>
      </c>
      <c r="AI847">
        <f>IF(ROW($AA847) - $AA$51 &lt; ($H$16+1)^5, IF(AG847 &gt;= BaseBonus!$C$16, AG847*BaseBonus!$E$31, 0), "")</f>
        <v>8.4514822316332161</v>
      </c>
      <c r="AJ847">
        <f t="shared" ca="1" si="75"/>
        <v>0</v>
      </c>
    </row>
    <row r="848" spans="28:36" x14ac:dyDescent="0.3">
      <c r="AB848">
        <f t="shared" si="72"/>
        <v>0</v>
      </c>
      <c r="AC848">
        <f t="shared" si="72"/>
        <v>3</v>
      </c>
      <c r="AD848">
        <f t="shared" si="72"/>
        <v>1</v>
      </c>
      <c r="AE848">
        <f t="shared" si="72"/>
        <v>0</v>
      </c>
      <c r="AF848">
        <f t="shared" si="72"/>
        <v>3</v>
      </c>
      <c r="AG848">
        <f t="shared" si="73"/>
        <v>7</v>
      </c>
      <c r="AH848">
        <f t="shared" ca="1" si="74"/>
        <v>0</v>
      </c>
      <c r="AI848">
        <f>IF(ROW($AA848) - $AA$51 &lt; ($H$16+1)^5, IF(AG848 &gt;= BaseBonus!$C$16, AG848*BaseBonus!$E$31, 0), "")</f>
        <v>6.5733750690480575</v>
      </c>
      <c r="AJ848">
        <f t="shared" ca="1" si="75"/>
        <v>0</v>
      </c>
    </row>
    <row r="849" spans="28:36" x14ac:dyDescent="0.3">
      <c r="AB849">
        <f t="shared" si="72"/>
        <v>1</v>
      </c>
      <c r="AC849">
        <f t="shared" si="72"/>
        <v>3</v>
      </c>
      <c r="AD849">
        <f t="shared" si="72"/>
        <v>1</v>
      </c>
      <c r="AE849">
        <f t="shared" si="72"/>
        <v>0</v>
      </c>
      <c r="AF849">
        <f t="shared" si="72"/>
        <v>3</v>
      </c>
      <c r="AG849">
        <f t="shared" si="73"/>
        <v>8</v>
      </c>
      <c r="AH849">
        <f t="shared" ca="1" si="74"/>
        <v>0</v>
      </c>
      <c r="AI849">
        <f>IF(ROW($AA849) - $AA$51 &lt; ($H$16+1)^5, IF(AG849 &gt;= BaseBonus!$C$16, AG849*BaseBonus!$E$31, 0), "")</f>
        <v>7.5124286503406372</v>
      </c>
      <c r="AJ849">
        <f t="shared" ca="1" si="75"/>
        <v>0</v>
      </c>
    </row>
    <row r="850" spans="28:36" x14ac:dyDescent="0.3">
      <c r="AB850">
        <f t="shared" si="72"/>
        <v>2</v>
      </c>
      <c r="AC850">
        <f t="shared" si="72"/>
        <v>3</v>
      </c>
      <c r="AD850">
        <f t="shared" si="72"/>
        <v>1</v>
      </c>
      <c r="AE850">
        <f t="shared" si="72"/>
        <v>0</v>
      </c>
      <c r="AF850">
        <f t="shared" si="72"/>
        <v>3</v>
      </c>
      <c r="AG850">
        <f t="shared" si="73"/>
        <v>9</v>
      </c>
      <c r="AH850">
        <f t="shared" ca="1" si="74"/>
        <v>0</v>
      </c>
      <c r="AI850">
        <f>IF(ROW($AA850) - $AA$51 &lt; ($H$16+1)^5, IF(AG850 &gt;= BaseBonus!$C$16, AG850*BaseBonus!$E$31, 0), "")</f>
        <v>8.4514822316332161</v>
      </c>
      <c r="AJ850">
        <f t="shared" ca="1" si="75"/>
        <v>0</v>
      </c>
    </row>
    <row r="851" spans="28:36" x14ac:dyDescent="0.3">
      <c r="AB851">
        <f t="shared" si="72"/>
        <v>3</v>
      </c>
      <c r="AC851">
        <f t="shared" si="72"/>
        <v>3</v>
      </c>
      <c r="AD851">
        <f t="shared" si="72"/>
        <v>1</v>
      </c>
      <c r="AE851">
        <f t="shared" si="72"/>
        <v>0</v>
      </c>
      <c r="AF851">
        <f t="shared" si="72"/>
        <v>3</v>
      </c>
      <c r="AG851">
        <f t="shared" si="73"/>
        <v>10</v>
      </c>
      <c r="AH851">
        <f t="shared" ca="1" si="74"/>
        <v>0</v>
      </c>
      <c r="AI851">
        <f>IF(ROW($AA851) - $AA$51 &lt; ($H$16+1)^5, IF(AG851 &gt;= BaseBonus!$C$16, AG851*BaseBonus!$E$31, 0), "")</f>
        <v>9.3905358129257959</v>
      </c>
      <c r="AJ851">
        <f t="shared" ca="1" si="75"/>
        <v>0</v>
      </c>
    </row>
    <row r="852" spans="28:36" x14ac:dyDescent="0.3">
      <c r="AB852">
        <f t="shared" si="72"/>
        <v>0</v>
      </c>
      <c r="AC852">
        <f t="shared" si="72"/>
        <v>0</v>
      </c>
      <c r="AD852">
        <f t="shared" si="72"/>
        <v>2</v>
      </c>
      <c r="AE852">
        <f t="shared" si="72"/>
        <v>0</v>
      </c>
      <c r="AF852">
        <f t="shared" si="72"/>
        <v>3</v>
      </c>
      <c r="AG852">
        <f t="shared" si="73"/>
        <v>5</v>
      </c>
      <c r="AH852">
        <f t="shared" ca="1" si="74"/>
        <v>0</v>
      </c>
      <c r="AI852">
        <f>IF(ROW($AA852) - $AA$51 &lt; ($H$16+1)^5, IF(AG852 &gt;= BaseBonus!$C$16, AG852*BaseBonus!$E$31, 0), "")</f>
        <v>4.6952679064628979</v>
      </c>
      <c r="AJ852">
        <f t="shared" ca="1" si="75"/>
        <v>0</v>
      </c>
    </row>
    <row r="853" spans="28:36" x14ac:dyDescent="0.3">
      <c r="AB853">
        <f t="shared" si="72"/>
        <v>1</v>
      </c>
      <c r="AC853">
        <f t="shared" si="72"/>
        <v>0</v>
      </c>
      <c r="AD853">
        <f t="shared" si="72"/>
        <v>2</v>
      </c>
      <c r="AE853">
        <f t="shared" si="72"/>
        <v>0</v>
      </c>
      <c r="AF853">
        <f t="shared" si="72"/>
        <v>3</v>
      </c>
      <c r="AG853">
        <f t="shared" si="73"/>
        <v>6</v>
      </c>
      <c r="AH853">
        <f t="shared" ca="1" si="74"/>
        <v>0</v>
      </c>
      <c r="AI853">
        <f>IF(ROW($AA853) - $AA$51 &lt; ($H$16+1)^5, IF(AG853 &gt;= BaseBonus!$C$16, AG853*BaseBonus!$E$31, 0), "")</f>
        <v>5.6343214877554777</v>
      </c>
      <c r="AJ853">
        <f t="shared" ca="1" si="75"/>
        <v>0</v>
      </c>
    </row>
    <row r="854" spans="28:36" x14ac:dyDescent="0.3">
      <c r="AB854">
        <f t="shared" si="72"/>
        <v>2</v>
      </c>
      <c r="AC854">
        <f t="shared" si="72"/>
        <v>0</v>
      </c>
      <c r="AD854">
        <f t="shared" si="72"/>
        <v>2</v>
      </c>
      <c r="AE854">
        <f t="shared" si="72"/>
        <v>0</v>
      </c>
      <c r="AF854">
        <f t="shared" si="72"/>
        <v>3</v>
      </c>
      <c r="AG854">
        <f t="shared" si="73"/>
        <v>7</v>
      </c>
      <c r="AH854">
        <f t="shared" ca="1" si="74"/>
        <v>0</v>
      </c>
      <c r="AI854">
        <f>IF(ROW($AA854) - $AA$51 &lt; ($H$16+1)^5, IF(AG854 &gt;= BaseBonus!$C$16, AG854*BaseBonus!$E$31, 0), "")</f>
        <v>6.5733750690480575</v>
      </c>
      <c r="AJ854">
        <f t="shared" ca="1" si="75"/>
        <v>0</v>
      </c>
    </row>
    <row r="855" spans="28:36" x14ac:dyDescent="0.3">
      <c r="AB855">
        <f t="shared" si="72"/>
        <v>3</v>
      </c>
      <c r="AC855">
        <f t="shared" si="72"/>
        <v>0</v>
      </c>
      <c r="AD855">
        <f t="shared" si="72"/>
        <v>2</v>
      </c>
      <c r="AE855">
        <f t="shared" si="72"/>
        <v>0</v>
      </c>
      <c r="AF855">
        <f t="shared" si="72"/>
        <v>3</v>
      </c>
      <c r="AG855">
        <f t="shared" si="73"/>
        <v>8</v>
      </c>
      <c r="AH855">
        <f t="shared" ca="1" si="74"/>
        <v>0</v>
      </c>
      <c r="AI855">
        <f>IF(ROW($AA855) - $AA$51 &lt; ($H$16+1)^5, IF(AG855 &gt;= BaseBonus!$C$16, AG855*BaseBonus!$E$31, 0), "")</f>
        <v>7.5124286503406372</v>
      </c>
      <c r="AJ855">
        <f t="shared" ca="1" si="75"/>
        <v>0</v>
      </c>
    </row>
    <row r="856" spans="28:36" x14ac:dyDescent="0.3">
      <c r="AB856">
        <f t="shared" si="72"/>
        <v>0</v>
      </c>
      <c r="AC856">
        <f t="shared" si="72"/>
        <v>1</v>
      </c>
      <c r="AD856">
        <f t="shared" si="72"/>
        <v>2</v>
      </c>
      <c r="AE856">
        <f t="shared" si="72"/>
        <v>0</v>
      </c>
      <c r="AF856">
        <f t="shared" si="72"/>
        <v>3</v>
      </c>
      <c r="AG856">
        <f t="shared" si="73"/>
        <v>6</v>
      </c>
      <c r="AH856">
        <f t="shared" ca="1" si="74"/>
        <v>0</v>
      </c>
      <c r="AI856">
        <f>IF(ROW($AA856) - $AA$51 &lt; ($H$16+1)^5, IF(AG856 &gt;= BaseBonus!$C$16, AG856*BaseBonus!$E$31, 0), "")</f>
        <v>5.6343214877554777</v>
      </c>
      <c r="AJ856">
        <f t="shared" ca="1" si="75"/>
        <v>0</v>
      </c>
    </row>
    <row r="857" spans="28:36" x14ac:dyDescent="0.3">
      <c r="AB857">
        <f t="shared" si="72"/>
        <v>1</v>
      </c>
      <c r="AC857">
        <f t="shared" si="72"/>
        <v>1</v>
      </c>
      <c r="AD857">
        <f t="shared" si="72"/>
        <v>2</v>
      </c>
      <c r="AE857">
        <f t="shared" si="72"/>
        <v>0</v>
      </c>
      <c r="AF857">
        <f t="shared" si="72"/>
        <v>3</v>
      </c>
      <c r="AG857">
        <f t="shared" si="73"/>
        <v>7</v>
      </c>
      <c r="AH857">
        <f t="shared" ca="1" si="74"/>
        <v>0</v>
      </c>
      <c r="AI857">
        <f>IF(ROW($AA857) - $AA$51 &lt; ($H$16+1)^5, IF(AG857 &gt;= BaseBonus!$C$16, AG857*BaseBonus!$E$31, 0), "")</f>
        <v>6.5733750690480575</v>
      </c>
      <c r="AJ857">
        <f t="shared" ca="1" si="75"/>
        <v>0</v>
      </c>
    </row>
    <row r="858" spans="28:36" x14ac:dyDescent="0.3">
      <c r="AB858">
        <f t="shared" si="72"/>
        <v>2</v>
      </c>
      <c r="AC858">
        <f t="shared" si="72"/>
        <v>1</v>
      </c>
      <c r="AD858">
        <f t="shared" si="72"/>
        <v>2</v>
      </c>
      <c r="AE858">
        <f t="shared" si="72"/>
        <v>0</v>
      </c>
      <c r="AF858">
        <f t="shared" si="72"/>
        <v>3</v>
      </c>
      <c r="AG858">
        <f t="shared" si="73"/>
        <v>8</v>
      </c>
      <c r="AH858">
        <f t="shared" ca="1" si="74"/>
        <v>0</v>
      </c>
      <c r="AI858">
        <f>IF(ROW($AA858) - $AA$51 &lt; ($H$16+1)^5, IF(AG858 &gt;= BaseBonus!$C$16, AG858*BaseBonus!$E$31, 0), "")</f>
        <v>7.5124286503406372</v>
      </c>
      <c r="AJ858">
        <f t="shared" ca="1" si="75"/>
        <v>0</v>
      </c>
    </row>
    <row r="859" spans="28:36" x14ac:dyDescent="0.3">
      <c r="AB859">
        <f t="shared" si="72"/>
        <v>3</v>
      </c>
      <c r="AC859">
        <f t="shared" si="72"/>
        <v>1</v>
      </c>
      <c r="AD859">
        <f t="shared" si="72"/>
        <v>2</v>
      </c>
      <c r="AE859">
        <f t="shared" si="72"/>
        <v>0</v>
      </c>
      <c r="AF859">
        <f t="shared" si="72"/>
        <v>3</v>
      </c>
      <c r="AG859">
        <f t="shared" si="73"/>
        <v>9</v>
      </c>
      <c r="AH859">
        <f t="shared" ca="1" si="74"/>
        <v>0</v>
      </c>
      <c r="AI859">
        <f>IF(ROW($AA859) - $AA$51 &lt; ($H$16+1)^5, IF(AG859 &gt;= BaseBonus!$C$16, AG859*BaseBonus!$E$31, 0), "")</f>
        <v>8.4514822316332161</v>
      </c>
      <c r="AJ859">
        <f t="shared" ca="1" si="75"/>
        <v>0</v>
      </c>
    </row>
    <row r="860" spans="28:36" x14ac:dyDescent="0.3">
      <c r="AB860">
        <f t="shared" si="72"/>
        <v>0</v>
      </c>
      <c r="AC860">
        <f t="shared" si="72"/>
        <v>2</v>
      </c>
      <c r="AD860">
        <f t="shared" si="72"/>
        <v>2</v>
      </c>
      <c r="AE860">
        <f t="shared" si="72"/>
        <v>0</v>
      </c>
      <c r="AF860">
        <f t="shared" si="72"/>
        <v>3</v>
      </c>
      <c r="AG860">
        <f t="shared" si="73"/>
        <v>7</v>
      </c>
      <c r="AH860">
        <f t="shared" ca="1" si="74"/>
        <v>0</v>
      </c>
      <c r="AI860">
        <f>IF(ROW($AA860) - $AA$51 &lt; ($H$16+1)^5, IF(AG860 &gt;= BaseBonus!$C$16, AG860*BaseBonus!$E$31, 0), "")</f>
        <v>6.5733750690480575</v>
      </c>
      <c r="AJ860">
        <f t="shared" ca="1" si="75"/>
        <v>0</v>
      </c>
    </row>
    <row r="861" spans="28:36" x14ac:dyDescent="0.3">
      <c r="AB861">
        <f t="shared" si="72"/>
        <v>1</v>
      </c>
      <c r="AC861">
        <f t="shared" si="72"/>
        <v>2</v>
      </c>
      <c r="AD861">
        <f t="shared" si="72"/>
        <v>2</v>
      </c>
      <c r="AE861">
        <f t="shared" si="72"/>
        <v>0</v>
      </c>
      <c r="AF861">
        <f t="shared" si="72"/>
        <v>3</v>
      </c>
      <c r="AG861">
        <f t="shared" si="73"/>
        <v>8</v>
      </c>
      <c r="AH861">
        <f t="shared" ca="1" si="74"/>
        <v>0</v>
      </c>
      <c r="AI861">
        <f>IF(ROW($AA861) - $AA$51 &lt; ($H$16+1)^5, IF(AG861 &gt;= BaseBonus!$C$16, AG861*BaseBonus!$E$31, 0), "")</f>
        <v>7.5124286503406372</v>
      </c>
      <c r="AJ861">
        <f t="shared" ca="1" si="75"/>
        <v>0</v>
      </c>
    </row>
    <row r="862" spans="28:36" x14ac:dyDescent="0.3">
      <c r="AB862">
        <f t="shared" si="72"/>
        <v>2</v>
      </c>
      <c r="AC862">
        <f t="shared" si="72"/>
        <v>2</v>
      </c>
      <c r="AD862">
        <f t="shared" si="72"/>
        <v>2</v>
      </c>
      <c r="AE862">
        <f t="shared" si="72"/>
        <v>0</v>
      </c>
      <c r="AF862">
        <f t="shared" si="72"/>
        <v>3</v>
      </c>
      <c r="AG862">
        <f t="shared" si="73"/>
        <v>9</v>
      </c>
      <c r="AH862">
        <f t="shared" ca="1" si="74"/>
        <v>0</v>
      </c>
      <c r="AI862">
        <f>IF(ROW($AA862) - $AA$51 &lt; ($H$16+1)^5, IF(AG862 &gt;= BaseBonus!$C$16, AG862*BaseBonus!$E$31, 0), "")</f>
        <v>8.4514822316332161</v>
      </c>
      <c r="AJ862">
        <f t="shared" ca="1" si="75"/>
        <v>0</v>
      </c>
    </row>
    <row r="863" spans="28:36" x14ac:dyDescent="0.3">
      <c r="AB863">
        <f t="shared" si="72"/>
        <v>3</v>
      </c>
      <c r="AC863">
        <f t="shared" si="72"/>
        <v>2</v>
      </c>
      <c r="AD863">
        <f t="shared" si="72"/>
        <v>2</v>
      </c>
      <c r="AE863">
        <f t="shared" si="72"/>
        <v>0</v>
      </c>
      <c r="AF863">
        <f t="shared" si="72"/>
        <v>3</v>
      </c>
      <c r="AG863">
        <f t="shared" si="73"/>
        <v>10</v>
      </c>
      <c r="AH863">
        <f t="shared" ca="1" si="74"/>
        <v>0</v>
      </c>
      <c r="AI863">
        <f>IF(ROW($AA863) - $AA$51 &lt; ($H$16+1)^5, IF(AG863 &gt;= BaseBonus!$C$16, AG863*BaseBonus!$E$31, 0), "")</f>
        <v>9.3905358129257959</v>
      </c>
      <c r="AJ863">
        <f t="shared" ca="1" si="75"/>
        <v>0</v>
      </c>
    </row>
    <row r="864" spans="28:36" x14ac:dyDescent="0.3">
      <c r="AB864">
        <f t="shared" si="72"/>
        <v>0</v>
      </c>
      <c r="AC864">
        <f t="shared" si="72"/>
        <v>3</v>
      </c>
      <c r="AD864">
        <f t="shared" si="72"/>
        <v>2</v>
      </c>
      <c r="AE864">
        <f t="shared" si="72"/>
        <v>0</v>
      </c>
      <c r="AF864">
        <f t="shared" si="72"/>
        <v>3</v>
      </c>
      <c r="AG864">
        <f t="shared" si="73"/>
        <v>8</v>
      </c>
      <c r="AH864">
        <f t="shared" ca="1" si="74"/>
        <v>0</v>
      </c>
      <c r="AI864">
        <f>IF(ROW($AA864) - $AA$51 &lt; ($H$16+1)^5, IF(AG864 &gt;= BaseBonus!$C$16, AG864*BaseBonus!$E$31, 0), "")</f>
        <v>7.5124286503406372</v>
      </c>
      <c r="AJ864">
        <f t="shared" ca="1" si="75"/>
        <v>0</v>
      </c>
    </row>
    <row r="865" spans="28:36" x14ac:dyDescent="0.3">
      <c r="AB865">
        <f t="shared" si="72"/>
        <v>1</v>
      </c>
      <c r="AC865">
        <f t="shared" si="72"/>
        <v>3</v>
      </c>
      <c r="AD865">
        <f t="shared" si="72"/>
        <v>2</v>
      </c>
      <c r="AE865">
        <f t="shared" si="72"/>
        <v>0</v>
      </c>
      <c r="AF865">
        <f t="shared" si="72"/>
        <v>3</v>
      </c>
      <c r="AG865">
        <f t="shared" si="73"/>
        <v>9</v>
      </c>
      <c r="AH865">
        <f t="shared" ca="1" si="74"/>
        <v>0</v>
      </c>
      <c r="AI865">
        <f>IF(ROW($AA865) - $AA$51 &lt; ($H$16+1)^5, IF(AG865 &gt;= BaseBonus!$C$16, AG865*BaseBonus!$E$31, 0), "")</f>
        <v>8.4514822316332161</v>
      </c>
      <c r="AJ865">
        <f t="shared" ca="1" si="75"/>
        <v>0</v>
      </c>
    </row>
    <row r="866" spans="28:36" x14ac:dyDescent="0.3">
      <c r="AB866">
        <f t="shared" si="72"/>
        <v>2</v>
      </c>
      <c r="AC866">
        <f t="shared" si="72"/>
        <v>3</v>
      </c>
      <c r="AD866">
        <f t="shared" si="72"/>
        <v>2</v>
      </c>
      <c r="AE866">
        <f t="shared" si="72"/>
        <v>0</v>
      </c>
      <c r="AF866">
        <f t="shared" si="72"/>
        <v>3</v>
      </c>
      <c r="AG866">
        <f t="shared" si="73"/>
        <v>10</v>
      </c>
      <c r="AH866">
        <f t="shared" ca="1" si="74"/>
        <v>0</v>
      </c>
      <c r="AI866">
        <f>IF(ROW($AA866) - $AA$51 &lt; ($H$16+1)^5, IF(AG866 &gt;= BaseBonus!$C$16, AG866*BaseBonus!$E$31, 0), "")</f>
        <v>9.3905358129257959</v>
      </c>
      <c r="AJ866">
        <f t="shared" ca="1" si="75"/>
        <v>0</v>
      </c>
    </row>
    <row r="867" spans="28:36" x14ac:dyDescent="0.3">
      <c r="AB867">
        <f t="shared" si="72"/>
        <v>3</v>
      </c>
      <c r="AC867">
        <f t="shared" si="72"/>
        <v>3</v>
      </c>
      <c r="AD867">
        <f t="shared" si="72"/>
        <v>2</v>
      </c>
      <c r="AE867">
        <f t="shared" si="72"/>
        <v>0</v>
      </c>
      <c r="AF867">
        <f t="shared" si="72"/>
        <v>3</v>
      </c>
      <c r="AG867">
        <f t="shared" si="73"/>
        <v>11</v>
      </c>
      <c r="AH867">
        <f t="shared" ca="1" si="74"/>
        <v>0</v>
      </c>
      <c r="AI867">
        <f>IF(ROW($AA867) - $AA$51 &lt; ($H$16+1)^5, IF(AG867 &gt;= BaseBonus!$C$16, AG867*BaseBonus!$E$31, 0), "")</f>
        <v>10.329589394218376</v>
      </c>
      <c r="AJ867">
        <f t="shared" ca="1" si="75"/>
        <v>0</v>
      </c>
    </row>
    <row r="868" spans="28:36" x14ac:dyDescent="0.3">
      <c r="AB868">
        <f t="shared" ref="AB868:AF918" si="76">IF(ROW()-$AA$51 &lt; (H$16+1)^5, MOD(_xlfn.FLOOR.MATH((ROW()-$AA$51)/AB$50), H$16+1), "")</f>
        <v>0</v>
      </c>
      <c r="AC868">
        <f t="shared" si="76"/>
        <v>0</v>
      </c>
      <c r="AD868">
        <f t="shared" si="76"/>
        <v>3</v>
      </c>
      <c r="AE868">
        <f t="shared" si="76"/>
        <v>0</v>
      </c>
      <c r="AF868">
        <f t="shared" si="76"/>
        <v>3</v>
      </c>
      <c r="AG868">
        <f t="shared" si="73"/>
        <v>6</v>
      </c>
      <c r="AH868">
        <f t="shared" ca="1" si="74"/>
        <v>0</v>
      </c>
      <c r="AI868">
        <f>IF(ROW($AA868) - $AA$51 &lt; ($H$16+1)^5, IF(AG868 &gt;= BaseBonus!$C$16, AG868*BaseBonus!$E$31, 0), "")</f>
        <v>5.6343214877554777</v>
      </c>
      <c r="AJ868">
        <f t="shared" ca="1" si="75"/>
        <v>0</v>
      </c>
    </row>
    <row r="869" spans="28:36" x14ac:dyDescent="0.3">
      <c r="AB869">
        <f t="shared" si="76"/>
        <v>1</v>
      </c>
      <c r="AC869">
        <f t="shared" si="76"/>
        <v>0</v>
      </c>
      <c r="AD869">
        <f t="shared" si="76"/>
        <v>3</v>
      </c>
      <c r="AE869">
        <f t="shared" si="76"/>
        <v>0</v>
      </c>
      <c r="AF869">
        <f t="shared" si="76"/>
        <v>3</v>
      </c>
      <c r="AG869">
        <f t="shared" si="73"/>
        <v>7</v>
      </c>
      <c r="AH869">
        <f t="shared" ca="1" si="74"/>
        <v>0</v>
      </c>
      <c r="AI869">
        <f>IF(ROW($AA869) - $AA$51 &lt; ($H$16+1)^5, IF(AG869 &gt;= BaseBonus!$C$16, AG869*BaseBonus!$E$31, 0), "")</f>
        <v>6.5733750690480575</v>
      </c>
      <c r="AJ869">
        <f t="shared" ca="1" si="75"/>
        <v>0</v>
      </c>
    </row>
    <row r="870" spans="28:36" x14ac:dyDescent="0.3">
      <c r="AB870">
        <f t="shared" si="76"/>
        <v>2</v>
      </c>
      <c r="AC870">
        <f t="shared" si="76"/>
        <v>0</v>
      </c>
      <c r="AD870">
        <f t="shared" si="76"/>
        <v>3</v>
      </c>
      <c r="AE870">
        <f t="shared" si="76"/>
        <v>0</v>
      </c>
      <c r="AF870">
        <f t="shared" si="76"/>
        <v>3</v>
      </c>
      <c r="AG870">
        <f t="shared" si="73"/>
        <v>8</v>
      </c>
      <c r="AH870">
        <f t="shared" ca="1" si="74"/>
        <v>0</v>
      </c>
      <c r="AI870">
        <f>IF(ROW($AA870) - $AA$51 &lt; ($H$16+1)^5, IF(AG870 &gt;= BaseBonus!$C$16, AG870*BaseBonus!$E$31, 0), "")</f>
        <v>7.5124286503406372</v>
      </c>
      <c r="AJ870">
        <f t="shared" ca="1" si="75"/>
        <v>0</v>
      </c>
    </row>
    <row r="871" spans="28:36" x14ac:dyDescent="0.3">
      <c r="AB871">
        <f t="shared" si="76"/>
        <v>3</v>
      </c>
      <c r="AC871">
        <f t="shared" si="76"/>
        <v>0</v>
      </c>
      <c r="AD871">
        <f t="shared" si="76"/>
        <v>3</v>
      </c>
      <c r="AE871">
        <f t="shared" si="76"/>
        <v>0</v>
      </c>
      <c r="AF871">
        <f t="shared" si="76"/>
        <v>3</v>
      </c>
      <c r="AG871">
        <f t="shared" si="73"/>
        <v>9</v>
      </c>
      <c r="AH871">
        <f t="shared" ca="1" si="74"/>
        <v>0</v>
      </c>
      <c r="AI871">
        <f>IF(ROW($AA871) - $AA$51 &lt; ($H$16+1)^5, IF(AG871 &gt;= BaseBonus!$C$16, AG871*BaseBonus!$E$31, 0), "")</f>
        <v>8.4514822316332161</v>
      </c>
      <c r="AJ871">
        <f t="shared" ca="1" si="75"/>
        <v>0</v>
      </c>
    </row>
    <row r="872" spans="28:36" x14ac:dyDescent="0.3">
      <c r="AB872">
        <f t="shared" si="76"/>
        <v>0</v>
      </c>
      <c r="AC872">
        <f t="shared" si="76"/>
        <v>1</v>
      </c>
      <c r="AD872">
        <f t="shared" si="76"/>
        <v>3</v>
      </c>
      <c r="AE872">
        <f t="shared" si="76"/>
        <v>0</v>
      </c>
      <c r="AF872">
        <f t="shared" si="76"/>
        <v>3</v>
      </c>
      <c r="AG872">
        <f t="shared" si="73"/>
        <v>7</v>
      </c>
      <c r="AH872">
        <f t="shared" ca="1" si="74"/>
        <v>0</v>
      </c>
      <c r="AI872">
        <f>IF(ROW($AA872) - $AA$51 &lt; ($H$16+1)^5, IF(AG872 &gt;= BaseBonus!$C$16, AG872*BaseBonus!$E$31, 0), "")</f>
        <v>6.5733750690480575</v>
      </c>
      <c r="AJ872">
        <f t="shared" ca="1" si="75"/>
        <v>0</v>
      </c>
    </row>
    <row r="873" spans="28:36" x14ac:dyDescent="0.3">
      <c r="AB873">
        <f t="shared" si="76"/>
        <v>1</v>
      </c>
      <c r="AC873">
        <f t="shared" si="76"/>
        <v>1</v>
      </c>
      <c r="AD873">
        <f t="shared" si="76"/>
        <v>3</v>
      </c>
      <c r="AE873">
        <f t="shared" si="76"/>
        <v>0</v>
      </c>
      <c r="AF873">
        <f t="shared" si="76"/>
        <v>3</v>
      </c>
      <c r="AG873">
        <f t="shared" si="73"/>
        <v>8</v>
      </c>
      <c r="AH873">
        <f t="shared" ca="1" si="74"/>
        <v>0</v>
      </c>
      <c r="AI873">
        <f>IF(ROW($AA873) - $AA$51 &lt; ($H$16+1)^5, IF(AG873 &gt;= BaseBonus!$C$16, AG873*BaseBonus!$E$31, 0), "")</f>
        <v>7.5124286503406372</v>
      </c>
      <c r="AJ873">
        <f t="shared" ca="1" si="75"/>
        <v>0</v>
      </c>
    </row>
    <row r="874" spans="28:36" x14ac:dyDescent="0.3">
      <c r="AB874">
        <f t="shared" si="76"/>
        <v>2</v>
      </c>
      <c r="AC874">
        <f t="shared" si="76"/>
        <v>1</v>
      </c>
      <c r="AD874">
        <f t="shared" si="76"/>
        <v>3</v>
      </c>
      <c r="AE874">
        <f t="shared" si="76"/>
        <v>0</v>
      </c>
      <c r="AF874">
        <f t="shared" si="76"/>
        <v>3</v>
      </c>
      <c r="AG874">
        <f t="shared" si="73"/>
        <v>9</v>
      </c>
      <c r="AH874">
        <f t="shared" ca="1" si="74"/>
        <v>0</v>
      </c>
      <c r="AI874">
        <f>IF(ROW($AA874) - $AA$51 &lt; ($H$16+1)^5, IF(AG874 &gt;= BaseBonus!$C$16, AG874*BaseBonus!$E$31, 0), "")</f>
        <v>8.4514822316332161</v>
      </c>
      <c r="AJ874">
        <f t="shared" ca="1" si="75"/>
        <v>0</v>
      </c>
    </row>
    <row r="875" spans="28:36" x14ac:dyDescent="0.3">
      <c r="AB875">
        <f t="shared" si="76"/>
        <v>3</v>
      </c>
      <c r="AC875">
        <f t="shared" si="76"/>
        <v>1</v>
      </c>
      <c r="AD875">
        <f t="shared" si="76"/>
        <v>3</v>
      </c>
      <c r="AE875">
        <f t="shared" si="76"/>
        <v>0</v>
      </c>
      <c r="AF875">
        <f t="shared" si="76"/>
        <v>3</v>
      </c>
      <c r="AG875">
        <f t="shared" si="73"/>
        <v>10</v>
      </c>
      <c r="AH875">
        <f t="shared" ca="1" si="74"/>
        <v>0</v>
      </c>
      <c r="AI875">
        <f>IF(ROW($AA875) - $AA$51 &lt; ($H$16+1)^5, IF(AG875 &gt;= BaseBonus!$C$16, AG875*BaseBonus!$E$31, 0), "")</f>
        <v>9.3905358129257959</v>
      </c>
      <c r="AJ875">
        <f t="shared" ca="1" si="75"/>
        <v>0</v>
      </c>
    </row>
    <row r="876" spans="28:36" x14ac:dyDescent="0.3">
      <c r="AB876">
        <f t="shared" si="76"/>
        <v>0</v>
      </c>
      <c r="AC876">
        <f t="shared" si="76"/>
        <v>2</v>
      </c>
      <c r="AD876">
        <f t="shared" si="76"/>
        <v>3</v>
      </c>
      <c r="AE876">
        <f t="shared" si="76"/>
        <v>0</v>
      </c>
      <c r="AF876">
        <f t="shared" si="76"/>
        <v>3</v>
      </c>
      <c r="AG876">
        <f t="shared" si="73"/>
        <v>8</v>
      </c>
      <c r="AH876">
        <f t="shared" ca="1" si="74"/>
        <v>0</v>
      </c>
      <c r="AI876">
        <f>IF(ROW($AA876) - $AA$51 &lt; ($H$16+1)^5, IF(AG876 &gt;= BaseBonus!$C$16, AG876*BaseBonus!$E$31, 0), "")</f>
        <v>7.5124286503406372</v>
      </c>
      <c r="AJ876">
        <f t="shared" ca="1" si="75"/>
        <v>0</v>
      </c>
    </row>
    <row r="877" spans="28:36" x14ac:dyDescent="0.3">
      <c r="AB877">
        <f t="shared" si="76"/>
        <v>1</v>
      </c>
      <c r="AC877">
        <f t="shared" si="76"/>
        <v>2</v>
      </c>
      <c r="AD877">
        <f t="shared" si="76"/>
        <v>3</v>
      </c>
      <c r="AE877">
        <f t="shared" si="76"/>
        <v>0</v>
      </c>
      <c r="AF877">
        <f t="shared" si="76"/>
        <v>3</v>
      </c>
      <c r="AG877">
        <f t="shared" si="73"/>
        <v>9</v>
      </c>
      <c r="AH877">
        <f t="shared" ca="1" si="74"/>
        <v>0</v>
      </c>
      <c r="AI877">
        <f>IF(ROW($AA877) - $AA$51 &lt; ($H$16+1)^5, IF(AG877 &gt;= BaseBonus!$C$16, AG877*BaseBonus!$E$31, 0), "")</f>
        <v>8.4514822316332161</v>
      </c>
      <c r="AJ877">
        <f t="shared" ca="1" si="75"/>
        <v>0</v>
      </c>
    </row>
    <row r="878" spans="28:36" x14ac:dyDescent="0.3">
      <c r="AB878">
        <f t="shared" si="76"/>
        <v>2</v>
      </c>
      <c r="AC878">
        <f t="shared" si="76"/>
        <v>2</v>
      </c>
      <c r="AD878">
        <f t="shared" si="76"/>
        <v>3</v>
      </c>
      <c r="AE878">
        <f t="shared" si="76"/>
        <v>0</v>
      </c>
      <c r="AF878">
        <f t="shared" si="76"/>
        <v>3</v>
      </c>
      <c r="AG878">
        <f t="shared" si="73"/>
        <v>10</v>
      </c>
      <c r="AH878">
        <f t="shared" ca="1" si="74"/>
        <v>0</v>
      </c>
      <c r="AI878">
        <f>IF(ROW($AA878) - $AA$51 &lt; ($H$16+1)^5, IF(AG878 &gt;= BaseBonus!$C$16, AG878*BaseBonus!$E$31, 0), "")</f>
        <v>9.3905358129257959</v>
      </c>
      <c r="AJ878">
        <f t="shared" ca="1" si="75"/>
        <v>0</v>
      </c>
    </row>
    <row r="879" spans="28:36" x14ac:dyDescent="0.3">
      <c r="AB879">
        <f t="shared" si="76"/>
        <v>3</v>
      </c>
      <c r="AC879">
        <f t="shared" si="76"/>
        <v>2</v>
      </c>
      <c r="AD879">
        <f t="shared" si="76"/>
        <v>3</v>
      </c>
      <c r="AE879">
        <f t="shared" si="76"/>
        <v>0</v>
      </c>
      <c r="AF879">
        <f t="shared" si="76"/>
        <v>3</v>
      </c>
      <c r="AG879">
        <f t="shared" si="73"/>
        <v>11</v>
      </c>
      <c r="AH879">
        <f t="shared" ca="1" si="74"/>
        <v>0</v>
      </c>
      <c r="AI879">
        <f>IF(ROW($AA879) - $AA$51 &lt; ($H$16+1)^5, IF(AG879 &gt;= BaseBonus!$C$16, AG879*BaseBonus!$E$31, 0), "")</f>
        <v>10.329589394218376</v>
      </c>
      <c r="AJ879">
        <f t="shared" ca="1" si="75"/>
        <v>0</v>
      </c>
    </row>
    <row r="880" spans="28:36" x14ac:dyDescent="0.3">
      <c r="AB880">
        <f t="shared" si="76"/>
        <v>0</v>
      </c>
      <c r="AC880">
        <f t="shared" si="76"/>
        <v>3</v>
      </c>
      <c r="AD880">
        <f t="shared" si="76"/>
        <v>3</v>
      </c>
      <c r="AE880">
        <f t="shared" si="76"/>
        <v>0</v>
      </c>
      <c r="AF880">
        <f t="shared" si="76"/>
        <v>3</v>
      </c>
      <c r="AG880">
        <f t="shared" si="73"/>
        <v>9</v>
      </c>
      <c r="AH880">
        <f t="shared" ca="1" si="74"/>
        <v>0</v>
      </c>
      <c r="AI880">
        <f>IF(ROW($AA880) - $AA$51 &lt; ($H$16+1)^5, IF(AG880 &gt;= BaseBonus!$C$16, AG880*BaseBonus!$E$31, 0), "")</f>
        <v>8.4514822316332161</v>
      </c>
      <c r="AJ880">
        <f t="shared" ca="1" si="75"/>
        <v>0</v>
      </c>
    </row>
    <row r="881" spans="28:36" x14ac:dyDescent="0.3">
      <c r="AB881">
        <f t="shared" si="76"/>
        <v>1</v>
      </c>
      <c r="AC881">
        <f t="shared" si="76"/>
        <v>3</v>
      </c>
      <c r="AD881">
        <f t="shared" si="76"/>
        <v>3</v>
      </c>
      <c r="AE881">
        <f t="shared" si="76"/>
        <v>0</v>
      </c>
      <c r="AF881">
        <f t="shared" si="76"/>
        <v>3</v>
      </c>
      <c r="AG881">
        <f t="shared" si="73"/>
        <v>10</v>
      </c>
      <c r="AH881">
        <f t="shared" ca="1" si="74"/>
        <v>0</v>
      </c>
      <c r="AI881">
        <f>IF(ROW($AA881) - $AA$51 &lt; ($H$16+1)^5, IF(AG881 &gt;= BaseBonus!$C$16, AG881*BaseBonus!$E$31, 0), "")</f>
        <v>9.3905358129257959</v>
      </c>
      <c r="AJ881">
        <f t="shared" ca="1" si="75"/>
        <v>0</v>
      </c>
    </row>
    <row r="882" spans="28:36" x14ac:dyDescent="0.3">
      <c r="AB882">
        <f t="shared" si="76"/>
        <v>2</v>
      </c>
      <c r="AC882">
        <f t="shared" si="76"/>
        <v>3</v>
      </c>
      <c r="AD882">
        <f t="shared" si="76"/>
        <v>3</v>
      </c>
      <c r="AE882">
        <f t="shared" si="76"/>
        <v>0</v>
      </c>
      <c r="AF882">
        <f t="shared" si="76"/>
        <v>3</v>
      </c>
      <c r="AG882">
        <f t="shared" si="73"/>
        <v>11</v>
      </c>
      <c r="AH882">
        <f t="shared" ca="1" si="74"/>
        <v>0</v>
      </c>
      <c r="AI882">
        <f>IF(ROW($AA882) - $AA$51 &lt; ($H$16+1)^5, IF(AG882 &gt;= BaseBonus!$C$16, AG882*BaseBonus!$E$31, 0), "")</f>
        <v>10.329589394218376</v>
      </c>
      <c r="AJ882">
        <f t="shared" ca="1" si="75"/>
        <v>0</v>
      </c>
    </row>
    <row r="883" spans="28:36" x14ac:dyDescent="0.3">
      <c r="AB883">
        <f t="shared" si="76"/>
        <v>3</v>
      </c>
      <c r="AC883">
        <f t="shared" si="76"/>
        <v>3</v>
      </c>
      <c r="AD883">
        <f t="shared" si="76"/>
        <v>3</v>
      </c>
      <c r="AE883">
        <f t="shared" si="76"/>
        <v>0</v>
      </c>
      <c r="AF883">
        <f t="shared" si="76"/>
        <v>3</v>
      </c>
      <c r="AG883">
        <f t="shared" si="73"/>
        <v>12</v>
      </c>
      <c r="AH883">
        <f t="shared" ca="1" si="74"/>
        <v>0</v>
      </c>
      <c r="AI883">
        <f>IF(ROW($AA883) - $AA$51 &lt; ($H$16+1)^5, IF(AG883 &gt;= BaseBonus!$C$16, AG883*BaseBonus!$E$31, 0), "")</f>
        <v>11.268642975510955</v>
      </c>
      <c r="AJ883">
        <f t="shared" ca="1" si="75"/>
        <v>0</v>
      </c>
    </row>
    <row r="884" spans="28:36" x14ac:dyDescent="0.3">
      <c r="AB884">
        <f t="shared" si="76"/>
        <v>0</v>
      </c>
      <c r="AC884">
        <f t="shared" si="76"/>
        <v>0</v>
      </c>
      <c r="AD884">
        <f t="shared" si="76"/>
        <v>0</v>
      </c>
      <c r="AE884">
        <f t="shared" si="76"/>
        <v>1</v>
      </c>
      <c r="AF884">
        <f t="shared" si="76"/>
        <v>3</v>
      </c>
      <c r="AG884">
        <f t="shared" ref="AG884:AG947" si="77">IF(ROW($AA884) - $AA$51 &lt; ($H$16+1)^5, SUM(AB884:AF884), "")</f>
        <v>4</v>
      </c>
      <c r="AH884">
        <f t="shared" ref="AH884:AH947" ca="1" si="78">IF(ROW($AA884) - $AA$51 &lt; (4)^5,
    (_xlfn.XLOOKUP(AB884,$T$51:$T$55,U$51:U$55,0)/U$27) * (_xlfn.XLOOKUP(AC884,$T$51:$T$55,V$51:V$55,0)/V$27) * (_xlfn.XLOOKUP(AD884,$T$51:$T$55,W$51:W$55,0)/W$27) * (_xlfn.XLOOKUP(AE884,$T$51:$T$55,X$51:X$55,0)/X$27) * (_xlfn.XLOOKUP(AF884,$T$51:$T$55,Y$51:Y$55,0)/Y$27),
"")</f>
        <v>0</v>
      </c>
      <c r="AI884">
        <f>IF(ROW($AA884) - $AA$51 &lt; ($H$16+1)^5, IF(AG884 &gt;= BaseBonus!$C$16, AG884*BaseBonus!$E$31, 0), "")</f>
        <v>0</v>
      </c>
      <c r="AJ884">
        <f t="shared" ref="AJ884:AJ947" ca="1" si="79">IF(ROW($AA884) - $AA$51 &lt; ($H$16+1)^5, AH884*AI884, "")</f>
        <v>0</v>
      </c>
    </row>
    <row r="885" spans="28:36" x14ac:dyDescent="0.3">
      <c r="AB885">
        <f t="shared" si="76"/>
        <v>1</v>
      </c>
      <c r="AC885">
        <f t="shared" si="76"/>
        <v>0</v>
      </c>
      <c r="AD885">
        <f t="shared" si="76"/>
        <v>0</v>
      </c>
      <c r="AE885">
        <f t="shared" si="76"/>
        <v>1</v>
      </c>
      <c r="AF885">
        <f t="shared" si="76"/>
        <v>3</v>
      </c>
      <c r="AG885">
        <f t="shared" si="77"/>
        <v>5</v>
      </c>
      <c r="AH885">
        <f t="shared" ca="1" si="78"/>
        <v>0</v>
      </c>
      <c r="AI885">
        <f>IF(ROW($AA885) - $AA$51 &lt; ($H$16+1)^5, IF(AG885 &gt;= BaseBonus!$C$16, AG885*BaseBonus!$E$31, 0), "")</f>
        <v>4.6952679064628979</v>
      </c>
      <c r="AJ885">
        <f t="shared" ca="1" si="79"/>
        <v>0</v>
      </c>
    </row>
    <row r="886" spans="28:36" x14ac:dyDescent="0.3">
      <c r="AB886">
        <f t="shared" si="76"/>
        <v>2</v>
      </c>
      <c r="AC886">
        <f t="shared" si="76"/>
        <v>0</v>
      </c>
      <c r="AD886">
        <f t="shared" si="76"/>
        <v>0</v>
      </c>
      <c r="AE886">
        <f t="shared" si="76"/>
        <v>1</v>
      </c>
      <c r="AF886">
        <f t="shared" si="76"/>
        <v>3</v>
      </c>
      <c r="AG886">
        <f t="shared" si="77"/>
        <v>6</v>
      </c>
      <c r="AH886">
        <f t="shared" ca="1" si="78"/>
        <v>0</v>
      </c>
      <c r="AI886">
        <f>IF(ROW($AA886) - $AA$51 &lt; ($H$16+1)^5, IF(AG886 &gt;= BaseBonus!$C$16, AG886*BaseBonus!$E$31, 0), "")</f>
        <v>5.6343214877554777</v>
      </c>
      <c r="AJ886">
        <f t="shared" ca="1" si="79"/>
        <v>0</v>
      </c>
    </row>
    <row r="887" spans="28:36" x14ac:dyDescent="0.3">
      <c r="AB887">
        <f t="shared" si="76"/>
        <v>3</v>
      </c>
      <c r="AC887">
        <f t="shared" si="76"/>
        <v>0</v>
      </c>
      <c r="AD887">
        <f t="shared" si="76"/>
        <v>0</v>
      </c>
      <c r="AE887">
        <f t="shared" si="76"/>
        <v>1</v>
      </c>
      <c r="AF887">
        <f t="shared" si="76"/>
        <v>3</v>
      </c>
      <c r="AG887">
        <f t="shared" si="77"/>
        <v>7</v>
      </c>
      <c r="AH887">
        <f t="shared" ca="1" si="78"/>
        <v>0</v>
      </c>
      <c r="AI887">
        <f>IF(ROW($AA887) - $AA$51 &lt; ($H$16+1)^5, IF(AG887 &gt;= BaseBonus!$C$16, AG887*BaseBonus!$E$31, 0), "")</f>
        <v>6.5733750690480575</v>
      </c>
      <c r="AJ887">
        <f t="shared" ca="1" si="79"/>
        <v>0</v>
      </c>
    </row>
    <row r="888" spans="28:36" x14ac:dyDescent="0.3">
      <c r="AB888">
        <f t="shared" si="76"/>
        <v>0</v>
      </c>
      <c r="AC888">
        <f t="shared" si="76"/>
        <v>1</v>
      </c>
      <c r="AD888">
        <f t="shared" si="76"/>
        <v>0</v>
      </c>
      <c r="AE888">
        <f t="shared" si="76"/>
        <v>1</v>
      </c>
      <c r="AF888">
        <f t="shared" si="76"/>
        <v>3</v>
      </c>
      <c r="AG888">
        <f t="shared" si="77"/>
        <v>5</v>
      </c>
      <c r="AH888">
        <f t="shared" ca="1" si="78"/>
        <v>0</v>
      </c>
      <c r="AI888">
        <f>IF(ROW($AA888) - $AA$51 &lt; ($H$16+1)^5, IF(AG888 &gt;= BaseBonus!$C$16, AG888*BaseBonus!$E$31, 0), "")</f>
        <v>4.6952679064628979</v>
      </c>
      <c r="AJ888">
        <f t="shared" ca="1" si="79"/>
        <v>0</v>
      </c>
    </row>
    <row r="889" spans="28:36" x14ac:dyDescent="0.3">
      <c r="AB889">
        <f t="shared" si="76"/>
        <v>1</v>
      </c>
      <c r="AC889">
        <f t="shared" si="76"/>
        <v>1</v>
      </c>
      <c r="AD889">
        <f t="shared" si="76"/>
        <v>0</v>
      </c>
      <c r="AE889">
        <f t="shared" si="76"/>
        <v>1</v>
      </c>
      <c r="AF889">
        <f t="shared" si="76"/>
        <v>3</v>
      </c>
      <c r="AG889">
        <f t="shared" si="77"/>
        <v>6</v>
      </c>
      <c r="AH889">
        <f t="shared" ca="1" si="78"/>
        <v>0</v>
      </c>
      <c r="AI889">
        <f>IF(ROW($AA889) - $AA$51 &lt; ($H$16+1)^5, IF(AG889 &gt;= BaseBonus!$C$16, AG889*BaseBonus!$E$31, 0), "")</f>
        <v>5.6343214877554777</v>
      </c>
      <c r="AJ889">
        <f t="shared" ca="1" si="79"/>
        <v>0</v>
      </c>
    </row>
    <row r="890" spans="28:36" x14ac:dyDescent="0.3">
      <c r="AB890">
        <f t="shared" si="76"/>
        <v>2</v>
      </c>
      <c r="AC890">
        <f t="shared" si="76"/>
        <v>1</v>
      </c>
      <c r="AD890">
        <f t="shared" si="76"/>
        <v>0</v>
      </c>
      <c r="AE890">
        <f t="shared" si="76"/>
        <v>1</v>
      </c>
      <c r="AF890">
        <f t="shared" si="76"/>
        <v>3</v>
      </c>
      <c r="AG890">
        <f t="shared" si="77"/>
        <v>7</v>
      </c>
      <c r="AH890">
        <f t="shared" ca="1" si="78"/>
        <v>0</v>
      </c>
      <c r="AI890">
        <f>IF(ROW($AA890) - $AA$51 &lt; ($H$16+1)^5, IF(AG890 &gt;= BaseBonus!$C$16, AG890*BaseBonus!$E$31, 0), "")</f>
        <v>6.5733750690480575</v>
      </c>
      <c r="AJ890">
        <f t="shared" ca="1" si="79"/>
        <v>0</v>
      </c>
    </row>
    <row r="891" spans="28:36" x14ac:dyDescent="0.3">
      <c r="AB891">
        <f t="shared" si="76"/>
        <v>3</v>
      </c>
      <c r="AC891">
        <f t="shared" si="76"/>
        <v>1</v>
      </c>
      <c r="AD891">
        <f t="shared" si="76"/>
        <v>0</v>
      </c>
      <c r="AE891">
        <f t="shared" si="76"/>
        <v>1</v>
      </c>
      <c r="AF891">
        <f t="shared" si="76"/>
        <v>3</v>
      </c>
      <c r="AG891">
        <f t="shared" si="77"/>
        <v>8</v>
      </c>
      <c r="AH891">
        <f t="shared" ca="1" si="78"/>
        <v>0</v>
      </c>
      <c r="AI891">
        <f>IF(ROW($AA891) - $AA$51 &lt; ($H$16+1)^5, IF(AG891 &gt;= BaseBonus!$C$16, AG891*BaseBonus!$E$31, 0), "")</f>
        <v>7.5124286503406372</v>
      </c>
      <c r="AJ891">
        <f t="shared" ca="1" si="79"/>
        <v>0</v>
      </c>
    </row>
    <row r="892" spans="28:36" x14ac:dyDescent="0.3">
      <c r="AB892">
        <f t="shared" si="76"/>
        <v>0</v>
      </c>
      <c r="AC892">
        <f t="shared" si="76"/>
        <v>2</v>
      </c>
      <c r="AD892">
        <f t="shared" si="76"/>
        <v>0</v>
      </c>
      <c r="AE892">
        <f t="shared" si="76"/>
        <v>1</v>
      </c>
      <c r="AF892">
        <f t="shared" si="76"/>
        <v>3</v>
      </c>
      <c r="AG892">
        <f t="shared" si="77"/>
        <v>6</v>
      </c>
      <c r="AH892">
        <f t="shared" ca="1" si="78"/>
        <v>0</v>
      </c>
      <c r="AI892">
        <f>IF(ROW($AA892) - $AA$51 &lt; ($H$16+1)^5, IF(AG892 &gt;= BaseBonus!$C$16, AG892*BaseBonus!$E$31, 0), "")</f>
        <v>5.6343214877554777</v>
      </c>
      <c r="AJ892">
        <f t="shared" ca="1" si="79"/>
        <v>0</v>
      </c>
    </row>
    <row r="893" spans="28:36" x14ac:dyDescent="0.3">
      <c r="AB893">
        <f t="shared" si="76"/>
        <v>1</v>
      </c>
      <c r="AC893">
        <f t="shared" si="76"/>
        <v>2</v>
      </c>
      <c r="AD893">
        <f t="shared" si="76"/>
        <v>0</v>
      </c>
      <c r="AE893">
        <f t="shared" si="76"/>
        <v>1</v>
      </c>
      <c r="AF893">
        <f t="shared" si="76"/>
        <v>3</v>
      </c>
      <c r="AG893">
        <f t="shared" si="77"/>
        <v>7</v>
      </c>
      <c r="AH893">
        <f t="shared" ca="1" si="78"/>
        <v>0</v>
      </c>
      <c r="AI893">
        <f>IF(ROW($AA893) - $AA$51 &lt; ($H$16+1)^5, IF(AG893 &gt;= BaseBonus!$C$16, AG893*BaseBonus!$E$31, 0), "")</f>
        <v>6.5733750690480575</v>
      </c>
      <c r="AJ893">
        <f t="shared" ca="1" si="79"/>
        <v>0</v>
      </c>
    </row>
    <row r="894" spans="28:36" x14ac:dyDescent="0.3">
      <c r="AB894">
        <f t="shared" si="76"/>
        <v>2</v>
      </c>
      <c r="AC894">
        <f t="shared" si="76"/>
        <v>2</v>
      </c>
      <c r="AD894">
        <f t="shared" si="76"/>
        <v>0</v>
      </c>
      <c r="AE894">
        <f t="shared" si="76"/>
        <v>1</v>
      </c>
      <c r="AF894">
        <f t="shared" si="76"/>
        <v>3</v>
      </c>
      <c r="AG894">
        <f t="shared" si="77"/>
        <v>8</v>
      </c>
      <c r="AH894">
        <f t="shared" ca="1" si="78"/>
        <v>0</v>
      </c>
      <c r="AI894">
        <f>IF(ROW($AA894) - $AA$51 &lt; ($H$16+1)^5, IF(AG894 &gt;= BaseBonus!$C$16, AG894*BaseBonus!$E$31, 0), "")</f>
        <v>7.5124286503406372</v>
      </c>
      <c r="AJ894">
        <f t="shared" ca="1" si="79"/>
        <v>0</v>
      </c>
    </row>
    <row r="895" spans="28:36" x14ac:dyDescent="0.3">
      <c r="AB895">
        <f t="shared" si="76"/>
        <v>3</v>
      </c>
      <c r="AC895">
        <f t="shared" si="76"/>
        <v>2</v>
      </c>
      <c r="AD895">
        <f t="shared" si="76"/>
        <v>0</v>
      </c>
      <c r="AE895">
        <f t="shared" si="76"/>
        <v>1</v>
      </c>
      <c r="AF895">
        <f t="shared" si="76"/>
        <v>3</v>
      </c>
      <c r="AG895">
        <f t="shared" si="77"/>
        <v>9</v>
      </c>
      <c r="AH895">
        <f t="shared" ca="1" si="78"/>
        <v>0</v>
      </c>
      <c r="AI895">
        <f>IF(ROW($AA895) - $AA$51 &lt; ($H$16+1)^5, IF(AG895 &gt;= BaseBonus!$C$16, AG895*BaseBonus!$E$31, 0), "")</f>
        <v>8.4514822316332161</v>
      </c>
      <c r="AJ895">
        <f t="shared" ca="1" si="79"/>
        <v>0</v>
      </c>
    </row>
    <row r="896" spans="28:36" x14ac:dyDescent="0.3">
      <c r="AB896">
        <f t="shared" si="76"/>
        <v>0</v>
      </c>
      <c r="AC896">
        <f t="shared" si="76"/>
        <v>3</v>
      </c>
      <c r="AD896">
        <f t="shared" si="76"/>
        <v>0</v>
      </c>
      <c r="AE896">
        <f t="shared" si="76"/>
        <v>1</v>
      </c>
      <c r="AF896">
        <f t="shared" si="76"/>
        <v>3</v>
      </c>
      <c r="AG896">
        <f t="shared" si="77"/>
        <v>7</v>
      </c>
      <c r="AH896">
        <f t="shared" ca="1" si="78"/>
        <v>0</v>
      </c>
      <c r="AI896">
        <f>IF(ROW($AA896) - $AA$51 &lt; ($H$16+1)^5, IF(AG896 &gt;= BaseBonus!$C$16, AG896*BaseBonus!$E$31, 0), "")</f>
        <v>6.5733750690480575</v>
      </c>
      <c r="AJ896">
        <f t="shared" ca="1" si="79"/>
        <v>0</v>
      </c>
    </row>
    <row r="897" spans="28:36" x14ac:dyDescent="0.3">
      <c r="AB897">
        <f t="shared" si="76"/>
        <v>1</v>
      </c>
      <c r="AC897">
        <f t="shared" si="76"/>
        <v>3</v>
      </c>
      <c r="AD897">
        <f t="shared" si="76"/>
        <v>0</v>
      </c>
      <c r="AE897">
        <f t="shared" si="76"/>
        <v>1</v>
      </c>
      <c r="AF897">
        <f t="shared" si="76"/>
        <v>3</v>
      </c>
      <c r="AG897">
        <f t="shared" si="77"/>
        <v>8</v>
      </c>
      <c r="AH897">
        <f t="shared" ca="1" si="78"/>
        <v>0</v>
      </c>
      <c r="AI897">
        <f>IF(ROW($AA897) - $AA$51 &lt; ($H$16+1)^5, IF(AG897 &gt;= BaseBonus!$C$16, AG897*BaseBonus!$E$31, 0), "")</f>
        <v>7.5124286503406372</v>
      </c>
      <c r="AJ897">
        <f t="shared" ca="1" si="79"/>
        <v>0</v>
      </c>
    </row>
    <row r="898" spans="28:36" x14ac:dyDescent="0.3">
      <c r="AB898">
        <f t="shared" si="76"/>
        <v>2</v>
      </c>
      <c r="AC898">
        <f t="shared" si="76"/>
        <v>3</v>
      </c>
      <c r="AD898">
        <f t="shared" si="76"/>
        <v>0</v>
      </c>
      <c r="AE898">
        <f t="shared" si="76"/>
        <v>1</v>
      </c>
      <c r="AF898">
        <f t="shared" si="76"/>
        <v>3</v>
      </c>
      <c r="AG898">
        <f t="shared" si="77"/>
        <v>9</v>
      </c>
      <c r="AH898">
        <f t="shared" ca="1" si="78"/>
        <v>0</v>
      </c>
      <c r="AI898">
        <f>IF(ROW($AA898) - $AA$51 &lt; ($H$16+1)^5, IF(AG898 &gt;= BaseBonus!$C$16, AG898*BaseBonus!$E$31, 0), "")</f>
        <v>8.4514822316332161</v>
      </c>
      <c r="AJ898">
        <f t="shared" ca="1" si="79"/>
        <v>0</v>
      </c>
    </row>
    <row r="899" spans="28:36" x14ac:dyDescent="0.3">
      <c r="AB899">
        <f t="shared" si="76"/>
        <v>3</v>
      </c>
      <c r="AC899">
        <f t="shared" si="76"/>
        <v>3</v>
      </c>
      <c r="AD899">
        <f t="shared" si="76"/>
        <v>0</v>
      </c>
      <c r="AE899">
        <f t="shared" si="76"/>
        <v>1</v>
      </c>
      <c r="AF899">
        <f t="shared" si="76"/>
        <v>3</v>
      </c>
      <c r="AG899">
        <f t="shared" si="77"/>
        <v>10</v>
      </c>
      <c r="AH899">
        <f t="shared" ca="1" si="78"/>
        <v>0</v>
      </c>
      <c r="AI899">
        <f>IF(ROW($AA899) - $AA$51 &lt; ($H$16+1)^5, IF(AG899 &gt;= BaseBonus!$C$16, AG899*BaseBonus!$E$31, 0), "")</f>
        <v>9.3905358129257959</v>
      </c>
      <c r="AJ899">
        <f t="shared" ca="1" si="79"/>
        <v>0</v>
      </c>
    </row>
    <row r="900" spans="28:36" x14ac:dyDescent="0.3">
      <c r="AB900">
        <f t="shared" si="76"/>
        <v>0</v>
      </c>
      <c r="AC900">
        <f t="shared" si="76"/>
        <v>0</v>
      </c>
      <c r="AD900">
        <f t="shared" si="76"/>
        <v>1</v>
      </c>
      <c r="AE900">
        <f t="shared" si="76"/>
        <v>1</v>
      </c>
      <c r="AF900">
        <f t="shared" si="76"/>
        <v>3</v>
      </c>
      <c r="AG900">
        <f t="shared" si="77"/>
        <v>5</v>
      </c>
      <c r="AH900">
        <f t="shared" ca="1" si="78"/>
        <v>0</v>
      </c>
      <c r="AI900">
        <f>IF(ROW($AA900) - $AA$51 &lt; ($H$16+1)^5, IF(AG900 &gt;= BaseBonus!$C$16, AG900*BaseBonus!$E$31, 0), "")</f>
        <v>4.6952679064628979</v>
      </c>
      <c r="AJ900">
        <f t="shared" ca="1" si="79"/>
        <v>0</v>
      </c>
    </row>
    <row r="901" spans="28:36" x14ac:dyDescent="0.3">
      <c r="AB901">
        <f t="shared" si="76"/>
        <v>1</v>
      </c>
      <c r="AC901">
        <f t="shared" si="76"/>
        <v>0</v>
      </c>
      <c r="AD901">
        <f t="shared" si="76"/>
        <v>1</v>
      </c>
      <c r="AE901">
        <f t="shared" si="76"/>
        <v>1</v>
      </c>
      <c r="AF901">
        <f t="shared" si="76"/>
        <v>3</v>
      </c>
      <c r="AG901">
        <f t="shared" si="77"/>
        <v>6</v>
      </c>
      <c r="AH901">
        <f t="shared" ca="1" si="78"/>
        <v>0</v>
      </c>
      <c r="AI901">
        <f>IF(ROW($AA901) - $AA$51 &lt; ($H$16+1)^5, IF(AG901 &gt;= BaseBonus!$C$16, AG901*BaseBonus!$E$31, 0), "")</f>
        <v>5.6343214877554777</v>
      </c>
      <c r="AJ901">
        <f t="shared" ca="1" si="79"/>
        <v>0</v>
      </c>
    </row>
    <row r="902" spans="28:36" x14ac:dyDescent="0.3">
      <c r="AB902">
        <f t="shared" si="76"/>
        <v>2</v>
      </c>
      <c r="AC902">
        <f t="shared" si="76"/>
        <v>0</v>
      </c>
      <c r="AD902">
        <f t="shared" si="76"/>
        <v>1</v>
      </c>
      <c r="AE902">
        <f t="shared" si="76"/>
        <v>1</v>
      </c>
      <c r="AF902">
        <f t="shared" si="76"/>
        <v>3</v>
      </c>
      <c r="AG902">
        <f t="shared" si="77"/>
        <v>7</v>
      </c>
      <c r="AH902">
        <f t="shared" ca="1" si="78"/>
        <v>0</v>
      </c>
      <c r="AI902">
        <f>IF(ROW($AA902) - $AA$51 &lt; ($H$16+1)^5, IF(AG902 &gt;= BaseBonus!$C$16, AG902*BaseBonus!$E$31, 0), "")</f>
        <v>6.5733750690480575</v>
      </c>
      <c r="AJ902">
        <f t="shared" ca="1" si="79"/>
        <v>0</v>
      </c>
    </row>
    <row r="903" spans="28:36" x14ac:dyDescent="0.3">
      <c r="AB903">
        <f t="shared" si="76"/>
        <v>3</v>
      </c>
      <c r="AC903">
        <f t="shared" si="76"/>
        <v>0</v>
      </c>
      <c r="AD903">
        <f t="shared" si="76"/>
        <v>1</v>
      </c>
      <c r="AE903">
        <f t="shared" si="76"/>
        <v>1</v>
      </c>
      <c r="AF903">
        <f t="shared" si="76"/>
        <v>3</v>
      </c>
      <c r="AG903">
        <f t="shared" si="77"/>
        <v>8</v>
      </c>
      <c r="AH903">
        <f t="shared" ca="1" si="78"/>
        <v>0</v>
      </c>
      <c r="AI903">
        <f>IF(ROW($AA903) - $AA$51 &lt; ($H$16+1)^5, IF(AG903 &gt;= BaseBonus!$C$16, AG903*BaseBonus!$E$31, 0), "")</f>
        <v>7.5124286503406372</v>
      </c>
      <c r="AJ903">
        <f t="shared" ca="1" si="79"/>
        <v>0</v>
      </c>
    </row>
    <row r="904" spans="28:36" x14ac:dyDescent="0.3">
      <c r="AB904">
        <f t="shared" si="76"/>
        <v>0</v>
      </c>
      <c r="AC904">
        <f t="shared" si="76"/>
        <v>1</v>
      </c>
      <c r="AD904">
        <f t="shared" si="76"/>
        <v>1</v>
      </c>
      <c r="AE904">
        <f t="shared" si="76"/>
        <v>1</v>
      </c>
      <c r="AF904">
        <f t="shared" si="76"/>
        <v>3</v>
      </c>
      <c r="AG904">
        <f t="shared" si="77"/>
        <v>6</v>
      </c>
      <c r="AH904">
        <f t="shared" ca="1" si="78"/>
        <v>0</v>
      </c>
      <c r="AI904">
        <f>IF(ROW($AA904) - $AA$51 &lt; ($H$16+1)^5, IF(AG904 &gt;= BaseBonus!$C$16, AG904*BaseBonus!$E$31, 0), "")</f>
        <v>5.6343214877554777</v>
      </c>
      <c r="AJ904">
        <f t="shared" ca="1" si="79"/>
        <v>0</v>
      </c>
    </row>
    <row r="905" spans="28:36" x14ac:dyDescent="0.3">
      <c r="AB905">
        <f t="shared" si="76"/>
        <v>1</v>
      </c>
      <c r="AC905">
        <f t="shared" si="76"/>
        <v>1</v>
      </c>
      <c r="AD905">
        <f t="shared" si="76"/>
        <v>1</v>
      </c>
      <c r="AE905">
        <f t="shared" si="76"/>
        <v>1</v>
      </c>
      <c r="AF905">
        <f t="shared" si="76"/>
        <v>3</v>
      </c>
      <c r="AG905">
        <f t="shared" si="77"/>
        <v>7</v>
      </c>
      <c r="AH905">
        <f t="shared" ca="1" si="78"/>
        <v>0</v>
      </c>
      <c r="AI905">
        <f>IF(ROW($AA905) - $AA$51 &lt; ($H$16+1)^5, IF(AG905 &gt;= BaseBonus!$C$16, AG905*BaseBonus!$E$31, 0), "")</f>
        <v>6.5733750690480575</v>
      </c>
      <c r="AJ905">
        <f t="shared" ca="1" si="79"/>
        <v>0</v>
      </c>
    </row>
    <row r="906" spans="28:36" x14ac:dyDescent="0.3">
      <c r="AB906">
        <f t="shared" si="76"/>
        <v>2</v>
      </c>
      <c r="AC906">
        <f t="shared" si="76"/>
        <v>1</v>
      </c>
      <c r="AD906">
        <f t="shared" si="76"/>
        <v>1</v>
      </c>
      <c r="AE906">
        <f t="shared" si="76"/>
        <v>1</v>
      </c>
      <c r="AF906">
        <f t="shared" si="76"/>
        <v>3</v>
      </c>
      <c r="AG906">
        <f t="shared" si="77"/>
        <v>8</v>
      </c>
      <c r="AH906">
        <f t="shared" ca="1" si="78"/>
        <v>0</v>
      </c>
      <c r="AI906">
        <f>IF(ROW($AA906) - $AA$51 &lt; ($H$16+1)^5, IF(AG906 &gt;= BaseBonus!$C$16, AG906*BaseBonus!$E$31, 0), "")</f>
        <v>7.5124286503406372</v>
      </c>
      <c r="AJ906">
        <f t="shared" ca="1" si="79"/>
        <v>0</v>
      </c>
    </row>
    <row r="907" spans="28:36" x14ac:dyDescent="0.3">
      <c r="AB907">
        <f t="shared" si="76"/>
        <v>3</v>
      </c>
      <c r="AC907">
        <f t="shared" si="76"/>
        <v>1</v>
      </c>
      <c r="AD907">
        <f t="shared" si="76"/>
        <v>1</v>
      </c>
      <c r="AE907">
        <f t="shared" si="76"/>
        <v>1</v>
      </c>
      <c r="AF907">
        <f t="shared" si="76"/>
        <v>3</v>
      </c>
      <c r="AG907">
        <f t="shared" si="77"/>
        <v>9</v>
      </c>
      <c r="AH907">
        <f t="shared" ca="1" si="78"/>
        <v>0</v>
      </c>
      <c r="AI907">
        <f>IF(ROW($AA907) - $AA$51 &lt; ($H$16+1)^5, IF(AG907 &gt;= BaseBonus!$C$16, AG907*BaseBonus!$E$31, 0), "")</f>
        <v>8.4514822316332161</v>
      </c>
      <c r="AJ907">
        <f t="shared" ca="1" si="79"/>
        <v>0</v>
      </c>
    </row>
    <row r="908" spans="28:36" x14ac:dyDescent="0.3">
      <c r="AB908">
        <f t="shared" si="76"/>
        <v>0</v>
      </c>
      <c r="AC908">
        <f t="shared" si="76"/>
        <v>2</v>
      </c>
      <c r="AD908">
        <f t="shared" si="76"/>
        <v>1</v>
      </c>
      <c r="AE908">
        <f t="shared" si="76"/>
        <v>1</v>
      </c>
      <c r="AF908">
        <f t="shared" si="76"/>
        <v>3</v>
      </c>
      <c r="AG908">
        <f t="shared" si="77"/>
        <v>7</v>
      </c>
      <c r="AH908">
        <f t="shared" ca="1" si="78"/>
        <v>0</v>
      </c>
      <c r="AI908">
        <f>IF(ROW($AA908) - $AA$51 &lt; ($H$16+1)^5, IF(AG908 &gt;= BaseBonus!$C$16, AG908*BaseBonus!$E$31, 0), "")</f>
        <v>6.5733750690480575</v>
      </c>
      <c r="AJ908">
        <f t="shared" ca="1" si="79"/>
        <v>0</v>
      </c>
    </row>
    <row r="909" spans="28:36" x14ac:dyDescent="0.3">
      <c r="AB909">
        <f t="shared" si="76"/>
        <v>1</v>
      </c>
      <c r="AC909">
        <f t="shared" si="76"/>
        <v>2</v>
      </c>
      <c r="AD909">
        <f t="shared" si="76"/>
        <v>1</v>
      </c>
      <c r="AE909">
        <f t="shared" si="76"/>
        <v>1</v>
      </c>
      <c r="AF909">
        <f t="shared" si="76"/>
        <v>3</v>
      </c>
      <c r="AG909">
        <f t="shared" si="77"/>
        <v>8</v>
      </c>
      <c r="AH909">
        <f t="shared" ca="1" si="78"/>
        <v>0</v>
      </c>
      <c r="AI909">
        <f>IF(ROW($AA909) - $AA$51 &lt; ($H$16+1)^5, IF(AG909 &gt;= BaseBonus!$C$16, AG909*BaseBonus!$E$31, 0), "")</f>
        <v>7.5124286503406372</v>
      </c>
      <c r="AJ909">
        <f t="shared" ca="1" si="79"/>
        <v>0</v>
      </c>
    </row>
    <row r="910" spans="28:36" x14ac:dyDescent="0.3">
      <c r="AB910">
        <f t="shared" si="76"/>
        <v>2</v>
      </c>
      <c r="AC910">
        <f t="shared" si="76"/>
        <v>2</v>
      </c>
      <c r="AD910">
        <f t="shared" si="76"/>
        <v>1</v>
      </c>
      <c r="AE910">
        <f t="shared" si="76"/>
        <v>1</v>
      </c>
      <c r="AF910">
        <f t="shared" si="76"/>
        <v>3</v>
      </c>
      <c r="AG910">
        <f t="shared" si="77"/>
        <v>9</v>
      </c>
      <c r="AH910">
        <f t="shared" ca="1" si="78"/>
        <v>0</v>
      </c>
      <c r="AI910">
        <f>IF(ROW($AA910) - $AA$51 &lt; ($H$16+1)^5, IF(AG910 &gt;= BaseBonus!$C$16, AG910*BaseBonus!$E$31, 0), "")</f>
        <v>8.4514822316332161</v>
      </c>
      <c r="AJ910">
        <f t="shared" ca="1" si="79"/>
        <v>0</v>
      </c>
    </row>
    <row r="911" spans="28:36" x14ac:dyDescent="0.3">
      <c r="AB911">
        <f t="shared" si="76"/>
        <v>3</v>
      </c>
      <c r="AC911">
        <f t="shared" si="76"/>
        <v>2</v>
      </c>
      <c r="AD911">
        <f t="shared" si="76"/>
        <v>1</v>
      </c>
      <c r="AE911">
        <f t="shared" si="76"/>
        <v>1</v>
      </c>
      <c r="AF911">
        <f t="shared" si="76"/>
        <v>3</v>
      </c>
      <c r="AG911">
        <f t="shared" si="77"/>
        <v>10</v>
      </c>
      <c r="AH911">
        <f t="shared" ca="1" si="78"/>
        <v>0</v>
      </c>
      <c r="AI911">
        <f>IF(ROW($AA911) - $AA$51 &lt; ($H$16+1)^5, IF(AG911 &gt;= BaseBonus!$C$16, AG911*BaseBonus!$E$31, 0), "")</f>
        <v>9.3905358129257959</v>
      </c>
      <c r="AJ911">
        <f t="shared" ca="1" si="79"/>
        <v>0</v>
      </c>
    </row>
    <row r="912" spans="28:36" x14ac:dyDescent="0.3">
      <c r="AB912">
        <f t="shared" si="76"/>
        <v>0</v>
      </c>
      <c r="AC912">
        <f t="shared" si="76"/>
        <v>3</v>
      </c>
      <c r="AD912">
        <f t="shared" si="76"/>
        <v>1</v>
      </c>
      <c r="AE912">
        <f t="shared" si="76"/>
        <v>1</v>
      </c>
      <c r="AF912">
        <f t="shared" si="76"/>
        <v>3</v>
      </c>
      <c r="AG912">
        <f t="shared" si="77"/>
        <v>8</v>
      </c>
      <c r="AH912">
        <f t="shared" ca="1" si="78"/>
        <v>0</v>
      </c>
      <c r="AI912">
        <f>IF(ROW($AA912) - $AA$51 &lt; ($H$16+1)^5, IF(AG912 &gt;= BaseBonus!$C$16, AG912*BaseBonus!$E$31, 0), "")</f>
        <v>7.5124286503406372</v>
      </c>
      <c r="AJ912">
        <f t="shared" ca="1" si="79"/>
        <v>0</v>
      </c>
    </row>
    <row r="913" spans="28:36" x14ac:dyDescent="0.3">
      <c r="AB913">
        <f t="shared" si="76"/>
        <v>1</v>
      </c>
      <c r="AC913">
        <f t="shared" si="76"/>
        <v>3</v>
      </c>
      <c r="AD913">
        <f t="shared" si="76"/>
        <v>1</v>
      </c>
      <c r="AE913">
        <f t="shared" si="76"/>
        <v>1</v>
      </c>
      <c r="AF913">
        <f t="shared" si="76"/>
        <v>3</v>
      </c>
      <c r="AG913">
        <f t="shared" si="77"/>
        <v>9</v>
      </c>
      <c r="AH913">
        <f t="shared" ca="1" si="78"/>
        <v>0</v>
      </c>
      <c r="AI913">
        <f>IF(ROW($AA913) - $AA$51 &lt; ($H$16+1)^5, IF(AG913 &gt;= BaseBonus!$C$16, AG913*BaseBonus!$E$31, 0), "")</f>
        <v>8.4514822316332161</v>
      </c>
      <c r="AJ913">
        <f t="shared" ca="1" si="79"/>
        <v>0</v>
      </c>
    </row>
    <row r="914" spans="28:36" x14ac:dyDescent="0.3">
      <c r="AB914">
        <f t="shared" si="76"/>
        <v>2</v>
      </c>
      <c r="AC914">
        <f t="shared" si="76"/>
        <v>3</v>
      </c>
      <c r="AD914">
        <f t="shared" si="76"/>
        <v>1</v>
      </c>
      <c r="AE914">
        <f t="shared" si="76"/>
        <v>1</v>
      </c>
      <c r="AF914">
        <f t="shared" si="76"/>
        <v>3</v>
      </c>
      <c r="AG914">
        <f t="shared" si="77"/>
        <v>10</v>
      </c>
      <c r="AH914">
        <f t="shared" ca="1" si="78"/>
        <v>0</v>
      </c>
      <c r="AI914">
        <f>IF(ROW($AA914) - $AA$51 &lt; ($H$16+1)^5, IF(AG914 &gt;= BaseBonus!$C$16, AG914*BaseBonus!$E$31, 0), "")</f>
        <v>9.3905358129257959</v>
      </c>
      <c r="AJ914">
        <f t="shared" ca="1" si="79"/>
        <v>0</v>
      </c>
    </row>
    <row r="915" spans="28:36" x14ac:dyDescent="0.3">
      <c r="AB915">
        <f t="shared" si="76"/>
        <v>3</v>
      </c>
      <c r="AC915">
        <f t="shared" si="76"/>
        <v>3</v>
      </c>
      <c r="AD915">
        <f t="shared" si="76"/>
        <v>1</v>
      </c>
      <c r="AE915">
        <f t="shared" si="76"/>
        <v>1</v>
      </c>
      <c r="AF915">
        <f t="shared" si="76"/>
        <v>3</v>
      </c>
      <c r="AG915">
        <f t="shared" si="77"/>
        <v>11</v>
      </c>
      <c r="AH915">
        <f t="shared" ca="1" si="78"/>
        <v>0</v>
      </c>
      <c r="AI915">
        <f>IF(ROW($AA915) - $AA$51 &lt; ($H$16+1)^5, IF(AG915 &gt;= BaseBonus!$C$16, AG915*BaseBonus!$E$31, 0), "")</f>
        <v>10.329589394218376</v>
      </c>
      <c r="AJ915">
        <f t="shared" ca="1" si="79"/>
        <v>0</v>
      </c>
    </row>
    <row r="916" spans="28:36" x14ac:dyDescent="0.3">
      <c r="AB916">
        <f t="shared" si="76"/>
        <v>0</v>
      </c>
      <c r="AC916">
        <f t="shared" si="76"/>
        <v>0</v>
      </c>
      <c r="AD916">
        <f t="shared" si="76"/>
        <v>2</v>
      </c>
      <c r="AE916">
        <f t="shared" si="76"/>
        <v>1</v>
      </c>
      <c r="AF916">
        <f t="shared" si="76"/>
        <v>3</v>
      </c>
      <c r="AG916">
        <f t="shared" si="77"/>
        <v>6</v>
      </c>
      <c r="AH916">
        <f t="shared" ca="1" si="78"/>
        <v>0</v>
      </c>
      <c r="AI916">
        <f>IF(ROW($AA916) - $AA$51 &lt; ($H$16+1)^5, IF(AG916 &gt;= BaseBonus!$C$16, AG916*BaseBonus!$E$31, 0), "")</f>
        <v>5.6343214877554777</v>
      </c>
      <c r="AJ916">
        <f t="shared" ca="1" si="79"/>
        <v>0</v>
      </c>
    </row>
    <row r="917" spans="28:36" x14ac:dyDescent="0.3">
      <c r="AB917">
        <f t="shared" si="76"/>
        <v>1</v>
      </c>
      <c r="AC917">
        <f t="shared" si="76"/>
        <v>0</v>
      </c>
      <c r="AD917">
        <f t="shared" si="76"/>
        <v>2</v>
      </c>
      <c r="AE917">
        <f t="shared" si="76"/>
        <v>1</v>
      </c>
      <c r="AF917">
        <f t="shared" si="76"/>
        <v>3</v>
      </c>
      <c r="AG917">
        <f t="shared" si="77"/>
        <v>7</v>
      </c>
      <c r="AH917">
        <f t="shared" ca="1" si="78"/>
        <v>0</v>
      </c>
      <c r="AI917">
        <f>IF(ROW($AA917) - $AA$51 &lt; ($H$16+1)^5, IF(AG917 &gt;= BaseBonus!$C$16, AG917*BaseBonus!$E$31, 0), "")</f>
        <v>6.5733750690480575</v>
      </c>
      <c r="AJ917">
        <f t="shared" ca="1" si="79"/>
        <v>0</v>
      </c>
    </row>
    <row r="918" spans="28:36" x14ac:dyDescent="0.3">
      <c r="AB918">
        <f t="shared" si="76"/>
        <v>2</v>
      </c>
      <c r="AC918">
        <f t="shared" si="76"/>
        <v>0</v>
      </c>
      <c r="AD918">
        <f t="shared" si="76"/>
        <v>2</v>
      </c>
      <c r="AE918">
        <f t="shared" si="76"/>
        <v>1</v>
      </c>
      <c r="AF918">
        <f t="shared" si="76"/>
        <v>3</v>
      </c>
      <c r="AG918">
        <f t="shared" si="77"/>
        <v>8</v>
      </c>
      <c r="AH918">
        <f t="shared" ca="1" si="78"/>
        <v>0</v>
      </c>
      <c r="AI918">
        <f>IF(ROW($AA918) - $AA$51 &lt; ($H$16+1)^5, IF(AG918 &gt;= BaseBonus!$C$16, AG918*BaseBonus!$E$31, 0), "")</f>
        <v>7.5124286503406372</v>
      </c>
      <c r="AJ918">
        <f t="shared" ca="1" si="79"/>
        <v>0</v>
      </c>
    </row>
    <row r="919" spans="28:36" x14ac:dyDescent="0.3">
      <c r="AB919">
        <f t="shared" ref="AB919:AF969" si="80">IF(ROW()-$AA$51 &lt; (H$16+1)^5, MOD(_xlfn.FLOOR.MATH((ROW()-$AA$51)/AB$50), H$16+1), "")</f>
        <v>3</v>
      </c>
      <c r="AC919">
        <f t="shared" si="80"/>
        <v>0</v>
      </c>
      <c r="AD919">
        <f t="shared" si="80"/>
        <v>2</v>
      </c>
      <c r="AE919">
        <f t="shared" si="80"/>
        <v>1</v>
      </c>
      <c r="AF919">
        <f t="shared" si="80"/>
        <v>3</v>
      </c>
      <c r="AG919">
        <f t="shared" si="77"/>
        <v>9</v>
      </c>
      <c r="AH919">
        <f t="shared" ca="1" si="78"/>
        <v>0</v>
      </c>
      <c r="AI919">
        <f>IF(ROW($AA919) - $AA$51 &lt; ($H$16+1)^5, IF(AG919 &gt;= BaseBonus!$C$16, AG919*BaseBonus!$E$31, 0), "")</f>
        <v>8.4514822316332161</v>
      </c>
      <c r="AJ919">
        <f t="shared" ca="1" si="79"/>
        <v>0</v>
      </c>
    </row>
    <row r="920" spans="28:36" x14ac:dyDescent="0.3">
      <c r="AB920">
        <f t="shared" si="80"/>
        <v>0</v>
      </c>
      <c r="AC920">
        <f t="shared" si="80"/>
        <v>1</v>
      </c>
      <c r="AD920">
        <f t="shared" si="80"/>
        <v>2</v>
      </c>
      <c r="AE920">
        <f t="shared" si="80"/>
        <v>1</v>
      </c>
      <c r="AF920">
        <f t="shared" si="80"/>
        <v>3</v>
      </c>
      <c r="AG920">
        <f t="shared" si="77"/>
        <v>7</v>
      </c>
      <c r="AH920">
        <f t="shared" ca="1" si="78"/>
        <v>0</v>
      </c>
      <c r="AI920">
        <f>IF(ROW($AA920) - $AA$51 &lt; ($H$16+1)^5, IF(AG920 &gt;= BaseBonus!$C$16, AG920*BaseBonus!$E$31, 0), "")</f>
        <v>6.5733750690480575</v>
      </c>
      <c r="AJ920">
        <f t="shared" ca="1" si="79"/>
        <v>0</v>
      </c>
    </row>
    <row r="921" spans="28:36" x14ac:dyDescent="0.3">
      <c r="AB921">
        <f t="shared" si="80"/>
        <v>1</v>
      </c>
      <c r="AC921">
        <f t="shared" si="80"/>
        <v>1</v>
      </c>
      <c r="AD921">
        <f t="shared" si="80"/>
        <v>2</v>
      </c>
      <c r="AE921">
        <f t="shared" si="80"/>
        <v>1</v>
      </c>
      <c r="AF921">
        <f t="shared" si="80"/>
        <v>3</v>
      </c>
      <c r="AG921">
        <f t="shared" si="77"/>
        <v>8</v>
      </c>
      <c r="AH921">
        <f t="shared" ca="1" si="78"/>
        <v>0</v>
      </c>
      <c r="AI921">
        <f>IF(ROW($AA921) - $AA$51 &lt; ($H$16+1)^5, IF(AG921 &gt;= BaseBonus!$C$16, AG921*BaseBonus!$E$31, 0), "")</f>
        <v>7.5124286503406372</v>
      </c>
      <c r="AJ921">
        <f t="shared" ca="1" si="79"/>
        <v>0</v>
      </c>
    </row>
    <row r="922" spans="28:36" x14ac:dyDescent="0.3">
      <c r="AB922">
        <f t="shared" si="80"/>
        <v>2</v>
      </c>
      <c r="AC922">
        <f t="shared" si="80"/>
        <v>1</v>
      </c>
      <c r="AD922">
        <f t="shared" si="80"/>
        <v>2</v>
      </c>
      <c r="AE922">
        <f t="shared" si="80"/>
        <v>1</v>
      </c>
      <c r="AF922">
        <f t="shared" si="80"/>
        <v>3</v>
      </c>
      <c r="AG922">
        <f t="shared" si="77"/>
        <v>9</v>
      </c>
      <c r="AH922">
        <f t="shared" ca="1" si="78"/>
        <v>0</v>
      </c>
      <c r="AI922">
        <f>IF(ROW($AA922) - $AA$51 &lt; ($H$16+1)^5, IF(AG922 &gt;= BaseBonus!$C$16, AG922*BaseBonus!$E$31, 0), "")</f>
        <v>8.4514822316332161</v>
      </c>
      <c r="AJ922">
        <f t="shared" ca="1" si="79"/>
        <v>0</v>
      </c>
    </row>
    <row r="923" spans="28:36" x14ac:dyDescent="0.3">
      <c r="AB923">
        <f t="shared" si="80"/>
        <v>3</v>
      </c>
      <c r="AC923">
        <f t="shared" si="80"/>
        <v>1</v>
      </c>
      <c r="AD923">
        <f t="shared" si="80"/>
        <v>2</v>
      </c>
      <c r="AE923">
        <f t="shared" si="80"/>
        <v>1</v>
      </c>
      <c r="AF923">
        <f t="shared" si="80"/>
        <v>3</v>
      </c>
      <c r="AG923">
        <f t="shared" si="77"/>
        <v>10</v>
      </c>
      <c r="AH923">
        <f t="shared" ca="1" si="78"/>
        <v>0</v>
      </c>
      <c r="AI923">
        <f>IF(ROW($AA923) - $AA$51 &lt; ($H$16+1)^5, IF(AG923 &gt;= BaseBonus!$C$16, AG923*BaseBonus!$E$31, 0), "")</f>
        <v>9.3905358129257959</v>
      </c>
      <c r="AJ923">
        <f t="shared" ca="1" si="79"/>
        <v>0</v>
      </c>
    </row>
    <row r="924" spans="28:36" x14ac:dyDescent="0.3">
      <c r="AB924">
        <f t="shared" si="80"/>
        <v>0</v>
      </c>
      <c r="AC924">
        <f t="shared" si="80"/>
        <v>2</v>
      </c>
      <c r="AD924">
        <f t="shared" si="80"/>
        <v>2</v>
      </c>
      <c r="AE924">
        <f t="shared" si="80"/>
        <v>1</v>
      </c>
      <c r="AF924">
        <f t="shared" si="80"/>
        <v>3</v>
      </c>
      <c r="AG924">
        <f t="shared" si="77"/>
        <v>8</v>
      </c>
      <c r="AH924">
        <f t="shared" ca="1" si="78"/>
        <v>0</v>
      </c>
      <c r="AI924">
        <f>IF(ROW($AA924) - $AA$51 &lt; ($H$16+1)^5, IF(AG924 &gt;= BaseBonus!$C$16, AG924*BaseBonus!$E$31, 0), "")</f>
        <v>7.5124286503406372</v>
      </c>
      <c r="AJ924">
        <f t="shared" ca="1" si="79"/>
        <v>0</v>
      </c>
    </row>
    <row r="925" spans="28:36" x14ac:dyDescent="0.3">
      <c r="AB925">
        <f t="shared" si="80"/>
        <v>1</v>
      </c>
      <c r="AC925">
        <f t="shared" si="80"/>
        <v>2</v>
      </c>
      <c r="AD925">
        <f t="shared" si="80"/>
        <v>2</v>
      </c>
      <c r="AE925">
        <f t="shared" si="80"/>
        <v>1</v>
      </c>
      <c r="AF925">
        <f t="shared" si="80"/>
        <v>3</v>
      </c>
      <c r="AG925">
        <f t="shared" si="77"/>
        <v>9</v>
      </c>
      <c r="AH925">
        <f t="shared" ca="1" si="78"/>
        <v>0</v>
      </c>
      <c r="AI925">
        <f>IF(ROW($AA925) - $AA$51 &lt; ($H$16+1)^5, IF(AG925 &gt;= BaseBonus!$C$16, AG925*BaseBonus!$E$31, 0), "")</f>
        <v>8.4514822316332161</v>
      </c>
      <c r="AJ925">
        <f t="shared" ca="1" si="79"/>
        <v>0</v>
      </c>
    </row>
    <row r="926" spans="28:36" x14ac:dyDescent="0.3">
      <c r="AB926">
        <f t="shared" si="80"/>
        <v>2</v>
      </c>
      <c r="AC926">
        <f t="shared" si="80"/>
        <v>2</v>
      </c>
      <c r="AD926">
        <f t="shared" si="80"/>
        <v>2</v>
      </c>
      <c r="AE926">
        <f t="shared" si="80"/>
        <v>1</v>
      </c>
      <c r="AF926">
        <f t="shared" si="80"/>
        <v>3</v>
      </c>
      <c r="AG926">
        <f t="shared" si="77"/>
        <v>10</v>
      </c>
      <c r="AH926">
        <f t="shared" ca="1" si="78"/>
        <v>0</v>
      </c>
      <c r="AI926">
        <f>IF(ROW($AA926) - $AA$51 &lt; ($H$16+1)^5, IF(AG926 &gt;= BaseBonus!$C$16, AG926*BaseBonus!$E$31, 0), "")</f>
        <v>9.3905358129257959</v>
      </c>
      <c r="AJ926">
        <f t="shared" ca="1" si="79"/>
        <v>0</v>
      </c>
    </row>
    <row r="927" spans="28:36" x14ac:dyDescent="0.3">
      <c r="AB927">
        <f t="shared" si="80"/>
        <v>3</v>
      </c>
      <c r="AC927">
        <f t="shared" si="80"/>
        <v>2</v>
      </c>
      <c r="AD927">
        <f t="shared" si="80"/>
        <v>2</v>
      </c>
      <c r="AE927">
        <f t="shared" si="80"/>
        <v>1</v>
      </c>
      <c r="AF927">
        <f t="shared" si="80"/>
        <v>3</v>
      </c>
      <c r="AG927">
        <f t="shared" si="77"/>
        <v>11</v>
      </c>
      <c r="AH927">
        <f t="shared" ca="1" si="78"/>
        <v>0</v>
      </c>
      <c r="AI927">
        <f>IF(ROW($AA927) - $AA$51 &lt; ($H$16+1)^5, IF(AG927 &gt;= BaseBonus!$C$16, AG927*BaseBonus!$E$31, 0), "")</f>
        <v>10.329589394218376</v>
      </c>
      <c r="AJ927">
        <f t="shared" ca="1" si="79"/>
        <v>0</v>
      </c>
    </row>
    <row r="928" spans="28:36" x14ac:dyDescent="0.3">
      <c r="AB928">
        <f t="shared" si="80"/>
        <v>0</v>
      </c>
      <c r="AC928">
        <f t="shared" si="80"/>
        <v>3</v>
      </c>
      <c r="AD928">
        <f t="shared" si="80"/>
        <v>2</v>
      </c>
      <c r="AE928">
        <f t="shared" si="80"/>
        <v>1</v>
      </c>
      <c r="AF928">
        <f t="shared" si="80"/>
        <v>3</v>
      </c>
      <c r="AG928">
        <f t="shared" si="77"/>
        <v>9</v>
      </c>
      <c r="AH928">
        <f t="shared" ca="1" si="78"/>
        <v>0</v>
      </c>
      <c r="AI928">
        <f>IF(ROW($AA928) - $AA$51 &lt; ($H$16+1)^5, IF(AG928 &gt;= BaseBonus!$C$16, AG928*BaseBonus!$E$31, 0), "")</f>
        <v>8.4514822316332161</v>
      </c>
      <c r="AJ928">
        <f t="shared" ca="1" si="79"/>
        <v>0</v>
      </c>
    </row>
    <row r="929" spans="28:36" x14ac:dyDescent="0.3">
      <c r="AB929">
        <f t="shared" si="80"/>
        <v>1</v>
      </c>
      <c r="AC929">
        <f t="shared" si="80"/>
        <v>3</v>
      </c>
      <c r="AD929">
        <f t="shared" si="80"/>
        <v>2</v>
      </c>
      <c r="AE929">
        <f t="shared" si="80"/>
        <v>1</v>
      </c>
      <c r="AF929">
        <f t="shared" si="80"/>
        <v>3</v>
      </c>
      <c r="AG929">
        <f t="shared" si="77"/>
        <v>10</v>
      </c>
      <c r="AH929">
        <f t="shared" ca="1" si="78"/>
        <v>0</v>
      </c>
      <c r="AI929">
        <f>IF(ROW($AA929) - $AA$51 &lt; ($H$16+1)^5, IF(AG929 &gt;= BaseBonus!$C$16, AG929*BaseBonus!$E$31, 0), "")</f>
        <v>9.3905358129257959</v>
      </c>
      <c r="AJ929">
        <f t="shared" ca="1" si="79"/>
        <v>0</v>
      </c>
    </row>
    <row r="930" spans="28:36" x14ac:dyDescent="0.3">
      <c r="AB930">
        <f t="shared" si="80"/>
        <v>2</v>
      </c>
      <c r="AC930">
        <f t="shared" si="80"/>
        <v>3</v>
      </c>
      <c r="AD930">
        <f t="shared" si="80"/>
        <v>2</v>
      </c>
      <c r="AE930">
        <f t="shared" si="80"/>
        <v>1</v>
      </c>
      <c r="AF930">
        <f t="shared" si="80"/>
        <v>3</v>
      </c>
      <c r="AG930">
        <f t="shared" si="77"/>
        <v>11</v>
      </c>
      <c r="AH930">
        <f t="shared" ca="1" si="78"/>
        <v>0</v>
      </c>
      <c r="AI930">
        <f>IF(ROW($AA930) - $AA$51 &lt; ($H$16+1)^5, IF(AG930 &gt;= BaseBonus!$C$16, AG930*BaseBonus!$E$31, 0), "")</f>
        <v>10.329589394218376</v>
      </c>
      <c r="AJ930">
        <f t="shared" ca="1" si="79"/>
        <v>0</v>
      </c>
    </row>
    <row r="931" spans="28:36" x14ac:dyDescent="0.3">
      <c r="AB931">
        <f t="shared" si="80"/>
        <v>3</v>
      </c>
      <c r="AC931">
        <f t="shared" si="80"/>
        <v>3</v>
      </c>
      <c r="AD931">
        <f t="shared" si="80"/>
        <v>2</v>
      </c>
      <c r="AE931">
        <f t="shared" si="80"/>
        <v>1</v>
      </c>
      <c r="AF931">
        <f t="shared" si="80"/>
        <v>3</v>
      </c>
      <c r="AG931">
        <f t="shared" si="77"/>
        <v>12</v>
      </c>
      <c r="AH931">
        <f t="shared" ca="1" si="78"/>
        <v>0</v>
      </c>
      <c r="AI931">
        <f>IF(ROW($AA931) - $AA$51 &lt; ($H$16+1)^5, IF(AG931 &gt;= BaseBonus!$C$16, AG931*BaseBonus!$E$31, 0), "")</f>
        <v>11.268642975510955</v>
      </c>
      <c r="AJ931">
        <f t="shared" ca="1" si="79"/>
        <v>0</v>
      </c>
    </row>
    <row r="932" spans="28:36" x14ac:dyDescent="0.3">
      <c r="AB932">
        <f t="shared" si="80"/>
        <v>0</v>
      </c>
      <c r="AC932">
        <f t="shared" si="80"/>
        <v>0</v>
      </c>
      <c r="AD932">
        <f t="shared" si="80"/>
        <v>3</v>
      </c>
      <c r="AE932">
        <f t="shared" si="80"/>
        <v>1</v>
      </c>
      <c r="AF932">
        <f t="shared" si="80"/>
        <v>3</v>
      </c>
      <c r="AG932">
        <f t="shared" si="77"/>
        <v>7</v>
      </c>
      <c r="AH932">
        <f t="shared" ca="1" si="78"/>
        <v>0</v>
      </c>
      <c r="AI932">
        <f>IF(ROW($AA932) - $AA$51 &lt; ($H$16+1)^5, IF(AG932 &gt;= BaseBonus!$C$16, AG932*BaseBonus!$E$31, 0), "")</f>
        <v>6.5733750690480575</v>
      </c>
      <c r="AJ932">
        <f t="shared" ca="1" si="79"/>
        <v>0</v>
      </c>
    </row>
    <row r="933" spans="28:36" x14ac:dyDescent="0.3">
      <c r="AB933">
        <f t="shared" si="80"/>
        <v>1</v>
      </c>
      <c r="AC933">
        <f t="shared" si="80"/>
        <v>0</v>
      </c>
      <c r="AD933">
        <f t="shared" si="80"/>
        <v>3</v>
      </c>
      <c r="AE933">
        <f t="shared" si="80"/>
        <v>1</v>
      </c>
      <c r="AF933">
        <f t="shared" si="80"/>
        <v>3</v>
      </c>
      <c r="AG933">
        <f t="shared" si="77"/>
        <v>8</v>
      </c>
      <c r="AH933">
        <f t="shared" ca="1" si="78"/>
        <v>0</v>
      </c>
      <c r="AI933">
        <f>IF(ROW($AA933) - $AA$51 &lt; ($H$16+1)^5, IF(AG933 &gt;= BaseBonus!$C$16, AG933*BaseBonus!$E$31, 0), "")</f>
        <v>7.5124286503406372</v>
      </c>
      <c r="AJ933">
        <f t="shared" ca="1" si="79"/>
        <v>0</v>
      </c>
    </row>
    <row r="934" spans="28:36" x14ac:dyDescent="0.3">
      <c r="AB934">
        <f t="shared" si="80"/>
        <v>2</v>
      </c>
      <c r="AC934">
        <f t="shared" si="80"/>
        <v>0</v>
      </c>
      <c r="AD934">
        <f t="shared" si="80"/>
        <v>3</v>
      </c>
      <c r="AE934">
        <f t="shared" si="80"/>
        <v>1</v>
      </c>
      <c r="AF934">
        <f t="shared" si="80"/>
        <v>3</v>
      </c>
      <c r="AG934">
        <f t="shared" si="77"/>
        <v>9</v>
      </c>
      <c r="AH934">
        <f t="shared" ca="1" si="78"/>
        <v>0</v>
      </c>
      <c r="AI934">
        <f>IF(ROW($AA934) - $AA$51 &lt; ($H$16+1)^5, IF(AG934 &gt;= BaseBonus!$C$16, AG934*BaseBonus!$E$31, 0), "")</f>
        <v>8.4514822316332161</v>
      </c>
      <c r="AJ934">
        <f t="shared" ca="1" si="79"/>
        <v>0</v>
      </c>
    </row>
    <row r="935" spans="28:36" x14ac:dyDescent="0.3">
      <c r="AB935">
        <f t="shared" si="80"/>
        <v>3</v>
      </c>
      <c r="AC935">
        <f t="shared" si="80"/>
        <v>0</v>
      </c>
      <c r="AD935">
        <f t="shared" si="80"/>
        <v>3</v>
      </c>
      <c r="AE935">
        <f t="shared" si="80"/>
        <v>1</v>
      </c>
      <c r="AF935">
        <f t="shared" si="80"/>
        <v>3</v>
      </c>
      <c r="AG935">
        <f t="shared" si="77"/>
        <v>10</v>
      </c>
      <c r="AH935">
        <f t="shared" ca="1" si="78"/>
        <v>0</v>
      </c>
      <c r="AI935">
        <f>IF(ROW($AA935) - $AA$51 &lt; ($H$16+1)^5, IF(AG935 &gt;= BaseBonus!$C$16, AG935*BaseBonus!$E$31, 0), "")</f>
        <v>9.3905358129257959</v>
      </c>
      <c r="AJ935">
        <f t="shared" ca="1" si="79"/>
        <v>0</v>
      </c>
    </row>
    <row r="936" spans="28:36" x14ac:dyDescent="0.3">
      <c r="AB936">
        <f t="shared" si="80"/>
        <v>0</v>
      </c>
      <c r="AC936">
        <f t="shared" si="80"/>
        <v>1</v>
      </c>
      <c r="AD936">
        <f t="shared" si="80"/>
        <v>3</v>
      </c>
      <c r="AE936">
        <f t="shared" si="80"/>
        <v>1</v>
      </c>
      <c r="AF936">
        <f t="shared" si="80"/>
        <v>3</v>
      </c>
      <c r="AG936">
        <f t="shared" si="77"/>
        <v>8</v>
      </c>
      <c r="AH936">
        <f t="shared" ca="1" si="78"/>
        <v>0</v>
      </c>
      <c r="AI936">
        <f>IF(ROW($AA936) - $AA$51 &lt; ($H$16+1)^5, IF(AG936 &gt;= BaseBonus!$C$16, AG936*BaseBonus!$E$31, 0), "")</f>
        <v>7.5124286503406372</v>
      </c>
      <c r="AJ936">
        <f t="shared" ca="1" si="79"/>
        <v>0</v>
      </c>
    </row>
    <row r="937" spans="28:36" x14ac:dyDescent="0.3">
      <c r="AB937">
        <f t="shared" si="80"/>
        <v>1</v>
      </c>
      <c r="AC937">
        <f t="shared" si="80"/>
        <v>1</v>
      </c>
      <c r="AD937">
        <f t="shared" si="80"/>
        <v>3</v>
      </c>
      <c r="AE937">
        <f t="shared" si="80"/>
        <v>1</v>
      </c>
      <c r="AF937">
        <f t="shared" si="80"/>
        <v>3</v>
      </c>
      <c r="AG937">
        <f t="shared" si="77"/>
        <v>9</v>
      </c>
      <c r="AH937">
        <f t="shared" ca="1" si="78"/>
        <v>0</v>
      </c>
      <c r="AI937">
        <f>IF(ROW($AA937) - $AA$51 &lt; ($H$16+1)^5, IF(AG937 &gt;= BaseBonus!$C$16, AG937*BaseBonus!$E$31, 0), "")</f>
        <v>8.4514822316332161</v>
      </c>
      <c r="AJ937">
        <f t="shared" ca="1" si="79"/>
        <v>0</v>
      </c>
    </row>
    <row r="938" spans="28:36" x14ac:dyDescent="0.3">
      <c r="AB938">
        <f t="shared" si="80"/>
        <v>2</v>
      </c>
      <c r="AC938">
        <f t="shared" si="80"/>
        <v>1</v>
      </c>
      <c r="AD938">
        <f t="shared" si="80"/>
        <v>3</v>
      </c>
      <c r="AE938">
        <f t="shared" si="80"/>
        <v>1</v>
      </c>
      <c r="AF938">
        <f t="shared" si="80"/>
        <v>3</v>
      </c>
      <c r="AG938">
        <f t="shared" si="77"/>
        <v>10</v>
      </c>
      <c r="AH938">
        <f t="shared" ca="1" si="78"/>
        <v>0</v>
      </c>
      <c r="AI938">
        <f>IF(ROW($AA938) - $AA$51 &lt; ($H$16+1)^5, IF(AG938 &gt;= BaseBonus!$C$16, AG938*BaseBonus!$E$31, 0), "")</f>
        <v>9.3905358129257959</v>
      </c>
      <c r="AJ938">
        <f t="shared" ca="1" si="79"/>
        <v>0</v>
      </c>
    </row>
    <row r="939" spans="28:36" x14ac:dyDescent="0.3">
      <c r="AB939">
        <f t="shared" si="80"/>
        <v>3</v>
      </c>
      <c r="AC939">
        <f t="shared" si="80"/>
        <v>1</v>
      </c>
      <c r="AD939">
        <f t="shared" si="80"/>
        <v>3</v>
      </c>
      <c r="AE939">
        <f t="shared" si="80"/>
        <v>1</v>
      </c>
      <c r="AF939">
        <f t="shared" si="80"/>
        <v>3</v>
      </c>
      <c r="AG939">
        <f t="shared" si="77"/>
        <v>11</v>
      </c>
      <c r="AH939">
        <f t="shared" ca="1" si="78"/>
        <v>0</v>
      </c>
      <c r="AI939">
        <f>IF(ROW($AA939) - $AA$51 &lt; ($H$16+1)^5, IF(AG939 &gt;= BaseBonus!$C$16, AG939*BaseBonus!$E$31, 0), "")</f>
        <v>10.329589394218376</v>
      </c>
      <c r="AJ939">
        <f t="shared" ca="1" si="79"/>
        <v>0</v>
      </c>
    </row>
    <row r="940" spans="28:36" x14ac:dyDescent="0.3">
      <c r="AB940">
        <f t="shared" si="80"/>
        <v>0</v>
      </c>
      <c r="AC940">
        <f t="shared" si="80"/>
        <v>2</v>
      </c>
      <c r="AD940">
        <f t="shared" si="80"/>
        <v>3</v>
      </c>
      <c r="AE940">
        <f t="shared" si="80"/>
        <v>1</v>
      </c>
      <c r="AF940">
        <f t="shared" si="80"/>
        <v>3</v>
      </c>
      <c r="AG940">
        <f t="shared" si="77"/>
        <v>9</v>
      </c>
      <c r="AH940">
        <f t="shared" ca="1" si="78"/>
        <v>0</v>
      </c>
      <c r="AI940">
        <f>IF(ROW($AA940) - $AA$51 &lt; ($H$16+1)^5, IF(AG940 &gt;= BaseBonus!$C$16, AG940*BaseBonus!$E$31, 0), "")</f>
        <v>8.4514822316332161</v>
      </c>
      <c r="AJ940">
        <f t="shared" ca="1" si="79"/>
        <v>0</v>
      </c>
    </row>
    <row r="941" spans="28:36" x14ac:dyDescent="0.3">
      <c r="AB941">
        <f t="shared" si="80"/>
        <v>1</v>
      </c>
      <c r="AC941">
        <f t="shared" si="80"/>
        <v>2</v>
      </c>
      <c r="AD941">
        <f t="shared" si="80"/>
        <v>3</v>
      </c>
      <c r="AE941">
        <f t="shared" si="80"/>
        <v>1</v>
      </c>
      <c r="AF941">
        <f t="shared" si="80"/>
        <v>3</v>
      </c>
      <c r="AG941">
        <f t="shared" si="77"/>
        <v>10</v>
      </c>
      <c r="AH941">
        <f t="shared" ca="1" si="78"/>
        <v>0</v>
      </c>
      <c r="AI941">
        <f>IF(ROW($AA941) - $AA$51 &lt; ($H$16+1)^5, IF(AG941 &gt;= BaseBonus!$C$16, AG941*BaseBonus!$E$31, 0), "")</f>
        <v>9.3905358129257959</v>
      </c>
      <c r="AJ941">
        <f t="shared" ca="1" si="79"/>
        <v>0</v>
      </c>
    </row>
    <row r="942" spans="28:36" x14ac:dyDescent="0.3">
      <c r="AB942">
        <f t="shared" si="80"/>
        <v>2</v>
      </c>
      <c r="AC942">
        <f t="shared" si="80"/>
        <v>2</v>
      </c>
      <c r="AD942">
        <f t="shared" si="80"/>
        <v>3</v>
      </c>
      <c r="AE942">
        <f t="shared" si="80"/>
        <v>1</v>
      </c>
      <c r="AF942">
        <f t="shared" si="80"/>
        <v>3</v>
      </c>
      <c r="AG942">
        <f t="shared" si="77"/>
        <v>11</v>
      </c>
      <c r="AH942">
        <f t="shared" ca="1" si="78"/>
        <v>0</v>
      </c>
      <c r="AI942">
        <f>IF(ROW($AA942) - $AA$51 &lt; ($H$16+1)^5, IF(AG942 &gt;= BaseBonus!$C$16, AG942*BaseBonus!$E$31, 0), "")</f>
        <v>10.329589394218376</v>
      </c>
      <c r="AJ942">
        <f t="shared" ca="1" si="79"/>
        <v>0</v>
      </c>
    </row>
    <row r="943" spans="28:36" x14ac:dyDescent="0.3">
      <c r="AB943">
        <f t="shared" si="80"/>
        <v>3</v>
      </c>
      <c r="AC943">
        <f t="shared" si="80"/>
        <v>2</v>
      </c>
      <c r="AD943">
        <f t="shared" si="80"/>
        <v>3</v>
      </c>
      <c r="AE943">
        <f t="shared" si="80"/>
        <v>1</v>
      </c>
      <c r="AF943">
        <f t="shared" si="80"/>
        <v>3</v>
      </c>
      <c r="AG943">
        <f t="shared" si="77"/>
        <v>12</v>
      </c>
      <c r="AH943">
        <f t="shared" ca="1" si="78"/>
        <v>0</v>
      </c>
      <c r="AI943">
        <f>IF(ROW($AA943) - $AA$51 &lt; ($H$16+1)^5, IF(AG943 &gt;= BaseBonus!$C$16, AG943*BaseBonus!$E$31, 0), "")</f>
        <v>11.268642975510955</v>
      </c>
      <c r="AJ943">
        <f t="shared" ca="1" si="79"/>
        <v>0</v>
      </c>
    </row>
    <row r="944" spans="28:36" x14ac:dyDescent="0.3">
      <c r="AB944">
        <f t="shared" si="80"/>
        <v>0</v>
      </c>
      <c r="AC944">
        <f t="shared" si="80"/>
        <v>3</v>
      </c>
      <c r="AD944">
        <f t="shared" si="80"/>
        <v>3</v>
      </c>
      <c r="AE944">
        <f t="shared" si="80"/>
        <v>1</v>
      </c>
      <c r="AF944">
        <f t="shared" si="80"/>
        <v>3</v>
      </c>
      <c r="AG944">
        <f t="shared" si="77"/>
        <v>10</v>
      </c>
      <c r="AH944">
        <f t="shared" ca="1" si="78"/>
        <v>0</v>
      </c>
      <c r="AI944">
        <f>IF(ROW($AA944) - $AA$51 &lt; ($H$16+1)^5, IF(AG944 &gt;= BaseBonus!$C$16, AG944*BaseBonus!$E$31, 0), "")</f>
        <v>9.3905358129257959</v>
      </c>
      <c r="AJ944">
        <f t="shared" ca="1" si="79"/>
        <v>0</v>
      </c>
    </row>
    <row r="945" spans="28:36" x14ac:dyDescent="0.3">
      <c r="AB945">
        <f t="shared" si="80"/>
        <v>1</v>
      </c>
      <c r="AC945">
        <f t="shared" si="80"/>
        <v>3</v>
      </c>
      <c r="AD945">
        <f t="shared" si="80"/>
        <v>3</v>
      </c>
      <c r="AE945">
        <f t="shared" si="80"/>
        <v>1</v>
      </c>
      <c r="AF945">
        <f t="shared" si="80"/>
        <v>3</v>
      </c>
      <c r="AG945">
        <f t="shared" si="77"/>
        <v>11</v>
      </c>
      <c r="AH945">
        <f t="shared" ca="1" si="78"/>
        <v>0</v>
      </c>
      <c r="AI945">
        <f>IF(ROW($AA945) - $AA$51 &lt; ($H$16+1)^5, IF(AG945 &gt;= BaseBonus!$C$16, AG945*BaseBonus!$E$31, 0), "")</f>
        <v>10.329589394218376</v>
      </c>
      <c r="AJ945">
        <f t="shared" ca="1" si="79"/>
        <v>0</v>
      </c>
    </row>
    <row r="946" spans="28:36" x14ac:dyDescent="0.3">
      <c r="AB946">
        <f t="shared" si="80"/>
        <v>2</v>
      </c>
      <c r="AC946">
        <f t="shared" si="80"/>
        <v>3</v>
      </c>
      <c r="AD946">
        <f t="shared" si="80"/>
        <v>3</v>
      </c>
      <c r="AE946">
        <f t="shared" si="80"/>
        <v>1</v>
      </c>
      <c r="AF946">
        <f t="shared" si="80"/>
        <v>3</v>
      </c>
      <c r="AG946">
        <f t="shared" si="77"/>
        <v>12</v>
      </c>
      <c r="AH946">
        <f t="shared" ca="1" si="78"/>
        <v>0</v>
      </c>
      <c r="AI946">
        <f>IF(ROW($AA946) - $AA$51 &lt; ($H$16+1)^5, IF(AG946 &gt;= BaseBonus!$C$16, AG946*BaseBonus!$E$31, 0), "")</f>
        <v>11.268642975510955</v>
      </c>
      <c r="AJ946">
        <f t="shared" ca="1" si="79"/>
        <v>0</v>
      </c>
    </row>
    <row r="947" spans="28:36" x14ac:dyDescent="0.3">
      <c r="AB947">
        <f t="shared" si="80"/>
        <v>3</v>
      </c>
      <c r="AC947">
        <f t="shared" si="80"/>
        <v>3</v>
      </c>
      <c r="AD947">
        <f t="shared" si="80"/>
        <v>3</v>
      </c>
      <c r="AE947">
        <f t="shared" si="80"/>
        <v>1</v>
      </c>
      <c r="AF947">
        <f t="shared" si="80"/>
        <v>3</v>
      </c>
      <c r="AG947">
        <f t="shared" si="77"/>
        <v>13</v>
      </c>
      <c r="AH947">
        <f t="shared" ca="1" si="78"/>
        <v>0</v>
      </c>
      <c r="AI947">
        <f>IF(ROW($AA947) - $AA$51 &lt; ($H$16+1)^5, IF(AG947 &gt;= BaseBonus!$C$16, AG947*BaseBonus!$E$31, 0), "")</f>
        <v>12.207696556803535</v>
      </c>
      <c r="AJ947">
        <f t="shared" ca="1" si="79"/>
        <v>0</v>
      </c>
    </row>
    <row r="948" spans="28:36" x14ac:dyDescent="0.3">
      <c r="AB948">
        <f t="shared" si="80"/>
        <v>0</v>
      </c>
      <c r="AC948">
        <f t="shared" si="80"/>
        <v>0</v>
      </c>
      <c r="AD948">
        <f t="shared" si="80"/>
        <v>0</v>
      </c>
      <c r="AE948">
        <f t="shared" si="80"/>
        <v>2</v>
      </c>
      <c r="AF948">
        <f t="shared" si="80"/>
        <v>3</v>
      </c>
      <c r="AG948">
        <f t="shared" ref="AG948:AG1011" si="81">IF(ROW($AA948) - $AA$51 &lt; ($H$16+1)^5, SUM(AB948:AF948), "")</f>
        <v>5</v>
      </c>
      <c r="AH948">
        <f t="shared" ref="AH948:AH1011" ca="1" si="82">IF(ROW($AA948) - $AA$51 &lt; (4)^5,
    (_xlfn.XLOOKUP(AB948,$T$51:$T$55,U$51:U$55,0)/U$27) * (_xlfn.XLOOKUP(AC948,$T$51:$T$55,V$51:V$55,0)/V$27) * (_xlfn.XLOOKUP(AD948,$T$51:$T$55,W$51:W$55,0)/W$27) * (_xlfn.XLOOKUP(AE948,$T$51:$T$55,X$51:X$55,0)/X$27) * (_xlfn.XLOOKUP(AF948,$T$51:$T$55,Y$51:Y$55,0)/Y$27),
"")</f>
        <v>0</v>
      </c>
      <c r="AI948">
        <f>IF(ROW($AA948) - $AA$51 &lt; ($H$16+1)^5, IF(AG948 &gt;= BaseBonus!$C$16, AG948*BaseBonus!$E$31, 0), "")</f>
        <v>4.6952679064628979</v>
      </c>
      <c r="AJ948">
        <f t="shared" ref="AJ948:AJ1011" ca="1" si="83">IF(ROW($AA948) - $AA$51 &lt; ($H$16+1)^5, AH948*AI948, "")</f>
        <v>0</v>
      </c>
    </row>
    <row r="949" spans="28:36" x14ac:dyDescent="0.3">
      <c r="AB949">
        <f t="shared" si="80"/>
        <v>1</v>
      </c>
      <c r="AC949">
        <f t="shared" si="80"/>
        <v>0</v>
      </c>
      <c r="AD949">
        <f t="shared" si="80"/>
        <v>0</v>
      </c>
      <c r="AE949">
        <f t="shared" si="80"/>
        <v>2</v>
      </c>
      <c r="AF949">
        <f t="shared" si="80"/>
        <v>3</v>
      </c>
      <c r="AG949">
        <f t="shared" si="81"/>
        <v>6</v>
      </c>
      <c r="AH949">
        <f t="shared" ca="1" si="82"/>
        <v>0</v>
      </c>
      <c r="AI949">
        <f>IF(ROW($AA949) - $AA$51 &lt; ($H$16+1)^5, IF(AG949 &gt;= BaseBonus!$C$16, AG949*BaseBonus!$E$31, 0), "")</f>
        <v>5.6343214877554777</v>
      </c>
      <c r="AJ949">
        <f t="shared" ca="1" si="83"/>
        <v>0</v>
      </c>
    </row>
    <row r="950" spans="28:36" x14ac:dyDescent="0.3">
      <c r="AB950">
        <f t="shared" si="80"/>
        <v>2</v>
      </c>
      <c r="AC950">
        <f t="shared" si="80"/>
        <v>0</v>
      </c>
      <c r="AD950">
        <f t="shared" si="80"/>
        <v>0</v>
      </c>
      <c r="AE950">
        <f t="shared" si="80"/>
        <v>2</v>
      </c>
      <c r="AF950">
        <f t="shared" si="80"/>
        <v>3</v>
      </c>
      <c r="AG950">
        <f t="shared" si="81"/>
        <v>7</v>
      </c>
      <c r="AH950">
        <f t="shared" ca="1" si="82"/>
        <v>0</v>
      </c>
      <c r="AI950">
        <f>IF(ROW($AA950) - $AA$51 &lt; ($H$16+1)^5, IF(AG950 &gt;= BaseBonus!$C$16, AG950*BaseBonus!$E$31, 0), "")</f>
        <v>6.5733750690480575</v>
      </c>
      <c r="AJ950">
        <f t="shared" ca="1" si="83"/>
        <v>0</v>
      </c>
    </row>
    <row r="951" spans="28:36" x14ac:dyDescent="0.3">
      <c r="AB951">
        <f t="shared" si="80"/>
        <v>3</v>
      </c>
      <c r="AC951">
        <f t="shared" si="80"/>
        <v>0</v>
      </c>
      <c r="AD951">
        <f t="shared" si="80"/>
        <v>0</v>
      </c>
      <c r="AE951">
        <f t="shared" si="80"/>
        <v>2</v>
      </c>
      <c r="AF951">
        <f t="shared" si="80"/>
        <v>3</v>
      </c>
      <c r="AG951">
        <f t="shared" si="81"/>
        <v>8</v>
      </c>
      <c r="AH951">
        <f t="shared" ca="1" si="82"/>
        <v>0</v>
      </c>
      <c r="AI951">
        <f>IF(ROW($AA951) - $AA$51 &lt; ($H$16+1)^5, IF(AG951 &gt;= BaseBonus!$C$16, AG951*BaseBonus!$E$31, 0), "")</f>
        <v>7.5124286503406372</v>
      </c>
      <c r="AJ951">
        <f t="shared" ca="1" si="83"/>
        <v>0</v>
      </c>
    </row>
    <row r="952" spans="28:36" x14ac:dyDescent="0.3">
      <c r="AB952">
        <f t="shared" si="80"/>
        <v>0</v>
      </c>
      <c r="AC952">
        <f t="shared" si="80"/>
        <v>1</v>
      </c>
      <c r="AD952">
        <f t="shared" si="80"/>
        <v>0</v>
      </c>
      <c r="AE952">
        <f t="shared" si="80"/>
        <v>2</v>
      </c>
      <c r="AF952">
        <f t="shared" si="80"/>
        <v>3</v>
      </c>
      <c r="AG952">
        <f t="shared" si="81"/>
        <v>6</v>
      </c>
      <c r="AH952">
        <f t="shared" ca="1" si="82"/>
        <v>0</v>
      </c>
      <c r="AI952">
        <f>IF(ROW($AA952) - $AA$51 &lt; ($H$16+1)^5, IF(AG952 &gt;= BaseBonus!$C$16, AG952*BaseBonus!$E$31, 0), "")</f>
        <v>5.6343214877554777</v>
      </c>
      <c r="AJ952">
        <f t="shared" ca="1" si="83"/>
        <v>0</v>
      </c>
    </row>
    <row r="953" spans="28:36" x14ac:dyDescent="0.3">
      <c r="AB953">
        <f t="shared" si="80"/>
        <v>1</v>
      </c>
      <c r="AC953">
        <f t="shared" si="80"/>
        <v>1</v>
      </c>
      <c r="AD953">
        <f t="shared" si="80"/>
        <v>0</v>
      </c>
      <c r="AE953">
        <f t="shared" si="80"/>
        <v>2</v>
      </c>
      <c r="AF953">
        <f t="shared" si="80"/>
        <v>3</v>
      </c>
      <c r="AG953">
        <f t="shared" si="81"/>
        <v>7</v>
      </c>
      <c r="AH953">
        <f t="shared" ca="1" si="82"/>
        <v>0</v>
      </c>
      <c r="AI953">
        <f>IF(ROW($AA953) - $AA$51 &lt; ($H$16+1)^5, IF(AG953 &gt;= BaseBonus!$C$16, AG953*BaseBonus!$E$31, 0), "")</f>
        <v>6.5733750690480575</v>
      </c>
      <c r="AJ953">
        <f t="shared" ca="1" si="83"/>
        <v>0</v>
      </c>
    </row>
    <row r="954" spans="28:36" x14ac:dyDescent="0.3">
      <c r="AB954">
        <f t="shared" si="80"/>
        <v>2</v>
      </c>
      <c r="AC954">
        <f t="shared" si="80"/>
        <v>1</v>
      </c>
      <c r="AD954">
        <f t="shared" si="80"/>
        <v>0</v>
      </c>
      <c r="AE954">
        <f t="shared" si="80"/>
        <v>2</v>
      </c>
      <c r="AF954">
        <f t="shared" si="80"/>
        <v>3</v>
      </c>
      <c r="AG954">
        <f t="shared" si="81"/>
        <v>8</v>
      </c>
      <c r="AH954">
        <f t="shared" ca="1" si="82"/>
        <v>0</v>
      </c>
      <c r="AI954">
        <f>IF(ROW($AA954) - $AA$51 &lt; ($H$16+1)^5, IF(AG954 &gt;= BaseBonus!$C$16, AG954*BaseBonus!$E$31, 0), "")</f>
        <v>7.5124286503406372</v>
      </c>
      <c r="AJ954">
        <f t="shared" ca="1" si="83"/>
        <v>0</v>
      </c>
    </row>
    <row r="955" spans="28:36" x14ac:dyDescent="0.3">
      <c r="AB955">
        <f t="shared" si="80"/>
        <v>3</v>
      </c>
      <c r="AC955">
        <f t="shared" si="80"/>
        <v>1</v>
      </c>
      <c r="AD955">
        <f t="shared" si="80"/>
        <v>0</v>
      </c>
      <c r="AE955">
        <f t="shared" si="80"/>
        <v>2</v>
      </c>
      <c r="AF955">
        <f t="shared" si="80"/>
        <v>3</v>
      </c>
      <c r="AG955">
        <f t="shared" si="81"/>
        <v>9</v>
      </c>
      <c r="AH955">
        <f t="shared" ca="1" si="82"/>
        <v>0</v>
      </c>
      <c r="AI955">
        <f>IF(ROW($AA955) - $AA$51 &lt; ($H$16+1)^5, IF(AG955 &gt;= BaseBonus!$C$16, AG955*BaseBonus!$E$31, 0), "")</f>
        <v>8.4514822316332161</v>
      </c>
      <c r="AJ955">
        <f t="shared" ca="1" si="83"/>
        <v>0</v>
      </c>
    </row>
    <row r="956" spans="28:36" x14ac:dyDescent="0.3">
      <c r="AB956">
        <f t="shared" si="80"/>
        <v>0</v>
      </c>
      <c r="AC956">
        <f t="shared" si="80"/>
        <v>2</v>
      </c>
      <c r="AD956">
        <f t="shared" si="80"/>
        <v>0</v>
      </c>
      <c r="AE956">
        <f t="shared" si="80"/>
        <v>2</v>
      </c>
      <c r="AF956">
        <f t="shared" si="80"/>
        <v>3</v>
      </c>
      <c r="AG956">
        <f t="shared" si="81"/>
        <v>7</v>
      </c>
      <c r="AH956">
        <f t="shared" ca="1" si="82"/>
        <v>0</v>
      </c>
      <c r="AI956">
        <f>IF(ROW($AA956) - $AA$51 &lt; ($H$16+1)^5, IF(AG956 &gt;= BaseBonus!$C$16, AG956*BaseBonus!$E$31, 0), "")</f>
        <v>6.5733750690480575</v>
      </c>
      <c r="AJ956">
        <f t="shared" ca="1" si="83"/>
        <v>0</v>
      </c>
    </row>
    <row r="957" spans="28:36" x14ac:dyDescent="0.3">
      <c r="AB957">
        <f t="shared" si="80"/>
        <v>1</v>
      </c>
      <c r="AC957">
        <f t="shared" si="80"/>
        <v>2</v>
      </c>
      <c r="AD957">
        <f t="shared" si="80"/>
        <v>0</v>
      </c>
      <c r="AE957">
        <f t="shared" si="80"/>
        <v>2</v>
      </c>
      <c r="AF957">
        <f t="shared" si="80"/>
        <v>3</v>
      </c>
      <c r="AG957">
        <f t="shared" si="81"/>
        <v>8</v>
      </c>
      <c r="AH957">
        <f t="shared" ca="1" si="82"/>
        <v>0</v>
      </c>
      <c r="AI957">
        <f>IF(ROW($AA957) - $AA$51 &lt; ($H$16+1)^5, IF(AG957 &gt;= BaseBonus!$C$16, AG957*BaseBonus!$E$31, 0), "")</f>
        <v>7.5124286503406372</v>
      </c>
      <c r="AJ957">
        <f t="shared" ca="1" si="83"/>
        <v>0</v>
      </c>
    </row>
    <row r="958" spans="28:36" x14ac:dyDescent="0.3">
      <c r="AB958">
        <f t="shared" si="80"/>
        <v>2</v>
      </c>
      <c r="AC958">
        <f t="shared" si="80"/>
        <v>2</v>
      </c>
      <c r="AD958">
        <f t="shared" si="80"/>
        <v>0</v>
      </c>
      <c r="AE958">
        <f t="shared" si="80"/>
        <v>2</v>
      </c>
      <c r="AF958">
        <f t="shared" si="80"/>
        <v>3</v>
      </c>
      <c r="AG958">
        <f t="shared" si="81"/>
        <v>9</v>
      </c>
      <c r="AH958">
        <f t="shared" ca="1" si="82"/>
        <v>0</v>
      </c>
      <c r="AI958">
        <f>IF(ROW($AA958) - $AA$51 &lt; ($H$16+1)^5, IF(AG958 &gt;= BaseBonus!$C$16, AG958*BaseBonus!$E$31, 0), "")</f>
        <v>8.4514822316332161</v>
      </c>
      <c r="AJ958">
        <f t="shared" ca="1" si="83"/>
        <v>0</v>
      </c>
    </row>
    <row r="959" spans="28:36" x14ac:dyDescent="0.3">
      <c r="AB959">
        <f t="shared" si="80"/>
        <v>3</v>
      </c>
      <c r="AC959">
        <f t="shared" si="80"/>
        <v>2</v>
      </c>
      <c r="AD959">
        <f t="shared" si="80"/>
        <v>0</v>
      </c>
      <c r="AE959">
        <f t="shared" si="80"/>
        <v>2</v>
      </c>
      <c r="AF959">
        <f t="shared" si="80"/>
        <v>3</v>
      </c>
      <c r="AG959">
        <f t="shared" si="81"/>
        <v>10</v>
      </c>
      <c r="AH959">
        <f t="shared" ca="1" si="82"/>
        <v>0</v>
      </c>
      <c r="AI959">
        <f>IF(ROW($AA959) - $AA$51 &lt; ($H$16+1)^5, IF(AG959 &gt;= BaseBonus!$C$16, AG959*BaseBonus!$E$31, 0), "")</f>
        <v>9.3905358129257959</v>
      </c>
      <c r="AJ959">
        <f t="shared" ca="1" si="83"/>
        <v>0</v>
      </c>
    </row>
    <row r="960" spans="28:36" x14ac:dyDescent="0.3">
      <c r="AB960">
        <f t="shared" si="80"/>
        <v>0</v>
      </c>
      <c r="AC960">
        <f t="shared" si="80"/>
        <v>3</v>
      </c>
      <c r="AD960">
        <f t="shared" si="80"/>
        <v>0</v>
      </c>
      <c r="AE960">
        <f t="shared" si="80"/>
        <v>2</v>
      </c>
      <c r="AF960">
        <f t="shared" si="80"/>
        <v>3</v>
      </c>
      <c r="AG960">
        <f t="shared" si="81"/>
        <v>8</v>
      </c>
      <c r="AH960">
        <f t="shared" ca="1" si="82"/>
        <v>0</v>
      </c>
      <c r="AI960">
        <f>IF(ROW($AA960) - $AA$51 &lt; ($H$16+1)^5, IF(AG960 &gt;= BaseBonus!$C$16, AG960*BaseBonus!$E$31, 0), "")</f>
        <v>7.5124286503406372</v>
      </c>
      <c r="AJ960">
        <f t="shared" ca="1" si="83"/>
        <v>0</v>
      </c>
    </row>
    <row r="961" spans="28:36" x14ac:dyDescent="0.3">
      <c r="AB961">
        <f t="shared" si="80"/>
        <v>1</v>
      </c>
      <c r="AC961">
        <f t="shared" si="80"/>
        <v>3</v>
      </c>
      <c r="AD961">
        <f t="shared" si="80"/>
        <v>0</v>
      </c>
      <c r="AE961">
        <f t="shared" si="80"/>
        <v>2</v>
      </c>
      <c r="AF961">
        <f t="shared" si="80"/>
        <v>3</v>
      </c>
      <c r="AG961">
        <f t="shared" si="81"/>
        <v>9</v>
      </c>
      <c r="AH961">
        <f t="shared" ca="1" si="82"/>
        <v>0</v>
      </c>
      <c r="AI961">
        <f>IF(ROW($AA961) - $AA$51 &lt; ($H$16+1)^5, IF(AG961 &gt;= BaseBonus!$C$16, AG961*BaseBonus!$E$31, 0), "")</f>
        <v>8.4514822316332161</v>
      </c>
      <c r="AJ961">
        <f t="shared" ca="1" si="83"/>
        <v>0</v>
      </c>
    </row>
    <row r="962" spans="28:36" x14ac:dyDescent="0.3">
      <c r="AB962">
        <f t="shared" si="80"/>
        <v>2</v>
      </c>
      <c r="AC962">
        <f t="shared" si="80"/>
        <v>3</v>
      </c>
      <c r="AD962">
        <f t="shared" si="80"/>
        <v>0</v>
      </c>
      <c r="AE962">
        <f t="shared" si="80"/>
        <v>2</v>
      </c>
      <c r="AF962">
        <f t="shared" si="80"/>
        <v>3</v>
      </c>
      <c r="AG962">
        <f t="shared" si="81"/>
        <v>10</v>
      </c>
      <c r="AH962">
        <f t="shared" ca="1" si="82"/>
        <v>0</v>
      </c>
      <c r="AI962">
        <f>IF(ROW($AA962) - $AA$51 &lt; ($H$16+1)^5, IF(AG962 &gt;= BaseBonus!$C$16, AG962*BaseBonus!$E$31, 0), "")</f>
        <v>9.3905358129257959</v>
      </c>
      <c r="AJ962">
        <f t="shared" ca="1" si="83"/>
        <v>0</v>
      </c>
    </row>
    <row r="963" spans="28:36" x14ac:dyDescent="0.3">
      <c r="AB963">
        <f t="shared" si="80"/>
        <v>3</v>
      </c>
      <c r="AC963">
        <f t="shared" si="80"/>
        <v>3</v>
      </c>
      <c r="AD963">
        <f t="shared" si="80"/>
        <v>0</v>
      </c>
      <c r="AE963">
        <f t="shared" si="80"/>
        <v>2</v>
      </c>
      <c r="AF963">
        <f t="shared" si="80"/>
        <v>3</v>
      </c>
      <c r="AG963">
        <f t="shared" si="81"/>
        <v>11</v>
      </c>
      <c r="AH963">
        <f t="shared" ca="1" si="82"/>
        <v>0</v>
      </c>
      <c r="AI963">
        <f>IF(ROW($AA963) - $AA$51 &lt; ($H$16+1)^5, IF(AG963 &gt;= BaseBonus!$C$16, AG963*BaseBonus!$E$31, 0), "")</f>
        <v>10.329589394218376</v>
      </c>
      <c r="AJ963">
        <f t="shared" ca="1" si="83"/>
        <v>0</v>
      </c>
    </row>
    <row r="964" spans="28:36" x14ac:dyDescent="0.3">
      <c r="AB964">
        <f t="shared" si="80"/>
        <v>0</v>
      </c>
      <c r="AC964">
        <f t="shared" si="80"/>
        <v>0</v>
      </c>
      <c r="AD964">
        <f t="shared" si="80"/>
        <v>1</v>
      </c>
      <c r="AE964">
        <f t="shared" si="80"/>
        <v>2</v>
      </c>
      <c r="AF964">
        <f t="shared" si="80"/>
        <v>3</v>
      </c>
      <c r="AG964">
        <f t="shared" si="81"/>
        <v>6</v>
      </c>
      <c r="AH964">
        <f t="shared" ca="1" si="82"/>
        <v>0</v>
      </c>
      <c r="AI964">
        <f>IF(ROW($AA964) - $AA$51 &lt; ($H$16+1)^5, IF(AG964 &gt;= BaseBonus!$C$16, AG964*BaseBonus!$E$31, 0), "")</f>
        <v>5.6343214877554777</v>
      </c>
      <c r="AJ964">
        <f t="shared" ca="1" si="83"/>
        <v>0</v>
      </c>
    </row>
    <row r="965" spans="28:36" x14ac:dyDescent="0.3">
      <c r="AB965">
        <f t="shared" si="80"/>
        <v>1</v>
      </c>
      <c r="AC965">
        <f t="shared" si="80"/>
        <v>0</v>
      </c>
      <c r="AD965">
        <f t="shared" si="80"/>
        <v>1</v>
      </c>
      <c r="AE965">
        <f t="shared" si="80"/>
        <v>2</v>
      </c>
      <c r="AF965">
        <f t="shared" si="80"/>
        <v>3</v>
      </c>
      <c r="AG965">
        <f t="shared" si="81"/>
        <v>7</v>
      </c>
      <c r="AH965">
        <f t="shared" ca="1" si="82"/>
        <v>0</v>
      </c>
      <c r="AI965">
        <f>IF(ROW($AA965) - $AA$51 &lt; ($H$16+1)^5, IF(AG965 &gt;= BaseBonus!$C$16, AG965*BaseBonus!$E$31, 0), "")</f>
        <v>6.5733750690480575</v>
      </c>
      <c r="AJ965">
        <f t="shared" ca="1" si="83"/>
        <v>0</v>
      </c>
    </row>
    <row r="966" spans="28:36" x14ac:dyDescent="0.3">
      <c r="AB966">
        <f t="shared" si="80"/>
        <v>2</v>
      </c>
      <c r="AC966">
        <f t="shared" si="80"/>
        <v>0</v>
      </c>
      <c r="AD966">
        <f t="shared" si="80"/>
        <v>1</v>
      </c>
      <c r="AE966">
        <f t="shared" si="80"/>
        <v>2</v>
      </c>
      <c r="AF966">
        <f t="shared" si="80"/>
        <v>3</v>
      </c>
      <c r="AG966">
        <f t="shared" si="81"/>
        <v>8</v>
      </c>
      <c r="AH966">
        <f t="shared" ca="1" si="82"/>
        <v>0</v>
      </c>
      <c r="AI966">
        <f>IF(ROW($AA966) - $AA$51 &lt; ($H$16+1)^5, IF(AG966 &gt;= BaseBonus!$C$16, AG966*BaseBonus!$E$31, 0), "")</f>
        <v>7.5124286503406372</v>
      </c>
      <c r="AJ966">
        <f t="shared" ca="1" si="83"/>
        <v>0</v>
      </c>
    </row>
    <row r="967" spans="28:36" x14ac:dyDescent="0.3">
      <c r="AB967">
        <f t="shared" si="80"/>
        <v>3</v>
      </c>
      <c r="AC967">
        <f t="shared" si="80"/>
        <v>0</v>
      </c>
      <c r="AD967">
        <f t="shared" si="80"/>
        <v>1</v>
      </c>
      <c r="AE967">
        <f t="shared" si="80"/>
        <v>2</v>
      </c>
      <c r="AF967">
        <f t="shared" si="80"/>
        <v>3</v>
      </c>
      <c r="AG967">
        <f t="shared" si="81"/>
        <v>9</v>
      </c>
      <c r="AH967">
        <f t="shared" ca="1" si="82"/>
        <v>0</v>
      </c>
      <c r="AI967">
        <f>IF(ROW($AA967) - $AA$51 &lt; ($H$16+1)^5, IF(AG967 &gt;= BaseBonus!$C$16, AG967*BaseBonus!$E$31, 0), "")</f>
        <v>8.4514822316332161</v>
      </c>
      <c r="AJ967">
        <f t="shared" ca="1" si="83"/>
        <v>0</v>
      </c>
    </row>
    <row r="968" spans="28:36" x14ac:dyDescent="0.3">
      <c r="AB968">
        <f t="shared" si="80"/>
        <v>0</v>
      </c>
      <c r="AC968">
        <f t="shared" si="80"/>
        <v>1</v>
      </c>
      <c r="AD968">
        <f t="shared" si="80"/>
        <v>1</v>
      </c>
      <c r="AE968">
        <f t="shared" si="80"/>
        <v>2</v>
      </c>
      <c r="AF968">
        <f t="shared" si="80"/>
        <v>3</v>
      </c>
      <c r="AG968">
        <f t="shared" si="81"/>
        <v>7</v>
      </c>
      <c r="AH968">
        <f t="shared" ca="1" si="82"/>
        <v>0</v>
      </c>
      <c r="AI968">
        <f>IF(ROW($AA968) - $AA$51 &lt; ($H$16+1)^5, IF(AG968 &gt;= BaseBonus!$C$16, AG968*BaseBonus!$E$31, 0), "")</f>
        <v>6.5733750690480575</v>
      </c>
      <c r="AJ968">
        <f t="shared" ca="1" si="83"/>
        <v>0</v>
      </c>
    </row>
    <row r="969" spans="28:36" x14ac:dyDescent="0.3">
      <c r="AB969">
        <f t="shared" si="80"/>
        <v>1</v>
      </c>
      <c r="AC969">
        <f t="shared" si="80"/>
        <v>1</v>
      </c>
      <c r="AD969">
        <f t="shared" si="80"/>
        <v>1</v>
      </c>
      <c r="AE969">
        <f t="shared" si="80"/>
        <v>2</v>
      </c>
      <c r="AF969">
        <f t="shared" si="80"/>
        <v>3</v>
      </c>
      <c r="AG969">
        <f t="shared" si="81"/>
        <v>8</v>
      </c>
      <c r="AH969">
        <f t="shared" ca="1" si="82"/>
        <v>0</v>
      </c>
      <c r="AI969">
        <f>IF(ROW($AA969) - $AA$51 &lt; ($H$16+1)^5, IF(AG969 &gt;= BaseBonus!$C$16, AG969*BaseBonus!$E$31, 0), "")</f>
        <v>7.5124286503406372</v>
      </c>
      <c r="AJ969">
        <f t="shared" ca="1" si="83"/>
        <v>0</v>
      </c>
    </row>
    <row r="970" spans="28:36" x14ac:dyDescent="0.3">
      <c r="AB970">
        <f t="shared" ref="AB970:AF1020" si="84">IF(ROW()-$AA$51 &lt; (H$16+1)^5, MOD(_xlfn.FLOOR.MATH((ROW()-$AA$51)/AB$50), H$16+1), "")</f>
        <v>2</v>
      </c>
      <c r="AC970">
        <f t="shared" si="84"/>
        <v>1</v>
      </c>
      <c r="AD970">
        <f t="shared" si="84"/>
        <v>1</v>
      </c>
      <c r="AE970">
        <f t="shared" si="84"/>
        <v>2</v>
      </c>
      <c r="AF970">
        <f t="shared" si="84"/>
        <v>3</v>
      </c>
      <c r="AG970">
        <f t="shared" si="81"/>
        <v>9</v>
      </c>
      <c r="AH970">
        <f t="shared" ca="1" si="82"/>
        <v>0</v>
      </c>
      <c r="AI970">
        <f>IF(ROW($AA970) - $AA$51 &lt; ($H$16+1)^5, IF(AG970 &gt;= BaseBonus!$C$16, AG970*BaseBonus!$E$31, 0), "")</f>
        <v>8.4514822316332161</v>
      </c>
      <c r="AJ970">
        <f t="shared" ca="1" si="83"/>
        <v>0</v>
      </c>
    </row>
    <row r="971" spans="28:36" x14ac:dyDescent="0.3">
      <c r="AB971">
        <f t="shared" si="84"/>
        <v>3</v>
      </c>
      <c r="AC971">
        <f t="shared" si="84"/>
        <v>1</v>
      </c>
      <c r="AD971">
        <f t="shared" si="84"/>
        <v>1</v>
      </c>
      <c r="AE971">
        <f t="shared" si="84"/>
        <v>2</v>
      </c>
      <c r="AF971">
        <f t="shared" si="84"/>
        <v>3</v>
      </c>
      <c r="AG971">
        <f t="shared" si="81"/>
        <v>10</v>
      </c>
      <c r="AH971">
        <f t="shared" ca="1" si="82"/>
        <v>0</v>
      </c>
      <c r="AI971">
        <f>IF(ROW($AA971) - $AA$51 &lt; ($H$16+1)^5, IF(AG971 &gt;= BaseBonus!$C$16, AG971*BaseBonus!$E$31, 0), "")</f>
        <v>9.3905358129257959</v>
      </c>
      <c r="AJ971">
        <f t="shared" ca="1" si="83"/>
        <v>0</v>
      </c>
    </row>
    <row r="972" spans="28:36" x14ac:dyDescent="0.3">
      <c r="AB972">
        <f t="shared" si="84"/>
        <v>0</v>
      </c>
      <c r="AC972">
        <f t="shared" si="84"/>
        <v>2</v>
      </c>
      <c r="AD972">
        <f t="shared" si="84"/>
        <v>1</v>
      </c>
      <c r="AE972">
        <f t="shared" si="84"/>
        <v>2</v>
      </c>
      <c r="AF972">
        <f t="shared" si="84"/>
        <v>3</v>
      </c>
      <c r="AG972">
        <f t="shared" si="81"/>
        <v>8</v>
      </c>
      <c r="AH972">
        <f t="shared" ca="1" si="82"/>
        <v>0</v>
      </c>
      <c r="AI972">
        <f>IF(ROW($AA972) - $AA$51 &lt; ($H$16+1)^5, IF(AG972 &gt;= BaseBonus!$C$16, AG972*BaseBonus!$E$31, 0), "")</f>
        <v>7.5124286503406372</v>
      </c>
      <c r="AJ972">
        <f t="shared" ca="1" si="83"/>
        <v>0</v>
      </c>
    </row>
    <row r="973" spans="28:36" x14ac:dyDescent="0.3">
      <c r="AB973">
        <f t="shared" si="84"/>
        <v>1</v>
      </c>
      <c r="AC973">
        <f t="shared" si="84"/>
        <v>2</v>
      </c>
      <c r="AD973">
        <f t="shared" si="84"/>
        <v>1</v>
      </c>
      <c r="AE973">
        <f t="shared" si="84"/>
        <v>2</v>
      </c>
      <c r="AF973">
        <f t="shared" si="84"/>
        <v>3</v>
      </c>
      <c r="AG973">
        <f t="shared" si="81"/>
        <v>9</v>
      </c>
      <c r="AH973">
        <f t="shared" ca="1" si="82"/>
        <v>0</v>
      </c>
      <c r="AI973">
        <f>IF(ROW($AA973) - $AA$51 &lt; ($H$16+1)^5, IF(AG973 &gt;= BaseBonus!$C$16, AG973*BaseBonus!$E$31, 0), "")</f>
        <v>8.4514822316332161</v>
      </c>
      <c r="AJ973">
        <f t="shared" ca="1" si="83"/>
        <v>0</v>
      </c>
    </row>
    <row r="974" spans="28:36" x14ac:dyDescent="0.3">
      <c r="AB974">
        <f t="shared" si="84"/>
        <v>2</v>
      </c>
      <c r="AC974">
        <f t="shared" si="84"/>
        <v>2</v>
      </c>
      <c r="AD974">
        <f t="shared" si="84"/>
        <v>1</v>
      </c>
      <c r="AE974">
        <f t="shared" si="84"/>
        <v>2</v>
      </c>
      <c r="AF974">
        <f t="shared" si="84"/>
        <v>3</v>
      </c>
      <c r="AG974">
        <f t="shared" si="81"/>
        <v>10</v>
      </c>
      <c r="AH974">
        <f t="shared" ca="1" si="82"/>
        <v>0</v>
      </c>
      <c r="AI974">
        <f>IF(ROW($AA974) - $AA$51 &lt; ($H$16+1)^5, IF(AG974 &gt;= BaseBonus!$C$16, AG974*BaseBonus!$E$31, 0), "")</f>
        <v>9.3905358129257959</v>
      </c>
      <c r="AJ974">
        <f t="shared" ca="1" si="83"/>
        <v>0</v>
      </c>
    </row>
    <row r="975" spans="28:36" x14ac:dyDescent="0.3">
      <c r="AB975">
        <f t="shared" si="84"/>
        <v>3</v>
      </c>
      <c r="AC975">
        <f t="shared" si="84"/>
        <v>2</v>
      </c>
      <c r="AD975">
        <f t="shared" si="84"/>
        <v>1</v>
      </c>
      <c r="AE975">
        <f t="shared" si="84"/>
        <v>2</v>
      </c>
      <c r="AF975">
        <f t="shared" si="84"/>
        <v>3</v>
      </c>
      <c r="AG975">
        <f t="shared" si="81"/>
        <v>11</v>
      </c>
      <c r="AH975">
        <f t="shared" ca="1" si="82"/>
        <v>0</v>
      </c>
      <c r="AI975">
        <f>IF(ROW($AA975) - $AA$51 &lt; ($H$16+1)^5, IF(AG975 &gt;= BaseBonus!$C$16, AG975*BaseBonus!$E$31, 0), "")</f>
        <v>10.329589394218376</v>
      </c>
      <c r="AJ975">
        <f t="shared" ca="1" si="83"/>
        <v>0</v>
      </c>
    </row>
    <row r="976" spans="28:36" x14ac:dyDescent="0.3">
      <c r="AB976">
        <f t="shared" si="84"/>
        <v>0</v>
      </c>
      <c r="AC976">
        <f t="shared" si="84"/>
        <v>3</v>
      </c>
      <c r="AD976">
        <f t="shared" si="84"/>
        <v>1</v>
      </c>
      <c r="AE976">
        <f t="shared" si="84"/>
        <v>2</v>
      </c>
      <c r="AF976">
        <f t="shared" si="84"/>
        <v>3</v>
      </c>
      <c r="AG976">
        <f t="shared" si="81"/>
        <v>9</v>
      </c>
      <c r="AH976">
        <f t="shared" ca="1" si="82"/>
        <v>0</v>
      </c>
      <c r="AI976">
        <f>IF(ROW($AA976) - $AA$51 &lt; ($H$16+1)^5, IF(AG976 &gt;= BaseBonus!$C$16, AG976*BaseBonus!$E$31, 0), "")</f>
        <v>8.4514822316332161</v>
      </c>
      <c r="AJ976">
        <f t="shared" ca="1" si="83"/>
        <v>0</v>
      </c>
    </row>
    <row r="977" spans="28:36" x14ac:dyDescent="0.3">
      <c r="AB977">
        <f t="shared" si="84"/>
        <v>1</v>
      </c>
      <c r="AC977">
        <f t="shared" si="84"/>
        <v>3</v>
      </c>
      <c r="AD977">
        <f t="shared" si="84"/>
        <v>1</v>
      </c>
      <c r="AE977">
        <f t="shared" si="84"/>
        <v>2</v>
      </c>
      <c r="AF977">
        <f t="shared" si="84"/>
        <v>3</v>
      </c>
      <c r="AG977">
        <f t="shared" si="81"/>
        <v>10</v>
      </c>
      <c r="AH977">
        <f t="shared" ca="1" si="82"/>
        <v>0</v>
      </c>
      <c r="AI977">
        <f>IF(ROW($AA977) - $AA$51 &lt; ($H$16+1)^5, IF(AG977 &gt;= BaseBonus!$C$16, AG977*BaseBonus!$E$31, 0), "")</f>
        <v>9.3905358129257959</v>
      </c>
      <c r="AJ977">
        <f t="shared" ca="1" si="83"/>
        <v>0</v>
      </c>
    </row>
    <row r="978" spans="28:36" x14ac:dyDescent="0.3">
      <c r="AB978">
        <f t="shared" si="84"/>
        <v>2</v>
      </c>
      <c r="AC978">
        <f t="shared" si="84"/>
        <v>3</v>
      </c>
      <c r="AD978">
        <f t="shared" si="84"/>
        <v>1</v>
      </c>
      <c r="AE978">
        <f t="shared" si="84"/>
        <v>2</v>
      </c>
      <c r="AF978">
        <f t="shared" si="84"/>
        <v>3</v>
      </c>
      <c r="AG978">
        <f t="shared" si="81"/>
        <v>11</v>
      </c>
      <c r="AH978">
        <f t="shared" ca="1" si="82"/>
        <v>0</v>
      </c>
      <c r="AI978">
        <f>IF(ROW($AA978) - $AA$51 &lt; ($H$16+1)^5, IF(AG978 &gt;= BaseBonus!$C$16, AG978*BaseBonus!$E$31, 0), "")</f>
        <v>10.329589394218376</v>
      </c>
      <c r="AJ978">
        <f t="shared" ca="1" si="83"/>
        <v>0</v>
      </c>
    </row>
    <row r="979" spans="28:36" x14ac:dyDescent="0.3">
      <c r="AB979">
        <f t="shared" si="84"/>
        <v>3</v>
      </c>
      <c r="AC979">
        <f t="shared" si="84"/>
        <v>3</v>
      </c>
      <c r="AD979">
        <f t="shared" si="84"/>
        <v>1</v>
      </c>
      <c r="AE979">
        <f t="shared" si="84"/>
        <v>2</v>
      </c>
      <c r="AF979">
        <f t="shared" si="84"/>
        <v>3</v>
      </c>
      <c r="AG979">
        <f t="shared" si="81"/>
        <v>12</v>
      </c>
      <c r="AH979">
        <f t="shared" ca="1" si="82"/>
        <v>0</v>
      </c>
      <c r="AI979">
        <f>IF(ROW($AA979) - $AA$51 &lt; ($H$16+1)^5, IF(AG979 &gt;= BaseBonus!$C$16, AG979*BaseBonus!$E$31, 0), "")</f>
        <v>11.268642975510955</v>
      </c>
      <c r="AJ979">
        <f t="shared" ca="1" si="83"/>
        <v>0</v>
      </c>
    </row>
    <row r="980" spans="28:36" x14ac:dyDescent="0.3">
      <c r="AB980">
        <f t="shared" si="84"/>
        <v>0</v>
      </c>
      <c r="AC980">
        <f t="shared" si="84"/>
        <v>0</v>
      </c>
      <c r="AD980">
        <f t="shared" si="84"/>
        <v>2</v>
      </c>
      <c r="AE980">
        <f t="shared" si="84"/>
        <v>2</v>
      </c>
      <c r="AF980">
        <f t="shared" si="84"/>
        <v>3</v>
      </c>
      <c r="AG980">
        <f t="shared" si="81"/>
        <v>7</v>
      </c>
      <c r="AH980">
        <f t="shared" ca="1" si="82"/>
        <v>0</v>
      </c>
      <c r="AI980">
        <f>IF(ROW($AA980) - $AA$51 &lt; ($H$16+1)^5, IF(AG980 &gt;= BaseBonus!$C$16, AG980*BaseBonus!$E$31, 0), "")</f>
        <v>6.5733750690480575</v>
      </c>
      <c r="AJ980">
        <f t="shared" ca="1" si="83"/>
        <v>0</v>
      </c>
    </row>
    <row r="981" spans="28:36" x14ac:dyDescent="0.3">
      <c r="AB981">
        <f t="shared" si="84"/>
        <v>1</v>
      </c>
      <c r="AC981">
        <f t="shared" si="84"/>
        <v>0</v>
      </c>
      <c r="AD981">
        <f t="shared" si="84"/>
        <v>2</v>
      </c>
      <c r="AE981">
        <f t="shared" si="84"/>
        <v>2</v>
      </c>
      <c r="AF981">
        <f t="shared" si="84"/>
        <v>3</v>
      </c>
      <c r="AG981">
        <f t="shared" si="81"/>
        <v>8</v>
      </c>
      <c r="AH981">
        <f t="shared" ca="1" si="82"/>
        <v>0</v>
      </c>
      <c r="AI981">
        <f>IF(ROW($AA981) - $AA$51 &lt; ($H$16+1)^5, IF(AG981 &gt;= BaseBonus!$C$16, AG981*BaseBonus!$E$31, 0), "")</f>
        <v>7.5124286503406372</v>
      </c>
      <c r="AJ981">
        <f t="shared" ca="1" si="83"/>
        <v>0</v>
      </c>
    </row>
    <row r="982" spans="28:36" x14ac:dyDescent="0.3">
      <c r="AB982">
        <f t="shared" si="84"/>
        <v>2</v>
      </c>
      <c r="AC982">
        <f t="shared" si="84"/>
        <v>0</v>
      </c>
      <c r="AD982">
        <f t="shared" si="84"/>
        <v>2</v>
      </c>
      <c r="AE982">
        <f t="shared" si="84"/>
        <v>2</v>
      </c>
      <c r="AF982">
        <f t="shared" si="84"/>
        <v>3</v>
      </c>
      <c r="AG982">
        <f t="shared" si="81"/>
        <v>9</v>
      </c>
      <c r="AH982">
        <f t="shared" ca="1" si="82"/>
        <v>0</v>
      </c>
      <c r="AI982">
        <f>IF(ROW($AA982) - $AA$51 &lt; ($H$16+1)^5, IF(AG982 &gt;= BaseBonus!$C$16, AG982*BaseBonus!$E$31, 0), "")</f>
        <v>8.4514822316332161</v>
      </c>
      <c r="AJ982">
        <f t="shared" ca="1" si="83"/>
        <v>0</v>
      </c>
    </row>
    <row r="983" spans="28:36" x14ac:dyDescent="0.3">
      <c r="AB983">
        <f t="shared" si="84"/>
        <v>3</v>
      </c>
      <c r="AC983">
        <f t="shared" si="84"/>
        <v>0</v>
      </c>
      <c r="AD983">
        <f t="shared" si="84"/>
        <v>2</v>
      </c>
      <c r="AE983">
        <f t="shared" si="84"/>
        <v>2</v>
      </c>
      <c r="AF983">
        <f t="shared" si="84"/>
        <v>3</v>
      </c>
      <c r="AG983">
        <f t="shared" si="81"/>
        <v>10</v>
      </c>
      <c r="AH983">
        <f t="shared" ca="1" si="82"/>
        <v>0</v>
      </c>
      <c r="AI983">
        <f>IF(ROW($AA983) - $AA$51 &lt; ($H$16+1)^5, IF(AG983 &gt;= BaseBonus!$C$16, AG983*BaseBonus!$E$31, 0), "")</f>
        <v>9.3905358129257959</v>
      </c>
      <c r="AJ983">
        <f t="shared" ca="1" si="83"/>
        <v>0</v>
      </c>
    </row>
    <row r="984" spans="28:36" x14ac:dyDescent="0.3">
      <c r="AB984">
        <f t="shared" si="84"/>
        <v>0</v>
      </c>
      <c r="AC984">
        <f t="shared" si="84"/>
        <v>1</v>
      </c>
      <c r="AD984">
        <f t="shared" si="84"/>
        <v>2</v>
      </c>
      <c r="AE984">
        <f t="shared" si="84"/>
        <v>2</v>
      </c>
      <c r="AF984">
        <f t="shared" si="84"/>
        <v>3</v>
      </c>
      <c r="AG984">
        <f t="shared" si="81"/>
        <v>8</v>
      </c>
      <c r="AH984">
        <f t="shared" ca="1" si="82"/>
        <v>0</v>
      </c>
      <c r="AI984">
        <f>IF(ROW($AA984) - $AA$51 &lt; ($H$16+1)^5, IF(AG984 &gt;= BaseBonus!$C$16, AG984*BaseBonus!$E$31, 0), "")</f>
        <v>7.5124286503406372</v>
      </c>
      <c r="AJ984">
        <f t="shared" ca="1" si="83"/>
        <v>0</v>
      </c>
    </row>
    <row r="985" spans="28:36" x14ac:dyDescent="0.3">
      <c r="AB985">
        <f t="shared" si="84"/>
        <v>1</v>
      </c>
      <c r="AC985">
        <f t="shared" si="84"/>
        <v>1</v>
      </c>
      <c r="AD985">
        <f t="shared" si="84"/>
        <v>2</v>
      </c>
      <c r="AE985">
        <f t="shared" si="84"/>
        <v>2</v>
      </c>
      <c r="AF985">
        <f t="shared" si="84"/>
        <v>3</v>
      </c>
      <c r="AG985">
        <f t="shared" si="81"/>
        <v>9</v>
      </c>
      <c r="AH985">
        <f t="shared" ca="1" si="82"/>
        <v>0</v>
      </c>
      <c r="AI985">
        <f>IF(ROW($AA985) - $AA$51 &lt; ($H$16+1)^5, IF(AG985 &gt;= BaseBonus!$C$16, AG985*BaseBonus!$E$31, 0), "")</f>
        <v>8.4514822316332161</v>
      </c>
      <c r="AJ985">
        <f t="shared" ca="1" si="83"/>
        <v>0</v>
      </c>
    </row>
    <row r="986" spans="28:36" x14ac:dyDescent="0.3">
      <c r="AB986">
        <f t="shared" si="84"/>
        <v>2</v>
      </c>
      <c r="AC986">
        <f t="shared" si="84"/>
        <v>1</v>
      </c>
      <c r="AD986">
        <f t="shared" si="84"/>
        <v>2</v>
      </c>
      <c r="AE986">
        <f t="shared" si="84"/>
        <v>2</v>
      </c>
      <c r="AF986">
        <f t="shared" si="84"/>
        <v>3</v>
      </c>
      <c r="AG986">
        <f t="shared" si="81"/>
        <v>10</v>
      </c>
      <c r="AH986">
        <f t="shared" ca="1" si="82"/>
        <v>0</v>
      </c>
      <c r="AI986">
        <f>IF(ROW($AA986) - $AA$51 &lt; ($H$16+1)^5, IF(AG986 &gt;= BaseBonus!$C$16, AG986*BaseBonus!$E$31, 0), "")</f>
        <v>9.3905358129257959</v>
      </c>
      <c r="AJ986">
        <f t="shared" ca="1" si="83"/>
        <v>0</v>
      </c>
    </row>
    <row r="987" spans="28:36" x14ac:dyDescent="0.3">
      <c r="AB987">
        <f t="shared" si="84"/>
        <v>3</v>
      </c>
      <c r="AC987">
        <f t="shared" si="84"/>
        <v>1</v>
      </c>
      <c r="AD987">
        <f t="shared" si="84"/>
        <v>2</v>
      </c>
      <c r="AE987">
        <f t="shared" si="84"/>
        <v>2</v>
      </c>
      <c r="AF987">
        <f t="shared" si="84"/>
        <v>3</v>
      </c>
      <c r="AG987">
        <f t="shared" si="81"/>
        <v>11</v>
      </c>
      <c r="AH987">
        <f t="shared" ca="1" si="82"/>
        <v>0</v>
      </c>
      <c r="AI987">
        <f>IF(ROW($AA987) - $AA$51 &lt; ($H$16+1)^5, IF(AG987 &gt;= BaseBonus!$C$16, AG987*BaseBonus!$E$31, 0), "")</f>
        <v>10.329589394218376</v>
      </c>
      <c r="AJ987">
        <f t="shared" ca="1" si="83"/>
        <v>0</v>
      </c>
    </row>
    <row r="988" spans="28:36" x14ac:dyDescent="0.3">
      <c r="AB988">
        <f t="shared" si="84"/>
        <v>0</v>
      </c>
      <c r="AC988">
        <f t="shared" si="84"/>
        <v>2</v>
      </c>
      <c r="AD988">
        <f t="shared" si="84"/>
        <v>2</v>
      </c>
      <c r="AE988">
        <f t="shared" si="84"/>
        <v>2</v>
      </c>
      <c r="AF988">
        <f t="shared" si="84"/>
        <v>3</v>
      </c>
      <c r="AG988">
        <f t="shared" si="81"/>
        <v>9</v>
      </c>
      <c r="AH988">
        <f t="shared" ca="1" si="82"/>
        <v>0</v>
      </c>
      <c r="AI988">
        <f>IF(ROW($AA988) - $AA$51 &lt; ($H$16+1)^5, IF(AG988 &gt;= BaseBonus!$C$16, AG988*BaseBonus!$E$31, 0), "")</f>
        <v>8.4514822316332161</v>
      </c>
      <c r="AJ988">
        <f t="shared" ca="1" si="83"/>
        <v>0</v>
      </c>
    </row>
    <row r="989" spans="28:36" x14ac:dyDescent="0.3">
      <c r="AB989">
        <f t="shared" si="84"/>
        <v>1</v>
      </c>
      <c r="AC989">
        <f t="shared" si="84"/>
        <v>2</v>
      </c>
      <c r="AD989">
        <f t="shared" si="84"/>
        <v>2</v>
      </c>
      <c r="AE989">
        <f t="shared" si="84"/>
        <v>2</v>
      </c>
      <c r="AF989">
        <f t="shared" si="84"/>
        <v>3</v>
      </c>
      <c r="AG989">
        <f t="shared" si="81"/>
        <v>10</v>
      </c>
      <c r="AH989">
        <f t="shared" ca="1" si="82"/>
        <v>0</v>
      </c>
      <c r="AI989">
        <f>IF(ROW($AA989) - $AA$51 &lt; ($H$16+1)^5, IF(AG989 &gt;= BaseBonus!$C$16, AG989*BaseBonus!$E$31, 0), "")</f>
        <v>9.3905358129257959</v>
      </c>
      <c r="AJ989">
        <f t="shared" ca="1" si="83"/>
        <v>0</v>
      </c>
    </row>
    <row r="990" spans="28:36" x14ac:dyDescent="0.3">
      <c r="AB990">
        <f t="shared" si="84"/>
        <v>2</v>
      </c>
      <c r="AC990">
        <f t="shared" si="84"/>
        <v>2</v>
      </c>
      <c r="AD990">
        <f t="shared" si="84"/>
        <v>2</v>
      </c>
      <c r="AE990">
        <f t="shared" si="84"/>
        <v>2</v>
      </c>
      <c r="AF990">
        <f t="shared" si="84"/>
        <v>3</v>
      </c>
      <c r="AG990">
        <f t="shared" si="81"/>
        <v>11</v>
      </c>
      <c r="AH990">
        <f t="shared" ca="1" si="82"/>
        <v>0</v>
      </c>
      <c r="AI990">
        <f>IF(ROW($AA990) - $AA$51 &lt; ($H$16+1)^5, IF(AG990 &gt;= BaseBonus!$C$16, AG990*BaseBonus!$E$31, 0), "")</f>
        <v>10.329589394218376</v>
      </c>
      <c r="AJ990">
        <f t="shared" ca="1" si="83"/>
        <v>0</v>
      </c>
    </row>
    <row r="991" spans="28:36" x14ac:dyDescent="0.3">
      <c r="AB991">
        <f t="shared" si="84"/>
        <v>3</v>
      </c>
      <c r="AC991">
        <f t="shared" si="84"/>
        <v>2</v>
      </c>
      <c r="AD991">
        <f t="shared" si="84"/>
        <v>2</v>
      </c>
      <c r="AE991">
        <f t="shared" si="84"/>
        <v>2</v>
      </c>
      <c r="AF991">
        <f t="shared" si="84"/>
        <v>3</v>
      </c>
      <c r="AG991">
        <f t="shared" si="81"/>
        <v>12</v>
      </c>
      <c r="AH991">
        <f t="shared" ca="1" si="82"/>
        <v>0</v>
      </c>
      <c r="AI991">
        <f>IF(ROW($AA991) - $AA$51 &lt; ($H$16+1)^5, IF(AG991 &gt;= BaseBonus!$C$16, AG991*BaseBonus!$E$31, 0), "")</f>
        <v>11.268642975510955</v>
      </c>
      <c r="AJ991">
        <f t="shared" ca="1" si="83"/>
        <v>0</v>
      </c>
    </row>
    <row r="992" spans="28:36" x14ac:dyDescent="0.3">
      <c r="AB992">
        <f t="shared" si="84"/>
        <v>0</v>
      </c>
      <c r="AC992">
        <f t="shared" si="84"/>
        <v>3</v>
      </c>
      <c r="AD992">
        <f t="shared" si="84"/>
        <v>2</v>
      </c>
      <c r="AE992">
        <f t="shared" si="84"/>
        <v>2</v>
      </c>
      <c r="AF992">
        <f t="shared" si="84"/>
        <v>3</v>
      </c>
      <c r="AG992">
        <f t="shared" si="81"/>
        <v>10</v>
      </c>
      <c r="AH992">
        <f t="shared" ca="1" si="82"/>
        <v>0</v>
      </c>
      <c r="AI992">
        <f>IF(ROW($AA992) - $AA$51 &lt; ($H$16+1)^5, IF(AG992 &gt;= BaseBonus!$C$16, AG992*BaseBonus!$E$31, 0), "")</f>
        <v>9.3905358129257959</v>
      </c>
      <c r="AJ992">
        <f t="shared" ca="1" si="83"/>
        <v>0</v>
      </c>
    </row>
    <row r="993" spans="28:36" x14ac:dyDescent="0.3">
      <c r="AB993">
        <f t="shared" si="84"/>
        <v>1</v>
      </c>
      <c r="AC993">
        <f t="shared" si="84"/>
        <v>3</v>
      </c>
      <c r="AD993">
        <f t="shared" si="84"/>
        <v>2</v>
      </c>
      <c r="AE993">
        <f t="shared" si="84"/>
        <v>2</v>
      </c>
      <c r="AF993">
        <f t="shared" si="84"/>
        <v>3</v>
      </c>
      <c r="AG993">
        <f t="shared" si="81"/>
        <v>11</v>
      </c>
      <c r="AH993">
        <f t="shared" ca="1" si="82"/>
        <v>0</v>
      </c>
      <c r="AI993">
        <f>IF(ROW($AA993) - $AA$51 &lt; ($H$16+1)^5, IF(AG993 &gt;= BaseBonus!$C$16, AG993*BaseBonus!$E$31, 0), "")</f>
        <v>10.329589394218376</v>
      </c>
      <c r="AJ993">
        <f t="shared" ca="1" si="83"/>
        <v>0</v>
      </c>
    </row>
    <row r="994" spans="28:36" x14ac:dyDescent="0.3">
      <c r="AB994">
        <f t="shared" si="84"/>
        <v>2</v>
      </c>
      <c r="AC994">
        <f t="shared" si="84"/>
        <v>3</v>
      </c>
      <c r="AD994">
        <f t="shared" si="84"/>
        <v>2</v>
      </c>
      <c r="AE994">
        <f t="shared" si="84"/>
        <v>2</v>
      </c>
      <c r="AF994">
        <f t="shared" si="84"/>
        <v>3</v>
      </c>
      <c r="AG994">
        <f t="shared" si="81"/>
        <v>12</v>
      </c>
      <c r="AH994">
        <f t="shared" ca="1" si="82"/>
        <v>0</v>
      </c>
      <c r="AI994">
        <f>IF(ROW($AA994) - $AA$51 &lt; ($H$16+1)^5, IF(AG994 &gt;= BaseBonus!$C$16, AG994*BaseBonus!$E$31, 0), "")</f>
        <v>11.268642975510955</v>
      </c>
      <c r="AJ994">
        <f t="shared" ca="1" si="83"/>
        <v>0</v>
      </c>
    </row>
    <row r="995" spans="28:36" x14ac:dyDescent="0.3">
      <c r="AB995">
        <f t="shared" si="84"/>
        <v>3</v>
      </c>
      <c r="AC995">
        <f t="shared" si="84"/>
        <v>3</v>
      </c>
      <c r="AD995">
        <f t="shared" si="84"/>
        <v>2</v>
      </c>
      <c r="AE995">
        <f t="shared" si="84"/>
        <v>2</v>
      </c>
      <c r="AF995">
        <f t="shared" si="84"/>
        <v>3</v>
      </c>
      <c r="AG995">
        <f t="shared" si="81"/>
        <v>13</v>
      </c>
      <c r="AH995">
        <f t="shared" ca="1" si="82"/>
        <v>0</v>
      </c>
      <c r="AI995">
        <f>IF(ROW($AA995) - $AA$51 &lt; ($H$16+1)^5, IF(AG995 &gt;= BaseBonus!$C$16, AG995*BaseBonus!$E$31, 0), "")</f>
        <v>12.207696556803535</v>
      </c>
      <c r="AJ995">
        <f t="shared" ca="1" si="83"/>
        <v>0</v>
      </c>
    </row>
    <row r="996" spans="28:36" x14ac:dyDescent="0.3">
      <c r="AB996">
        <f t="shared" si="84"/>
        <v>0</v>
      </c>
      <c r="AC996">
        <f t="shared" si="84"/>
        <v>0</v>
      </c>
      <c r="AD996">
        <f t="shared" si="84"/>
        <v>3</v>
      </c>
      <c r="AE996">
        <f t="shared" si="84"/>
        <v>2</v>
      </c>
      <c r="AF996">
        <f t="shared" si="84"/>
        <v>3</v>
      </c>
      <c r="AG996">
        <f t="shared" si="81"/>
        <v>8</v>
      </c>
      <c r="AH996">
        <f t="shared" ca="1" si="82"/>
        <v>0</v>
      </c>
      <c r="AI996">
        <f>IF(ROW($AA996) - $AA$51 &lt; ($H$16+1)^5, IF(AG996 &gt;= BaseBonus!$C$16, AG996*BaseBonus!$E$31, 0), "")</f>
        <v>7.5124286503406372</v>
      </c>
      <c r="AJ996">
        <f t="shared" ca="1" si="83"/>
        <v>0</v>
      </c>
    </row>
    <row r="997" spans="28:36" x14ac:dyDescent="0.3">
      <c r="AB997">
        <f t="shared" si="84"/>
        <v>1</v>
      </c>
      <c r="AC997">
        <f t="shared" si="84"/>
        <v>0</v>
      </c>
      <c r="AD997">
        <f t="shared" si="84"/>
        <v>3</v>
      </c>
      <c r="AE997">
        <f t="shared" si="84"/>
        <v>2</v>
      </c>
      <c r="AF997">
        <f t="shared" si="84"/>
        <v>3</v>
      </c>
      <c r="AG997">
        <f t="shared" si="81"/>
        <v>9</v>
      </c>
      <c r="AH997">
        <f t="shared" ca="1" si="82"/>
        <v>0</v>
      </c>
      <c r="AI997">
        <f>IF(ROW($AA997) - $AA$51 &lt; ($H$16+1)^5, IF(AG997 &gt;= BaseBonus!$C$16, AG997*BaseBonus!$E$31, 0), "")</f>
        <v>8.4514822316332161</v>
      </c>
      <c r="AJ997">
        <f t="shared" ca="1" si="83"/>
        <v>0</v>
      </c>
    </row>
    <row r="998" spans="28:36" x14ac:dyDescent="0.3">
      <c r="AB998">
        <f t="shared" si="84"/>
        <v>2</v>
      </c>
      <c r="AC998">
        <f t="shared" si="84"/>
        <v>0</v>
      </c>
      <c r="AD998">
        <f t="shared" si="84"/>
        <v>3</v>
      </c>
      <c r="AE998">
        <f t="shared" si="84"/>
        <v>2</v>
      </c>
      <c r="AF998">
        <f t="shared" si="84"/>
        <v>3</v>
      </c>
      <c r="AG998">
        <f t="shared" si="81"/>
        <v>10</v>
      </c>
      <c r="AH998">
        <f t="shared" ca="1" si="82"/>
        <v>0</v>
      </c>
      <c r="AI998">
        <f>IF(ROW($AA998) - $AA$51 &lt; ($H$16+1)^5, IF(AG998 &gt;= BaseBonus!$C$16, AG998*BaseBonus!$E$31, 0), "")</f>
        <v>9.3905358129257959</v>
      </c>
      <c r="AJ998">
        <f t="shared" ca="1" si="83"/>
        <v>0</v>
      </c>
    </row>
    <row r="999" spans="28:36" x14ac:dyDescent="0.3">
      <c r="AB999">
        <f t="shared" si="84"/>
        <v>3</v>
      </c>
      <c r="AC999">
        <f t="shared" si="84"/>
        <v>0</v>
      </c>
      <c r="AD999">
        <f t="shared" si="84"/>
        <v>3</v>
      </c>
      <c r="AE999">
        <f t="shared" si="84"/>
        <v>2</v>
      </c>
      <c r="AF999">
        <f t="shared" si="84"/>
        <v>3</v>
      </c>
      <c r="AG999">
        <f t="shared" si="81"/>
        <v>11</v>
      </c>
      <c r="AH999">
        <f t="shared" ca="1" si="82"/>
        <v>0</v>
      </c>
      <c r="AI999">
        <f>IF(ROW($AA999) - $AA$51 &lt; ($H$16+1)^5, IF(AG999 &gt;= BaseBonus!$C$16, AG999*BaseBonus!$E$31, 0), "")</f>
        <v>10.329589394218376</v>
      </c>
      <c r="AJ999">
        <f t="shared" ca="1" si="83"/>
        <v>0</v>
      </c>
    </row>
    <row r="1000" spans="28:36" x14ac:dyDescent="0.3">
      <c r="AB1000">
        <f t="shared" si="84"/>
        <v>0</v>
      </c>
      <c r="AC1000">
        <f t="shared" si="84"/>
        <v>1</v>
      </c>
      <c r="AD1000">
        <f t="shared" si="84"/>
        <v>3</v>
      </c>
      <c r="AE1000">
        <f t="shared" si="84"/>
        <v>2</v>
      </c>
      <c r="AF1000">
        <f t="shared" si="84"/>
        <v>3</v>
      </c>
      <c r="AG1000">
        <f t="shared" si="81"/>
        <v>9</v>
      </c>
      <c r="AH1000">
        <f t="shared" ca="1" si="82"/>
        <v>0</v>
      </c>
      <c r="AI1000">
        <f>IF(ROW($AA1000) - $AA$51 &lt; ($H$16+1)^5, IF(AG1000 &gt;= BaseBonus!$C$16, AG1000*BaseBonus!$E$31, 0), "")</f>
        <v>8.4514822316332161</v>
      </c>
      <c r="AJ1000">
        <f t="shared" ca="1" si="83"/>
        <v>0</v>
      </c>
    </row>
    <row r="1001" spans="28:36" x14ac:dyDescent="0.3">
      <c r="AB1001">
        <f t="shared" si="84"/>
        <v>1</v>
      </c>
      <c r="AC1001">
        <f t="shared" si="84"/>
        <v>1</v>
      </c>
      <c r="AD1001">
        <f t="shared" si="84"/>
        <v>3</v>
      </c>
      <c r="AE1001">
        <f t="shared" si="84"/>
        <v>2</v>
      </c>
      <c r="AF1001">
        <f t="shared" si="84"/>
        <v>3</v>
      </c>
      <c r="AG1001">
        <f t="shared" si="81"/>
        <v>10</v>
      </c>
      <c r="AH1001">
        <f t="shared" ca="1" si="82"/>
        <v>0</v>
      </c>
      <c r="AI1001">
        <f>IF(ROW($AA1001) - $AA$51 &lt; ($H$16+1)^5, IF(AG1001 &gt;= BaseBonus!$C$16, AG1001*BaseBonus!$E$31, 0), "")</f>
        <v>9.3905358129257959</v>
      </c>
      <c r="AJ1001">
        <f t="shared" ca="1" si="83"/>
        <v>0</v>
      </c>
    </row>
    <row r="1002" spans="28:36" x14ac:dyDescent="0.3">
      <c r="AB1002">
        <f t="shared" si="84"/>
        <v>2</v>
      </c>
      <c r="AC1002">
        <f t="shared" si="84"/>
        <v>1</v>
      </c>
      <c r="AD1002">
        <f t="shared" si="84"/>
        <v>3</v>
      </c>
      <c r="AE1002">
        <f t="shared" si="84"/>
        <v>2</v>
      </c>
      <c r="AF1002">
        <f t="shared" si="84"/>
        <v>3</v>
      </c>
      <c r="AG1002">
        <f t="shared" si="81"/>
        <v>11</v>
      </c>
      <c r="AH1002">
        <f t="shared" ca="1" si="82"/>
        <v>0</v>
      </c>
      <c r="AI1002">
        <f>IF(ROW($AA1002) - $AA$51 &lt; ($H$16+1)^5, IF(AG1002 &gt;= BaseBonus!$C$16, AG1002*BaseBonus!$E$31, 0), "")</f>
        <v>10.329589394218376</v>
      </c>
      <c r="AJ1002">
        <f t="shared" ca="1" si="83"/>
        <v>0</v>
      </c>
    </row>
    <row r="1003" spans="28:36" x14ac:dyDescent="0.3">
      <c r="AB1003">
        <f t="shared" si="84"/>
        <v>3</v>
      </c>
      <c r="AC1003">
        <f t="shared" si="84"/>
        <v>1</v>
      </c>
      <c r="AD1003">
        <f t="shared" si="84"/>
        <v>3</v>
      </c>
      <c r="AE1003">
        <f t="shared" si="84"/>
        <v>2</v>
      </c>
      <c r="AF1003">
        <f t="shared" si="84"/>
        <v>3</v>
      </c>
      <c r="AG1003">
        <f t="shared" si="81"/>
        <v>12</v>
      </c>
      <c r="AH1003">
        <f t="shared" ca="1" si="82"/>
        <v>0</v>
      </c>
      <c r="AI1003">
        <f>IF(ROW($AA1003) - $AA$51 &lt; ($H$16+1)^5, IF(AG1003 &gt;= BaseBonus!$C$16, AG1003*BaseBonus!$E$31, 0), "")</f>
        <v>11.268642975510955</v>
      </c>
      <c r="AJ1003">
        <f t="shared" ca="1" si="83"/>
        <v>0</v>
      </c>
    </row>
    <row r="1004" spans="28:36" x14ac:dyDescent="0.3">
      <c r="AB1004">
        <f t="shared" si="84"/>
        <v>0</v>
      </c>
      <c r="AC1004">
        <f t="shared" si="84"/>
        <v>2</v>
      </c>
      <c r="AD1004">
        <f t="shared" si="84"/>
        <v>3</v>
      </c>
      <c r="AE1004">
        <f t="shared" si="84"/>
        <v>2</v>
      </c>
      <c r="AF1004">
        <f t="shared" si="84"/>
        <v>3</v>
      </c>
      <c r="AG1004">
        <f t="shared" si="81"/>
        <v>10</v>
      </c>
      <c r="AH1004">
        <f t="shared" ca="1" si="82"/>
        <v>0</v>
      </c>
      <c r="AI1004">
        <f>IF(ROW($AA1004) - $AA$51 &lt; ($H$16+1)^5, IF(AG1004 &gt;= BaseBonus!$C$16, AG1004*BaseBonus!$E$31, 0), "")</f>
        <v>9.3905358129257959</v>
      </c>
      <c r="AJ1004">
        <f t="shared" ca="1" si="83"/>
        <v>0</v>
      </c>
    </row>
    <row r="1005" spans="28:36" x14ac:dyDescent="0.3">
      <c r="AB1005">
        <f t="shared" si="84"/>
        <v>1</v>
      </c>
      <c r="AC1005">
        <f t="shared" si="84"/>
        <v>2</v>
      </c>
      <c r="AD1005">
        <f t="shared" si="84"/>
        <v>3</v>
      </c>
      <c r="AE1005">
        <f t="shared" si="84"/>
        <v>2</v>
      </c>
      <c r="AF1005">
        <f t="shared" si="84"/>
        <v>3</v>
      </c>
      <c r="AG1005">
        <f t="shared" si="81"/>
        <v>11</v>
      </c>
      <c r="AH1005">
        <f t="shared" ca="1" si="82"/>
        <v>0</v>
      </c>
      <c r="AI1005">
        <f>IF(ROW($AA1005) - $AA$51 &lt; ($H$16+1)^5, IF(AG1005 &gt;= BaseBonus!$C$16, AG1005*BaseBonus!$E$31, 0), "")</f>
        <v>10.329589394218376</v>
      </c>
      <c r="AJ1005">
        <f t="shared" ca="1" si="83"/>
        <v>0</v>
      </c>
    </row>
    <row r="1006" spans="28:36" x14ac:dyDescent="0.3">
      <c r="AB1006">
        <f t="shared" si="84"/>
        <v>2</v>
      </c>
      <c r="AC1006">
        <f t="shared" si="84"/>
        <v>2</v>
      </c>
      <c r="AD1006">
        <f t="shared" si="84"/>
        <v>3</v>
      </c>
      <c r="AE1006">
        <f t="shared" si="84"/>
        <v>2</v>
      </c>
      <c r="AF1006">
        <f t="shared" si="84"/>
        <v>3</v>
      </c>
      <c r="AG1006">
        <f t="shared" si="81"/>
        <v>12</v>
      </c>
      <c r="AH1006">
        <f t="shared" ca="1" si="82"/>
        <v>0</v>
      </c>
      <c r="AI1006">
        <f>IF(ROW($AA1006) - $AA$51 &lt; ($H$16+1)^5, IF(AG1006 &gt;= BaseBonus!$C$16, AG1006*BaseBonus!$E$31, 0), "")</f>
        <v>11.268642975510955</v>
      </c>
      <c r="AJ1006">
        <f t="shared" ca="1" si="83"/>
        <v>0</v>
      </c>
    </row>
    <row r="1007" spans="28:36" x14ac:dyDescent="0.3">
      <c r="AB1007">
        <f t="shared" si="84"/>
        <v>3</v>
      </c>
      <c r="AC1007">
        <f t="shared" si="84"/>
        <v>2</v>
      </c>
      <c r="AD1007">
        <f t="shared" si="84"/>
        <v>3</v>
      </c>
      <c r="AE1007">
        <f t="shared" si="84"/>
        <v>2</v>
      </c>
      <c r="AF1007">
        <f t="shared" si="84"/>
        <v>3</v>
      </c>
      <c r="AG1007">
        <f t="shared" si="81"/>
        <v>13</v>
      </c>
      <c r="AH1007">
        <f t="shared" ca="1" si="82"/>
        <v>0</v>
      </c>
      <c r="AI1007">
        <f>IF(ROW($AA1007) - $AA$51 &lt; ($H$16+1)^5, IF(AG1007 &gt;= BaseBonus!$C$16, AG1007*BaseBonus!$E$31, 0), "")</f>
        <v>12.207696556803535</v>
      </c>
      <c r="AJ1007">
        <f t="shared" ca="1" si="83"/>
        <v>0</v>
      </c>
    </row>
    <row r="1008" spans="28:36" x14ac:dyDescent="0.3">
      <c r="AB1008">
        <f t="shared" si="84"/>
        <v>0</v>
      </c>
      <c r="AC1008">
        <f t="shared" si="84"/>
        <v>3</v>
      </c>
      <c r="AD1008">
        <f t="shared" si="84"/>
        <v>3</v>
      </c>
      <c r="AE1008">
        <f t="shared" si="84"/>
        <v>2</v>
      </c>
      <c r="AF1008">
        <f t="shared" si="84"/>
        <v>3</v>
      </c>
      <c r="AG1008">
        <f t="shared" si="81"/>
        <v>11</v>
      </c>
      <c r="AH1008">
        <f t="shared" ca="1" si="82"/>
        <v>0</v>
      </c>
      <c r="AI1008">
        <f>IF(ROW($AA1008) - $AA$51 &lt; ($H$16+1)^5, IF(AG1008 &gt;= BaseBonus!$C$16, AG1008*BaseBonus!$E$31, 0), "")</f>
        <v>10.329589394218376</v>
      </c>
      <c r="AJ1008">
        <f t="shared" ca="1" si="83"/>
        <v>0</v>
      </c>
    </row>
    <row r="1009" spans="28:36" x14ac:dyDescent="0.3">
      <c r="AB1009">
        <f t="shared" si="84"/>
        <v>1</v>
      </c>
      <c r="AC1009">
        <f t="shared" si="84"/>
        <v>3</v>
      </c>
      <c r="AD1009">
        <f t="shared" si="84"/>
        <v>3</v>
      </c>
      <c r="AE1009">
        <f t="shared" si="84"/>
        <v>2</v>
      </c>
      <c r="AF1009">
        <f t="shared" si="84"/>
        <v>3</v>
      </c>
      <c r="AG1009">
        <f t="shared" si="81"/>
        <v>12</v>
      </c>
      <c r="AH1009">
        <f t="shared" ca="1" si="82"/>
        <v>0</v>
      </c>
      <c r="AI1009">
        <f>IF(ROW($AA1009) - $AA$51 &lt; ($H$16+1)^5, IF(AG1009 &gt;= BaseBonus!$C$16, AG1009*BaseBonus!$E$31, 0), "")</f>
        <v>11.268642975510955</v>
      </c>
      <c r="AJ1009">
        <f t="shared" ca="1" si="83"/>
        <v>0</v>
      </c>
    </row>
    <row r="1010" spans="28:36" x14ac:dyDescent="0.3">
      <c r="AB1010">
        <f t="shared" si="84"/>
        <v>2</v>
      </c>
      <c r="AC1010">
        <f t="shared" si="84"/>
        <v>3</v>
      </c>
      <c r="AD1010">
        <f t="shared" si="84"/>
        <v>3</v>
      </c>
      <c r="AE1010">
        <f t="shared" si="84"/>
        <v>2</v>
      </c>
      <c r="AF1010">
        <f t="shared" si="84"/>
        <v>3</v>
      </c>
      <c r="AG1010">
        <f t="shared" si="81"/>
        <v>13</v>
      </c>
      <c r="AH1010">
        <f t="shared" ca="1" si="82"/>
        <v>0</v>
      </c>
      <c r="AI1010">
        <f>IF(ROW($AA1010) - $AA$51 &lt; ($H$16+1)^5, IF(AG1010 &gt;= BaseBonus!$C$16, AG1010*BaseBonus!$E$31, 0), "")</f>
        <v>12.207696556803535</v>
      </c>
      <c r="AJ1010">
        <f t="shared" ca="1" si="83"/>
        <v>0</v>
      </c>
    </row>
    <row r="1011" spans="28:36" x14ac:dyDescent="0.3">
      <c r="AB1011">
        <f t="shared" si="84"/>
        <v>3</v>
      </c>
      <c r="AC1011">
        <f t="shared" si="84"/>
        <v>3</v>
      </c>
      <c r="AD1011">
        <f t="shared" si="84"/>
        <v>3</v>
      </c>
      <c r="AE1011">
        <f t="shared" si="84"/>
        <v>2</v>
      </c>
      <c r="AF1011">
        <f t="shared" si="84"/>
        <v>3</v>
      </c>
      <c r="AG1011">
        <f t="shared" si="81"/>
        <v>14</v>
      </c>
      <c r="AH1011">
        <f t="shared" ca="1" si="82"/>
        <v>0</v>
      </c>
      <c r="AI1011">
        <f>IF(ROW($AA1011) - $AA$51 &lt; ($H$16+1)^5, IF(AG1011 &gt;= BaseBonus!$C$16, AG1011*BaseBonus!$E$31, 0), "")</f>
        <v>13.146750138096115</v>
      </c>
      <c r="AJ1011">
        <f t="shared" ca="1" si="83"/>
        <v>0</v>
      </c>
    </row>
    <row r="1012" spans="28:36" x14ac:dyDescent="0.3">
      <c r="AB1012">
        <f t="shared" si="84"/>
        <v>0</v>
      </c>
      <c r="AC1012">
        <f t="shared" si="84"/>
        <v>0</v>
      </c>
      <c r="AD1012">
        <f t="shared" si="84"/>
        <v>0</v>
      </c>
      <c r="AE1012">
        <f t="shared" si="84"/>
        <v>3</v>
      </c>
      <c r="AF1012">
        <f t="shared" si="84"/>
        <v>3</v>
      </c>
      <c r="AG1012">
        <f t="shared" ref="AG1012:AG1075" si="85">IF(ROW($AA1012) - $AA$51 &lt; ($H$16+1)^5, SUM(AB1012:AF1012), "")</f>
        <v>6</v>
      </c>
      <c r="AH1012">
        <f t="shared" ref="AH1012:AH1075" ca="1" si="86">IF(ROW($AA1012) - $AA$51 &lt; (4)^5,
    (_xlfn.XLOOKUP(AB1012,$T$51:$T$55,U$51:U$55,0)/U$27) * (_xlfn.XLOOKUP(AC1012,$T$51:$T$55,V$51:V$55,0)/V$27) * (_xlfn.XLOOKUP(AD1012,$T$51:$T$55,W$51:W$55,0)/W$27) * (_xlfn.XLOOKUP(AE1012,$T$51:$T$55,X$51:X$55,0)/X$27) * (_xlfn.XLOOKUP(AF1012,$T$51:$T$55,Y$51:Y$55,0)/Y$27),
"")</f>
        <v>0</v>
      </c>
      <c r="AI1012">
        <f>IF(ROW($AA1012) - $AA$51 &lt; ($H$16+1)^5, IF(AG1012 &gt;= BaseBonus!$C$16, AG1012*BaseBonus!$E$31, 0), "")</f>
        <v>5.6343214877554777</v>
      </c>
      <c r="AJ1012">
        <f t="shared" ref="AJ1012:AJ1075" ca="1" si="87">IF(ROW($AA1012) - $AA$51 &lt; ($H$16+1)^5, AH1012*AI1012, "")</f>
        <v>0</v>
      </c>
    </row>
    <row r="1013" spans="28:36" x14ac:dyDescent="0.3">
      <c r="AB1013">
        <f t="shared" si="84"/>
        <v>1</v>
      </c>
      <c r="AC1013">
        <f t="shared" si="84"/>
        <v>0</v>
      </c>
      <c r="AD1013">
        <f t="shared" si="84"/>
        <v>0</v>
      </c>
      <c r="AE1013">
        <f t="shared" si="84"/>
        <v>3</v>
      </c>
      <c r="AF1013">
        <f t="shared" si="84"/>
        <v>3</v>
      </c>
      <c r="AG1013">
        <f t="shared" si="85"/>
        <v>7</v>
      </c>
      <c r="AH1013">
        <f t="shared" ca="1" si="86"/>
        <v>0</v>
      </c>
      <c r="AI1013">
        <f>IF(ROW($AA1013) - $AA$51 &lt; ($H$16+1)^5, IF(AG1013 &gt;= BaseBonus!$C$16, AG1013*BaseBonus!$E$31, 0), "")</f>
        <v>6.5733750690480575</v>
      </c>
      <c r="AJ1013">
        <f t="shared" ca="1" si="87"/>
        <v>0</v>
      </c>
    </row>
    <row r="1014" spans="28:36" x14ac:dyDescent="0.3">
      <c r="AB1014">
        <f t="shared" si="84"/>
        <v>2</v>
      </c>
      <c r="AC1014">
        <f t="shared" si="84"/>
        <v>0</v>
      </c>
      <c r="AD1014">
        <f t="shared" si="84"/>
        <v>0</v>
      </c>
      <c r="AE1014">
        <f t="shared" si="84"/>
        <v>3</v>
      </c>
      <c r="AF1014">
        <f t="shared" si="84"/>
        <v>3</v>
      </c>
      <c r="AG1014">
        <f t="shared" si="85"/>
        <v>8</v>
      </c>
      <c r="AH1014">
        <f t="shared" ca="1" si="86"/>
        <v>0</v>
      </c>
      <c r="AI1014">
        <f>IF(ROW($AA1014) - $AA$51 &lt; ($H$16+1)^5, IF(AG1014 &gt;= BaseBonus!$C$16, AG1014*BaseBonus!$E$31, 0), "")</f>
        <v>7.5124286503406372</v>
      </c>
      <c r="AJ1014">
        <f t="shared" ca="1" si="87"/>
        <v>0</v>
      </c>
    </row>
    <row r="1015" spans="28:36" x14ac:dyDescent="0.3">
      <c r="AB1015">
        <f t="shared" si="84"/>
        <v>3</v>
      </c>
      <c r="AC1015">
        <f t="shared" si="84"/>
        <v>0</v>
      </c>
      <c r="AD1015">
        <f t="shared" si="84"/>
        <v>0</v>
      </c>
      <c r="AE1015">
        <f t="shared" si="84"/>
        <v>3</v>
      </c>
      <c r="AF1015">
        <f t="shared" si="84"/>
        <v>3</v>
      </c>
      <c r="AG1015">
        <f t="shared" si="85"/>
        <v>9</v>
      </c>
      <c r="AH1015">
        <f t="shared" ca="1" si="86"/>
        <v>0</v>
      </c>
      <c r="AI1015">
        <f>IF(ROW($AA1015) - $AA$51 &lt; ($H$16+1)^5, IF(AG1015 &gt;= BaseBonus!$C$16, AG1015*BaseBonus!$E$31, 0), "")</f>
        <v>8.4514822316332161</v>
      </c>
      <c r="AJ1015">
        <f t="shared" ca="1" si="87"/>
        <v>0</v>
      </c>
    </row>
    <row r="1016" spans="28:36" x14ac:dyDescent="0.3">
      <c r="AB1016">
        <f t="shared" si="84"/>
        <v>0</v>
      </c>
      <c r="AC1016">
        <f t="shared" si="84"/>
        <v>1</v>
      </c>
      <c r="AD1016">
        <f t="shared" si="84"/>
        <v>0</v>
      </c>
      <c r="AE1016">
        <f t="shared" si="84"/>
        <v>3</v>
      </c>
      <c r="AF1016">
        <f t="shared" si="84"/>
        <v>3</v>
      </c>
      <c r="AG1016">
        <f t="shared" si="85"/>
        <v>7</v>
      </c>
      <c r="AH1016">
        <f t="shared" ca="1" si="86"/>
        <v>0</v>
      </c>
      <c r="AI1016">
        <f>IF(ROW($AA1016) - $AA$51 &lt; ($H$16+1)^5, IF(AG1016 &gt;= BaseBonus!$C$16, AG1016*BaseBonus!$E$31, 0), "")</f>
        <v>6.5733750690480575</v>
      </c>
      <c r="AJ1016">
        <f t="shared" ca="1" si="87"/>
        <v>0</v>
      </c>
    </row>
    <row r="1017" spans="28:36" x14ac:dyDescent="0.3">
      <c r="AB1017">
        <f t="shared" si="84"/>
        <v>1</v>
      </c>
      <c r="AC1017">
        <f t="shared" si="84"/>
        <v>1</v>
      </c>
      <c r="AD1017">
        <f t="shared" si="84"/>
        <v>0</v>
      </c>
      <c r="AE1017">
        <f t="shared" si="84"/>
        <v>3</v>
      </c>
      <c r="AF1017">
        <f t="shared" si="84"/>
        <v>3</v>
      </c>
      <c r="AG1017">
        <f t="shared" si="85"/>
        <v>8</v>
      </c>
      <c r="AH1017">
        <f t="shared" ca="1" si="86"/>
        <v>0</v>
      </c>
      <c r="AI1017">
        <f>IF(ROW($AA1017) - $AA$51 &lt; ($H$16+1)^5, IF(AG1017 &gt;= BaseBonus!$C$16, AG1017*BaseBonus!$E$31, 0), "")</f>
        <v>7.5124286503406372</v>
      </c>
      <c r="AJ1017">
        <f t="shared" ca="1" si="87"/>
        <v>0</v>
      </c>
    </row>
    <row r="1018" spans="28:36" x14ac:dyDescent="0.3">
      <c r="AB1018">
        <f t="shared" si="84"/>
        <v>2</v>
      </c>
      <c r="AC1018">
        <f t="shared" si="84"/>
        <v>1</v>
      </c>
      <c r="AD1018">
        <f t="shared" si="84"/>
        <v>0</v>
      </c>
      <c r="AE1018">
        <f t="shared" si="84"/>
        <v>3</v>
      </c>
      <c r="AF1018">
        <f t="shared" si="84"/>
        <v>3</v>
      </c>
      <c r="AG1018">
        <f t="shared" si="85"/>
        <v>9</v>
      </c>
      <c r="AH1018">
        <f t="shared" ca="1" si="86"/>
        <v>0</v>
      </c>
      <c r="AI1018">
        <f>IF(ROW($AA1018) - $AA$51 &lt; ($H$16+1)^5, IF(AG1018 &gt;= BaseBonus!$C$16, AG1018*BaseBonus!$E$31, 0), "")</f>
        <v>8.4514822316332161</v>
      </c>
      <c r="AJ1018">
        <f t="shared" ca="1" si="87"/>
        <v>0</v>
      </c>
    </row>
    <row r="1019" spans="28:36" x14ac:dyDescent="0.3">
      <c r="AB1019">
        <f t="shared" si="84"/>
        <v>3</v>
      </c>
      <c r="AC1019">
        <f t="shared" si="84"/>
        <v>1</v>
      </c>
      <c r="AD1019">
        <f t="shared" si="84"/>
        <v>0</v>
      </c>
      <c r="AE1019">
        <f t="shared" si="84"/>
        <v>3</v>
      </c>
      <c r="AF1019">
        <f t="shared" si="84"/>
        <v>3</v>
      </c>
      <c r="AG1019">
        <f t="shared" si="85"/>
        <v>10</v>
      </c>
      <c r="AH1019">
        <f t="shared" ca="1" si="86"/>
        <v>0</v>
      </c>
      <c r="AI1019">
        <f>IF(ROW($AA1019) - $AA$51 &lt; ($H$16+1)^5, IF(AG1019 &gt;= BaseBonus!$C$16, AG1019*BaseBonus!$E$31, 0), "")</f>
        <v>9.3905358129257959</v>
      </c>
      <c r="AJ1019">
        <f t="shared" ca="1" si="87"/>
        <v>0</v>
      </c>
    </row>
    <row r="1020" spans="28:36" x14ac:dyDescent="0.3">
      <c r="AB1020">
        <f t="shared" si="84"/>
        <v>0</v>
      </c>
      <c r="AC1020">
        <f t="shared" si="84"/>
        <v>2</v>
      </c>
      <c r="AD1020">
        <f t="shared" si="84"/>
        <v>0</v>
      </c>
      <c r="AE1020">
        <f t="shared" si="84"/>
        <v>3</v>
      </c>
      <c r="AF1020">
        <f t="shared" si="84"/>
        <v>3</v>
      </c>
      <c r="AG1020">
        <f t="shared" si="85"/>
        <v>8</v>
      </c>
      <c r="AH1020">
        <f t="shared" ca="1" si="86"/>
        <v>0</v>
      </c>
      <c r="AI1020">
        <f>IF(ROW($AA1020) - $AA$51 &lt; ($H$16+1)^5, IF(AG1020 &gt;= BaseBonus!$C$16, AG1020*BaseBonus!$E$31, 0), "")</f>
        <v>7.5124286503406372</v>
      </c>
      <c r="AJ1020">
        <f t="shared" ca="1" si="87"/>
        <v>0</v>
      </c>
    </row>
    <row r="1021" spans="28:36" x14ac:dyDescent="0.3">
      <c r="AB1021">
        <f t="shared" ref="AB1021:AF1071" si="88">IF(ROW()-$AA$51 &lt; (H$16+1)^5, MOD(_xlfn.FLOOR.MATH((ROW()-$AA$51)/AB$50), H$16+1), "")</f>
        <v>1</v>
      </c>
      <c r="AC1021">
        <f t="shared" si="88"/>
        <v>2</v>
      </c>
      <c r="AD1021">
        <f t="shared" si="88"/>
        <v>0</v>
      </c>
      <c r="AE1021">
        <f t="shared" si="88"/>
        <v>3</v>
      </c>
      <c r="AF1021">
        <f t="shared" si="88"/>
        <v>3</v>
      </c>
      <c r="AG1021">
        <f t="shared" si="85"/>
        <v>9</v>
      </c>
      <c r="AH1021">
        <f t="shared" ca="1" si="86"/>
        <v>0</v>
      </c>
      <c r="AI1021">
        <f>IF(ROW($AA1021) - $AA$51 &lt; ($H$16+1)^5, IF(AG1021 &gt;= BaseBonus!$C$16, AG1021*BaseBonus!$E$31, 0), "")</f>
        <v>8.4514822316332161</v>
      </c>
      <c r="AJ1021">
        <f t="shared" ca="1" si="87"/>
        <v>0</v>
      </c>
    </row>
    <row r="1022" spans="28:36" x14ac:dyDescent="0.3">
      <c r="AB1022">
        <f t="shared" si="88"/>
        <v>2</v>
      </c>
      <c r="AC1022">
        <f t="shared" si="88"/>
        <v>2</v>
      </c>
      <c r="AD1022">
        <f t="shared" si="88"/>
        <v>0</v>
      </c>
      <c r="AE1022">
        <f t="shared" si="88"/>
        <v>3</v>
      </c>
      <c r="AF1022">
        <f t="shared" si="88"/>
        <v>3</v>
      </c>
      <c r="AG1022">
        <f t="shared" si="85"/>
        <v>10</v>
      </c>
      <c r="AH1022">
        <f t="shared" ca="1" si="86"/>
        <v>0</v>
      </c>
      <c r="AI1022">
        <f>IF(ROW($AA1022) - $AA$51 &lt; ($H$16+1)^5, IF(AG1022 &gt;= BaseBonus!$C$16, AG1022*BaseBonus!$E$31, 0), "")</f>
        <v>9.3905358129257959</v>
      </c>
      <c r="AJ1022">
        <f t="shared" ca="1" si="87"/>
        <v>0</v>
      </c>
    </row>
    <row r="1023" spans="28:36" x14ac:dyDescent="0.3">
      <c r="AB1023">
        <f t="shared" si="88"/>
        <v>3</v>
      </c>
      <c r="AC1023">
        <f t="shared" si="88"/>
        <v>2</v>
      </c>
      <c r="AD1023">
        <f t="shared" si="88"/>
        <v>0</v>
      </c>
      <c r="AE1023">
        <f t="shared" si="88"/>
        <v>3</v>
      </c>
      <c r="AF1023">
        <f t="shared" si="88"/>
        <v>3</v>
      </c>
      <c r="AG1023">
        <f t="shared" si="85"/>
        <v>11</v>
      </c>
      <c r="AH1023">
        <f t="shared" ca="1" si="86"/>
        <v>0</v>
      </c>
      <c r="AI1023">
        <f>IF(ROW($AA1023) - $AA$51 &lt; ($H$16+1)^5, IF(AG1023 &gt;= BaseBonus!$C$16, AG1023*BaseBonus!$E$31, 0), "")</f>
        <v>10.329589394218376</v>
      </c>
      <c r="AJ1023">
        <f t="shared" ca="1" si="87"/>
        <v>0</v>
      </c>
    </row>
    <row r="1024" spans="28:36" x14ac:dyDescent="0.3">
      <c r="AB1024">
        <f t="shared" si="88"/>
        <v>0</v>
      </c>
      <c r="AC1024">
        <f t="shared" si="88"/>
        <v>3</v>
      </c>
      <c r="AD1024">
        <f t="shared" si="88"/>
        <v>0</v>
      </c>
      <c r="AE1024">
        <f t="shared" si="88"/>
        <v>3</v>
      </c>
      <c r="AF1024">
        <f t="shared" si="88"/>
        <v>3</v>
      </c>
      <c r="AG1024">
        <f t="shared" si="85"/>
        <v>9</v>
      </c>
      <c r="AH1024">
        <f t="shared" ca="1" si="86"/>
        <v>0</v>
      </c>
      <c r="AI1024">
        <f>IF(ROW($AA1024) - $AA$51 &lt; ($H$16+1)^5, IF(AG1024 &gt;= BaseBonus!$C$16, AG1024*BaseBonus!$E$31, 0), "")</f>
        <v>8.4514822316332161</v>
      </c>
      <c r="AJ1024">
        <f t="shared" ca="1" si="87"/>
        <v>0</v>
      </c>
    </row>
    <row r="1025" spans="28:36" x14ac:dyDescent="0.3">
      <c r="AB1025">
        <f t="shared" si="88"/>
        <v>1</v>
      </c>
      <c r="AC1025">
        <f t="shared" si="88"/>
        <v>3</v>
      </c>
      <c r="AD1025">
        <f t="shared" si="88"/>
        <v>0</v>
      </c>
      <c r="AE1025">
        <f t="shared" si="88"/>
        <v>3</v>
      </c>
      <c r="AF1025">
        <f t="shared" si="88"/>
        <v>3</v>
      </c>
      <c r="AG1025">
        <f t="shared" si="85"/>
        <v>10</v>
      </c>
      <c r="AH1025">
        <f t="shared" ca="1" si="86"/>
        <v>0</v>
      </c>
      <c r="AI1025">
        <f>IF(ROW($AA1025) - $AA$51 &lt; ($H$16+1)^5, IF(AG1025 &gt;= BaseBonus!$C$16, AG1025*BaseBonus!$E$31, 0), "")</f>
        <v>9.3905358129257959</v>
      </c>
      <c r="AJ1025">
        <f t="shared" ca="1" si="87"/>
        <v>0</v>
      </c>
    </row>
    <row r="1026" spans="28:36" x14ac:dyDescent="0.3">
      <c r="AB1026">
        <f t="shared" si="88"/>
        <v>2</v>
      </c>
      <c r="AC1026">
        <f t="shared" si="88"/>
        <v>3</v>
      </c>
      <c r="AD1026">
        <f t="shared" si="88"/>
        <v>0</v>
      </c>
      <c r="AE1026">
        <f t="shared" si="88"/>
        <v>3</v>
      </c>
      <c r="AF1026">
        <f t="shared" si="88"/>
        <v>3</v>
      </c>
      <c r="AG1026">
        <f t="shared" si="85"/>
        <v>11</v>
      </c>
      <c r="AH1026">
        <f t="shared" ca="1" si="86"/>
        <v>0</v>
      </c>
      <c r="AI1026">
        <f>IF(ROW($AA1026) - $AA$51 &lt; ($H$16+1)^5, IF(AG1026 &gt;= BaseBonus!$C$16, AG1026*BaseBonus!$E$31, 0), "")</f>
        <v>10.329589394218376</v>
      </c>
      <c r="AJ1026">
        <f t="shared" ca="1" si="87"/>
        <v>0</v>
      </c>
    </row>
    <row r="1027" spans="28:36" x14ac:dyDescent="0.3">
      <c r="AB1027">
        <f t="shared" si="88"/>
        <v>3</v>
      </c>
      <c r="AC1027">
        <f t="shared" si="88"/>
        <v>3</v>
      </c>
      <c r="AD1027">
        <f t="shared" si="88"/>
        <v>0</v>
      </c>
      <c r="AE1027">
        <f t="shared" si="88"/>
        <v>3</v>
      </c>
      <c r="AF1027">
        <f t="shared" si="88"/>
        <v>3</v>
      </c>
      <c r="AG1027">
        <f t="shared" si="85"/>
        <v>12</v>
      </c>
      <c r="AH1027">
        <f t="shared" ca="1" si="86"/>
        <v>0</v>
      </c>
      <c r="AI1027">
        <f>IF(ROW($AA1027) - $AA$51 &lt; ($H$16+1)^5, IF(AG1027 &gt;= BaseBonus!$C$16, AG1027*BaseBonus!$E$31, 0), "")</f>
        <v>11.268642975510955</v>
      </c>
      <c r="AJ1027">
        <f t="shared" ca="1" si="87"/>
        <v>0</v>
      </c>
    </row>
    <row r="1028" spans="28:36" x14ac:dyDescent="0.3">
      <c r="AB1028">
        <f t="shared" si="88"/>
        <v>0</v>
      </c>
      <c r="AC1028">
        <f t="shared" si="88"/>
        <v>0</v>
      </c>
      <c r="AD1028">
        <f t="shared" si="88"/>
        <v>1</v>
      </c>
      <c r="AE1028">
        <f t="shared" si="88"/>
        <v>3</v>
      </c>
      <c r="AF1028">
        <f t="shared" si="88"/>
        <v>3</v>
      </c>
      <c r="AG1028">
        <f t="shared" si="85"/>
        <v>7</v>
      </c>
      <c r="AH1028">
        <f t="shared" ca="1" si="86"/>
        <v>0</v>
      </c>
      <c r="AI1028">
        <f>IF(ROW($AA1028) - $AA$51 &lt; ($H$16+1)^5, IF(AG1028 &gt;= BaseBonus!$C$16, AG1028*BaseBonus!$E$31, 0), "")</f>
        <v>6.5733750690480575</v>
      </c>
      <c r="AJ1028">
        <f t="shared" ca="1" si="87"/>
        <v>0</v>
      </c>
    </row>
    <row r="1029" spans="28:36" x14ac:dyDescent="0.3">
      <c r="AB1029">
        <f t="shared" si="88"/>
        <v>1</v>
      </c>
      <c r="AC1029">
        <f t="shared" si="88"/>
        <v>0</v>
      </c>
      <c r="AD1029">
        <f t="shared" si="88"/>
        <v>1</v>
      </c>
      <c r="AE1029">
        <f t="shared" si="88"/>
        <v>3</v>
      </c>
      <c r="AF1029">
        <f t="shared" si="88"/>
        <v>3</v>
      </c>
      <c r="AG1029">
        <f t="shared" si="85"/>
        <v>8</v>
      </c>
      <c r="AH1029">
        <f t="shared" ca="1" si="86"/>
        <v>0</v>
      </c>
      <c r="AI1029">
        <f>IF(ROW($AA1029) - $AA$51 &lt; ($H$16+1)^5, IF(AG1029 &gt;= BaseBonus!$C$16, AG1029*BaseBonus!$E$31, 0), "")</f>
        <v>7.5124286503406372</v>
      </c>
      <c r="AJ1029">
        <f t="shared" ca="1" si="87"/>
        <v>0</v>
      </c>
    </row>
    <row r="1030" spans="28:36" x14ac:dyDescent="0.3">
      <c r="AB1030">
        <f t="shared" si="88"/>
        <v>2</v>
      </c>
      <c r="AC1030">
        <f t="shared" si="88"/>
        <v>0</v>
      </c>
      <c r="AD1030">
        <f t="shared" si="88"/>
        <v>1</v>
      </c>
      <c r="AE1030">
        <f t="shared" si="88"/>
        <v>3</v>
      </c>
      <c r="AF1030">
        <f t="shared" si="88"/>
        <v>3</v>
      </c>
      <c r="AG1030">
        <f t="shared" si="85"/>
        <v>9</v>
      </c>
      <c r="AH1030">
        <f t="shared" ca="1" si="86"/>
        <v>0</v>
      </c>
      <c r="AI1030">
        <f>IF(ROW($AA1030) - $AA$51 &lt; ($H$16+1)^5, IF(AG1030 &gt;= BaseBonus!$C$16, AG1030*BaseBonus!$E$31, 0), "")</f>
        <v>8.4514822316332161</v>
      </c>
      <c r="AJ1030">
        <f t="shared" ca="1" si="87"/>
        <v>0</v>
      </c>
    </row>
    <row r="1031" spans="28:36" x14ac:dyDescent="0.3">
      <c r="AB1031">
        <f t="shared" si="88"/>
        <v>3</v>
      </c>
      <c r="AC1031">
        <f t="shared" si="88"/>
        <v>0</v>
      </c>
      <c r="AD1031">
        <f t="shared" si="88"/>
        <v>1</v>
      </c>
      <c r="AE1031">
        <f t="shared" si="88"/>
        <v>3</v>
      </c>
      <c r="AF1031">
        <f t="shared" si="88"/>
        <v>3</v>
      </c>
      <c r="AG1031">
        <f t="shared" si="85"/>
        <v>10</v>
      </c>
      <c r="AH1031">
        <f t="shared" ca="1" si="86"/>
        <v>0</v>
      </c>
      <c r="AI1031">
        <f>IF(ROW($AA1031) - $AA$51 &lt; ($H$16+1)^5, IF(AG1031 &gt;= BaseBonus!$C$16, AG1031*BaseBonus!$E$31, 0), "")</f>
        <v>9.3905358129257959</v>
      </c>
      <c r="AJ1031">
        <f t="shared" ca="1" si="87"/>
        <v>0</v>
      </c>
    </row>
    <row r="1032" spans="28:36" x14ac:dyDescent="0.3">
      <c r="AB1032">
        <f t="shared" si="88"/>
        <v>0</v>
      </c>
      <c r="AC1032">
        <f t="shared" si="88"/>
        <v>1</v>
      </c>
      <c r="AD1032">
        <f t="shared" si="88"/>
        <v>1</v>
      </c>
      <c r="AE1032">
        <f t="shared" si="88"/>
        <v>3</v>
      </c>
      <c r="AF1032">
        <f t="shared" si="88"/>
        <v>3</v>
      </c>
      <c r="AG1032">
        <f t="shared" si="85"/>
        <v>8</v>
      </c>
      <c r="AH1032">
        <f t="shared" ca="1" si="86"/>
        <v>0</v>
      </c>
      <c r="AI1032">
        <f>IF(ROW($AA1032) - $AA$51 &lt; ($H$16+1)^5, IF(AG1032 &gt;= BaseBonus!$C$16, AG1032*BaseBonus!$E$31, 0), "")</f>
        <v>7.5124286503406372</v>
      </c>
      <c r="AJ1032">
        <f t="shared" ca="1" si="87"/>
        <v>0</v>
      </c>
    </row>
    <row r="1033" spans="28:36" x14ac:dyDescent="0.3">
      <c r="AB1033">
        <f t="shared" si="88"/>
        <v>1</v>
      </c>
      <c r="AC1033">
        <f t="shared" si="88"/>
        <v>1</v>
      </c>
      <c r="AD1033">
        <f t="shared" si="88"/>
        <v>1</v>
      </c>
      <c r="AE1033">
        <f t="shared" si="88"/>
        <v>3</v>
      </c>
      <c r="AF1033">
        <f t="shared" si="88"/>
        <v>3</v>
      </c>
      <c r="AG1033">
        <f t="shared" si="85"/>
        <v>9</v>
      </c>
      <c r="AH1033">
        <f t="shared" ca="1" si="86"/>
        <v>0</v>
      </c>
      <c r="AI1033">
        <f>IF(ROW($AA1033) - $AA$51 &lt; ($H$16+1)^5, IF(AG1033 &gt;= BaseBonus!$C$16, AG1033*BaseBonus!$E$31, 0), "")</f>
        <v>8.4514822316332161</v>
      </c>
      <c r="AJ1033">
        <f t="shared" ca="1" si="87"/>
        <v>0</v>
      </c>
    </row>
    <row r="1034" spans="28:36" x14ac:dyDescent="0.3">
      <c r="AB1034">
        <f t="shared" si="88"/>
        <v>2</v>
      </c>
      <c r="AC1034">
        <f t="shared" si="88"/>
        <v>1</v>
      </c>
      <c r="AD1034">
        <f t="shared" si="88"/>
        <v>1</v>
      </c>
      <c r="AE1034">
        <f t="shared" si="88"/>
        <v>3</v>
      </c>
      <c r="AF1034">
        <f t="shared" si="88"/>
        <v>3</v>
      </c>
      <c r="AG1034">
        <f t="shared" si="85"/>
        <v>10</v>
      </c>
      <c r="AH1034">
        <f t="shared" ca="1" si="86"/>
        <v>0</v>
      </c>
      <c r="AI1034">
        <f>IF(ROW($AA1034) - $AA$51 &lt; ($H$16+1)^5, IF(AG1034 &gt;= BaseBonus!$C$16, AG1034*BaseBonus!$E$31, 0), "")</f>
        <v>9.3905358129257959</v>
      </c>
      <c r="AJ1034">
        <f t="shared" ca="1" si="87"/>
        <v>0</v>
      </c>
    </row>
    <row r="1035" spans="28:36" x14ac:dyDescent="0.3">
      <c r="AB1035">
        <f t="shared" si="88"/>
        <v>3</v>
      </c>
      <c r="AC1035">
        <f t="shared" si="88"/>
        <v>1</v>
      </c>
      <c r="AD1035">
        <f t="shared" si="88"/>
        <v>1</v>
      </c>
      <c r="AE1035">
        <f t="shared" si="88"/>
        <v>3</v>
      </c>
      <c r="AF1035">
        <f t="shared" si="88"/>
        <v>3</v>
      </c>
      <c r="AG1035">
        <f t="shared" si="85"/>
        <v>11</v>
      </c>
      <c r="AH1035">
        <f t="shared" ca="1" si="86"/>
        <v>0</v>
      </c>
      <c r="AI1035">
        <f>IF(ROW($AA1035) - $AA$51 &lt; ($H$16+1)^5, IF(AG1035 &gt;= BaseBonus!$C$16, AG1035*BaseBonus!$E$31, 0), "")</f>
        <v>10.329589394218376</v>
      </c>
      <c r="AJ1035">
        <f t="shared" ca="1" si="87"/>
        <v>0</v>
      </c>
    </row>
    <row r="1036" spans="28:36" x14ac:dyDescent="0.3">
      <c r="AB1036">
        <f t="shared" si="88"/>
        <v>0</v>
      </c>
      <c r="AC1036">
        <f t="shared" si="88"/>
        <v>2</v>
      </c>
      <c r="AD1036">
        <f t="shared" si="88"/>
        <v>1</v>
      </c>
      <c r="AE1036">
        <f t="shared" si="88"/>
        <v>3</v>
      </c>
      <c r="AF1036">
        <f t="shared" si="88"/>
        <v>3</v>
      </c>
      <c r="AG1036">
        <f t="shared" si="85"/>
        <v>9</v>
      </c>
      <c r="AH1036">
        <f t="shared" ca="1" si="86"/>
        <v>0</v>
      </c>
      <c r="AI1036">
        <f>IF(ROW($AA1036) - $AA$51 &lt; ($H$16+1)^5, IF(AG1036 &gt;= BaseBonus!$C$16, AG1036*BaseBonus!$E$31, 0), "")</f>
        <v>8.4514822316332161</v>
      </c>
      <c r="AJ1036">
        <f t="shared" ca="1" si="87"/>
        <v>0</v>
      </c>
    </row>
    <row r="1037" spans="28:36" x14ac:dyDescent="0.3">
      <c r="AB1037">
        <f t="shared" si="88"/>
        <v>1</v>
      </c>
      <c r="AC1037">
        <f t="shared" si="88"/>
        <v>2</v>
      </c>
      <c r="AD1037">
        <f t="shared" si="88"/>
        <v>1</v>
      </c>
      <c r="AE1037">
        <f t="shared" si="88"/>
        <v>3</v>
      </c>
      <c r="AF1037">
        <f t="shared" si="88"/>
        <v>3</v>
      </c>
      <c r="AG1037">
        <f t="shared" si="85"/>
        <v>10</v>
      </c>
      <c r="AH1037">
        <f t="shared" ca="1" si="86"/>
        <v>0</v>
      </c>
      <c r="AI1037">
        <f>IF(ROW($AA1037) - $AA$51 &lt; ($H$16+1)^5, IF(AG1037 &gt;= BaseBonus!$C$16, AG1037*BaseBonus!$E$31, 0), "")</f>
        <v>9.3905358129257959</v>
      </c>
      <c r="AJ1037">
        <f t="shared" ca="1" si="87"/>
        <v>0</v>
      </c>
    </row>
    <row r="1038" spans="28:36" x14ac:dyDescent="0.3">
      <c r="AB1038">
        <f t="shared" si="88"/>
        <v>2</v>
      </c>
      <c r="AC1038">
        <f t="shared" si="88"/>
        <v>2</v>
      </c>
      <c r="AD1038">
        <f t="shared" si="88"/>
        <v>1</v>
      </c>
      <c r="AE1038">
        <f t="shared" si="88"/>
        <v>3</v>
      </c>
      <c r="AF1038">
        <f t="shared" si="88"/>
        <v>3</v>
      </c>
      <c r="AG1038">
        <f t="shared" si="85"/>
        <v>11</v>
      </c>
      <c r="AH1038">
        <f t="shared" ca="1" si="86"/>
        <v>0</v>
      </c>
      <c r="AI1038">
        <f>IF(ROW($AA1038) - $AA$51 &lt; ($H$16+1)^5, IF(AG1038 &gt;= BaseBonus!$C$16, AG1038*BaseBonus!$E$31, 0), "")</f>
        <v>10.329589394218376</v>
      </c>
      <c r="AJ1038">
        <f t="shared" ca="1" si="87"/>
        <v>0</v>
      </c>
    </row>
    <row r="1039" spans="28:36" x14ac:dyDescent="0.3">
      <c r="AB1039">
        <f t="shared" si="88"/>
        <v>3</v>
      </c>
      <c r="AC1039">
        <f t="shared" si="88"/>
        <v>2</v>
      </c>
      <c r="AD1039">
        <f t="shared" si="88"/>
        <v>1</v>
      </c>
      <c r="AE1039">
        <f t="shared" si="88"/>
        <v>3</v>
      </c>
      <c r="AF1039">
        <f t="shared" si="88"/>
        <v>3</v>
      </c>
      <c r="AG1039">
        <f t="shared" si="85"/>
        <v>12</v>
      </c>
      <c r="AH1039">
        <f t="shared" ca="1" si="86"/>
        <v>0</v>
      </c>
      <c r="AI1039">
        <f>IF(ROW($AA1039) - $AA$51 &lt; ($H$16+1)^5, IF(AG1039 &gt;= BaseBonus!$C$16, AG1039*BaseBonus!$E$31, 0), "")</f>
        <v>11.268642975510955</v>
      </c>
      <c r="AJ1039">
        <f t="shared" ca="1" si="87"/>
        <v>0</v>
      </c>
    </row>
    <row r="1040" spans="28:36" x14ac:dyDescent="0.3">
      <c r="AB1040">
        <f t="shared" si="88"/>
        <v>0</v>
      </c>
      <c r="AC1040">
        <f t="shared" si="88"/>
        <v>3</v>
      </c>
      <c r="AD1040">
        <f t="shared" si="88"/>
        <v>1</v>
      </c>
      <c r="AE1040">
        <f t="shared" si="88"/>
        <v>3</v>
      </c>
      <c r="AF1040">
        <f t="shared" si="88"/>
        <v>3</v>
      </c>
      <c r="AG1040">
        <f t="shared" si="85"/>
        <v>10</v>
      </c>
      <c r="AH1040">
        <f t="shared" ca="1" si="86"/>
        <v>0</v>
      </c>
      <c r="AI1040">
        <f>IF(ROW($AA1040) - $AA$51 &lt; ($H$16+1)^5, IF(AG1040 &gt;= BaseBonus!$C$16, AG1040*BaseBonus!$E$31, 0), "")</f>
        <v>9.3905358129257959</v>
      </c>
      <c r="AJ1040">
        <f t="shared" ca="1" si="87"/>
        <v>0</v>
      </c>
    </row>
    <row r="1041" spans="28:36" x14ac:dyDescent="0.3">
      <c r="AB1041">
        <f t="shared" si="88"/>
        <v>1</v>
      </c>
      <c r="AC1041">
        <f t="shared" si="88"/>
        <v>3</v>
      </c>
      <c r="AD1041">
        <f t="shared" si="88"/>
        <v>1</v>
      </c>
      <c r="AE1041">
        <f t="shared" si="88"/>
        <v>3</v>
      </c>
      <c r="AF1041">
        <f t="shared" si="88"/>
        <v>3</v>
      </c>
      <c r="AG1041">
        <f t="shared" si="85"/>
        <v>11</v>
      </c>
      <c r="AH1041">
        <f t="shared" ca="1" si="86"/>
        <v>0</v>
      </c>
      <c r="AI1041">
        <f>IF(ROW($AA1041) - $AA$51 &lt; ($H$16+1)^5, IF(AG1041 &gt;= BaseBonus!$C$16, AG1041*BaseBonus!$E$31, 0), "")</f>
        <v>10.329589394218376</v>
      </c>
      <c r="AJ1041">
        <f t="shared" ca="1" si="87"/>
        <v>0</v>
      </c>
    </row>
    <row r="1042" spans="28:36" x14ac:dyDescent="0.3">
      <c r="AB1042">
        <f t="shared" si="88"/>
        <v>2</v>
      </c>
      <c r="AC1042">
        <f t="shared" si="88"/>
        <v>3</v>
      </c>
      <c r="AD1042">
        <f t="shared" si="88"/>
        <v>1</v>
      </c>
      <c r="AE1042">
        <f t="shared" si="88"/>
        <v>3</v>
      </c>
      <c r="AF1042">
        <f t="shared" si="88"/>
        <v>3</v>
      </c>
      <c r="AG1042">
        <f t="shared" si="85"/>
        <v>12</v>
      </c>
      <c r="AH1042">
        <f t="shared" ca="1" si="86"/>
        <v>0</v>
      </c>
      <c r="AI1042">
        <f>IF(ROW($AA1042) - $AA$51 &lt; ($H$16+1)^5, IF(AG1042 &gt;= BaseBonus!$C$16, AG1042*BaseBonus!$E$31, 0), "")</f>
        <v>11.268642975510955</v>
      </c>
      <c r="AJ1042">
        <f t="shared" ca="1" si="87"/>
        <v>0</v>
      </c>
    </row>
    <row r="1043" spans="28:36" x14ac:dyDescent="0.3">
      <c r="AB1043">
        <f t="shared" si="88"/>
        <v>3</v>
      </c>
      <c r="AC1043">
        <f t="shared" si="88"/>
        <v>3</v>
      </c>
      <c r="AD1043">
        <f t="shared" si="88"/>
        <v>1</v>
      </c>
      <c r="AE1043">
        <f t="shared" si="88"/>
        <v>3</v>
      </c>
      <c r="AF1043">
        <f t="shared" si="88"/>
        <v>3</v>
      </c>
      <c r="AG1043">
        <f t="shared" si="85"/>
        <v>13</v>
      </c>
      <c r="AH1043">
        <f t="shared" ca="1" si="86"/>
        <v>0</v>
      </c>
      <c r="AI1043">
        <f>IF(ROW($AA1043) - $AA$51 &lt; ($H$16+1)^5, IF(AG1043 &gt;= BaseBonus!$C$16, AG1043*BaseBonus!$E$31, 0), "")</f>
        <v>12.207696556803535</v>
      </c>
      <c r="AJ1043">
        <f t="shared" ca="1" si="87"/>
        <v>0</v>
      </c>
    </row>
    <row r="1044" spans="28:36" x14ac:dyDescent="0.3">
      <c r="AB1044">
        <f t="shared" si="88"/>
        <v>0</v>
      </c>
      <c r="AC1044">
        <f t="shared" si="88"/>
        <v>0</v>
      </c>
      <c r="AD1044">
        <f t="shared" si="88"/>
        <v>2</v>
      </c>
      <c r="AE1044">
        <f t="shared" si="88"/>
        <v>3</v>
      </c>
      <c r="AF1044">
        <f t="shared" si="88"/>
        <v>3</v>
      </c>
      <c r="AG1044">
        <f t="shared" si="85"/>
        <v>8</v>
      </c>
      <c r="AH1044">
        <f t="shared" ca="1" si="86"/>
        <v>0</v>
      </c>
      <c r="AI1044">
        <f>IF(ROW($AA1044) - $AA$51 &lt; ($H$16+1)^5, IF(AG1044 &gt;= BaseBonus!$C$16, AG1044*BaseBonus!$E$31, 0), "")</f>
        <v>7.5124286503406372</v>
      </c>
      <c r="AJ1044">
        <f t="shared" ca="1" si="87"/>
        <v>0</v>
      </c>
    </row>
    <row r="1045" spans="28:36" x14ac:dyDescent="0.3">
      <c r="AB1045">
        <f t="shared" si="88"/>
        <v>1</v>
      </c>
      <c r="AC1045">
        <f t="shared" si="88"/>
        <v>0</v>
      </c>
      <c r="AD1045">
        <f t="shared" si="88"/>
        <v>2</v>
      </c>
      <c r="AE1045">
        <f t="shared" si="88"/>
        <v>3</v>
      </c>
      <c r="AF1045">
        <f t="shared" si="88"/>
        <v>3</v>
      </c>
      <c r="AG1045">
        <f t="shared" si="85"/>
        <v>9</v>
      </c>
      <c r="AH1045">
        <f t="shared" ca="1" si="86"/>
        <v>0</v>
      </c>
      <c r="AI1045">
        <f>IF(ROW($AA1045) - $AA$51 &lt; ($H$16+1)^5, IF(AG1045 &gt;= BaseBonus!$C$16, AG1045*BaseBonus!$E$31, 0), "")</f>
        <v>8.4514822316332161</v>
      </c>
      <c r="AJ1045">
        <f t="shared" ca="1" si="87"/>
        <v>0</v>
      </c>
    </row>
    <row r="1046" spans="28:36" x14ac:dyDescent="0.3">
      <c r="AB1046">
        <f t="shared" si="88"/>
        <v>2</v>
      </c>
      <c r="AC1046">
        <f t="shared" si="88"/>
        <v>0</v>
      </c>
      <c r="AD1046">
        <f t="shared" si="88"/>
        <v>2</v>
      </c>
      <c r="AE1046">
        <f t="shared" si="88"/>
        <v>3</v>
      </c>
      <c r="AF1046">
        <f t="shared" si="88"/>
        <v>3</v>
      </c>
      <c r="AG1046">
        <f t="shared" si="85"/>
        <v>10</v>
      </c>
      <c r="AH1046">
        <f t="shared" ca="1" si="86"/>
        <v>0</v>
      </c>
      <c r="AI1046">
        <f>IF(ROW($AA1046) - $AA$51 &lt; ($H$16+1)^5, IF(AG1046 &gt;= BaseBonus!$C$16, AG1046*BaseBonus!$E$31, 0), "")</f>
        <v>9.3905358129257959</v>
      </c>
      <c r="AJ1046">
        <f t="shared" ca="1" si="87"/>
        <v>0</v>
      </c>
    </row>
    <row r="1047" spans="28:36" x14ac:dyDescent="0.3">
      <c r="AB1047">
        <f t="shared" si="88"/>
        <v>3</v>
      </c>
      <c r="AC1047">
        <f t="shared" si="88"/>
        <v>0</v>
      </c>
      <c r="AD1047">
        <f t="shared" si="88"/>
        <v>2</v>
      </c>
      <c r="AE1047">
        <f t="shared" si="88"/>
        <v>3</v>
      </c>
      <c r="AF1047">
        <f t="shared" si="88"/>
        <v>3</v>
      </c>
      <c r="AG1047">
        <f t="shared" si="85"/>
        <v>11</v>
      </c>
      <c r="AH1047">
        <f t="shared" ca="1" si="86"/>
        <v>0</v>
      </c>
      <c r="AI1047">
        <f>IF(ROW($AA1047) - $AA$51 &lt; ($H$16+1)^5, IF(AG1047 &gt;= BaseBonus!$C$16, AG1047*BaseBonus!$E$31, 0), "")</f>
        <v>10.329589394218376</v>
      </c>
      <c r="AJ1047">
        <f t="shared" ca="1" si="87"/>
        <v>0</v>
      </c>
    </row>
    <row r="1048" spans="28:36" x14ac:dyDescent="0.3">
      <c r="AB1048">
        <f t="shared" si="88"/>
        <v>0</v>
      </c>
      <c r="AC1048">
        <f t="shared" si="88"/>
        <v>1</v>
      </c>
      <c r="AD1048">
        <f t="shared" si="88"/>
        <v>2</v>
      </c>
      <c r="AE1048">
        <f t="shared" si="88"/>
        <v>3</v>
      </c>
      <c r="AF1048">
        <f t="shared" si="88"/>
        <v>3</v>
      </c>
      <c r="AG1048">
        <f t="shared" si="85"/>
        <v>9</v>
      </c>
      <c r="AH1048">
        <f t="shared" ca="1" si="86"/>
        <v>0</v>
      </c>
      <c r="AI1048">
        <f>IF(ROW($AA1048) - $AA$51 &lt; ($H$16+1)^5, IF(AG1048 &gt;= BaseBonus!$C$16, AG1048*BaseBonus!$E$31, 0), "")</f>
        <v>8.4514822316332161</v>
      </c>
      <c r="AJ1048">
        <f t="shared" ca="1" si="87"/>
        <v>0</v>
      </c>
    </row>
    <row r="1049" spans="28:36" x14ac:dyDescent="0.3">
      <c r="AB1049">
        <f t="shared" si="88"/>
        <v>1</v>
      </c>
      <c r="AC1049">
        <f t="shared" si="88"/>
        <v>1</v>
      </c>
      <c r="AD1049">
        <f t="shared" si="88"/>
        <v>2</v>
      </c>
      <c r="AE1049">
        <f t="shared" si="88"/>
        <v>3</v>
      </c>
      <c r="AF1049">
        <f t="shared" si="88"/>
        <v>3</v>
      </c>
      <c r="AG1049">
        <f t="shared" si="85"/>
        <v>10</v>
      </c>
      <c r="AH1049">
        <f t="shared" ca="1" si="86"/>
        <v>0</v>
      </c>
      <c r="AI1049">
        <f>IF(ROW($AA1049) - $AA$51 &lt; ($H$16+1)^5, IF(AG1049 &gt;= BaseBonus!$C$16, AG1049*BaseBonus!$E$31, 0), "")</f>
        <v>9.3905358129257959</v>
      </c>
      <c r="AJ1049">
        <f t="shared" ca="1" si="87"/>
        <v>0</v>
      </c>
    </row>
    <row r="1050" spans="28:36" x14ac:dyDescent="0.3">
      <c r="AB1050">
        <f t="shared" si="88"/>
        <v>2</v>
      </c>
      <c r="AC1050">
        <f t="shared" si="88"/>
        <v>1</v>
      </c>
      <c r="AD1050">
        <f t="shared" si="88"/>
        <v>2</v>
      </c>
      <c r="AE1050">
        <f t="shared" si="88"/>
        <v>3</v>
      </c>
      <c r="AF1050">
        <f t="shared" si="88"/>
        <v>3</v>
      </c>
      <c r="AG1050">
        <f t="shared" si="85"/>
        <v>11</v>
      </c>
      <c r="AH1050">
        <f t="shared" ca="1" si="86"/>
        <v>0</v>
      </c>
      <c r="AI1050">
        <f>IF(ROW($AA1050) - $AA$51 &lt; ($H$16+1)^5, IF(AG1050 &gt;= BaseBonus!$C$16, AG1050*BaseBonus!$E$31, 0), "")</f>
        <v>10.329589394218376</v>
      </c>
      <c r="AJ1050">
        <f t="shared" ca="1" si="87"/>
        <v>0</v>
      </c>
    </row>
    <row r="1051" spans="28:36" x14ac:dyDescent="0.3">
      <c r="AB1051">
        <f t="shared" si="88"/>
        <v>3</v>
      </c>
      <c r="AC1051">
        <f t="shared" si="88"/>
        <v>1</v>
      </c>
      <c r="AD1051">
        <f t="shared" si="88"/>
        <v>2</v>
      </c>
      <c r="AE1051">
        <f t="shared" si="88"/>
        <v>3</v>
      </c>
      <c r="AF1051">
        <f t="shared" si="88"/>
        <v>3</v>
      </c>
      <c r="AG1051">
        <f t="shared" si="85"/>
        <v>12</v>
      </c>
      <c r="AH1051">
        <f t="shared" ca="1" si="86"/>
        <v>0</v>
      </c>
      <c r="AI1051">
        <f>IF(ROW($AA1051) - $AA$51 &lt; ($H$16+1)^5, IF(AG1051 &gt;= BaseBonus!$C$16, AG1051*BaseBonus!$E$31, 0), "")</f>
        <v>11.268642975510955</v>
      </c>
      <c r="AJ1051">
        <f t="shared" ca="1" si="87"/>
        <v>0</v>
      </c>
    </row>
    <row r="1052" spans="28:36" x14ac:dyDescent="0.3">
      <c r="AB1052">
        <f t="shared" si="88"/>
        <v>0</v>
      </c>
      <c r="AC1052">
        <f t="shared" si="88"/>
        <v>2</v>
      </c>
      <c r="AD1052">
        <f t="shared" si="88"/>
        <v>2</v>
      </c>
      <c r="AE1052">
        <f t="shared" si="88"/>
        <v>3</v>
      </c>
      <c r="AF1052">
        <f t="shared" si="88"/>
        <v>3</v>
      </c>
      <c r="AG1052">
        <f t="shared" si="85"/>
        <v>10</v>
      </c>
      <c r="AH1052">
        <f t="shared" ca="1" si="86"/>
        <v>0</v>
      </c>
      <c r="AI1052">
        <f>IF(ROW($AA1052) - $AA$51 &lt; ($H$16+1)^5, IF(AG1052 &gt;= BaseBonus!$C$16, AG1052*BaseBonus!$E$31, 0), "")</f>
        <v>9.3905358129257959</v>
      </c>
      <c r="AJ1052">
        <f t="shared" ca="1" si="87"/>
        <v>0</v>
      </c>
    </row>
    <row r="1053" spans="28:36" x14ac:dyDescent="0.3">
      <c r="AB1053">
        <f t="shared" si="88"/>
        <v>1</v>
      </c>
      <c r="AC1053">
        <f t="shared" si="88"/>
        <v>2</v>
      </c>
      <c r="AD1053">
        <f t="shared" si="88"/>
        <v>2</v>
      </c>
      <c r="AE1053">
        <f t="shared" si="88"/>
        <v>3</v>
      </c>
      <c r="AF1053">
        <f t="shared" si="88"/>
        <v>3</v>
      </c>
      <c r="AG1053">
        <f t="shared" si="85"/>
        <v>11</v>
      </c>
      <c r="AH1053">
        <f t="shared" ca="1" si="86"/>
        <v>0</v>
      </c>
      <c r="AI1053">
        <f>IF(ROW($AA1053) - $AA$51 &lt; ($H$16+1)^5, IF(AG1053 &gt;= BaseBonus!$C$16, AG1053*BaseBonus!$E$31, 0), "")</f>
        <v>10.329589394218376</v>
      </c>
      <c r="AJ1053">
        <f t="shared" ca="1" si="87"/>
        <v>0</v>
      </c>
    </row>
    <row r="1054" spans="28:36" x14ac:dyDescent="0.3">
      <c r="AB1054">
        <f t="shared" si="88"/>
        <v>2</v>
      </c>
      <c r="AC1054">
        <f t="shared" si="88"/>
        <v>2</v>
      </c>
      <c r="AD1054">
        <f t="shared" si="88"/>
        <v>2</v>
      </c>
      <c r="AE1054">
        <f t="shared" si="88"/>
        <v>3</v>
      </c>
      <c r="AF1054">
        <f t="shared" si="88"/>
        <v>3</v>
      </c>
      <c r="AG1054">
        <f t="shared" si="85"/>
        <v>12</v>
      </c>
      <c r="AH1054">
        <f t="shared" ca="1" si="86"/>
        <v>0</v>
      </c>
      <c r="AI1054">
        <f>IF(ROW($AA1054) - $AA$51 &lt; ($H$16+1)^5, IF(AG1054 &gt;= BaseBonus!$C$16, AG1054*BaseBonus!$E$31, 0), "")</f>
        <v>11.268642975510955</v>
      </c>
      <c r="AJ1054">
        <f t="shared" ca="1" si="87"/>
        <v>0</v>
      </c>
    </row>
    <row r="1055" spans="28:36" x14ac:dyDescent="0.3">
      <c r="AB1055">
        <f t="shared" si="88"/>
        <v>3</v>
      </c>
      <c r="AC1055">
        <f t="shared" si="88"/>
        <v>2</v>
      </c>
      <c r="AD1055">
        <f t="shared" si="88"/>
        <v>2</v>
      </c>
      <c r="AE1055">
        <f t="shared" si="88"/>
        <v>3</v>
      </c>
      <c r="AF1055">
        <f t="shared" si="88"/>
        <v>3</v>
      </c>
      <c r="AG1055">
        <f t="shared" si="85"/>
        <v>13</v>
      </c>
      <c r="AH1055">
        <f t="shared" ca="1" si="86"/>
        <v>0</v>
      </c>
      <c r="AI1055">
        <f>IF(ROW($AA1055) - $AA$51 &lt; ($H$16+1)^5, IF(AG1055 &gt;= BaseBonus!$C$16, AG1055*BaseBonus!$E$31, 0), "")</f>
        <v>12.207696556803535</v>
      </c>
      <c r="AJ1055">
        <f t="shared" ca="1" si="87"/>
        <v>0</v>
      </c>
    </row>
    <row r="1056" spans="28:36" x14ac:dyDescent="0.3">
      <c r="AB1056">
        <f t="shared" si="88"/>
        <v>0</v>
      </c>
      <c r="AC1056">
        <f t="shared" si="88"/>
        <v>3</v>
      </c>
      <c r="AD1056">
        <f t="shared" si="88"/>
        <v>2</v>
      </c>
      <c r="AE1056">
        <f t="shared" si="88"/>
        <v>3</v>
      </c>
      <c r="AF1056">
        <f t="shared" si="88"/>
        <v>3</v>
      </c>
      <c r="AG1056">
        <f t="shared" si="85"/>
        <v>11</v>
      </c>
      <c r="AH1056">
        <f t="shared" ca="1" si="86"/>
        <v>0</v>
      </c>
      <c r="AI1056">
        <f>IF(ROW($AA1056) - $AA$51 &lt; ($H$16+1)^5, IF(AG1056 &gt;= BaseBonus!$C$16, AG1056*BaseBonus!$E$31, 0), "")</f>
        <v>10.329589394218376</v>
      </c>
      <c r="AJ1056">
        <f t="shared" ca="1" si="87"/>
        <v>0</v>
      </c>
    </row>
    <row r="1057" spans="28:36" x14ac:dyDescent="0.3">
      <c r="AB1057">
        <f t="shared" si="88"/>
        <v>1</v>
      </c>
      <c r="AC1057">
        <f t="shared" si="88"/>
        <v>3</v>
      </c>
      <c r="AD1057">
        <f t="shared" si="88"/>
        <v>2</v>
      </c>
      <c r="AE1057">
        <f t="shared" si="88"/>
        <v>3</v>
      </c>
      <c r="AF1057">
        <f t="shared" si="88"/>
        <v>3</v>
      </c>
      <c r="AG1057">
        <f t="shared" si="85"/>
        <v>12</v>
      </c>
      <c r="AH1057">
        <f t="shared" ca="1" si="86"/>
        <v>0</v>
      </c>
      <c r="AI1057">
        <f>IF(ROW($AA1057) - $AA$51 &lt; ($H$16+1)^5, IF(AG1057 &gt;= BaseBonus!$C$16, AG1057*BaseBonus!$E$31, 0), "")</f>
        <v>11.268642975510955</v>
      </c>
      <c r="AJ1057">
        <f t="shared" ca="1" si="87"/>
        <v>0</v>
      </c>
    </row>
    <row r="1058" spans="28:36" x14ac:dyDescent="0.3">
      <c r="AB1058">
        <f t="shared" si="88"/>
        <v>2</v>
      </c>
      <c r="AC1058">
        <f t="shared" si="88"/>
        <v>3</v>
      </c>
      <c r="AD1058">
        <f t="shared" si="88"/>
        <v>2</v>
      </c>
      <c r="AE1058">
        <f t="shared" si="88"/>
        <v>3</v>
      </c>
      <c r="AF1058">
        <f t="shared" si="88"/>
        <v>3</v>
      </c>
      <c r="AG1058">
        <f t="shared" si="85"/>
        <v>13</v>
      </c>
      <c r="AH1058">
        <f t="shared" ca="1" si="86"/>
        <v>0</v>
      </c>
      <c r="AI1058">
        <f>IF(ROW($AA1058) - $AA$51 &lt; ($H$16+1)^5, IF(AG1058 &gt;= BaseBonus!$C$16, AG1058*BaseBonus!$E$31, 0), "")</f>
        <v>12.207696556803535</v>
      </c>
      <c r="AJ1058">
        <f t="shared" ca="1" si="87"/>
        <v>0</v>
      </c>
    </row>
    <row r="1059" spans="28:36" x14ac:dyDescent="0.3">
      <c r="AB1059">
        <f t="shared" si="88"/>
        <v>3</v>
      </c>
      <c r="AC1059">
        <f t="shared" si="88"/>
        <v>3</v>
      </c>
      <c r="AD1059">
        <f t="shared" si="88"/>
        <v>2</v>
      </c>
      <c r="AE1059">
        <f t="shared" si="88"/>
        <v>3</v>
      </c>
      <c r="AF1059">
        <f t="shared" si="88"/>
        <v>3</v>
      </c>
      <c r="AG1059">
        <f t="shared" si="85"/>
        <v>14</v>
      </c>
      <c r="AH1059">
        <f t="shared" ca="1" si="86"/>
        <v>0</v>
      </c>
      <c r="AI1059">
        <f>IF(ROW($AA1059) - $AA$51 &lt; ($H$16+1)^5, IF(AG1059 &gt;= BaseBonus!$C$16, AG1059*BaseBonus!$E$31, 0), "")</f>
        <v>13.146750138096115</v>
      </c>
      <c r="AJ1059">
        <f t="shared" ca="1" si="87"/>
        <v>0</v>
      </c>
    </row>
    <row r="1060" spans="28:36" x14ac:dyDescent="0.3">
      <c r="AB1060">
        <f t="shared" si="88"/>
        <v>0</v>
      </c>
      <c r="AC1060">
        <f t="shared" si="88"/>
        <v>0</v>
      </c>
      <c r="AD1060">
        <f t="shared" si="88"/>
        <v>3</v>
      </c>
      <c r="AE1060">
        <f t="shared" si="88"/>
        <v>3</v>
      </c>
      <c r="AF1060">
        <f t="shared" si="88"/>
        <v>3</v>
      </c>
      <c r="AG1060">
        <f t="shared" si="85"/>
        <v>9</v>
      </c>
      <c r="AH1060">
        <f t="shared" ca="1" si="86"/>
        <v>0</v>
      </c>
      <c r="AI1060">
        <f>IF(ROW($AA1060) - $AA$51 &lt; ($H$16+1)^5, IF(AG1060 &gt;= BaseBonus!$C$16, AG1060*BaseBonus!$E$31, 0), "")</f>
        <v>8.4514822316332161</v>
      </c>
      <c r="AJ1060">
        <f t="shared" ca="1" si="87"/>
        <v>0</v>
      </c>
    </row>
    <row r="1061" spans="28:36" x14ac:dyDescent="0.3">
      <c r="AB1061">
        <f t="shared" si="88"/>
        <v>1</v>
      </c>
      <c r="AC1061">
        <f t="shared" si="88"/>
        <v>0</v>
      </c>
      <c r="AD1061">
        <f t="shared" si="88"/>
        <v>3</v>
      </c>
      <c r="AE1061">
        <f t="shared" si="88"/>
        <v>3</v>
      </c>
      <c r="AF1061">
        <f t="shared" si="88"/>
        <v>3</v>
      </c>
      <c r="AG1061">
        <f t="shared" si="85"/>
        <v>10</v>
      </c>
      <c r="AH1061">
        <f t="shared" ca="1" si="86"/>
        <v>0</v>
      </c>
      <c r="AI1061">
        <f>IF(ROW($AA1061) - $AA$51 &lt; ($H$16+1)^5, IF(AG1061 &gt;= BaseBonus!$C$16, AG1061*BaseBonus!$E$31, 0), "")</f>
        <v>9.3905358129257959</v>
      </c>
      <c r="AJ1061">
        <f t="shared" ca="1" si="87"/>
        <v>0</v>
      </c>
    </row>
    <row r="1062" spans="28:36" x14ac:dyDescent="0.3">
      <c r="AB1062">
        <f t="shared" si="88"/>
        <v>2</v>
      </c>
      <c r="AC1062">
        <f t="shared" si="88"/>
        <v>0</v>
      </c>
      <c r="AD1062">
        <f t="shared" si="88"/>
        <v>3</v>
      </c>
      <c r="AE1062">
        <f t="shared" si="88"/>
        <v>3</v>
      </c>
      <c r="AF1062">
        <f t="shared" si="88"/>
        <v>3</v>
      </c>
      <c r="AG1062">
        <f t="shared" si="85"/>
        <v>11</v>
      </c>
      <c r="AH1062">
        <f t="shared" ca="1" si="86"/>
        <v>0</v>
      </c>
      <c r="AI1062">
        <f>IF(ROW($AA1062) - $AA$51 &lt; ($H$16+1)^5, IF(AG1062 &gt;= BaseBonus!$C$16, AG1062*BaseBonus!$E$31, 0), "")</f>
        <v>10.329589394218376</v>
      </c>
      <c r="AJ1062">
        <f t="shared" ca="1" si="87"/>
        <v>0</v>
      </c>
    </row>
    <row r="1063" spans="28:36" x14ac:dyDescent="0.3">
      <c r="AB1063">
        <f t="shared" si="88"/>
        <v>3</v>
      </c>
      <c r="AC1063">
        <f t="shared" si="88"/>
        <v>0</v>
      </c>
      <c r="AD1063">
        <f t="shared" si="88"/>
        <v>3</v>
      </c>
      <c r="AE1063">
        <f t="shared" si="88"/>
        <v>3</v>
      </c>
      <c r="AF1063">
        <f t="shared" si="88"/>
        <v>3</v>
      </c>
      <c r="AG1063">
        <f t="shared" si="85"/>
        <v>12</v>
      </c>
      <c r="AH1063">
        <f t="shared" ca="1" si="86"/>
        <v>0</v>
      </c>
      <c r="AI1063">
        <f>IF(ROW($AA1063) - $AA$51 &lt; ($H$16+1)^5, IF(AG1063 &gt;= BaseBonus!$C$16, AG1063*BaseBonus!$E$31, 0), "")</f>
        <v>11.268642975510955</v>
      </c>
      <c r="AJ1063">
        <f t="shared" ca="1" si="87"/>
        <v>0</v>
      </c>
    </row>
    <row r="1064" spans="28:36" x14ac:dyDescent="0.3">
      <c r="AB1064">
        <f t="shared" si="88"/>
        <v>0</v>
      </c>
      <c r="AC1064">
        <f t="shared" si="88"/>
        <v>1</v>
      </c>
      <c r="AD1064">
        <f t="shared" si="88"/>
        <v>3</v>
      </c>
      <c r="AE1064">
        <f t="shared" si="88"/>
        <v>3</v>
      </c>
      <c r="AF1064">
        <f t="shared" si="88"/>
        <v>3</v>
      </c>
      <c r="AG1064">
        <f t="shared" si="85"/>
        <v>10</v>
      </c>
      <c r="AH1064">
        <f t="shared" ca="1" si="86"/>
        <v>0</v>
      </c>
      <c r="AI1064">
        <f>IF(ROW($AA1064) - $AA$51 &lt; ($H$16+1)^5, IF(AG1064 &gt;= BaseBonus!$C$16, AG1064*BaseBonus!$E$31, 0), "")</f>
        <v>9.3905358129257959</v>
      </c>
      <c r="AJ1064">
        <f t="shared" ca="1" si="87"/>
        <v>0</v>
      </c>
    </row>
    <row r="1065" spans="28:36" x14ac:dyDescent="0.3">
      <c r="AB1065">
        <f t="shared" si="88"/>
        <v>1</v>
      </c>
      <c r="AC1065">
        <f t="shared" si="88"/>
        <v>1</v>
      </c>
      <c r="AD1065">
        <f t="shared" si="88"/>
        <v>3</v>
      </c>
      <c r="AE1065">
        <f t="shared" si="88"/>
        <v>3</v>
      </c>
      <c r="AF1065">
        <f t="shared" si="88"/>
        <v>3</v>
      </c>
      <c r="AG1065">
        <f t="shared" si="85"/>
        <v>11</v>
      </c>
      <c r="AH1065">
        <f t="shared" ca="1" si="86"/>
        <v>0</v>
      </c>
      <c r="AI1065">
        <f>IF(ROW($AA1065) - $AA$51 &lt; ($H$16+1)^5, IF(AG1065 &gt;= BaseBonus!$C$16, AG1065*BaseBonus!$E$31, 0), "")</f>
        <v>10.329589394218376</v>
      </c>
      <c r="AJ1065">
        <f t="shared" ca="1" si="87"/>
        <v>0</v>
      </c>
    </row>
    <row r="1066" spans="28:36" x14ac:dyDescent="0.3">
      <c r="AB1066">
        <f t="shared" si="88"/>
        <v>2</v>
      </c>
      <c r="AC1066">
        <f t="shared" si="88"/>
        <v>1</v>
      </c>
      <c r="AD1066">
        <f t="shared" si="88"/>
        <v>3</v>
      </c>
      <c r="AE1066">
        <f t="shared" si="88"/>
        <v>3</v>
      </c>
      <c r="AF1066">
        <f t="shared" si="88"/>
        <v>3</v>
      </c>
      <c r="AG1066">
        <f t="shared" si="85"/>
        <v>12</v>
      </c>
      <c r="AH1066">
        <f t="shared" ca="1" si="86"/>
        <v>0</v>
      </c>
      <c r="AI1066">
        <f>IF(ROW($AA1066) - $AA$51 &lt; ($H$16+1)^5, IF(AG1066 &gt;= BaseBonus!$C$16, AG1066*BaseBonus!$E$31, 0), "")</f>
        <v>11.268642975510955</v>
      </c>
      <c r="AJ1066">
        <f t="shared" ca="1" si="87"/>
        <v>0</v>
      </c>
    </row>
    <row r="1067" spans="28:36" x14ac:dyDescent="0.3">
      <c r="AB1067">
        <f t="shared" si="88"/>
        <v>3</v>
      </c>
      <c r="AC1067">
        <f t="shared" si="88"/>
        <v>1</v>
      </c>
      <c r="AD1067">
        <f t="shared" si="88"/>
        <v>3</v>
      </c>
      <c r="AE1067">
        <f t="shared" si="88"/>
        <v>3</v>
      </c>
      <c r="AF1067">
        <f t="shared" si="88"/>
        <v>3</v>
      </c>
      <c r="AG1067">
        <f t="shared" si="85"/>
        <v>13</v>
      </c>
      <c r="AH1067">
        <f t="shared" ca="1" si="86"/>
        <v>0</v>
      </c>
      <c r="AI1067">
        <f>IF(ROW($AA1067) - $AA$51 &lt; ($H$16+1)^5, IF(AG1067 &gt;= BaseBonus!$C$16, AG1067*BaseBonus!$E$31, 0), "")</f>
        <v>12.207696556803535</v>
      </c>
      <c r="AJ1067">
        <f t="shared" ca="1" si="87"/>
        <v>0</v>
      </c>
    </row>
    <row r="1068" spans="28:36" x14ac:dyDescent="0.3">
      <c r="AB1068">
        <f t="shared" si="88"/>
        <v>0</v>
      </c>
      <c r="AC1068">
        <f t="shared" si="88"/>
        <v>2</v>
      </c>
      <c r="AD1068">
        <f t="shared" si="88"/>
        <v>3</v>
      </c>
      <c r="AE1068">
        <f t="shared" si="88"/>
        <v>3</v>
      </c>
      <c r="AF1068">
        <f t="shared" si="88"/>
        <v>3</v>
      </c>
      <c r="AG1068">
        <f t="shared" si="85"/>
        <v>11</v>
      </c>
      <c r="AH1068">
        <f t="shared" ca="1" si="86"/>
        <v>0</v>
      </c>
      <c r="AI1068">
        <f>IF(ROW($AA1068) - $AA$51 &lt; ($H$16+1)^5, IF(AG1068 &gt;= BaseBonus!$C$16, AG1068*BaseBonus!$E$31, 0), "")</f>
        <v>10.329589394218376</v>
      </c>
      <c r="AJ1068">
        <f t="shared" ca="1" si="87"/>
        <v>0</v>
      </c>
    </row>
    <row r="1069" spans="28:36" x14ac:dyDescent="0.3">
      <c r="AB1069">
        <f t="shared" si="88"/>
        <v>1</v>
      </c>
      <c r="AC1069">
        <f t="shared" si="88"/>
        <v>2</v>
      </c>
      <c r="AD1069">
        <f t="shared" si="88"/>
        <v>3</v>
      </c>
      <c r="AE1069">
        <f t="shared" si="88"/>
        <v>3</v>
      </c>
      <c r="AF1069">
        <f t="shared" si="88"/>
        <v>3</v>
      </c>
      <c r="AG1069">
        <f t="shared" si="85"/>
        <v>12</v>
      </c>
      <c r="AH1069">
        <f t="shared" ca="1" si="86"/>
        <v>0</v>
      </c>
      <c r="AI1069">
        <f>IF(ROW($AA1069) - $AA$51 &lt; ($H$16+1)^5, IF(AG1069 &gt;= BaseBonus!$C$16, AG1069*BaseBonus!$E$31, 0), "")</f>
        <v>11.268642975510955</v>
      </c>
      <c r="AJ1069">
        <f t="shared" ca="1" si="87"/>
        <v>0</v>
      </c>
    </row>
    <row r="1070" spans="28:36" x14ac:dyDescent="0.3">
      <c r="AB1070">
        <f t="shared" si="88"/>
        <v>2</v>
      </c>
      <c r="AC1070">
        <f t="shared" si="88"/>
        <v>2</v>
      </c>
      <c r="AD1070">
        <f t="shared" si="88"/>
        <v>3</v>
      </c>
      <c r="AE1070">
        <f t="shared" si="88"/>
        <v>3</v>
      </c>
      <c r="AF1070">
        <f t="shared" si="88"/>
        <v>3</v>
      </c>
      <c r="AG1070">
        <f t="shared" si="85"/>
        <v>13</v>
      </c>
      <c r="AH1070">
        <f t="shared" ca="1" si="86"/>
        <v>0</v>
      </c>
      <c r="AI1070">
        <f>IF(ROW($AA1070) - $AA$51 &lt; ($H$16+1)^5, IF(AG1070 &gt;= BaseBonus!$C$16, AG1070*BaseBonus!$E$31, 0), "")</f>
        <v>12.207696556803535</v>
      </c>
      <c r="AJ1070">
        <f t="shared" ca="1" si="87"/>
        <v>0</v>
      </c>
    </row>
    <row r="1071" spans="28:36" x14ac:dyDescent="0.3">
      <c r="AB1071">
        <f t="shared" si="88"/>
        <v>3</v>
      </c>
      <c r="AC1071">
        <f t="shared" si="88"/>
        <v>2</v>
      </c>
      <c r="AD1071">
        <f t="shared" si="88"/>
        <v>3</v>
      </c>
      <c r="AE1071">
        <f t="shared" si="88"/>
        <v>3</v>
      </c>
      <c r="AF1071">
        <f t="shared" si="88"/>
        <v>3</v>
      </c>
      <c r="AG1071">
        <f t="shared" si="85"/>
        <v>14</v>
      </c>
      <c r="AH1071">
        <f t="shared" ca="1" si="86"/>
        <v>0</v>
      </c>
      <c r="AI1071">
        <f>IF(ROW($AA1071) - $AA$51 &lt; ($H$16+1)^5, IF(AG1071 &gt;= BaseBonus!$C$16, AG1071*BaseBonus!$E$31, 0), "")</f>
        <v>13.146750138096115</v>
      </c>
      <c r="AJ1071">
        <f t="shared" ca="1" si="87"/>
        <v>0</v>
      </c>
    </row>
    <row r="1072" spans="28:36" x14ac:dyDescent="0.3">
      <c r="AB1072">
        <f t="shared" ref="AB1072:AF1122" si="89">IF(ROW()-$AA$51 &lt; (H$16+1)^5, MOD(_xlfn.FLOOR.MATH((ROW()-$AA$51)/AB$50), H$16+1), "")</f>
        <v>0</v>
      </c>
      <c r="AC1072">
        <f t="shared" si="89"/>
        <v>3</v>
      </c>
      <c r="AD1072">
        <f t="shared" si="89"/>
        <v>3</v>
      </c>
      <c r="AE1072">
        <f t="shared" si="89"/>
        <v>3</v>
      </c>
      <c r="AF1072">
        <f t="shared" si="89"/>
        <v>3</v>
      </c>
      <c r="AG1072">
        <f t="shared" si="85"/>
        <v>12</v>
      </c>
      <c r="AH1072">
        <f t="shared" ca="1" si="86"/>
        <v>0</v>
      </c>
      <c r="AI1072">
        <f>IF(ROW($AA1072) - $AA$51 &lt; ($H$16+1)^5, IF(AG1072 &gt;= BaseBonus!$C$16, AG1072*BaseBonus!$E$31, 0), "")</f>
        <v>11.268642975510955</v>
      </c>
      <c r="AJ1072">
        <f t="shared" ca="1" si="87"/>
        <v>0</v>
      </c>
    </row>
    <row r="1073" spans="28:36" x14ac:dyDescent="0.3">
      <c r="AB1073">
        <f t="shared" si="89"/>
        <v>1</v>
      </c>
      <c r="AC1073">
        <f t="shared" si="89"/>
        <v>3</v>
      </c>
      <c r="AD1073">
        <f t="shared" si="89"/>
        <v>3</v>
      </c>
      <c r="AE1073">
        <f t="shared" si="89"/>
        <v>3</v>
      </c>
      <c r="AF1073">
        <f t="shared" si="89"/>
        <v>3</v>
      </c>
      <c r="AG1073">
        <f t="shared" si="85"/>
        <v>13</v>
      </c>
      <c r="AH1073">
        <f t="shared" ca="1" si="86"/>
        <v>0</v>
      </c>
      <c r="AI1073">
        <f>IF(ROW($AA1073) - $AA$51 &lt; ($H$16+1)^5, IF(AG1073 &gt;= BaseBonus!$C$16, AG1073*BaseBonus!$E$31, 0), "")</f>
        <v>12.207696556803535</v>
      </c>
      <c r="AJ1073">
        <f t="shared" ca="1" si="87"/>
        <v>0</v>
      </c>
    </row>
    <row r="1074" spans="28:36" x14ac:dyDescent="0.3">
      <c r="AB1074">
        <f t="shared" si="89"/>
        <v>2</v>
      </c>
      <c r="AC1074">
        <f t="shared" si="89"/>
        <v>3</v>
      </c>
      <c r="AD1074">
        <f t="shared" si="89"/>
        <v>3</v>
      </c>
      <c r="AE1074">
        <f t="shared" si="89"/>
        <v>3</v>
      </c>
      <c r="AF1074">
        <f t="shared" si="89"/>
        <v>3</v>
      </c>
      <c r="AG1074">
        <f t="shared" si="85"/>
        <v>14</v>
      </c>
      <c r="AH1074">
        <f t="shared" ca="1" si="86"/>
        <v>0</v>
      </c>
      <c r="AI1074">
        <f>IF(ROW($AA1074) - $AA$51 &lt; ($H$16+1)^5, IF(AG1074 &gt;= BaseBonus!$C$16, AG1074*BaseBonus!$E$31, 0), "")</f>
        <v>13.146750138096115</v>
      </c>
      <c r="AJ1074">
        <f t="shared" ca="1" si="87"/>
        <v>0</v>
      </c>
    </row>
    <row r="1075" spans="28:36" x14ac:dyDescent="0.3">
      <c r="AB1075">
        <f t="shared" si="89"/>
        <v>3</v>
      </c>
      <c r="AC1075">
        <f t="shared" si="89"/>
        <v>3</v>
      </c>
      <c r="AD1075">
        <f t="shared" si="89"/>
        <v>3</v>
      </c>
      <c r="AE1075">
        <f t="shared" si="89"/>
        <v>3</v>
      </c>
      <c r="AF1075">
        <f t="shared" si="89"/>
        <v>3</v>
      </c>
      <c r="AG1075">
        <f t="shared" si="85"/>
        <v>15</v>
      </c>
      <c r="AH1075">
        <f t="shared" ca="1" si="86"/>
        <v>0</v>
      </c>
      <c r="AI1075">
        <f>IF(ROW($AA1075) - $AA$51 &lt; ($H$16+1)^5, IF(AG1075 &gt;= BaseBonus!$C$16, AG1075*BaseBonus!$E$31, 0), "")</f>
        <v>14.085803719388695</v>
      </c>
      <c r="AJ1075">
        <f t="shared" ca="1" si="87"/>
        <v>0</v>
      </c>
    </row>
    <row r="1076" spans="28:36" x14ac:dyDescent="0.3">
      <c r="AB1076" t="str">
        <f t="shared" si="89"/>
        <v/>
      </c>
      <c r="AC1076" t="str">
        <f t="shared" si="89"/>
        <v/>
      </c>
      <c r="AD1076" t="str">
        <f t="shared" si="89"/>
        <v/>
      </c>
      <c r="AE1076" t="str">
        <f t="shared" si="89"/>
        <v/>
      </c>
      <c r="AF1076" t="str">
        <f t="shared" si="89"/>
        <v/>
      </c>
      <c r="AI1076" t="str">
        <f>IF(ROW($AA1076) - $AA$51 &lt; ($H$16+1)^5, IF(AG1076 &gt;= BaseBonus!$C$16, AG1076*BaseBonus!$E$31, 0), "")</f>
        <v/>
      </c>
    </row>
    <row r="1077" spans="28:36" x14ac:dyDescent="0.3">
      <c r="AB1077" t="str">
        <f t="shared" si="89"/>
        <v/>
      </c>
      <c r="AC1077" t="str">
        <f t="shared" si="89"/>
        <v/>
      </c>
      <c r="AD1077" t="str">
        <f t="shared" si="89"/>
        <v/>
      </c>
      <c r="AE1077" t="str">
        <f t="shared" si="89"/>
        <v/>
      </c>
      <c r="AF1077" t="str">
        <f t="shared" si="89"/>
        <v/>
      </c>
      <c r="AI1077" t="str">
        <f>IF(ROW($AA1077) - $AA$51 &lt; ($H$16+1)^5, IF(AG1077 &gt;= BaseBonus!$C$16, AG1077*BaseBonus!$E$31, 0), "")</f>
        <v/>
      </c>
    </row>
    <row r="1078" spans="28:36" x14ac:dyDescent="0.3">
      <c r="AB1078" t="str">
        <f t="shared" si="89"/>
        <v/>
      </c>
      <c r="AC1078" t="str">
        <f t="shared" si="89"/>
        <v/>
      </c>
      <c r="AD1078" t="str">
        <f t="shared" si="89"/>
        <v/>
      </c>
      <c r="AE1078" t="str">
        <f t="shared" si="89"/>
        <v/>
      </c>
      <c r="AF1078" t="str">
        <f t="shared" si="89"/>
        <v/>
      </c>
      <c r="AI1078" t="str">
        <f>IF(ROW($AA1078) - $AA$51 &lt; ($H$16+1)^5, IF(AG1078 &gt;= BaseBonus!$C$16, AG1078*BaseBonus!$E$31, 0), "")</f>
        <v/>
      </c>
    </row>
    <row r="1079" spans="28:36" x14ac:dyDescent="0.3">
      <c r="AB1079" t="str">
        <f t="shared" si="89"/>
        <v/>
      </c>
      <c r="AC1079" t="str">
        <f t="shared" si="89"/>
        <v/>
      </c>
      <c r="AD1079" t="str">
        <f t="shared" si="89"/>
        <v/>
      </c>
      <c r="AE1079" t="str">
        <f t="shared" si="89"/>
        <v/>
      </c>
      <c r="AF1079" t="str">
        <f t="shared" si="89"/>
        <v/>
      </c>
      <c r="AI1079" t="str">
        <f>IF(ROW($AA1079) - $AA$51 &lt; ($H$16+1)^5, IF(AG1079 &gt;= BaseBonus!$C$16, AG1079*BaseBonus!$E$31, 0), "")</f>
        <v/>
      </c>
    </row>
    <row r="1080" spans="28:36" x14ac:dyDescent="0.3">
      <c r="AB1080" t="str">
        <f t="shared" si="89"/>
        <v/>
      </c>
      <c r="AC1080" t="str">
        <f t="shared" si="89"/>
        <v/>
      </c>
      <c r="AD1080" t="str">
        <f t="shared" si="89"/>
        <v/>
      </c>
      <c r="AE1080" t="str">
        <f t="shared" si="89"/>
        <v/>
      </c>
      <c r="AF1080" t="str">
        <f t="shared" si="89"/>
        <v/>
      </c>
      <c r="AI1080" t="str">
        <f>IF(ROW($AA1080) - $AA$51 &lt; ($H$16+1)^5, IF(AG1080 &gt;= BaseBonus!$C$16, AG1080*BaseBonus!$E$31, 0), "")</f>
        <v/>
      </c>
    </row>
    <row r="1081" spans="28:36" x14ac:dyDescent="0.3">
      <c r="AB1081" t="str">
        <f t="shared" si="89"/>
        <v/>
      </c>
      <c r="AC1081" t="str">
        <f t="shared" si="89"/>
        <v/>
      </c>
      <c r="AD1081" t="str">
        <f t="shared" si="89"/>
        <v/>
      </c>
      <c r="AE1081" t="str">
        <f t="shared" si="89"/>
        <v/>
      </c>
      <c r="AF1081" t="str">
        <f t="shared" si="89"/>
        <v/>
      </c>
      <c r="AI1081" t="str">
        <f>IF(ROW($AA1081) - $AA$51 &lt; ($H$16+1)^5, IF(AG1081 &gt;= BaseBonus!$C$16, AG1081*BaseBonus!$E$31, 0), "")</f>
        <v/>
      </c>
    </row>
    <row r="1082" spans="28:36" x14ac:dyDescent="0.3">
      <c r="AB1082" t="str">
        <f t="shared" si="89"/>
        <v/>
      </c>
      <c r="AC1082" t="str">
        <f t="shared" si="89"/>
        <v/>
      </c>
      <c r="AD1082" t="str">
        <f t="shared" si="89"/>
        <v/>
      </c>
      <c r="AE1082" t="str">
        <f t="shared" si="89"/>
        <v/>
      </c>
      <c r="AF1082" t="str">
        <f t="shared" si="89"/>
        <v/>
      </c>
      <c r="AI1082" t="str">
        <f>IF(ROW($AA1082) - $AA$51 &lt; ($H$16+1)^5, IF(AG1082 &gt;= BaseBonus!$C$16, AG1082*BaseBonus!$E$31, 0), "")</f>
        <v/>
      </c>
    </row>
    <row r="1083" spans="28:36" x14ac:dyDescent="0.3">
      <c r="AB1083" t="str">
        <f t="shared" si="89"/>
        <v/>
      </c>
      <c r="AC1083" t="str">
        <f t="shared" si="89"/>
        <v/>
      </c>
      <c r="AD1083" t="str">
        <f t="shared" si="89"/>
        <v/>
      </c>
      <c r="AE1083" t="str">
        <f t="shared" si="89"/>
        <v/>
      </c>
      <c r="AF1083" t="str">
        <f t="shared" si="89"/>
        <v/>
      </c>
      <c r="AI1083" t="str">
        <f>IF(ROW($AA1083) - $AA$51 &lt; ($H$16+1)^5, IF(AG1083 &gt;= BaseBonus!$C$16, AG1083*BaseBonus!$E$31, 0), "")</f>
        <v/>
      </c>
    </row>
    <row r="1084" spans="28:36" x14ac:dyDescent="0.3">
      <c r="AB1084" t="str">
        <f t="shared" si="89"/>
        <v/>
      </c>
      <c r="AC1084" t="str">
        <f t="shared" si="89"/>
        <v/>
      </c>
      <c r="AD1084" t="str">
        <f t="shared" si="89"/>
        <v/>
      </c>
      <c r="AE1084" t="str">
        <f t="shared" si="89"/>
        <v/>
      </c>
      <c r="AF1084" t="str">
        <f t="shared" si="89"/>
        <v/>
      </c>
      <c r="AI1084" t="str">
        <f>IF(ROW($AA1084) - $AA$51 &lt; ($H$16+1)^5, IF(AG1084 &gt;= BaseBonus!$C$16, AG1084*BaseBonus!$E$31, 0), "")</f>
        <v/>
      </c>
    </row>
    <row r="1085" spans="28:36" x14ac:dyDescent="0.3">
      <c r="AB1085" t="str">
        <f t="shared" si="89"/>
        <v/>
      </c>
      <c r="AC1085" t="str">
        <f t="shared" si="89"/>
        <v/>
      </c>
      <c r="AD1085" t="str">
        <f t="shared" si="89"/>
        <v/>
      </c>
      <c r="AE1085" t="str">
        <f t="shared" si="89"/>
        <v/>
      </c>
      <c r="AF1085" t="str">
        <f t="shared" si="89"/>
        <v/>
      </c>
      <c r="AI1085" t="str">
        <f>IF(ROW($AA1085) - $AA$51 &lt; ($H$16+1)^5, IF(AG1085 &gt;= BaseBonus!$C$16, AG1085*BaseBonus!$E$31, 0), "")</f>
        <v/>
      </c>
    </row>
    <row r="1086" spans="28:36" x14ac:dyDescent="0.3">
      <c r="AB1086" t="str">
        <f t="shared" si="89"/>
        <v/>
      </c>
      <c r="AC1086" t="str">
        <f t="shared" si="89"/>
        <v/>
      </c>
      <c r="AD1086" t="str">
        <f t="shared" si="89"/>
        <v/>
      </c>
      <c r="AE1086" t="str">
        <f t="shared" si="89"/>
        <v/>
      </c>
      <c r="AF1086" t="str">
        <f t="shared" si="89"/>
        <v/>
      </c>
      <c r="AI1086" t="str">
        <f>IF(ROW($AA1086) - $AA$51 &lt; ($H$16+1)^5, IF(AG1086 &gt;= BaseBonus!$C$16, AG1086*BaseBonus!$E$31, 0), "")</f>
        <v/>
      </c>
    </row>
    <row r="1087" spans="28:36" x14ac:dyDescent="0.3">
      <c r="AB1087" t="str">
        <f t="shared" si="89"/>
        <v/>
      </c>
      <c r="AC1087" t="str">
        <f t="shared" si="89"/>
        <v/>
      </c>
      <c r="AD1087" t="str">
        <f t="shared" si="89"/>
        <v/>
      </c>
      <c r="AE1087" t="str">
        <f t="shared" si="89"/>
        <v/>
      </c>
      <c r="AF1087" t="str">
        <f t="shared" si="89"/>
        <v/>
      </c>
      <c r="AI1087" t="str">
        <f>IF(ROW($AA1087) - $AA$51 &lt; ($H$16+1)^5, IF(AG1087 &gt;= BaseBonus!$C$16, AG1087*BaseBonus!$E$31, 0), "")</f>
        <v/>
      </c>
    </row>
    <row r="1088" spans="28:36" x14ac:dyDescent="0.3">
      <c r="AB1088" t="str">
        <f t="shared" si="89"/>
        <v/>
      </c>
      <c r="AC1088" t="str">
        <f t="shared" si="89"/>
        <v/>
      </c>
      <c r="AD1088" t="str">
        <f t="shared" si="89"/>
        <v/>
      </c>
      <c r="AE1088" t="str">
        <f t="shared" si="89"/>
        <v/>
      </c>
      <c r="AF1088" t="str">
        <f t="shared" si="89"/>
        <v/>
      </c>
      <c r="AI1088" t="str">
        <f>IF(ROW($AA1088) - $AA$51 &lt; ($H$16+1)^5, IF(AG1088 &gt;= BaseBonus!$C$16, AG1088*BaseBonus!$E$31, 0), "")</f>
        <v/>
      </c>
    </row>
    <row r="1089" spans="28:35" x14ac:dyDescent="0.3">
      <c r="AB1089" t="str">
        <f t="shared" si="89"/>
        <v/>
      </c>
      <c r="AC1089" t="str">
        <f t="shared" si="89"/>
        <v/>
      </c>
      <c r="AD1089" t="str">
        <f t="shared" si="89"/>
        <v/>
      </c>
      <c r="AE1089" t="str">
        <f t="shared" si="89"/>
        <v/>
      </c>
      <c r="AF1089" t="str">
        <f t="shared" si="89"/>
        <v/>
      </c>
      <c r="AI1089" t="str">
        <f>IF(ROW($AA1089) - $AA$51 &lt; ($H$16+1)^5, IF(AG1089 &gt;= BaseBonus!$C$16, AG1089*BaseBonus!$E$31, 0), "")</f>
        <v/>
      </c>
    </row>
    <row r="1090" spans="28:35" x14ac:dyDescent="0.3">
      <c r="AB1090" t="str">
        <f t="shared" si="89"/>
        <v/>
      </c>
      <c r="AC1090" t="str">
        <f t="shared" si="89"/>
        <v/>
      </c>
      <c r="AD1090" t="str">
        <f t="shared" si="89"/>
        <v/>
      </c>
      <c r="AE1090" t="str">
        <f t="shared" si="89"/>
        <v/>
      </c>
      <c r="AF1090" t="str">
        <f t="shared" si="89"/>
        <v/>
      </c>
      <c r="AI1090" t="str">
        <f>IF(ROW($AA1090) - $AA$51 &lt; ($H$16+1)^5, IF(AG1090 &gt;= BaseBonus!$C$16, AG1090*BaseBonus!$E$31, 0), "")</f>
        <v/>
      </c>
    </row>
    <row r="1091" spans="28:35" x14ac:dyDescent="0.3">
      <c r="AB1091" t="str">
        <f t="shared" si="89"/>
        <v/>
      </c>
      <c r="AC1091" t="str">
        <f t="shared" si="89"/>
        <v/>
      </c>
      <c r="AD1091" t="str">
        <f t="shared" si="89"/>
        <v/>
      </c>
      <c r="AE1091" t="str">
        <f t="shared" si="89"/>
        <v/>
      </c>
      <c r="AF1091" t="str">
        <f t="shared" si="89"/>
        <v/>
      </c>
      <c r="AI1091" t="str">
        <f>IF(ROW($AA1091) - $AA$51 &lt; ($H$16+1)^5, IF(AG1091 &gt;= BaseBonus!$C$16, AG1091*BaseBonus!$E$31, 0), "")</f>
        <v/>
      </c>
    </row>
    <row r="1092" spans="28:35" x14ac:dyDescent="0.3">
      <c r="AB1092" t="str">
        <f t="shared" si="89"/>
        <v/>
      </c>
      <c r="AC1092" t="str">
        <f t="shared" si="89"/>
        <v/>
      </c>
      <c r="AD1092" t="str">
        <f t="shared" si="89"/>
        <v/>
      </c>
      <c r="AE1092" t="str">
        <f t="shared" si="89"/>
        <v/>
      </c>
      <c r="AF1092" t="str">
        <f t="shared" si="89"/>
        <v/>
      </c>
      <c r="AI1092" t="str">
        <f>IF(ROW($AA1092) - $AA$51 &lt; ($H$16+1)^5, IF(AG1092 &gt;= BaseBonus!$C$16, AG1092*BaseBonus!$E$31, 0), "")</f>
        <v/>
      </c>
    </row>
    <row r="1093" spans="28:35" x14ac:dyDescent="0.3">
      <c r="AB1093" t="str">
        <f t="shared" si="89"/>
        <v/>
      </c>
      <c r="AC1093" t="str">
        <f t="shared" si="89"/>
        <v/>
      </c>
      <c r="AD1093" t="str">
        <f t="shared" si="89"/>
        <v/>
      </c>
      <c r="AE1093" t="str">
        <f t="shared" si="89"/>
        <v/>
      </c>
      <c r="AF1093" t="str">
        <f t="shared" si="89"/>
        <v/>
      </c>
      <c r="AI1093" t="str">
        <f>IF(ROW($AA1093) - $AA$51 &lt; ($H$16+1)^5, IF(AG1093 &gt;= BaseBonus!$C$16, AG1093*BaseBonus!$E$31, 0), "")</f>
        <v/>
      </c>
    </row>
    <row r="1094" spans="28:35" x14ac:dyDescent="0.3">
      <c r="AB1094" t="str">
        <f t="shared" si="89"/>
        <v/>
      </c>
      <c r="AC1094" t="str">
        <f t="shared" si="89"/>
        <v/>
      </c>
      <c r="AD1094" t="str">
        <f t="shared" si="89"/>
        <v/>
      </c>
      <c r="AE1094" t="str">
        <f t="shared" si="89"/>
        <v/>
      </c>
      <c r="AF1094" t="str">
        <f t="shared" si="89"/>
        <v/>
      </c>
      <c r="AI1094" t="str">
        <f>IF(ROW($AA1094) - $AA$51 &lt; ($H$16+1)^5, IF(AG1094 &gt;= BaseBonus!$C$16, AG1094*BaseBonus!$E$31, 0), "")</f>
        <v/>
      </c>
    </row>
    <row r="1095" spans="28:35" x14ac:dyDescent="0.3">
      <c r="AB1095" t="str">
        <f t="shared" si="89"/>
        <v/>
      </c>
      <c r="AC1095" t="str">
        <f t="shared" si="89"/>
        <v/>
      </c>
      <c r="AD1095" t="str">
        <f t="shared" si="89"/>
        <v/>
      </c>
      <c r="AE1095" t="str">
        <f t="shared" si="89"/>
        <v/>
      </c>
      <c r="AF1095" t="str">
        <f t="shared" si="89"/>
        <v/>
      </c>
      <c r="AI1095" t="str">
        <f>IF(ROW($AA1095) - $AA$51 &lt; ($H$16+1)^5, IF(AG1095 &gt;= BaseBonus!$C$16, AG1095*BaseBonus!$E$31, 0), "")</f>
        <v/>
      </c>
    </row>
    <row r="1096" spans="28:35" x14ac:dyDescent="0.3">
      <c r="AB1096" t="str">
        <f t="shared" si="89"/>
        <v/>
      </c>
      <c r="AC1096" t="str">
        <f t="shared" si="89"/>
        <v/>
      </c>
      <c r="AD1096" t="str">
        <f t="shared" si="89"/>
        <v/>
      </c>
      <c r="AE1096" t="str">
        <f t="shared" si="89"/>
        <v/>
      </c>
      <c r="AF1096" t="str">
        <f t="shared" si="89"/>
        <v/>
      </c>
      <c r="AI1096" t="str">
        <f>IF(ROW($AA1096) - $AA$51 &lt; ($H$16+1)^5, IF(AG1096 &gt;= BaseBonus!$C$16, AG1096*BaseBonus!$E$31, 0), "")</f>
        <v/>
      </c>
    </row>
    <row r="1097" spans="28:35" x14ac:dyDescent="0.3">
      <c r="AB1097" t="str">
        <f t="shared" si="89"/>
        <v/>
      </c>
      <c r="AC1097" t="str">
        <f t="shared" si="89"/>
        <v/>
      </c>
      <c r="AD1097" t="str">
        <f t="shared" si="89"/>
        <v/>
      </c>
      <c r="AE1097" t="str">
        <f t="shared" si="89"/>
        <v/>
      </c>
      <c r="AF1097" t="str">
        <f t="shared" si="89"/>
        <v/>
      </c>
      <c r="AI1097" t="str">
        <f>IF(ROW($AA1097) - $AA$51 &lt; ($H$16+1)^5, IF(AG1097 &gt;= BaseBonus!$C$16, AG1097*BaseBonus!$E$31, 0), "")</f>
        <v/>
      </c>
    </row>
    <row r="1098" spans="28:35" x14ac:dyDescent="0.3">
      <c r="AB1098" t="str">
        <f t="shared" si="89"/>
        <v/>
      </c>
      <c r="AC1098" t="str">
        <f t="shared" si="89"/>
        <v/>
      </c>
      <c r="AD1098" t="str">
        <f t="shared" si="89"/>
        <v/>
      </c>
      <c r="AE1098" t="str">
        <f t="shared" si="89"/>
        <v/>
      </c>
      <c r="AF1098" t="str">
        <f t="shared" si="89"/>
        <v/>
      </c>
      <c r="AI1098" t="str">
        <f>IF(ROW($AA1098) - $AA$51 &lt; ($H$16+1)^5, IF(AG1098 &gt;= BaseBonus!$C$16, AG1098*BaseBonus!$E$31, 0), "")</f>
        <v/>
      </c>
    </row>
    <row r="1099" spans="28:35" x14ac:dyDescent="0.3">
      <c r="AB1099" t="str">
        <f t="shared" si="89"/>
        <v/>
      </c>
      <c r="AC1099" t="str">
        <f t="shared" si="89"/>
        <v/>
      </c>
      <c r="AD1099" t="str">
        <f t="shared" si="89"/>
        <v/>
      </c>
      <c r="AE1099" t="str">
        <f t="shared" si="89"/>
        <v/>
      </c>
      <c r="AF1099" t="str">
        <f t="shared" si="89"/>
        <v/>
      </c>
      <c r="AI1099" t="str">
        <f>IF(ROW($AA1099) - $AA$51 &lt; ($H$16+1)^5, IF(AG1099 &gt;= BaseBonus!$C$16, AG1099*BaseBonus!$E$31, 0), "")</f>
        <v/>
      </c>
    </row>
    <row r="1100" spans="28:35" x14ac:dyDescent="0.3">
      <c r="AB1100" t="str">
        <f t="shared" si="89"/>
        <v/>
      </c>
      <c r="AC1100" t="str">
        <f t="shared" si="89"/>
        <v/>
      </c>
      <c r="AD1100" t="str">
        <f t="shared" si="89"/>
        <v/>
      </c>
      <c r="AE1100" t="str">
        <f t="shared" si="89"/>
        <v/>
      </c>
      <c r="AF1100" t="str">
        <f t="shared" si="89"/>
        <v/>
      </c>
      <c r="AI1100" t="str">
        <f>IF(ROW($AA1100) - $AA$51 &lt; ($H$16+1)^5, IF(AG1100 &gt;= BaseBonus!$C$16, AG1100*BaseBonus!$E$31, 0), "")</f>
        <v/>
      </c>
    </row>
    <row r="1101" spans="28:35" x14ac:dyDescent="0.3">
      <c r="AB1101" t="str">
        <f t="shared" si="89"/>
        <v/>
      </c>
      <c r="AC1101" t="str">
        <f t="shared" si="89"/>
        <v/>
      </c>
      <c r="AD1101" t="str">
        <f t="shared" si="89"/>
        <v/>
      </c>
      <c r="AE1101" t="str">
        <f t="shared" si="89"/>
        <v/>
      </c>
      <c r="AF1101" t="str">
        <f t="shared" si="89"/>
        <v/>
      </c>
      <c r="AI1101" t="str">
        <f>IF(ROW($AA1101) - $AA$51 &lt; ($H$16+1)^5, IF(AG1101 &gt;= BaseBonus!$C$16, AG1101*BaseBonus!$E$31, 0), "")</f>
        <v/>
      </c>
    </row>
    <row r="1102" spans="28:35" x14ac:dyDescent="0.3">
      <c r="AB1102" t="str">
        <f t="shared" si="89"/>
        <v/>
      </c>
      <c r="AC1102" t="str">
        <f t="shared" si="89"/>
        <v/>
      </c>
      <c r="AD1102" t="str">
        <f t="shared" si="89"/>
        <v/>
      </c>
      <c r="AE1102" t="str">
        <f t="shared" si="89"/>
        <v/>
      </c>
      <c r="AF1102" t="str">
        <f t="shared" si="89"/>
        <v/>
      </c>
      <c r="AI1102" t="str">
        <f>IF(ROW($AA1102) - $AA$51 &lt; ($H$16+1)^5, IF(AG1102 &gt;= BaseBonus!$C$16, AG1102*BaseBonus!$E$31, 0), "")</f>
        <v/>
      </c>
    </row>
    <row r="1103" spans="28:35" x14ac:dyDescent="0.3">
      <c r="AB1103" t="str">
        <f t="shared" si="89"/>
        <v/>
      </c>
      <c r="AC1103" t="str">
        <f t="shared" si="89"/>
        <v/>
      </c>
      <c r="AD1103" t="str">
        <f t="shared" si="89"/>
        <v/>
      </c>
      <c r="AE1103" t="str">
        <f t="shared" si="89"/>
        <v/>
      </c>
      <c r="AF1103" t="str">
        <f t="shared" si="89"/>
        <v/>
      </c>
      <c r="AI1103" t="str">
        <f>IF(ROW($AA1103) - $AA$51 &lt; ($H$16+1)^5, IF(AG1103 &gt;= BaseBonus!$C$16, AG1103*BaseBonus!$E$31, 0), "")</f>
        <v/>
      </c>
    </row>
    <row r="1104" spans="28:35" x14ac:dyDescent="0.3">
      <c r="AB1104" t="str">
        <f t="shared" si="89"/>
        <v/>
      </c>
      <c r="AC1104" t="str">
        <f t="shared" si="89"/>
        <v/>
      </c>
      <c r="AD1104" t="str">
        <f t="shared" si="89"/>
        <v/>
      </c>
      <c r="AE1104" t="str">
        <f t="shared" si="89"/>
        <v/>
      </c>
      <c r="AF1104" t="str">
        <f t="shared" si="89"/>
        <v/>
      </c>
      <c r="AI1104" t="str">
        <f>IF(ROW($AA1104) - $AA$51 &lt; ($H$16+1)^5, IF(AG1104 &gt;= BaseBonus!$C$16, AG1104*BaseBonus!$E$31, 0), "")</f>
        <v/>
      </c>
    </row>
    <row r="1105" spans="28:35" x14ac:dyDescent="0.3">
      <c r="AB1105" t="str">
        <f t="shared" si="89"/>
        <v/>
      </c>
      <c r="AC1105" t="str">
        <f t="shared" si="89"/>
        <v/>
      </c>
      <c r="AD1105" t="str">
        <f t="shared" si="89"/>
        <v/>
      </c>
      <c r="AE1105" t="str">
        <f t="shared" si="89"/>
        <v/>
      </c>
      <c r="AF1105" t="str">
        <f t="shared" si="89"/>
        <v/>
      </c>
      <c r="AI1105" t="str">
        <f>IF(ROW($AA1105) - $AA$51 &lt; ($H$16+1)^5, IF(AG1105 &gt;= BaseBonus!$C$16, AG1105*BaseBonus!$E$31, 0), "")</f>
        <v/>
      </c>
    </row>
    <row r="1106" spans="28:35" x14ac:dyDescent="0.3">
      <c r="AB1106" t="str">
        <f t="shared" si="89"/>
        <v/>
      </c>
      <c r="AC1106" t="str">
        <f t="shared" si="89"/>
        <v/>
      </c>
      <c r="AD1106" t="str">
        <f t="shared" si="89"/>
        <v/>
      </c>
      <c r="AE1106" t="str">
        <f t="shared" si="89"/>
        <v/>
      </c>
      <c r="AF1106" t="str">
        <f t="shared" si="89"/>
        <v/>
      </c>
      <c r="AI1106" t="str">
        <f>IF(ROW($AA1106) - $AA$51 &lt; ($H$16+1)^5, IF(AG1106 &gt;= BaseBonus!$C$16, AG1106*BaseBonus!$E$31, 0), "")</f>
        <v/>
      </c>
    </row>
    <row r="1107" spans="28:35" x14ac:dyDescent="0.3">
      <c r="AB1107" t="str">
        <f t="shared" si="89"/>
        <v/>
      </c>
      <c r="AC1107" t="str">
        <f t="shared" si="89"/>
        <v/>
      </c>
      <c r="AD1107" t="str">
        <f t="shared" si="89"/>
        <v/>
      </c>
      <c r="AE1107" t="str">
        <f t="shared" si="89"/>
        <v/>
      </c>
      <c r="AF1107" t="str">
        <f t="shared" si="89"/>
        <v/>
      </c>
      <c r="AI1107" t="str">
        <f>IF(ROW($AA1107) - $AA$51 &lt; ($H$16+1)^5, IF(AG1107 &gt;= BaseBonus!$C$16, AG1107*BaseBonus!$E$31, 0), "")</f>
        <v/>
      </c>
    </row>
    <row r="1108" spans="28:35" x14ac:dyDescent="0.3">
      <c r="AB1108" t="str">
        <f t="shared" si="89"/>
        <v/>
      </c>
      <c r="AC1108" t="str">
        <f t="shared" si="89"/>
        <v/>
      </c>
      <c r="AD1108" t="str">
        <f t="shared" si="89"/>
        <v/>
      </c>
      <c r="AE1108" t="str">
        <f t="shared" si="89"/>
        <v/>
      </c>
      <c r="AF1108" t="str">
        <f t="shared" si="89"/>
        <v/>
      </c>
      <c r="AI1108" t="str">
        <f>IF(ROW($AA1108) - $AA$51 &lt; ($H$16+1)^5, IF(AG1108 &gt;= BaseBonus!$C$16, AG1108*BaseBonus!$E$31, 0), "")</f>
        <v/>
      </c>
    </row>
    <row r="1109" spans="28:35" x14ac:dyDescent="0.3">
      <c r="AB1109" t="str">
        <f t="shared" si="89"/>
        <v/>
      </c>
      <c r="AC1109" t="str">
        <f t="shared" si="89"/>
        <v/>
      </c>
      <c r="AD1109" t="str">
        <f t="shared" si="89"/>
        <v/>
      </c>
      <c r="AE1109" t="str">
        <f t="shared" si="89"/>
        <v/>
      </c>
      <c r="AF1109" t="str">
        <f t="shared" si="89"/>
        <v/>
      </c>
      <c r="AI1109" t="str">
        <f>IF(ROW($AA1109) - $AA$51 &lt; ($H$16+1)^5, IF(AG1109 &gt;= BaseBonus!$C$16, AG1109*BaseBonus!$E$31, 0), "")</f>
        <v/>
      </c>
    </row>
    <row r="1110" spans="28:35" x14ac:dyDescent="0.3">
      <c r="AB1110" t="str">
        <f t="shared" si="89"/>
        <v/>
      </c>
      <c r="AC1110" t="str">
        <f t="shared" si="89"/>
        <v/>
      </c>
      <c r="AD1110" t="str">
        <f t="shared" si="89"/>
        <v/>
      </c>
      <c r="AE1110" t="str">
        <f t="shared" si="89"/>
        <v/>
      </c>
      <c r="AF1110" t="str">
        <f t="shared" si="89"/>
        <v/>
      </c>
      <c r="AI1110" t="str">
        <f>IF(ROW($AA1110) - $AA$51 &lt; ($H$16+1)^5, IF(AG1110 &gt;= BaseBonus!$C$16, AG1110*BaseBonus!$E$31, 0), "")</f>
        <v/>
      </c>
    </row>
    <row r="1111" spans="28:35" x14ac:dyDescent="0.3">
      <c r="AB1111" t="str">
        <f t="shared" si="89"/>
        <v/>
      </c>
      <c r="AC1111" t="str">
        <f t="shared" si="89"/>
        <v/>
      </c>
      <c r="AD1111" t="str">
        <f t="shared" si="89"/>
        <v/>
      </c>
      <c r="AE1111" t="str">
        <f t="shared" si="89"/>
        <v/>
      </c>
      <c r="AF1111" t="str">
        <f t="shared" si="89"/>
        <v/>
      </c>
      <c r="AI1111" t="str">
        <f>IF(ROW($AA1111) - $AA$51 &lt; ($H$16+1)^5, IF(AG1111 &gt;= BaseBonus!$C$16, AG1111*BaseBonus!$E$31, 0), "")</f>
        <v/>
      </c>
    </row>
    <row r="1112" spans="28:35" x14ac:dyDescent="0.3">
      <c r="AB1112" t="str">
        <f t="shared" si="89"/>
        <v/>
      </c>
      <c r="AC1112" t="str">
        <f t="shared" si="89"/>
        <v/>
      </c>
      <c r="AD1112" t="str">
        <f t="shared" si="89"/>
        <v/>
      </c>
      <c r="AE1112" t="str">
        <f t="shared" si="89"/>
        <v/>
      </c>
      <c r="AF1112" t="str">
        <f t="shared" si="89"/>
        <v/>
      </c>
      <c r="AI1112" t="str">
        <f>IF(ROW($AA1112) - $AA$51 &lt; ($H$16+1)^5, IF(AG1112 &gt;= BaseBonus!$C$16, AG1112*BaseBonus!$E$31, 0), "")</f>
        <v/>
      </c>
    </row>
    <row r="1113" spans="28:35" x14ac:dyDescent="0.3">
      <c r="AB1113" t="str">
        <f t="shared" si="89"/>
        <v/>
      </c>
      <c r="AC1113" t="str">
        <f t="shared" si="89"/>
        <v/>
      </c>
      <c r="AD1113" t="str">
        <f t="shared" si="89"/>
        <v/>
      </c>
      <c r="AE1113" t="str">
        <f t="shared" si="89"/>
        <v/>
      </c>
      <c r="AF1113" t="str">
        <f t="shared" si="89"/>
        <v/>
      </c>
      <c r="AI1113" t="str">
        <f>IF(ROW($AA1113) - $AA$51 &lt; ($H$16+1)^5, IF(AG1113 &gt;= BaseBonus!$C$16, AG1113*BaseBonus!$E$31, 0), "")</f>
        <v/>
      </c>
    </row>
    <row r="1114" spans="28:35" x14ac:dyDescent="0.3">
      <c r="AB1114" t="str">
        <f t="shared" si="89"/>
        <v/>
      </c>
      <c r="AC1114" t="str">
        <f t="shared" si="89"/>
        <v/>
      </c>
      <c r="AD1114" t="str">
        <f t="shared" si="89"/>
        <v/>
      </c>
      <c r="AE1114" t="str">
        <f t="shared" si="89"/>
        <v/>
      </c>
      <c r="AF1114" t="str">
        <f t="shared" si="89"/>
        <v/>
      </c>
      <c r="AI1114" t="str">
        <f>IF(ROW($AA1114) - $AA$51 &lt; ($H$16+1)^5, IF(AG1114 &gt;= BaseBonus!$C$16, AG1114*BaseBonus!$E$31, 0), "")</f>
        <v/>
      </c>
    </row>
    <row r="1115" spans="28:35" x14ac:dyDescent="0.3">
      <c r="AB1115" t="str">
        <f t="shared" si="89"/>
        <v/>
      </c>
      <c r="AC1115" t="str">
        <f t="shared" si="89"/>
        <v/>
      </c>
      <c r="AD1115" t="str">
        <f t="shared" si="89"/>
        <v/>
      </c>
      <c r="AE1115" t="str">
        <f t="shared" si="89"/>
        <v/>
      </c>
      <c r="AF1115" t="str">
        <f t="shared" si="89"/>
        <v/>
      </c>
      <c r="AI1115" t="str">
        <f>IF(ROW($AA1115) - $AA$51 &lt; ($H$16+1)^5, IF(AG1115 &gt;= BaseBonus!$C$16, AG1115*BaseBonus!$E$31, 0), "")</f>
        <v/>
      </c>
    </row>
    <row r="1116" spans="28:35" x14ac:dyDescent="0.3">
      <c r="AB1116" t="str">
        <f t="shared" si="89"/>
        <v/>
      </c>
      <c r="AC1116" t="str">
        <f t="shared" si="89"/>
        <v/>
      </c>
      <c r="AD1116" t="str">
        <f t="shared" si="89"/>
        <v/>
      </c>
      <c r="AE1116" t="str">
        <f t="shared" si="89"/>
        <v/>
      </c>
      <c r="AF1116" t="str">
        <f t="shared" si="89"/>
        <v/>
      </c>
      <c r="AI1116" t="str">
        <f>IF(ROW($AA1116) - $AA$51 &lt; ($H$16+1)^5, IF(AG1116 &gt;= BaseBonus!$C$16, AG1116*BaseBonus!$E$31, 0), "")</f>
        <v/>
      </c>
    </row>
    <row r="1117" spans="28:35" x14ac:dyDescent="0.3">
      <c r="AB1117" t="str">
        <f t="shared" si="89"/>
        <v/>
      </c>
      <c r="AC1117" t="str">
        <f t="shared" si="89"/>
        <v/>
      </c>
      <c r="AD1117" t="str">
        <f t="shared" si="89"/>
        <v/>
      </c>
      <c r="AE1117" t="str">
        <f t="shared" si="89"/>
        <v/>
      </c>
      <c r="AF1117" t="str">
        <f t="shared" si="89"/>
        <v/>
      </c>
      <c r="AI1117" t="str">
        <f>IF(ROW($AA1117) - $AA$51 &lt; ($H$16+1)^5, IF(AG1117 &gt;= BaseBonus!$C$16, AG1117*BaseBonus!$E$31, 0), "")</f>
        <v/>
      </c>
    </row>
    <row r="1118" spans="28:35" x14ac:dyDescent="0.3">
      <c r="AB1118" t="str">
        <f t="shared" si="89"/>
        <v/>
      </c>
      <c r="AC1118" t="str">
        <f t="shared" si="89"/>
        <v/>
      </c>
      <c r="AD1118" t="str">
        <f t="shared" si="89"/>
        <v/>
      </c>
      <c r="AE1118" t="str">
        <f t="shared" si="89"/>
        <v/>
      </c>
      <c r="AF1118" t="str">
        <f t="shared" si="89"/>
        <v/>
      </c>
      <c r="AI1118" t="str">
        <f>IF(ROW($AA1118) - $AA$51 &lt; ($H$16+1)^5, IF(AG1118 &gt;= BaseBonus!$C$16, AG1118*BaseBonus!$E$31, 0), "")</f>
        <v/>
      </c>
    </row>
    <row r="1119" spans="28:35" x14ac:dyDescent="0.3">
      <c r="AB1119" t="str">
        <f t="shared" si="89"/>
        <v/>
      </c>
      <c r="AC1119" t="str">
        <f t="shared" si="89"/>
        <v/>
      </c>
      <c r="AD1119" t="str">
        <f t="shared" si="89"/>
        <v/>
      </c>
      <c r="AE1119" t="str">
        <f t="shared" si="89"/>
        <v/>
      </c>
      <c r="AF1119" t="str">
        <f t="shared" si="89"/>
        <v/>
      </c>
      <c r="AI1119" t="str">
        <f>IF(ROW($AA1119) - $AA$51 &lt; ($H$16+1)^5, IF(AG1119 &gt;= BaseBonus!$C$16, AG1119*BaseBonus!$E$31, 0), "")</f>
        <v/>
      </c>
    </row>
    <row r="1120" spans="28:35" x14ac:dyDescent="0.3">
      <c r="AB1120" t="str">
        <f t="shared" si="89"/>
        <v/>
      </c>
      <c r="AC1120" t="str">
        <f t="shared" si="89"/>
        <v/>
      </c>
      <c r="AD1120" t="str">
        <f t="shared" si="89"/>
        <v/>
      </c>
      <c r="AE1120" t="str">
        <f t="shared" si="89"/>
        <v/>
      </c>
      <c r="AF1120" t="str">
        <f t="shared" si="89"/>
        <v/>
      </c>
      <c r="AI1120" t="str">
        <f>IF(ROW($AA1120) - $AA$51 &lt; ($H$16+1)^5, IF(AG1120 &gt;= BaseBonus!$C$16, AG1120*BaseBonus!$E$31, 0), "")</f>
        <v/>
      </c>
    </row>
    <row r="1121" spans="28:35" x14ac:dyDescent="0.3">
      <c r="AB1121" t="str">
        <f t="shared" si="89"/>
        <v/>
      </c>
      <c r="AC1121" t="str">
        <f t="shared" si="89"/>
        <v/>
      </c>
      <c r="AD1121" t="str">
        <f t="shared" si="89"/>
        <v/>
      </c>
      <c r="AE1121" t="str">
        <f t="shared" si="89"/>
        <v/>
      </c>
      <c r="AF1121" t="str">
        <f t="shared" si="89"/>
        <v/>
      </c>
      <c r="AI1121" t="str">
        <f>IF(ROW($AA1121) - $AA$51 &lt; ($H$16+1)^5, IF(AG1121 &gt;= BaseBonus!$C$16, AG1121*BaseBonus!$E$31, 0), "")</f>
        <v/>
      </c>
    </row>
    <row r="1122" spans="28:35" x14ac:dyDescent="0.3">
      <c r="AB1122" t="str">
        <f t="shared" si="89"/>
        <v/>
      </c>
      <c r="AC1122" t="str">
        <f t="shared" si="89"/>
        <v/>
      </c>
      <c r="AD1122" t="str">
        <f t="shared" si="89"/>
        <v/>
      </c>
      <c r="AE1122" t="str">
        <f t="shared" si="89"/>
        <v/>
      </c>
      <c r="AF1122" t="str">
        <f t="shared" si="89"/>
        <v/>
      </c>
      <c r="AI1122" t="str">
        <f>IF(ROW($AA1122) - $AA$51 &lt; ($H$16+1)^5, IF(AG1122 &gt;= BaseBonus!$C$16, AG1122*BaseBonus!$E$31, 0), "")</f>
        <v/>
      </c>
    </row>
    <row r="1123" spans="28:35" x14ac:dyDescent="0.3">
      <c r="AB1123" t="str">
        <f t="shared" ref="AB1123:AF1173" si="90">IF(ROW()-$AA$51 &lt; (H$16+1)^5, MOD(_xlfn.FLOOR.MATH((ROW()-$AA$51)/AB$50), H$16+1), "")</f>
        <v/>
      </c>
      <c r="AC1123" t="str">
        <f t="shared" si="90"/>
        <v/>
      </c>
      <c r="AD1123" t="str">
        <f t="shared" si="90"/>
        <v/>
      </c>
      <c r="AE1123" t="str">
        <f t="shared" si="90"/>
        <v/>
      </c>
      <c r="AF1123" t="str">
        <f t="shared" si="90"/>
        <v/>
      </c>
      <c r="AI1123" t="str">
        <f>IF(ROW($AA1123) - $AA$51 &lt; ($H$16+1)^5, IF(AG1123 &gt;= BaseBonus!$C$16, AG1123*BaseBonus!$E$31, 0), "")</f>
        <v/>
      </c>
    </row>
    <row r="1124" spans="28:35" x14ac:dyDescent="0.3">
      <c r="AB1124" t="str">
        <f t="shared" si="90"/>
        <v/>
      </c>
      <c r="AC1124" t="str">
        <f t="shared" si="90"/>
        <v/>
      </c>
      <c r="AD1124" t="str">
        <f t="shared" si="90"/>
        <v/>
      </c>
      <c r="AE1124" t="str">
        <f t="shared" si="90"/>
        <v/>
      </c>
      <c r="AF1124" t="str">
        <f t="shared" si="90"/>
        <v/>
      </c>
      <c r="AI1124" t="str">
        <f>IF(ROW($AA1124) - $AA$51 &lt; ($H$16+1)^5, IF(AG1124 &gt;= BaseBonus!$C$16, AG1124*BaseBonus!$E$31, 0), "")</f>
        <v/>
      </c>
    </row>
    <row r="1125" spans="28:35" x14ac:dyDescent="0.3">
      <c r="AB1125" t="str">
        <f t="shared" si="90"/>
        <v/>
      </c>
      <c r="AC1125" t="str">
        <f t="shared" si="90"/>
        <v/>
      </c>
      <c r="AD1125" t="str">
        <f t="shared" si="90"/>
        <v/>
      </c>
      <c r="AE1125" t="str">
        <f t="shared" si="90"/>
        <v/>
      </c>
      <c r="AF1125" t="str">
        <f t="shared" si="90"/>
        <v/>
      </c>
      <c r="AI1125" t="str">
        <f>IF(ROW($AA1125) - $AA$51 &lt; ($H$16+1)^5, IF(AG1125 &gt;= BaseBonus!$C$16, AG1125*BaseBonus!$E$31, 0), "")</f>
        <v/>
      </c>
    </row>
    <row r="1126" spans="28:35" x14ac:dyDescent="0.3">
      <c r="AB1126" t="str">
        <f t="shared" si="90"/>
        <v/>
      </c>
      <c r="AC1126" t="str">
        <f t="shared" si="90"/>
        <v/>
      </c>
      <c r="AD1126" t="str">
        <f t="shared" si="90"/>
        <v/>
      </c>
      <c r="AE1126" t="str">
        <f t="shared" si="90"/>
        <v/>
      </c>
      <c r="AF1126" t="str">
        <f t="shared" si="90"/>
        <v/>
      </c>
      <c r="AI1126" t="str">
        <f>IF(ROW($AA1126) - $AA$51 &lt; ($H$16+1)^5, IF(AG1126 &gt;= BaseBonus!$C$16, AG1126*BaseBonus!$E$31, 0), "")</f>
        <v/>
      </c>
    </row>
    <row r="1127" spans="28:35" x14ac:dyDescent="0.3">
      <c r="AB1127" t="str">
        <f t="shared" si="90"/>
        <v/>
      </c>
      <c r="AC1127" t="str">
        <f t="shared" si="90"/>
        <v/>
      </c>
      <c r="AD1127" t="str">
        <f t="shared" si="90"/>
        <v/>
      </c>
      <c r="AE1127" t="str">
        <f t="shared" si="90"/>
        <v/>
      </c>
      <c r="AF1127" t="str">
        <f t="shared" si="90"/>
        <v/>
      </c>
      <c r="AI1127" t="str">
        <f>IF(ROW($AA1127) - $AA$51 &lt; ($H$16+1)^5, IF(AG1127 &gt;= BaseBonus!$C$16, AG1127*BaseBonus!$E$31, 0), "")</f>
        <v/>
      </c>
    </row>
    <row r="1128" spans="28:35" x14ac:dyDescent="0.3">
      <c r="AB1128" t="str">
        <f t="shared" si="90"/>
        <v/>
      </c>
      <c r="AC1128" t="str">
        <f t="shared" si="90"/>
        <v/>
      </c>
      <c r="AD1128" t="str">
        <f t="shared" si="90"/>
        <v/>
      </c>
      <c r="AE1128" t="str">
        <f t="shared" si="90"/>
        <v/>
      </c>
      <c r="AF1128" t="str">
        <f t="shared" si="90"/>
        <v/>
      </c>
      <c r="AI1128" t="str">
        <f>IF(ROW($AA1128) - $AA$51 &lt; ($H$16+1)^5, IF(AG1128 &gt;= BaseBonus!$C$16, AG1128*BaseBonus!$E$31, 0), "")</f>
        <v/>
      </c>
    </row>
    <row r="1129" spans="28:35" x14ac:dyDescent="0.3">
      <c r="AB1129" t="str">
        <f t="shared" si="90"/>
        <v/>
      </c>
      <c r="AC1129" t="str">
        <f t="shared" si="90"/>
        <v/>
      </c>
      <c r="AD1129" t="str">
        <f t="shared" si="90"/>
        <v/>
      </c>
      <c r="AE1129" t="str">
        <f t="shared" si="90"/>
        <v/>
      </c>
      <c r="AF1129" t="str">
        <f t="shared" si="90"/>
        <v/>
      </c>
      <c r="AI1129" t="str">
        <f>IF(ROW($AA1129) - $AA$51 &lt; ($H$16+1)^5, IF(AG1129 &gt;= BaseBonus!$C$16, AG1129*BaseBonus!$E$31, 0), "")</f>
        <v/>
      </c>
    </row>
    <row r="1130" spans="28:35" x14ac:dyDescent="0.3">
      <c r="AB1130" t="str">
        <f t="shared" si="90"/>
        <v/>
      </c>
      <c r="AC1130" t="str">
        <f t="shared" si="90"/>
        <v/>
      </c>
      <c r="AD1130" t="str">
        <f t="shared" si="90"/>
        <v/>
      </c>
      <c r="AE1130" t="str">
        <f t="shared" si="90"/>
        <v/>
      </c>
      <c r="AF1130" t="str">
        <f t="shared" si="90"/>
        <v/>
      </c>
      <c r="AI1130" t="str">
        <f>IF(ROW($AA1130) - $AA$51 &lt; ($H$16+1)^5, IF(AG1130 &gt;= BaseBonus!$C$16, AG1130*BaseBonus!$E$31, 0), "")</f>
        <v/>
      </c>
    </row>
    <row r="1131" spans="28:35" x14ac:dyDescent="0.3">
      <c r="AB1131" t="str">
        <f t="shared" si="90"/>
        <v/>
      </c>
      <c r="AC1131" t="str">
        <f t="shared" si="90"/>
        <v/>
      </c>
      <c r="AD1131" t="str">
        <f t="shared" si="90"/>
        <v/>
      </c>
      <c r="AE1131" t="str">
        <f t="shared" si="90"/>
        <v/>
      </c>
      <c r="AF1131" t="str">
        <f t="shared" si="90"/>
        <v/>
      </c>
      <c r="AI1131" t="str">
        <f>IF(ROW($AA1131) - $AA$51 &lt; ($H$16+1)^5, IF(AG1131 &gt;= BaseBonus!$C$16, AG1131*BaseBonus!$E$31, 0), "")</f>
        <v/>
      </c>
    </row>
    <row r="1132" spans="28:35" x14ac:dyDescent="0.3">
      <c r="AB1132" t="str">
        <f t="shared" si="90"/>
        <v/>
      </c>
      <c r="AC1132" t="str">
        <f t="shared" si="90"/>
        <v/>
      </c>
      <c r="AD1132" t="str">
        <f t="shared" si="90"/>
        <v/>
      </c>
      <c r="AE1132" t="str">
        <f t="shared" si="90"/>
        <v/>
      </c>
      <c r="AF1132" t="str">
        <f t="shared" si="90"/>
        <v/>
      </c>
      <c r="AI1132" t="str">
        <f>IF(ROW($AA1132) - $AA$51 &lt; ($H$16+1)^5, IF(AG1132 &gt;= BaseBonus!$C$16, AG1132*BaseBonus!$E$31, 0), "")</f>
        <v/>
      </c>
    </row>
    <row r="1133" spans="28:35" x14ac:dyDescent="0.3">
      <c r="AB1133" t="str">
        <f t="shared" si="90"/>
        <v/>
      </c>
      <c r="AC1133" t="str">
        <f t="shared" si="90"/>
        <v/>
      </c>
      <c r="AD1133" t="str">
        <f t="shared" si="90"/>
        <v/>
      </c>
      <c r="AE1133" t="str">
        <f t="shared" si="90"/>
        <v/>
      </c>
      <c r="AF1133" t="str">
        <f t="shared" si="90"/>
        <v/>
      </c>
      <c r="AI1133" t="str">
        <f>IF(ROW($AA1133) - $AA$51 &lt; ($H$16+1)^5, IF(AG1133 &gt;= BaseBonus!$C$16, AG1133*BaseBonus!$E$31, 0), "")</f>
        <v/>
      </c>
    </row>
    <row r="1134" spans="28:35" x14ac:dyDescent="0.3">
      <c r="AB1134" t="str">
        <f t="shared" si="90"/>
        <v/>
      </c>
      <c r="AC1134" t="str">
        <f t="shared" si="90"/>
        <v/>
      </c>
      <c r="AD1134" t="str">
        <f t="shared" si="90"/>
        <v/>
      </c>
      <c r="AE1134" t="str">
        <f t="shared" si="90"/>
        <v/>
      </c>
      <c r="AF1134" t="str">
        <f t="shared" si="90"/>
        <v/>
      </c>
      <c r="AI1134" t="str">
        <f>IF(ROW($AA1134) - $AA$51 &lt; ($H$16+1)^5, IF(AG1134 &gt;= BaseBonus!$C$16, AG1134*BaseBonus!$E$31, 0), "")</f>
        <v/>
      </c>
    </row>
    <row r="1135" spans="28:35" x14ac:dyDescent="0.3">
      <c r="AB1135" t="str">
        <f t="shared" si="90"/>
        <v/>
      </c>
      <c r="AC1135" t="str">
        <f t="shared" si="90"/>
        <v/>
      </c>
      <c r="AD1135" t="str">
        <f t="shared" si="90"/>
        <v/>
      </c>
      <c r="AE1135" t="str">
        <f t="shared" si="90"/>
        <v/>
      </c>
      <c r="AF1135" t="str">
        <f t="shared" si="90"/>
        <v/>
      </c>
      <c r="AI1135" t="str">
        <f>IF(ROW($AA1135) - $AA$51 &lt; ($H$16+1)^5, IF(AG1135 &gt;= BaseBonus!$C$16, AG1135*BaseBonus!$E$31, 0), "")</f>
        <v/>
      </c>
    </row>
    <row r="1136" spans="28:35" x14ac:dyDescent="0.3">
      <c r="AB1136" t="str">
        <f t="shared" si="90"/>
        <v/>
      </c>
      <c r="AC1136" t="str">
        <f t="shared" si="90"/>
        <v/>
      </c>
      <c r="AD1136" t="str">
        <f t="shared" si="90"/>
        <v/>
      </c>
      <c r="AE1136" t="str">
        <f t="shared" si="90"/>
        <v/>
      </c>
      <c r="AF1136" t="str">
        <f t="shared" si="90"/>
        <v/>
      </c>
      <c r="AI1136" t="str">
        <f>IF(ROW($AA1136) - $AA$51 &lt; ($H$16+1)^5, IF(AG1136 &gt;= BaseBonus!$C$16, AG1136*BaseBonus!$E$31, 0), "")</f>
        <v/>
      </c>
    </row>
    <row r="1137" spans="28:35" x14ac:dyDescent="0.3">
      <c r="AB1137" t="str">
        <f t="shared" si="90"/>
        <v/>
      </c>
      <c r="AC1137" t="str">
        <f t="shared" si="90"/>
        <v/>
      </c>
      <c r="AD1137" t="str">
        <f t="shared" si="90"/>
        <v/>
      </c>
      <c r="AE1137" t="str">
        <f t="shared" si="90"/>
        <v/>
      </c>
      <c r="AF1137" t="str">
        <f t="shared" si="90"/>
        <v/>
      </c>
      <c r="AI1137" t="str">
        <f>IF(ROW($AA1137) - $AA$51 &lt; ($H$16+1)^5, IF(AG1137 &gt;= BaseBonus!$C$16, AG1137*BaseBonus!$E$31, 0), "")</f>
        <v/>
      </c>
    </row>
    <row r="1138" spans="28:35" x14ac:dyDescent="0.3">
      <c r="AB1138" t="str">
        <f t="shared" si="90"/>
        <v/>
      </c>
      <c r="AC1138" t="str">
        <f t="shared" si="90"/>
        <v/>
      </c>
      <c r="AD1138" t="str">
        <f t="shared" si="90"/>
        <v/>
      </c>
      <c r="AE1138" t="str">
        <f t="shared" si="90"/>
        <v/>
      </c>
      <c r="AF1138" t="str">
        <f t="shared" si="90"/>
        <v/>
      </c>
      <c r="AI1138" t="str">
        <f>IF(ROW($AA1138) - $AA$51 &lt; ($H$16+1)^5, IF(AG1138 &gt;= BaseBonus!$C$16, AG1138*BaseBonus!$E$31, 0), "")</f>
        <v/>
      </c>
    </row>
    <row r="1139" spans="28:35" x14ac:dyDescent="0.3">
      <c r="AB1139" t="str">
        <f t="shared" si="90"/>
        <v/>
      </c>
      <c r="AC1139" t="str">
        <f t="shared" si="90"/>
        <v/>
      </c>
      <c r="AD1139" t="str">
        <f t="shared" si="90"/>
        <v/>
      </c>
      <c r="AE1139" t="str">
        <f t="shared" si="90"/>
        <v/>
      </c>
      <c r="AF1139" t="str">
        <f t="shared" si="90"/>
        <v/>
      </c>
      <c r="AI1139" t="str">
        <f>IF(ROW($AA1139) - $AA$51 &lt; ($H$16+1)^5, IF(AG1139 &gt;= BaseBonus!$C$16, AG1139*BaseBonus!$E$31, 0), "")</f>
        <v/>
      </c>
    </row>
    <row r="1140" spans="28:35" x14ac:dyDescent="0.3">
      <c r="AB1140" t="str">
        <f t="shared" si="90"/>
        <v/>
      </c>
      <c r="AC1140" t="str">
        <f t="shared" si="90"/>
        <v/>
      </c>
      <c r="AD1140" t="str">
        <f t="shared" si="90"/>
        <v/>
      </c>
      <c r="AE1140" t="str">
        <f t="shared" si="90"/>
        <v/>
      </c>
      <c r="AF1140" t="str">
        <f t="shared" si="90"/>
        <v/>
      </c>
      <c r="AI1140" t="str">
        <f>IF(ROW($AA1140) - $AA$51 &lt; ($H$16+1)^5, IF(AG1140 &gt;= BaseBonus!$C$16, AG1140*BaseBonus!$E$31, 0), "")</f>
        <v/>
      </c>
    </row>
    <row r="1141" spans="28:35" x14ac:dyDescent="0.3">
      <c r="AB1141" t="str">
        <f t="shared" si="90"/>
        <v/>
      </c>
      <c r="AC1141" t="str">
        <f t="shared" si="90"/>
        <v/>
      </c>
      <c r="AD1141" t="str">
        <f t="shared" si="90"/>
        <v/>
      </c>
      <c r="AE1141" t="str">
        <f t="shared" si="90"/>
        <v/>
      </c>
      <c r="AF1141" t="str">
        <f t="shared" si="90"/>
        <v/>
      </c>
      <c r="AI1141" t="str">
        <f>IF(ROW($AA1141) - $AA$51 &lt; ($H$16+1)^5, IF(AG1141 &gt;= BaseBonus!$C$16, AG1141*BaseBonus!$E$31, 0), "")</f>
        <v/>
      </c>
    </row>
    <row r="1142" spans="28:35" x14ac:dyDescent="0.3">
      <c r="AB1142" t="str">
        <f t="shared" si="90"/>
        <v/>
      </c>
      <c r="AC1142" t="str">
        <f t="shared" si="90"/>
        <v/>
      </c>
      <c r="AD1142" t="str">
        <f t="shared" si="90"/>
        <v/>
      </c>
      <c r="AE1142" t="str">
        <f t="shared" si="90"/>
        <v/>
      </c>
      <c r="AF1142" t="str">
        <f t="shared" si="90"/>
        <v/>
      </c>
      <c r="AI1142" t="str">
        <f>IF(ROW($AA1142) - $AA$51 &lt; ($H$16+1)^5, IF(AG1142 &gt;= BaseBonus!$C$16, AG1142*BaseBonus!$E$31, 0), "")</f>
        <v/>
      </c>
    </row>
    <row r="1143" spans="28:35" x14ac:dyDescent="0.3">
      <c r="AB1143" t="str">
        <f t="shared" si="90"/>
        <v/>
      </c>
      <c r="AC1143" t="str">
        <f t="shared" si="90"/>
        <v/>
      </c>
      <c r="AD1143" t="str">
        <f t="shared" si="90"/>
        <v/>
      </c>
      <c r="AE1143" t="str">
        <f t="shared" si="90"/>
        <v/>
      </c>
      <c r="AF1143" t="str">
        <f t="shared" si="90"/>
        <v/>
      </c>
      <c r="AI1143" t="str">
        <f>IF(ROW($AA1143) - $AA$51 &lt; ($H$16+1)^5, IF(AG1143 &gt;= BaseBonus!$C$16, AG1143*BaseBonus!$E$31, 0), "")</f>
        <v/>
      </c>
    </row>
    <row r="1144" spans="28:35" x14ac:dyDescent="0.3">
      <c r="AB1144" t="str">
        <f t="shared" si="90"/>
        <v/>
      </c>
      <c r="AC1144" t="str">
        <f t="shared" si="90"/>
        <v/>
      </c>
      <c r="AD1144" t="str">
        <f t="shared" si="90"/>
        <v/>
      </c>
      <c r="AE1144" t="str">
        <f t="shared" si="90"/>
        <v/>
      </c>
      <c r="AF1144" t="str">
        <f t="shared" si="90"/>
        <v/>
      </c>
      <c r="AI1144" t="str">
        <f>IF(ROW($AA1144) - $AA$51 &lt; ($H$16+1)^5, IF(AG1144 &gt;= BaseBonus!$C$16, AG1144*BaseBonus!$E$31, 0), "")</f>
        <v/>
      </c>
    </row>
    <row r="1145" spans="28:35" x14ac:dyDescent="0.3">
      <c r="AB1145" t="str">
        <f t="shared" si="90"/>
        <v/>
      </c>
      <c r="AC1145" t="str">
        <f t="shared" si="90"/>
        <v/>
      </c>
      <c r="AD1145" t="str">
        <f t="shared" si="90"/>
        <v/>
      </c>
      <c r="AE1145" t="str">
        <f t="shared" si="90"/>
        <v/>
      </c>
      <c r="AF1145" t="str">
        <f t="shared" si="90"/>
        <v/>
      </c>
      <c r="AI1145" t="str">
        <f>IF(ROW($AA1145) - $AA$51 &lt; ($H$16+1)^5, IF(AG1145 &gt;= BaseBonus!$C$16, AG1145*BaseBonus!$E$31, 0), "")</f>
        <v/>
      </c>
    </row>
    <row r="1146" spans="28:35" x14ac:dyDescent="0.3">
      <c r="AB1146" t="str">
        <f t="shared" si="90"/>
        <v/>
      </c>
      <c r="AC1146" t="str">
        <f t="shared" si="90"/>
        <v/>
      </c>
      <c r="AD1146" t="str">
        <f t="shared" si="90"/>
        <v/>
      </c>
      <c r="AE1146" t="str">
        <f t="shared" si="90"/>
        <v/>
      </c>
      <c r="AF1146" t="str">
        <f t="shared" si="90"/>
        <v/>
      </c>
      <c r="AI1146" t="str">
        <f>IF(ROW($AA1146) - $AA$51 &lt; ($H$16+1)^5, IF(AG1146 &gt;= BaseBonus!$C$16, AG1146*BaseBonus!$E$31, 0), "")</f>
        <v/>
      </c>
    </row>
    <row r="1147" spans="28:35" x14ac:dyDescent="0.3">
      <c r="AB1147" t="str">
        <f t="shared" si="90"/>
        <v/>
      </c>
      <c r="AC1147" t="str">
        <f t="shared" si="90"/>
        <v/>
      </c>
      <c r="AD1147" t="str">
        <f t="shared" si="90"/>
        <v/>
      </c>
      <c r="AE1147" t="str">
        <f t="shared" si="90"/>
        <v/>
      </c>
      <c r="AF1147" t="str">
        <f t="shared" si="90"/>
        <v/>
      </c>
      <c r="AI1147" t="str">
        <f>IF(ROW($AA1147) - $AA$51 &lt; ($H$16+1)^5, IF(AG1147 &gt;= BaseBonus!$C$16, AG1147*BaseBonus!$E$31, 0), "")</f>
        <v/>
      </c>
    </row>
    <row r="1148" spans="28:35" x14ac:dyDescent="0.3">
      <c r="AB1148" t="str">
        <f t="shared" si="90"/>
        <v/>
      </c>
      <c r="AC1148" t="str">
        <f t="shared" si="90"/>
        <v/>
      </c>
      <c r="AD1148" t="str">
        <f t="shared" si="90"/>
        <v/>
      </c>
      <c r="AE1148" t="str">
        <f t="shared" si="90"/>
        <v/>
      </c>
      <c r="AF1148" t="str">
        <f t="shared" si="90"/>
        <v/>
      </c>
      <c r="AI1148" t="str">
        <f>IF(ROW($AA1148) - $AA$51 &lt; ($H$16+1)^5, IF(AG1148 &gt;= BaseBonus!$C$16, AG1148*BaseBonus!$E$31, 0), "")</f>
        <v/>
      </c>
    </row>
    <row r="1149" spans="28:35" x14ac:dyDescent="0.3">
      <c r="AB1149" t="str">
        <f t="shared" si="90"/>
        <v/>
      </c>
      <c r="AC1149" t="str">
        <f t="shared" si="90"/>
        <v/>
      </c>
      <c r="AD1149" t="str">
        <f t="shared" si="90"/>
        <v/>
      </c>
      <c r="AE1149" t="str">
        <f t="shared" si="90"/>
        <v/>
      </c>
      <c r="AF1149" t="str">
        <f t="shared" si="90"/>
        <v/>
      </c>
      <c r="AI1149" t="str">
        <f>IF(ROW($AA1149) - $AA$51 &lt; ($H$16+1)^5, IF(AG1149 &gt;= BaseBonus!$C$16, AG1149*BaseBonus!$E$31, 0), "")</f>
        <v/>
      </c>
    </row>
    <row r="1150" spans="28:35" x14ac:dyDescent="0.3">
      <c r="AB1150" t="str">
        <f t="shared" si="90"/>
        <v/>
      </c>
      <c r="AC1150" t="str">
        <f t="shared" si="90"/>
        <v/>
      </c>
      <c r="AD1150" t="str">
        <f t="shared" si="90"/>
        <v/>
      </c>
      <c r="AE1150" t="str">
        <f t="shared" si="90"/>
        <v/>
      </c>
      <c r="AF1150" t="str">
        <f t="shared" si="90"/>
        <v/>
      </c>
      <c r="AI1150" t="str">
        <f>IF(ROW($AA1150) - $AA$51 &lt; ($H$16+1)^5, IF(AG1150 &gt;= BaseBonus!$C$16, AG1150*BaseBonus!$E$31, 0), "")</f>
        <v/>
      </c>
    </row>
    <row r="1151" spans="28:35" x14ac:dyDescent="0.3">
      <c r="AB1151" t="str">
        <f t="shared" si="90"/>
        <v/>
      </c>
      <c r="AC1151" t="str">
        <f t="shared" si="90"/>
        <v/>
      </c>
      <c r="AD1151" t="str">
        <f t="shared" si="90"/>
        <v/>
      </c>
      <c r="AE1151" t="str">
        <f t="shared" si="90"/>
        <v/>
      </c>
      <c r="AF1151" t="str">
        <f t="shared" si="90"/>
        <v/>
      </c>
      <c r="AI1151" t="str">
        <f>IF(ROW($AA1151) - $AA$51 &lt; ($H$16+1)^5, IF(AG1151 &gt;= BaseBonus!$C$16, AG1151*BaseBonus!$E$31, 0), "")</f>
        <v/>
      </c>
    </row>
    <row r="1152" spans="28:35" x14ac:dyDescent="0.3">
      <c r="AB1152" t="str">
        <f t="shared" si="90"/>
        <v/>
      </c>
      <c r="AC1152" t="str">
        <f t="shared" si="90"/>
        <v/>
      </c>
      <c r="AD1152" t="str">
        <f t="shared" si="90"/>
        <v/>
      </c>
      <c r="AE1152" t="str">
        <f t="shared" si="90"/>
        <v/>
      </c>
      <c r="AF1152" t="str">
        <f t="shared" si="90"/>
        <v/>
      </c>
      <c r="AI1152" t="str">
        <f>IF(ROW($AA1152) - $AA$51 &lt; ($H$16+1)^5, IF(AG1152 &gt;= BaseBonus!$C$16, AG1152*BaseBonus!$E$31, 0), "")</f>
        <v/>
      </c>
    </row>
    <row r="1153" spans="28:35" x14ac:dyDescent="0.3">
      <c r="AB1153" t="str">
        <f t="shared" si="90"/>
        <v/>
      </c>
      <c r="AC1153" t="str">
        <f t="shared" si="90"/>
        <v/>
      </c>
      <c r="AD1153" t="str">
        <f t="shared" si="90"/>
        <v/>
      </c>
      <c r="AE1153" t="str">
        <f t="shared" si="90"/>
        <v/>
      </c>
      <c r="AF1153" t="str">
        <f t="shared" si="90"/>
        <v/>
      </c>
      <c r="AI1153" t="str">
        <f>IF(ROW($AA1153) - $AA$51 &lt; ($H$16+1)^5, IF(AG1153 &gt;= BaseBonus!$C$16, AG1153*BaseBonus!$E$31, 0), "")</f>
        <v/>
      </c>
    </row>
    <row r="1154" spans="28:35" x14ac:dyDescent="0.3">
      <c r="AB1154" t="str">
        <f t="shared" si="90"/>
        <v/>
      </c>
      <c r="AC1154" t="str">
        <f t="shared" si="90"/>
        <v/>
      </c>
      <c r="AD1154" t="str">
        <f t="shared" si="90"/>
        <v/>
      </c>
      <c r="AE1154" t="str">
        <f t="shared" si="90"/>
        <v/>
      </c>
      <c r="AF1154" t="str">
        <f t="shared" si="90"/>
        <v/>
      </c>
      <c r="AI1154" t="str">
        <f>IF(ROW($AA1154) - $AA$51 &lt; ($H$16+1)^5, IF(AG1154 &gt;= BaseBonus!$C$16, AG1154*BaseBonus!$E$31, 0), "")</f>
        <v/>
      </c>
    </row>
    <row r="1155" spans="28:35" x14ac:dyDescent="0.3">
      <c r="AB1155" t="str">
        <f t="shared" si="90"/>
        <v/>
      </c>
      <c r="AC1155" t="str">
        <f t="shared" si="90"/>
        <v/>
      </c>
      <c r="AD1155" t="str">
        <f t="shared" si="90"/>
        <v/>
      </c>
      <c r="AE1155" t="str">
        <f t="shared" si="90"/>
        <v/>
      </c>
      <c r="AF1155" t="str">
        <f t="shared" si="90"/>
        <v/>
      </c>
      <c r="AI1155" t="str">
        <f>IF(ROW($AA1155) - $AA$51 &lt; ($H$16+1)^5, IF(AG1155 &gt;= BaseBonus!$C$16, AG1155*BaseBonus!$E$31, 0), "")</f>
        <v/>
      </c>
    </row>
    <row r="1156" spans="28:35" x14ac:dyDescent="0.3">
      <c r="AB1156" t="str">
        <f t="shared" si="90"/>
        <v/>
      </c>
      <c r="AC1156" t="str">
        <f t="shared" si="90"/>
        <v/>
      </c>
      <c r="AD1156" t="str">
        <f t="shared" si="90"/>
        <v/>
      </c>
      <c r="AE1156" t="str">
        <f t="shared" si="90"/>
        <v/>
      </c>
      <c r="AF1156" t="str">
        <f t="shared" si="90"/>
        <v/>
      </c>
      <c r="AI1156" t="str">
        <f>IF(ROW($AA1156) - $AA$51 &lt; ($H$16+1)^5, IF(AG1156 &gt;= BaseBonus!$C$16, AG1156*BaseBonus!$E$31, 0), "")</f>
        <v/>
      </c>
    </row>
    <row r="1157" spans="28:35" x14ac:dyDescent="0.3">
      <c r="AB1157" t="str">
        <f t="shared" si="90"/>
        <v/>
      </c>
      <c r="AC1157" t="str">
        <f t="shared" si="90"/>
        <v/>
      </c>
      <c r="AD1157" t="str">
        <f t="shared" si="90"/>
        <v/>
      </c>
      <c r="AE1157" t="str">
        <f t="shared" si="90"/>
        <v/>
      </c>
      <c r="AF1157" t="str">
        <f t="shared" si="90"/>
        <v/>
      </c>
      <c r="AI1157" t="str">
        <f>IF(ROW($AA1157) - $AA$51 &lt; ($H$16+1)^5, IF(AG1157 &gt;= BaseBonus!$C$16, AG1157*BaseBonus!$E$31, 0), "")</f>
        <v/>
      </c>
    </row>
    <row r="1158" spans="28:35" x14ac:dyDescent="0.3">
      <c r="AB1158" t="str">
        <f t="shared" si="90"/>
        <v/>
      </c>
      <c r="AC1158" t="str">
        <f t="shared" si="90"/>
        <v/>
      </c>
      <c r="AD1158" t="str">
        <f t="shared" si="90"/>
        <v/>
      </c>
      <c r="AE1158" t="str">
        <f t="shared" si="90"/>
        <v/>
      </c>
      <c r="AF1158" t="str">
        <f t="shared" si="90"/>
        <v/>
      </c>
      <c r="AI1158" t="str">
        <f>IF(ROW($AA1158) - $AA$51 &lt; ($H$16+1)^5, IF(AG1158 &gt;= BaseBonus!$C$16, AG1158*BaseBonus!$E$31, 0), "")</f>
        <v/>
      </c>
    </row>
    <row r="1159" spans="28:35" x14ac:dyDescent="0.3">
      <c r="AB1159" t="str">
        <f t="shared" si="90"/>
        <v/>
      </c>
      <c r="AC1159" t="str">
        <f t="shared" si="90"/>
        <v/>
      </c>
      <c r="AD1159" t="str">
        <f t="shared" si="90"/>
        <v/>
      </c>
      <c r="AE1159" t="str">
        <f t="shared" si="90"/>
        <v/>
      </c>
      <c r="AF1159" t="str">
        <f t="shared" si="90"/>
        <v/>
      </c>
      <c r="AI1159" t="str">
        <f>IF(ROW($AA1159) - $AA$51 &lt; ($H$16+1)^5, IF(AG1159 &gt;= BaseBonus!$C$16, AG1159*BaseBonus!$E$31, 0), "")</f>
        <v/>
      </c>
    </row>
    <row r="1160" spans="28:35" x14ac:dyDescent="0.3">
      <c r="AB1160" t="str">
        <f t="shared" si="90"/>
        <v/>
      </c>
      <c r="AC1160" t="str">
        <f t="shared" si="90"/>
        <v/>
      </c>
      <c r="AD1160" t="str">
        <f t="shared" si="90"/>
        <v/>
      </c>
      <c r="AE1160" t="str">
        <f t="shared" si="90"/>
        <v/>
      </c>
      <c r="AF1160" t="str">
        <f t="shared" si="90"/>
        <v/>
      </c>
      <c r="AI1160" t="str">
        <f>IF(ROW($AA1160) - $AA$51 &lt; ($H$16+1)^5, IF(AG1160 &gt;= BaseBonus!$C$16, AG1160*BaseBonus!$E$31, 0), "")</f>
        <v/>
      </c>
    </row>
    <row r="1161" spans="28:35" x14ac:dyDescent="0.3">
      <c r="AB1161" t="str">
        <f t="shared" si="90"/>
        <v/>
      </c>
      <c r="AC1161" t="str">
        <f t="shared" si="90"/>
        <v/>
      </c>
      <c r="AD1161" t="str">
        <f t="shared" si="90"/>
        <v/>
      </c>
      <c r="AE1161" t="str">
        <f t="shared" si="90"/>
        <v/>
      </c>
      <c r="AF1161" t="str">
        <f t="shared" si="90"/>
        <v/>
      </c>
      <c r="AI1161" t="str">
        <f>IF(ROW($AA1161) - $AA$51 &lt; ($H$16+1)^5, IF(AG1161 &gt;= BaseBonus!$C$16, AG1161*BaseBonus!$E$31, 0), "")</f>
        <v/>
      </c>
    </row>
    <row r="1162" spans="28:35" x14ac:dyDescent="0.3">
      <c r="AB1162" t="str">
        <f t="shared" si="90"/>
        <v/>
      </c>
      <c r="AC1162" t="str">
        <f t="shared" si="90"/>
        <v/>
      </c>
      <c r="AD1162" t="str">
        <f t="shared" si="90"/>
        <v/>
      </c>
      <c r="AE1162" t="str">
        <f t="shared" si="90"/>
        <v/>
      </c>
      <c r="AF1162" t="str">
        <f t="shared" si="90"/>
        <v/>
      </c>
      <c r="AI1162" t="str">
        <f>IF(ROW($AA1162) - $AA$51 &lt; ($H$16+1)^5, IF(AG1162 &gt;= BaseBonus!$C$16, AG1162*BaseBonus!$E$31, 0), "")</f>
        <v/>
      </c>
    </row>
    <row r="1163" spans="28:35" x14ac:dyDescent="0.3">
      <c r="AB1163" t="str">
        <f t="shared" si="90"/>
        <v/>
      </c>
      <c r="AC1163" t="str">
        <f t="shared" si="90"/>
        <v/>
      </c>
      <c r="AD1163" t="str">
        <f t="shared" si="90"/>
        <v/>
      </c>
      <c r="AE1163" t="str">
        <f t="shared" si="90"/>
        <v/>
      </c>
      <c r="AF1163" t="str">
        <f t="shared" si="90"/>
        <v/>
      </c>
      <c r="AI1163" t="str">
        <f>IF(ROW($AA1163) - $AA$51 &lt; ($H$16+1)^5, IF(AG1163 &gt;= BaseBonus!$C$16, AG1163*BaseBonus!$E$31, 0), "")</f>
        <v/>
      </c>
    </row>
    <row r="1164" spans="28:35" x14ac:dyDescent="0.3">
      <c r="AB1164" t="str">
        <f t="shared" si="90"/>
        <v/>
      </c>
      <c r="AC1164" t="str">
        <f t="shared" si="90"/>
        <v/>
      </c>
      <c r="AD1164" t="str">
        <f t="shared" si="90"/>
        <v/>
      </c>
      <c r="AE1164" t="str">
        <f t="shared" si="90"/>
        <v/>
      </c>
      <c r="AF1164" t="str">
        <f t="shared" si="90"/>
        <v/>
      </c>
      <c r="AI1164" t="str">
        <f>IF(ROW($AA1164) - $AA$51 &lt; ($H$16+1)^5, IF(AG1164 &gt;= BaseBonus!$C$16, AG1164*BaseBonus!$E$31, 0), "")</f>
        <v/>
      </c>
    </row>
    <row r="1165" spans="28:35" x14ac:dyDescent="0.3">
      <c r="AB1165" t="str">
        <f t="shared" si="90"/>
        <v/>
      </c>
      <c r="AC1165" t="str">
        <f t="shared" si="90"/>
        <v/>
      </c>
      <c r="AD1165" t="str">
        <f t="shared" si="90"/>
        <v/>
      </c>
      <c r="AE1165" t="str">
        <f t="shared" si="90"/>
        <v/>
      </c>
      <c r="AF1165" t="str">
        <f t="shared" si="90"/>
        <v/>
      </c>
      <c r="AI1165" t="str">
        <f>IF(ROW($AA1165) - $AA$51 &lt; ($H$16+1)^5, IF(AG1165 &gt;= BaseBonus!$C$16, AG1165*BaseBonus!$E$31, 0), "")</f>
        <v/>
      </c>
    </row>
    <row r="1166" spans="28:35" x14ac:dyDescent="0.3">
      <c r="AB1166" t="str">
        <f t="shared" si="90"/>
        <v/>
      </c>
      <c r="AC1166" t="str">
        <f t="shared" si="90"/>
        <v/>
      </c>
      <c r="AD1166" t="str">
        <f t="shared" si="90"/>
        <v/>
      </c>
      <c r="AE1166" t="str">
        <f t="shared" si="90"/>
        <v/>
      </c>
      <c r="AF1166" t="str">
        <f t="shared" si="90"/>
        <v/>
      </c>
      <c r="AI1166" t="str">
        <f>IF(ROW($AA1166) - $AA$51 &lt; ($H$16+1)^5, IF(AG1166 &gt;= BaseBonus!$C$16, AG1166*BaseBonus!$E$31, 0), "")</f>
        <v/>
      </c>
    </row>
    <row r="1167" spans="28:35" x14ac:dyDescent="0.3">
      <c r="AB1167" t="str">
        <f t="shared" si="90"/>
        <v/>
      </c>
      <c r="AC1167" t="str">
        <f t="shared" si="90"/>
        <v/>
      </c>
      <c r="AD1167" t="str">
        <f t="shared" si="90"/>
        <v/>
      </c>
      <c r="AE1167" t="str">
        <f t="shared" si="90"/>
        <v/>
      </c>
      <c r="AF1167" t="str">
        <f t="shared" si="90"/>
        <v/>
      </c>
      <c r="AI1167" t="str">
        <f>IF(ROW($AA1167) - $AA$51 &lt; ($H$16+1)^5, IF(AG1167 &gt;= BaseBonus!$C$16, AG1167*BaseBonus!$E$31, 0), "")</f>
        <v/>
      </c>
    </row>
    <row r="1168" spans="28:35" x14ac:dyDescent="0.3">
      <c r="AB1168" t="str">
        <f t="shared" si="90"/>
        <v/>
      </c>
      <c r="AC1168" t="str">
        <f t="shared" si="90"/>
        <v/>
      </c>
      <c r="AD1168" t="str">
        <f t="shared" si="90"/>
        <v/>
      </c>
      <c r="AE1168" t="str">
        <f t="shared" si="90"/>
        <v/>
      </c>
      <c r="AF1168" t="str">
        <f t="shared" si="90"/>
        <v/>
      </c>
      <c r="AI1168" t="str">
        <f>IF(ROW($AA1168) - $AA$51 &lt; ($H$16+1)^5, IF(AG1168 &gt;= BaseBonus!$C$16, AG1168*BaseBonus!$E$31, 0), "")</f>
        <v/>
      </c>
    </row>
    <row r="1169" spans="28:32" x14ac:dyDescent="0.3">
      <c r="AB1169" t="str">
        <f t="shared" si="90"/>
        <v/>
      </c>
      <c r="AC1169" t="str">
        <f t="shared" si="90"/>
        <v/>
      </c>
      <c r="AD1169" t="str">
        <f t="shared" si="90"/>
        <v/>
      </c>
      <c r="AE1169" t="str">
        <f t="shared" si="90"/>
        <v/>
      </c>
      <c r="AF1169" t="str">
        <f t="shared" si="90"/>
        <v/>
      </c>
    </row>
    <row r="1170" spans="28:32" x14ac:dyDescent="0.3">
      <c r="AB1170" t="str">
        <f t="shared" si="90"/>
        <v/>
      </c>
      <c r="AC1170" t="str">
        <f t="shared" si="90"/>
        <v/>
      </c>
      <c r="AD1170" t="str">
        <f t="shared" si="90"/>
        <v/>
      </c>
      <c r="AE1170" t="str">
        <f t="shared" si="90"/>
        <v/>
      </c>
      <c r="AF1170" t="str">
        <f t="shared" si="90"/>
        <v/>
      </c>
    </row>
    <row r="1171" spans="28:32" x14ac:dyDescent="0.3">
      <c r="AB1171" t="str">
        <f t="shared" si="90"/>
        <v/>
      </c>
      <c r="AC1171" t="str">
        <f t="shared" si="90"/>
        <v/>
      </c>
      <c r="AD1171" t="str">
        <f t="shared" si="90"/>
        <v/>
      </c>
      <c r="AE1171" t="str">
        <f t="shared" si="90"/>
        <v/>
      </c>
      <c r="AF1171" t="str">
        <f t="shared" si="90"/>
        <v/>
      </c>
    </row>
    <row r="1172" spans="28:32" x14ac:dyDescent="0.3">
      <c r="AB1172" t="str">
        <f t="shared" si="90"/>
        <v/>
      </c>
      <c r="AC1172" t="str">
        <f t="shared" si="90"/>
        <v/>
      </c>
      <c r="AD1172" t="str">
        <f t="shared" si="90"/>
        <v/>
      </c>
      <c r="AE1172" t="str">
        <f t="shared" si="90"/>
        <v/>
      </c>
      <c r="AF1172" t="str">
        <f t="shared" si="90"/>
        <v/>
      </c>
    </row>
    <row r="1173" spans="28:32" x14ac:dyDescent="0.3">
      <c r="AB1173" t="str">
        <f t="shared" si="90"/>
        <v/>
      </c>
      <c r="AC1173" t="str">
        <f t="shared" si="90"/>
        <v/>
      </c>
      <c r="AD1173" t="str">
        <f t="shared" si="90"/>
        <v/>
      </c>
      <c r="AE1173" t="str">
        <f t="shared" si="90"/>
        <v/>
      </c>
      <c r="AF1173" t="str">
        <f t="shared" si="90"/>
        <v/>
      </c>
    </row>
    <row r="1174" spans="28:32" x14ac:dyDescent="0.3">
      <c r="AB1174" t="str">
        <f t="shared" ref="AB1174:AF1224" si="91">IF(ROW()-$AA$51 &lt; (H$16+1)^5, MOD(_xlfn.FLOOR.MATH((ROW()-$AA$51)/AB$50), H$16+1), "")</f>
        <v/>
      </c>
      <c r="AC1174" t="str">
        <f t="shared" si="91"/>
        <v/>
      </c>
      <c r="AD1174" t="str">
        <f t="shared" si="91"/>
        <v/>
      </c>
      <c r="AE1174" t="str">
        <f t="shared" si="91"/>
        <v/>
      </c>
      <c r="AF1174" t="str">
        <f t="shared" si="91"/>
        <v/>
      </c>
    </row>
    <row r="1175" spans="28:32" x14ac:dyDescent="0.3">
      <c r="AB1175" t="str">
        <f t="shared" si="91"/>
        <v/>
      </c>
      <c r="AC1175" t="str">
        <f t="shared" si="91"/>
        <v/>
      </c>
      <c r="AD1175" t="str">
        <f t="shared" si="91"/>
        <v/>
      </c>
      <c r="AE1175" t="str">
        <f t="shared" si="91"/>
        <v/>
      </c>
      <c r="AF1175" t="str">
        <f t="shared" si="91"/>
        <v/>
      </c>
    </row>
    <row r="1176" spans="28:32" x14ac:dyDescent="0.3">
      <c r="AB1176" t="str">
        <f t="shared" si="91"/>
        <v/>
      </c>
      <c r="AC1176" t="str">
        <f t="shared" si="91"/>
        <v/>
      </c>
      <c r="AD1176" t="str">
        <f t="shared" si="91"/>
        <v/>
      </c>
      <c r="AE1176" t="str">
        <f t="shared" si="91"/>
        <v/>
      </c>
      <c r="AF1176" t="str">
        <f t="shared" si="91"/>
        <v/>
      </c>
    </row>
    <row r="1177" spans="28:32" x14ac:dyDescent="0.3">
      <c r="AB1177" t="str">
        <f t="shared" si="91"/>
        <v/>
      </c>
      <c r="AC1177" t="str">
        <f t="shared" si="91"/>
        <v/>
      </c>
      <c r="AD1177" t="str">
        <f t="shared" si="91"/>
        <v/>
      </c>
      <c r="AE1177" t="str">
        <f t="shared" si="91"/>
        <v/>
      </c>
      <c r="AF1177" t="str">
        <f t="shared" si="91"/>
        <v/>
      </c>
    </row>
    <row r="1178" spans="28:32" x14ac:dyDescent="0.3">
      <c r="AB1178" t="str">
        <f t="shared" si="91"/>
        <v/>
      </c>
      <c r="AC1178" t="str">
        <f t="shared" si="91"/>
        <v/>
      </c>
      <c r="AD1178" t="str">
        <f t="shared" si="91"/>
        <v/>
      </c>
      <c r="AE1178" t="str">
        <f t="shared" si="91"/>
        <v/>
      </c>
      <c r="AF1178" t="str">
        <f t="shared" si="91"/>
        <v/>
      </c>
    </row>
    <row r="1179" spans="28:32" x14ac:dyDescent="0.3">
      <c r="AB1179" t="str">
        <f t="shared" si="91"/>
        <v/>
      </c>
      <c r="AC1179" t="str">
        <f t="shared" si="91"/>
        <v/>
      </c>
      <c r="AD1179" t="str">
        <f t="shared" si="91"/>
        <v/>
      </c>
      <c r="AE1179" t="str">
        <f t="shared" si="91"/>
        <v/>
      </c>
      <c r="AF1179" t="str">
        <f t="shared" si="91"/>
        <v/>
      </c>
    </row>
    <row r="1180" spans="28:32" x14ac:dyDescent="0.3">
      <c r="AB1180" t="str">
        <f t="shared" si="91"/>
        <v/>
      </c>
      <c r="AC1180" t="str">
        <f t="shared" si="91"/>
        <v/>
      </c>
      <c r="AD1180" t="str">
        <f t="shared" si="91"/>
        <v/>
      </c>
      <c r="AE1180" t="str">
        <f t="shared" si="91"/>
        <v/>
      </c>
      <c r="AF1180" t="str">
        <f t="shared" si="91"/>
        <v/>
      </c>
    </row>
    <row r="1181" spans="28:32" x14ac:dyDescent="0.3">
      <c r="AB1181" t="str">
        <f t="shared" si="91"/>
        <v/>
      </c>
      <c r="AC1181" t="str">
        <f t="shared" si="91"/>
        <v/>
      </c>
      <c r="AD1181" t="str">
        <f t="shared" si="91"/>
        <v/>
      </c>
      <c r="AE1181" t="str">
        <f t="shared" si="91"/>
        <v/>
      </c>
      <c r="AF1181" t="str">
        <f t="shared" si="91"/>
        <v/>
      </c>
    </row>
    <row r="1182" spans="28:32" x14ac:dyDescent="0.3">
      <c r="AB1182" t="str">
        <f t="shared" si="91"/>
        <v/>
      </c>
      <c r="AC1182" t="str">
        <f t="shared" si="91"/>
        <v/>
      </c>
      <c r="AD1182" t="str">
        <f t="shared" si="91"/>
        <v/>
      </c>
      <c r="AE1182" t="str">
        <f t="shared" si="91"/>
        <v/>
      </c>
      <c r="AF1182" t="str">
        <f t="shared" si="91"/>
        <v/>
      </c>
    </row>
    <row r="1183" spans="28:32" x14ac:dyDescent="0.3">
      <c r="AB1183" t="str">
        <f t="shared" si="91"/>
        <v/>
      </c>
      <c r="AC1183" t="str">
        <f t="shared" si="91"/>
        <v/>
      </c>
      <c r="AD1183" t="str">
        <f t="shared" si="91"/>
        <v/>
      </c>
      <c r="AE1183" t="str">
        <f t="shared" si="91"/>
        <v/>
      </c>
      <c r="AF1183" t="str">
        <f t="shared" si="91"/>
        <v/>
      </c>
    </row>
    <row r="1184" spans="28:32" x14ac:dyDescent="0.3">
      <c r="AB1184" t="str">
        <f t="shared" si="91"/>
        <v/>
      </c>
      <c r="AC1184" t="str">
        <f t="shared" si="91"/>
        <v/>
      </c>
      <c r="AD1184" t="str">
        <f t="shared" si="91"/>
        <v/>
      </c>
      <c r="AE1184" t="str">
        <f t="shared" si="91"/>
        <v/>
      </c>
      <c r="AF1184" t="str">
        <f t="shared" si="91"/>
        <v/>
      </c>
    </row>
    <row r="1185" spans="28:32" x14ac:dyDescent="0.3">
      <c r="AB1185" t="str">
        <f t="shared" si="91"/>
        <v/>
      </c>
      <c r="AC1185" t="str">
        <f t="shared" si="91"/>
        <v/>
      </c>
      <c r="AD1185" t="str">
        <f t="shared" si="91"/>
        <v/>
      </c>
      <c r="AE1185" t="str">
        <f t="shared" si="91"/>
        <v/>
      </c>
      <c r="AF1185" t="str">
        <f t="shared" si="91"/>
        <v/>
      </c>
    </row>
    <row r="1186" spans="28:32" x14ac:dyDescent="0.3">
      <c r="AB1186" t="str">
        <f t="shared" si="91"/>
        <v/>
      </c>
      <c r="AC1186" t="str">
        <f t="shared" si="91"/>
        <v/>
      </c>
      <c r="AD1186" t="str">
        <f t="shared" si="91"/>
        <v/>
      </c>
      <c r="AE1186" t="str">
        <f t="shared" si="91"/>
        <v/>
      </c>
      <c r="AF1186" t="str">
        <f t="shared" si="91"/>
        <v/>
      </c>
    </row>
    <row r="1187" spans="28:32" x14ac:dyDescent="0.3">
      <c r="AB1187" t="str">
        <f t="shared" si="91"/>
        <v/>
      </c>
      <c r="AC1187" t="str">
        <f t="shared" si="91"/>
        <v/>
      </c>
      <c r="AD1187" t="str">
        <f t="shared" si="91"/>
        <v/>
      </c>
      <c r="AE1187" t="str">
        <f t="shared" si="91"/>
        <v/>
      </c>
      <c r="AF1187" t="str">
        <f t="shared" si="91"/>
        <v/>
      </c>
    </row>
    <row r="1188" spans="28:32" x14ac:dyDescent="0.3">
      <c r="AB1188" t="str">
        <f t="shared" si="91"/>
        <v/>
      </c>
      <c r="AC1188" t="str">
        <f t="shared" si="91"/>
        <v/>
      </c>
      <c r="AD1188" t="str">
        <f t="shared" si="91"/>
        <v/>
      </c>
      <c r="AE1188" t="str">
        <f t="shared" si="91"/>
        <v/>
      </c>
      <c r="AF1188" t="str">
        <f t="shared" si="91"/>
        <v/>
      </c>
    </row>
    <row r="1189" spans="28:32" x14ac:dyDescent="0.3">
      <c r="AB1189" t="str">
        <f t="shared" si="91"/>
        <v/>
      </c>
      <c r="AC1189" t="str">
        <f t="shared" si="91"/>
        <v/>
      </c>
      <c r="AD1189" t="str">
        <f t="shared" si="91"/>
        <v/>
      </c>
      <c r="AE1189" t="str">
        <f t="shared" si="91"/>
        <v/>
      </c>
      <c r="AF1189" t="str">
        <f t="shared" si="91"/>
        <v/>
      </c>
    </row>
    <row r="1190" spans="28:32" x14ac:dyDescent="0.3">
      <c r="AB1190" t="str">
        <f t="shared" si="91"/>
        <v/>
      </c>
      <c r="AC1190" t="str">
        <f t="shared" si="91"/>
        <v/>
      </c>
      <c r="AD1190" t="str">
        <f t="shared" si="91"/>
        <v/>
      </c>
      <c r="AE1190" t="str">
        <f t="shared" si="91"/>
        <v/>
      </c>
      <c r="AF1190" t="str">
        <f t="shared" si="91"/>
        <v/>
      </c>
    </row>
    <row r="1191" spans="28:32" x14ac:dyDescent="0.3">
      <c r="AB1191" t="str">
        <f t="shared" si="91"/>
        <v/>
      </c>
      <c r="AC1191" t="str">
        <f t="shared" si="91"/>
        <v/>
      </c>
      <c r="AD1191" t="str">
        <f t="shared" si="91"/>
        <v/>
      </c>
      <c r="AE1191" t="str">
        <f t="shared" si="91"/>
        <v/>
      </c>
      <c r="AF1191" t="str">
        <f t="shared" si="91"/>
        <v/>
      </c>
    </row>
    <row r="1192" spans="28:32" x14ac:dyDescent="0.3">
      <c r="AB1192" t="str">
        <f t="shared" si="91"/>
        <v/>
      </c>
      <c r="AC1192" t="str">
        <f t="shared" si="91"/>
        <v/>
      </c>
      <c r="AD1192" t="str">
        <f t="shared" si="91"/>
        <v/>
      </c>
      <c r="AE1192" t="str">
        <f t="shared" si="91"/>
        <v/>
      </c>
      <c r="AF1192" t="str">
        <f t="shared" si="91"/>
        <v/>
      </c>
    </row>
    <row r="1193" spans="28:32" x14ac:dyDescent="0.3">
      <c r="AB1193" t="str">
        <f t="shared" si="91"/>
        <v/>
      </c>
      <c r="AC1193" t="str">
        <f t="shared" si="91"/>
        <v/>
      </c>
      <c r="AD1193" t="str">
        <f t="shared" si="91"/>
        <v/>
      </c>
      <c r="AE1193" t="str">
        <f t="shared" si="91"/>
        <v/>
      </c>
      <c r="AF1193" t="str">
        <f t="shared" si="91"/>
        <v/>
      </c>
    </row>
    <row r="1194" spans="28:32" x14ac:dyDescent="0.3">
      <c r="AB1194" t="str">
        <f t="shared" si="91"/>
        <v/>
      </c>
      <c r="AC1194" t="str">
        <f t="shared" si="91"/>
        <v/>
      </c>
      <c r="AD1194" t="str">
        <f t="shared" si="91"/>
        <v/>
      </c>
      <c r="AE1194" t="str">
        <f t="shared" si="91"/>
        <v/>
      </c>
      <c r="AF1194" t="str">
        <f t="shared" si="91"/>
        <v/>
      </c>
    </row>
    <row r="1195" spans="28:32" x14ac:dyDescent="0.3">
      <c r="AB1195" t="str">
        <f t="shared" si="91"/>
        <v/>
      </c>
      <c r="AC1195" t="str">
        <f t="shared" si="91"/>
        <v/>
      </c>
      <c r="AD1195" t="str">
        <f t="shared" si="91"/>
        <v/>
      </c>
      <c r="AE1195" t="str">
        <f t="shared" si="91"/>
        <v/>
      </c>
      <c r="AF1195" t="str">
        <f t="shared" si="91"/>
        <v/>
      </c>
    </row>
    <row r="1196" spans="28:32" x14ac:dyDescent="0.3">
      <c r="AB1196" t="str">
        <f t="shared" si="91"/>
        <v/>
      </c>
      <c r="AC1196" t="str">
        <f t="shared" si="91"/>
        <v/>
      </c>
      <c r="AD1196" t="str">
        <f t="shared" si="91"/>
        <v/>
      </c>
      <c r="AE1196" t="str">
        <f t="shared" si="91"/>
        <v/>
      </c>
      <c r="AF1196" t="str">
        <f t="shared" si="91"/>
        <v/>
      </c>
    </row>
    <row r="1197" spans="28:32" x14ac:dyDescent="0.3">
      <c r="AB1197" t="str">
        <f t="shared" si="91"/>
        <v/>
      </c>
      <c r="AC1197" t="str">
        <f t="shared" si="91"/>
        <v/>
      </c>
      <c r="AD1197" t="str">
        <f t="shared" si="91"/>
        <v/>
      </c>
      <c r="AE1197" t="str">
        <f t="shared" si="91"/>
        <v/>
      </c>
      <c r="AF1197" t="str">
        <f t="shared" si="91"/>
        <v/>
      </c>
    </row>
    <row r="1198" spans="28:32" x14ac:dyDescent="0.3">
      <c r="AB1198" t="str">
        <f t="shared" si="91"/>
        <v/>
      </c>
      <c r="AC1198" t="str">
        <f t="shared" si="91"/>
        <v/>
      </c>
      <c r="AD1198" t="str">
        <f t="shared" si="91"/>
        <v/>
      </c>
      <c r="AE1198" t="str">
        <f t="shared" si="91"/>
        <v/>
      </c>
      <c r="AF1198" t="str">
        <f t="shared" si="91"/>
        <v/>
      </c>
    </row>
    <row r="1199" spans="28:32" x14ac:dyDescent="0.3">
      <c r="AB1199" t="str">
        <f t="shared" si="91"/>
        <v/>
      </c>
      <c r="AC1199" t="str">
        <f t="shared" si="91"/>
        <v/>
      </c>
      <c r="AD1199" t="str">
        <f t="shared" si="91"/>
        <v/>
      </c>
      <c r="AE1199" t="str">
        <f t="shared" si="91"/>
        <v/>
      </c>
      <c r="AF1199" t="str">
        <f t="shared" si="91"/>
        <v/>
      </c>
    </row>
    <row r="1200" spans="28:32" x14ac:dyDescent="0.3">
      <c r="AB1200" t="str">
        <f t="shared" si="91"/>
        <v/>
      </c>
      <c r="AC1200" t="str">
        <f t="shared" si="91"/>
        <v/>
      </c>
      <c r="AD1200" t="str">
        <f t="shared" si="91"/>
        <v/>
      </c>
      <c r="AE1200" t="str">
        <f t="shared" si="91"/>
        <v/>
      </c>
      <c r="AF1200" t="str">
        <f t="shared" si="91"/>
        <v/>
      </c>
    </row>
    <row r="1201" spans="28:32" x14ac:dyDescent="0.3">
      <c r="AB1201" t="str">
        <f t="shared" si="91"/>
        <v/>
      </c>
      <c r="AC1201" t="str">
        <f t="shared" si="91"/>
        <v/>
      </c>
      <c r="AD1201" t="str">
        <f t="shared" si="91"/>
        <v/>
      </c>
      <c r="AE1201" t="str">
        <f t="shared" si="91"/>
        <v/>
      </c>
      <c r="AF1201" t="str">
        <f t="shared" si="91"/>
        <v/>
      </c>
    </row>
    <row r="1202" spans="28:32" x14ac:dyDescent="0.3">
      <c r="AB1202" t="str">
        <f t="shared" si="91"/>
        <v/>
      </c>
      <c r="AC1202" t="str">
        <f t="shared" si="91"/>
        <v/>
      </c>
      <c r="AD1202" t="str">
        <f t="shared" si="91"/>
        <v/>
      </c>
      <c r="AE1202" t="str">
        <f t="shared" si="91"/>
        <v/>
      </c>
      <c r="AF1202" t="str">
        <f t="shared" si="91"/>
        <v/>
      </c>
    </row>
    <row r="1203" spans="28:32" x14ac:dyDescent="0.3">
      <c r="AB1203" t="str">
        <f t="shared" si="91"/>
        <v/>
      </c>
      <c r="AC1203" t="str">
        <f t="shared" si="91"/>
        <v/>
      </c>
      <c r="AD1203" t="str">
        <f t="shared" si="91"/>
        <v/>
      </c>
      <c r="AE1203" t="str">
        <f t="shared" si="91"/>
        <v/>
      </c>
      <c r="AF1203" t="str">
        <f t="shared" si="91"/>
        <v/>
      </c>
    </row>
    <row r="1204" spans="28:32" x14ac:dyDescent="0.3">
      <c r="AB1204" t="str">
        <f t="shared" si="91"/>
        <v/>
      </c>
      <c r="AC1204" t="str">
        <f t="shared" si="91"/>
        <v/>
      </c>
      <c r="AD1204" t="str">
        <f t="shared" si="91"/>
        <v/>
      </c>
      <c r="AE1204" t="str">
        <f t="shared" si="91"/>
        <v/>
      </c>
      <c r="AF1204" t="str">
        <f t="shared" si="91"/>
        <v/>
      </c>
    </row>
    <row r="1205" spans="28:32" x14ac:dyDescent="0.3">
      <c r="AB1205" t="str">
        <f t="shared" si="91"/>
        <v/>
      </c>
      <c r="AC1205" t="str">
        <f t="shared" si="91"/>
        <v/>
      </c>
      <c r="AD1205" t="str">
        <f t="shared" si="91"/>
        <v/>
      </c>
      <c r="AE1205" t="str">
        <f t="shared" si="91"/>
        <v/>
      </c>
      <c r="AF1205" t="str">
        <f t="shared" si="91"/>
        <v/>
      </c>
    </row>
    <row r="1206" spans="28:32" x14ac:dyDescent="0.3">
      <c r="AB1206" t="str">
        <f t="shared" si="91"/>
        <v/>
      </c>
      <c r="AC1206" t="str">
        <f t="shared" si="91"/>
        <v/>
      </c>
      <c r="AD1206" t="str">
        <f t="shared" si="91"/>
        <v/>
      </c>
      <c r="AE1206" t="str">
        <f t="shared" si="91"/>
        <v/>
      </c>
      <c r="AF1206" t="str">
        <f t="shared" si="91"/>
        <v/>
      </c>
    </row>
    <row r="1207" spans="28:32" x14ac:dyDescent="0.3">
      <c r="AB1207" t="str">
        <f t="shared" si="91"/>
        <v/>
      </c>
      <c r="AC1207" t="str">
        <f t="shared" si="91"/>
        <v/>
      </c>
      <c r="AD1207" t="str">
        <f t="shared" si="91"/>
        <v/>
      </c>
      <c r="AE1207" t="str">
        <f t="shared" si="91"/>
        <v/>
      </c>
      <c r="AF1207" t="str">
        <f t="shared" si="91"/>
        <v/>
      </c>
    </row>
    <row r="1208" spans="28:32" x14ac:dyDescent="0.3">
      <c r="AB1208" t="str">
        <f t="shared" si="91"/>
        <v/>
      </c>
      <c r="AC1208" t="str">
        <f t="shared" si="91"/>
        <v/>
      </c>
      <c r="AD1208" t="str">
        <f t="shared" si="91"/>
        <v/>
      </c>
      <c r="AE1208" t="str">
        <f t="shared" si="91"/>
        <v/>
      </c>
      <c r="AF1208" t="str">
        <f t="shared" si="91"/>
        <v/>
      </c>
    </row>
    <row r="1209" spans="28:32" x14ac:dyDescent="0.3">
      <c r="AB1209" t="str">
        <f t="shared" si="91"/>
        <v/>
      </c>
      <c r="AC1209" t="str">
        <f t="shared" si="91"/>
        <v/>
      </c>
      <c r="AD1209" t="str">
        <f t="shared" si="91"/>
        <v/>
      </c>
      <c r="AE1209" t="str">
        <f t="shared" si="91"/>
        <v/>
      </c>
      <c r="AF1209" t="str">
        <f t="shared" si="91"/>
        <v/>
      </c>
    </row>
    <row r="1210" spans="28:32" x14ac:dyDescent="0.3">
      <c r="AB1210" t="str">
        <f t="shared" si="91"/>
        <v/>
      </c>
      <c r="AC1210" t="str">
        <f t="shared" si="91"/>
        <v/>
      </c>
      <c r="AD1210" t="str">
        <f t="shared" si="91"/>
        <v/>
      </c>
      <c r="AE1210" t="str">
        <f t="shared" si="91"/>
        <v/>
      </c>
      <c r="AF1210" t="str">
        <f t="shared" si="91"/>
        <v/>
      </c>
    </row>
    <row r="1211" spans="28:32" x14ac:dyDescent="0.3">
      <c r="AB1211" t="str">
        <f t="shared" si="91"/>
        <v/>
      </c>
      <c r="AC1211" t="str">
        <f t="shared" si="91"/>
        <v/>
      </c>
      <c r="AD1211" t="str">
        <f t="shared" si="91"/>
        <v/>
      </c>
      <c r="AE1211" t="str">
        <f t="shared" si="91"/>
        <v/>
      </c>
      <c r="AF1211" t="str">
        <f t="shared" si="91"/>
        <v/>
      </c>
    </row>
    <row r="1212" spans="28:32" x14ac:dyDescent="0.3">
      <c r="AB1212" t="str">
        <f t="shared" si="91"/>
        <v/>
      </c>
      <c r="AC1212" t="str">
        <f t="shared" si="91"/>
        <v/>
      </c>
      <c r="AD1212" t="str">
        <f t="shared" si="91"/>
        <v/>
      </c>
      <c r="AE1212" t="str">
        <f t="shared" si="91"/>
        <v/>
      </c>
      <c r="AF1212" t="str">
        <f t="shared" si="91"/>
        <v/>
      </c>
    </row>
    <row r="1213" spans="28:32" x14ac:dyDescent="0.3">
      <c r="AB1213" t="str">
        <f t="shared" si="91"/>
        <v/>
      </c>
      <c r="AC1213" t="str">
        <f t="shared" si="91"/>
        <v/>
      </c>
      <c r="AD1213" t="str">
        <f t="shared" si="91"/>
        <v/>
      </c>
      <c r="AE1213" t="str">
        <f t="shared" si="91"/>
        <v/>
      </c>
      <c r="AF1213" t="str">
        <f t="shared" si="91"/>
        <v/>
      </c>
    </row>
    <row r="1214" spans="28:32" x14ac:dyDescent="0.3">
      <c r="AB1214" t="str">
        <f t="shared" si="91"/>
        <v/>
      </c>
      <c r="AC1214" t="str">
        <f t="shared" si="91"/>
        <v/>
      </c>
      <c r="AD1214" t="str">
        <f t="shared" si="91"/>
        <v/>
      </c>
      <c r="AE1214" t="str">
        <f t="shared" si="91"/>
        <v/>
      </c>
      <c r="AF1214" t="str">
        <f t="shared" si="91"/>
        <v/>
      </c>
    </row>
    <row r="1215" spans="28:32" x14ac:dyDescent="0.3">
      <c r="AB1215" t="str">
        <f t="shared" si="91"/>
        <v/>
      </c>
      <c r="AC1215" t="str">
        <f t="shared" si="91"/>
        <v/>
      </c>
      <c r="AD1215" t="str">
        <f t="shared" si="91"/>
        <v/>
      </c>
      <c r="AE1215" t="str">
        <f t="shared" si="91"/>
        <v/>
      </c>
      <c r="AF1215" t="str">
        <f t="shared" si="91"/>
        <v/>
      </c>
    </row>
    <row r="1216" spans="28:32" x14ac:dyDescent="0.3">
      <c r="AB1216" t="str">
        <f t="shared" si="91"/>
        <v/>
      </c>
      <c r="AC1216" t="str">
        <f t="shared" si="91"/>
        <v/>
      </c>
      <c r="AD1216" t="str">
        <f t="shared" si="91"/>
        <v/>
      </c>
      <c r="AE1216" t="str">
        <f t="shared" si="91"/>
        <v/>
      </c>
      <c r="AF1216" t="str">
        <f t="shared" si="91"/>
        <v/>
      </c>
    </row>
    <row r="1217" spans="28:32" x14ac:dyDescent="0.3">
      <c r="AB1217" t="str">
        <f t="shared" si="91"/>
        <v/>
      </c>
      <c r="AC1217" t="str">
        <f t="shared" si="91"/>
        <v/>
      </c>
      <c r="AD1217" t="str">
        <f t="shared" si="91"/>
        <v/>
      </c>
      <c r="AE1217" t="str">
        <f t="shared" si="91"/>
        <v/>
      </c>
      <c r="AF1217" t="str">
        <f t="shared" si="91"/>
        <v/>
      </c>
    </row>
    <row r="1218" spans="28:32" x14ac:dyDescent="0.3">
      <c r="AB1218" t="str">
        <f t="shared" si="91"/>
        <v/>
      </c>
      <c r="AC1218" t="str">
        <f t="shared" si="91"/>
        <v/>
      </c>
      <c r="AD1218" t="str">
        <f t="shared" si="91"/>
        <v/>
      </c>
      <c r="AE1218" t="str">
        <f t="shared" si="91"/>
        <v/>
      </c>
      <c r="AF1218" t="str">
        <f t="shared" si="91"/>
        <v/>
      </c>
    </row>
    <row r="1219" spans="28:32" x14ac:dyDescent="0.3">
      <c r="AB1219" t="str">
        <f t="shared" si="91"/>
        <v/>
      </c>
      <c r="AC1219" t="str">
        <f t="shared" si="91"/>
        <v/>
      </c>
      <c r="AD1219" t="str">
        <f t="shared" si="91"/>
        <v/>
      </c>
      <c r="AE1219" t="str">
        <f t="shared" si="91"/>
        <v/>
      </c>
      <c r="AF1219" t="str">
        <f t="shared" si="91"/>
        <v/>
      </c>
    </row>
    <row r="1220" spans="28:32" x14ac:dyDescent="0.3">
      <c r="AB1220" t="str">
        <f t="shared" si="91"/>
        <v/>
      </c>
      <c r="AC1220" t="str">
        <f t="shared" si="91"/>
        <v/>
      </c>
      <c r="AD1220" t="str">
        <f t="shared" si="91"/>
        <v/>
      </c>
      <c r="AE1220" t="str">
        <f t="shared" si="91"/>
        <v/>
      </c>
      <c r="AF1220" t="str">
        <f t="shared" si="91"/>
        <v/>
      </c>
    </row>
    <row r="1221" spans="28:32" x14ac:dyDescent="0.3">
      <c r="AB1221" t="str">
        <f t="shared" si="91"/>
        <v/>
      </c>
      <c r="AC1221" t="str">
        <f t="shared" si="91"/>
        <v/>
      </c>
      <c r="AD1221" t="str">
        <f t="shared" si="91"/>
        <v/>
      </c>
      <c r="AE1221" t="str">
        <f t="shared" si="91"/>
        <v/>
      </c>
      <c r="AF1221" t="str">
        <f t="shared" si="91"/>
        <v/>
      </c>
    </row>
    <row r="1222" spans="28:32" x14ac:dyDescent="0.3">
      <c r="AB1222" t="str">
        <f t="shared" si="91"/>
        <v/>
      </c>
      <c r="AC1222" t="str">
        <f t="shared" si="91"/>
        <v/>
      </c>
      <c r="AD1222" t="str">
        <f t="shared" si="91"/>
        <v/>
      </c>
      <c r="AE1222" t="str">
        <f t="shared" si="91"/>
        <v/>
      </c>
      <c r="AF1222" t="str">
        <f t="shared" si="91"/>
        <v/>
      </c>
    </row>
    <row r="1223" spans="28:32" x14ac:dyDescent="0.3">
      <c r="AB1223" t="str">
        <f t="shared" si="91"/>
        <v/>
      </c>
      <c r="AC1223" t="str">
        <f t="shared" si="91"/>
        <v/>
      </c>
      <c r="AD1223" t="str">
        <f t="shared" si="91"/>
        <v/>
      </c>
      <c r="AE1223" t="str">
        <f t="shared" si="91"/>
        <v/>
      </c>
      <c r="AF1223" t="str">
        <f t="shared" si="91"/>
        <v/>
      </c>
    </row>
    <row r="1224" spans="28:32" x14ac:dyDescent="0.3">
      <c r="AB1224" t="str">
        <f t="shared" si="91"/>
        <v/>
      </c>
      <c r="AC1224" t="str">
        <f t="shared" si="91"/>
        <v/>
      </c>
      <c r="AD1224" t="str">
        <f t="shared" si="91"/>
        <v/>
      </c>
      <c r="AE1224" t="str">
        <f t="shared" si="91"/>
        <v/>
      </c>
      <c r="AF1224" t="str">
        <f t="shared" si="91"/>
        <v/>
      </c>
    </row>
    <row r="1225" spans="28:32" x14ac:dyDescent="0.3">
      <c r="AB1225" t="str">
        <f t="shared" ref="AB1225:AF1275" si="92">IF(ROW()-$AA$51 &lt; (H$16+1)^5, MOD(_xlfn.FLOOR.MATH((ROW()-$AA$51)/AB$50), H$16+1), "")</f>
        <v/>
      </c>
      <c r="AC1225" t="str">
        <f t="shared" si="92"/>
        <v/>
      </c>
      <c r="AD1225" t="str">
        <f t="shared" si="92"/>
        <v/>
      </c>
      <c r="AE1225" t="str">
        <f t="shared" si="92"/>
        <v/>
      </c>
      <c r="AF1225" t="str">
        <f t="shared" si="92"/>
        <v/>
      </c>
    </row>
    <row r="1226" spans="28:32" x14ac:dyDescent="0.3">
      <c r="AB1226" t="str">
        <f t="shared" si="92"/>
        <v/>
      </c>
      <c r="AC1226" t="str">
        <f t="shared" si="92"/>
        <v/>
      </c>
      <c r="AD1226" t="str">
        <f t="shared" si="92"/>
        <v/>
      </c>
      <c r="AE1226" t="str">
        <f t="shared" si="92"/>
        <v/>
      </c>
      <c r="AF1226" t="str">
        <f t="shared" si="92"/>
        <v/>
      </c>
    </row>
    <row r="1227" spans="28:32" x14ac:dyDescent="0.3">
      <c r="AB1227" t="str">
        <f t="shared" si="92"/>
        <v/>
      </c>
      <c r="AC1227" t="str">
        <f t="shared" si="92"/>
        <v/>
      </c>
      <c r="AD1227" t="str">
        <f t="shared" si="92"/>
        <v/>
      </c>
      <c r="AE1227" t="str">
        <f t="shared" si="92"/>
        <v/>
      </c>
      <c r="AF1227" t="str">
        <f t="shared" si="92"/>
        <v/>
      </c>
    </row>
    <row r="1228" spans="28:32" x14ac:dyDescent="0.3">
      <c r="AB1228" t="str">
        <f t="shared" si="92"/>
        <v/>
      </c>
      <c r="AC1228" t="str">
        <f t="shared" si="92"/>
        <v/>
      </c>
      <c r="AD1228" t="str">
        <f t="shared" si="92"/>
        <v/>
      </c>
      <c r="AE1228" t="str">
        <f t="shared" si="92"/>
        <v/>
      </c>
      <c r="AF1228" t="str">
        <f t="shared" si="92"/>
        <v/>
      </c>
    </row>
    <row r="1229" spans="28:32" x14ac:dyDescent="0.3">
      <c r="AB1229" t="str">
        <f t="shared" si="92"/>
        <v/>
      </c>
      <c r="AC1229" t="str">
        <f t="shared" si="92"/>
        <v/>
      </c>
      <c r="AD1229" t="str">
        <f t="shared" si="92"/>
        <v/>
      </c>
      <c r="AE1229" t="str">
        <f t="shared" si="92"/>
        <v/>
      </c>
      <c r="AF1229" t="str">
        <f t="shared" si="92"/>
        <v/>
      </c>
    </row>
    <row r="1230" spans="28:32" x14ac:dyDescent="0.3">
      <c r="AB1230" t="str">
        <f t="shared" si="92"/>
        <v/>
      </c>
      <c r="AC1230" t="str">
        <f t="shared" si="92"/>
        <v/>
      </c>
      <c r="AD1230" t="str">
        <f t="shared" si="92"/>
        <v/>
      </c>
      <c r="AE1230" t="str">
        <f t="shared" si="92"/>
        <v/>
      </c>
      <c r="AF1230" t="str">
        <f t="shared" si="92"/>
        <v/>
      </c>
    </row>
    <row r="1231" spans="28:32" x14ac:dyDescent="0.3">
      <c r="AB1231" t="str">
        <f t="shared" si="92"/>
        <v/>
      </c>
      <c r="AC1231" t="str">
        <f t="shared" si="92"/>
        <v/>
      </c>
      <c r="AD1231" t="str">
        <f t="shared" si="92"/>
        <v/>
      </c>
      <c r="AE1231" t="str">
        <f t="shared" si="92"/>
        <v/>
      </c>
      <c r="AF1231" t="str">
        <f t="shared" si="92"/>
        <v/>
      </c>
    </row>
    <row r="1232" spans="28:32" x14ac:dyDescent="0.3">
      <c r="AB1232" t="str">
        <f t="shared" si="92"/>
        <v/>
      </c>
      <c r="AC1232" t="str">
        <f t="shared" si="92"/>
        <v/>
      </c>
      <c r="AD1232" t="str">
        <f t="shared" si="92"/>
        <v/>
      </c>
      <c r="AE1232" t="str">
        <f t="shared" si="92"/>
        <v/>
      </c>
      <c r="AF1232" t="str">
        <f t="shared" si="92"/>
        <v/>
      </c>
    </row>
    <row r="1233" spans="28:32" x14ac:dyDescent="0.3">
      <c r="AB1233" t="str">
        <f t="shared" si="92"/>
        <v/>
      </c>
      <c r="AC1233" t="str">
        <f t="shared" si="92"/>
        <v/>
      </c>
      <c r="AD1233" t="str">
        <f t="shared" si="92"/>
        <v/>
      </c>
      <c r="AE1233" t="str">
        <f t="shared" si="92"/>
        <v/>
      </c>
      <c r="AF1233" t="str">
        <f t="shared" si="92"/>
        <v/>
      </c>
    </row>
    <row r="1234" spans="28:32" x14ac:dyDescent="0.3">
      <c r="AB1234" t="str">
        <f t="shared" si="92"/>
        <v/>
      </c>
      <c r="AC1234" t="str">
        <f t="shared" si="92"/>
        <v/>
      </c>
      <c r="AD1234" t="str">
        <f t="shared" si="92"/>
        <v/>
      </c>
      <c r="AE1234" t="str">
        <f t="shared" si="92"/>
        <v/>
      </c>
      <c r="AF1234" t="str">
        <f t="shared" si="92"/>
        <v/>
      </c>
    </row>
    <row r="1235" spans="28:32" x14ac:dyDescent="0.3">
      <c r="AB1235" t="str">
        <f t="shared" si="92"/>
        <v/>
      </c>
      <c r="AC1235" t="str">
        <f t="shared" si="92"/>
        <v/>
      </c>
      <c r="AD1235" t="str">
        <f t="shared" si="92"/>
        <v/>
      </c>
      <c r="AE1235" t="str">
        <f t="shared" si="92"/>
        <v/>
      </c>
      <c r="AF1235" t="str">
        <f t="shared" si="92"/>
        <v/>
      </c>
    </row>
    <row r="1236" spans="28:32" x14ac:dyDescent="0.3">
      <c r="AB1236" t="str">
        <f t="shared" si="92"/>
        <v/>
      </c>
      <c r="AC1236" t="str">
        <f t="shared" si="92"/>
        <v/>
      </c>
      <c r="AD1236" t="str">
        <f t="shared" si="92"/>
        <v/>
      </c>
      <c r="AE1236" t="str">
        <f t="shared" si="92"/>
        <v/>
      </c>
      <c r="AF1236" t="str">
        <f t="shared" si="92"/>
        <v/>
      </c>
    </row>
    <row r="1237" spans="28:32" x14ac:dyDescent="0.3">
      <c r="AB1237" t="str">
        <f t="shared" si="92"/>
        <v/>
      </c>
      <c r="AC1237" t="str">
        <f t="shared" si="92"/>
        <v/>
      </c>
      <c r="AD1237" t="str">
        <f t="shared" si="92"/>
        <v/>
      </c>
      <c r="AE1237" t="str">
        <f t="shared" si="92"/>
        <v/>
      </c>
      <c r="AF1237" t="str">
        <f t="shared" si="92"/>
        <v/>
      </c>
    </row>
    <row r="1238" spans="28:32" x14ac:dyDescent="0.3">
      <c r="AB1238" t="str">
        <f t="shared" si="92"/>
        <v/>
      </c>
      <c r="AC1238" t="str">
        <f t="shared" si="92"/>
        <v/>
      </c>
      <c r="AD1238" t="str">
        <f t="shared" si="92"/>
        <v/>
      </c>
      <c r="AE1238" t="str">
        <f t="shared" si="92"/>
        <v/>
      </c>
      <c r="AF1238" t="str">
        <f t="shared" si="92"/>
        <v/>
      </c>
    </row>
    <row r="1239" spans="28:32" x14ac:dyDescent="0.3">
      <c r="AB1239" t="str">
        <f t="shared" si="92"/>
        <v/>
      </c>
      <c r="AC1239" t="str">
        <f t="shared" si="92"/>
        <v/>
      </c>
      <c r="AD1239" t="str">
        <f t="shared" si="92"/>
        <v/>
      </c>
      <c r="AE1239" t="str">
        <f t="shared" si="92"/>
        <v/>
      </c>
      <c r="AF1239" t="str">
        <f t="shared" si="92"/>
        <v/>
      </c>
    </row>
    <row r="1240" spans="28:32" x14ac:dyDescent="0.3">
      <c r="AB1240" t="str">
        <f t="shared" si="92"/>
        <v/>
      </c>
      <c r="AC1240" t="str">
        <f t="shared" si="92"/>
        <v/>
      </c>
      <c r="AD1240" t="str">
        <f t="shared" si="92"/>
        <v/>
      </c>
      <c r="AE1240" t="str">
        <f t="shared" si="92"/>
        <v/>
      </c>
      <c r="AF1240" t="str">
        <f t="shared" si="92"/>
        <v/>
      </c>
    </row>
    <row r="1241" spans="28:32" x14ac:dyDescent="0.3">
      <c r="AB1241" t="str">
        <f t="shared" si="92"/>
        <v/>
      </c>
      <c r="AC1241" t="str">
        <f t="shared" si="92"/>
        <v/>
      </c>
      <c r="AD1241" t="str">
        <f t="shared" si="92"/>
        <v/>
      </c>
      <c r="AE1241" t="str">
        <f t="shared" si="92"/>
        <v/>
      </c>
      <c r="AF1241" t="str">
        <f t="shared" si="92"/>
        <v/>
      </c>
    </row>
    <row r="1242" spans="28:32" x14ac:dyDescent="0.3">
      <c r="AB1242" t="str">
        <f t="shared" si="92"/>
        <v/>
      </c>
      <c r="AC1242" t="str">
        <f t="shared" si="92"/>
        <v/>
      </c>
      <c r="AD1242" t="str">
        <f t="shared" si="92"/>
        <v/>
      </c>
      <c r="AE1242" t="str">
        <f t="shared" si="92"/>
        <v/>
      </c>
      <c r="AF1242" t="str">
        <f t="shared" si="92"/>
        <v/>
      </c>
    </row>
    <row r="1243" spans="28:32" x14ac:dyDescent="0.3">
      <c r="AB1243" t="str">
        <f t="shared" si="92"/>
        <v/>
      </c>
      <c r="AC1243" t="str">
        <f t="shared" si="92"/>
        <v/>
      </c>
      <c r="AD1243" t="str">
        <f t="shared" si="92"/>
        <v/>
      </c>
      <c r="AE1243" t="str">
        <f t="shared" si="92"/>
        <v/>
      </c>
      <c r="AF1243" t="str">
        <f t="shared" si="92"/>
        <v/>
      </c>
    </row>
    <row r="1244" spans="28:32" x14ac:dyDescent="0.3">
      <c r="AB1244" t="str">
        <f t="shared" si="92"/>
        <v/>
      </c>
      <c r="AC1244" t="str">
        <f t="shared" si="92"/>
        <v/>
      </c>
      <c r="AD1244" t="str">
        <f t="shared" si="92"/>
        <v/>
      </c>
      <c r="AE1244" t="str">
        <f t="shared" si="92"/>
        <v/>
      </c>
      <c r="AF1244" t="str">
        <f t="shared" si="92"/>
        <v/>
      </c>
    </row>
    <row r="1245" spans="28:32" x14ac:dyDescent="0.3">
      <c r="AB1245" t="str">
        <f t="shared" si="92"/>
        <v/>
      </c>
      <c r="AC1245" t="str">
        <f t="shared" si="92"/>
        <v/>
      </c>
      <c r="AD1245" t="str">
        <f t="shared" si="92"/>
        <v/>
      </c>
      <c r="AE1245" t="str">
        <f t="shared" si="92"/>
        <v/>
      </c>
      <c r="AF1245" t="str">
        <f t="shared" si="92"/>
        <v/>
      </c>
    </row>
    <row r="1246" spans="28:32" x14ac:dyDescent="0.3">
      <c r="AB1246" t="str">
        <f t="shared" si="92"/>
        <v/>
      </c>
      <c r="AC1246" t="str">
        <f t="shared" si="92"/>
        <v/>
      </c>
      <c r="AD1246" t="str">
        <f t="shared" si="92"/>
        <v/>
      </c>
      <c r="AE1246" t="str">
        <f t="shared" si="92"/>
        <v/>
      </c>
      <c r="AF1246" t="str">
        <f t="shared" si="92"/>
        <v/>
      </c>
    </row>
    <row r="1247" spans="28:32" x14ac:dyDescent="0.3">
      <c r="AB1247" t="str">
        <f t="shared" si="92"/>
        <v/>
      </c>
      <c r="AC1247" t="str">
        <f t="shared" si="92"/>
        <v/>
      </c>
      <c r="AD1247" t="str">
        <f t="shared" si="92"/>
        <v/>
      </c>
      <c r="AE1247" t="str">
        <f t="shared" si="92"/>
        <v/>
      </c>
      <c r="AF1247" t="str">
        <f t="shared" si="92"/>
        <v/>
      </c>
    </row>
    <row r="1248" spans="28:32" x14ac:dyDescent="0.3">
      <c r="AB1248" t="str">
        <f t="shared" si="92"/>
        <v/>
      </c>
      <c r="AC1248" t="str">
        <f t="shared" si="92"/>
        <v/>
      </c>
      <c r="AD1248" t="str">
        <f t="shared" si="92"/>
        <v/>
      </c>
      <c r="AE1248" t="str">
        <f t="shared" si="92"/>
        <v/>
      </c>
      <c r="AF1248" t="str">
        <f t="shared" si="92"/>
        <v/>
      </c>
    </row>
    <row r="1249" spans="28:32" x14ac:dyDescent="0.3">
      <c r="AB1249" t="str">
        <f t="shared" si="92"/>
        <v/>
      </c>
      <c r="AC1249" t="str">
        <f t="shared" si="92"/>
        <v/>
      </c>
      <c r="AD1249" t="str">
        <f t="shared" si="92"/>
        <v/>
      </c>
      <c r="AE1249" t="str">
        <f t="shared" si="92"/>
        <v/>
      </c>
      <c r="AF1249" t="str">
        <f t="shared" si="92"/>
        <v/>
      </c>
    </row>
    <row r="1250" spans="28:32" x14ac:dyDescent="0.3">
      <c r="AB1250" t="str">
        <f t="shared" si="92"/>
        <v/>
      </c>
      <c r="AC1250" t="str">
        <f t="shared" si="92"/>
        <v/>
      </c>
      <c r="AD1250" t="str">
        <f t="shared" si="92"/>
        <v/>
      </c>
      <c r="AE1250" t="str">
        <f t="shared" si="92"/>
        <v/>
      </c>
      <c r="AF1250" t="str">
        <f t="shared" si="92"/>
        <v/>
      </c>
    </row>
    <row r="1251" spans="28:32" x14ac:dyDescent="0.3">
      <c r="AB1251" t="str">
        <f t="shared" si="92"/>
        <v/>
      </c>
      <c r="AC1251" t="str">
        <f t="shared" si="92"/>
        <v/>
      </c>
      <c r="AD1251" t="str">
        <f t="shared" si="92"/>
        <v/>
      </c>
      <c r="AE1251" t="str">
        <f t="shared" si="92"/>
        <v/>
      </c>
      <c r="AF1251" t="str">
        <f t="shared" si="92"/>
        <v/>
      </c>
    </row>
    <row r="1252" spans="28:32" x14ac:dyDescent="0.3">
      <c r="AB1252" t="str">
        <f t="shared" si="92"/>
        <v/>
      </c>
      <c r="AC1252" t="str">
        <f t="shared" si="92"/>
        <v/>
      </c>
      <c r="AD1252" t="str">
        <f t="shared" si="92"/>
        <v/>
      </c>
      <c r="AE1252" t="str">
        <f t="shared" si="92"/>
        <v/>
      </c>
      <c r="AF1252" t="str">
        <f t="shared" si="92"/>
        <v/>
      </c>
    </row>
    <row r="1253" spans="28:32" x14ac:dyDescent="0.3">
      <c r="AB1253" t="str">
        <f t="shared" si="92"/>
        <v/>
      </c>
      <c r="AC1253" t="str">
        <f t="shared" si="92"/>
        <v/>
      </c>
      <c r="AD1253" t="str">
        <f t="shared" si="92"/>
        <v/>
      </c>
      <c r="AE1253" t="str">
        <f t="shared" si="92"/>
        <v/>
      </c>
      <c r="AF1253" t="str">
        <f t="shared" si="92"/>
        <v/>
      </c>
    </row>
    <row r="1254" spans="28:32" x14ac:dyDescent="0.3">
      <c r="AB1254" t="str">
        <f t="shared" si="92"/>
        <v/>
      </c>
      <c r="AC1254" t="str">
        <f t="shared" si="92"/>
        <v/>
      </c>
      <c r="AD1254" t="str">
        <f t="shared" si="92"/>
        <v/>
      </c>
      <c r="AE1254" t="str">
        <f t="shared" si="92"/>
        <v/>
      </c>
      <c r="AF1254" t="str">
        <f t="shared" si="92"/>
        <v/>
      </c>
    </row>
    <row r="1255" spans="28:32" x14ac:dyDescent="0.3">
      <c r="AB1255" t="str">
        <f t="shared" si="92"/>
        <v/>
      </c>
      <c r="AC1255" t="str">
        <f t="shared" si="92"/>
        <v/>
      </c>
      <c r="AD1255" t="str">
        <f t="shared" si="92"/>
        <v/>
      </c>
      <c r="AE1255" t="str">
        <f t="shared" si="92"/>
        <v/>
      </c>
      <c r="AF1255" t="str">
        <f t="shared" si="92"/>
        <v/>
      </c>
    </row>
    <row r="1256" spans="28:32" x14ac:dyDescent="0.3">
      <c r="AB1256" t="str">
        <f t="shared" si="92"/>
        <v/>
      </c>
      <c r="AC1256" t="str">
        <f t="shared" si="92"/>
        <v/>
      </c>
      <c r="AD1256" t="str">
        <f t="shared" si="92"/>
        <v/>
      </c>
      <c r="AE1256" t="str">
        <f t="shared" si="92"/>
        <v/>
      </c>
      <c r="AF1256" t="str">
        <f t="shared" si="92"/>
        <v/>
      </c>
    </row>
    <row r="1257" spans="28:32" x14ac:dyDescent="0.3">
      <c r="AB1257" t="str">
        <f t="shared" si="92"/>
        <v/>
      </c>
      <c r="AC1257" t="str">
        <f t="shared" si="92"/>
        <v/>
      </c>
      <c r="AD1257" t="str">
        <f t="shared" si="92"/>
        <v/>
      </c>
      <c r="AE1257" t="str">
        <f t="shared" si="92"/>
        <v/>
      </c>
      <c r="AF1257" t="str">
        <f t="shared" si="92"/>
        <v/>
      </c>
    </row>
    <row r="1258" spans="28:32" x14ac:dyDescent="0.3">
      <c r="AB1258" t="str">
        <f t="shared" si="92"/>
        <v/>
      </c>
      <c r="AC1258" t="str">
        <f t="shared" si="92"/>
        <v/>
      </c>
      <c r="AD1258" t="str">
        <f t="shared" si="92"/>
        <v/>
      </c>
      <c r="AE1258" t="str">
        <f t="shared" si="92"/>
        <v/>
      </c>
      <c r="AF1258" t="str">
        <f t="shared" si="92"/>
        <v/>
      </c>
    </row>
    <row r="1259" spans="28:32" x14ac:dyDescent="0.3">
      <c r="AB1259" t="str">
        <f t="shared" si="92"/>
        <v/>
      </c>
      <c r="AC1259" t="str">
        <f t="shared" si="92"/>
        <v/>
      </c>
      <c r="AD1259" t="str">
        <f t="shared" si="92"/>
        <v/>
      </c>
      <c r="AE1259" t="str">
        <f t="shared" si="92"/>
        <v/>
      </c>
      <c r="AF1259" t="str">
        <f t="shared" si="92"/>
        <v/>
      </c>
    </row>
    <row r="1260" spans="28:32" x14ac:dyDescent="0.3">
      <c r="AB1260" t="str">
        <f t="shared" si="92"/>
        <v/>
      </c>
      <c r="AC1260" t="str">
        <f t="shared" si="92"/>
        <v/>
      </c>
      <c r="AD1260" t="str">
        <f t="shared" si="92"/>
        <v/>
      </c>
      <c r="AE1260" t="str">
        <f t="shared" si="92"/>
        <v/>
      </c>
      <c r="AF1260" t="str">
        <f t="shared" si="92"/>
        <v/>
      </c>
    </row>
    <row r="1261" spans="28:32" x14ac:dyDescent="0.3">
      <c r="AB1261" t="str">
        <f t="shared" si="92"/>
        <v/>
      </c>
      <c r="AC1261" t="str">
        <f t="shared" si="92"/>
        <v/>
      </c>
      <c r="AD1261" t="str">
        <f t="shared" si="92"/>
        <v/>
      </c>
      <c r="AE1261" t="str">
        <f t="shared" si="92"/>
        <v/>
      </c>
      <c r="AF1261" t="str">
        <f t="shared" si="92"/>
        <v/>
      </c>
    </row>
    <row r="1262" spans="28:32" x14ac:dyDescent="0.3">
      <c r="AB1262" t="str">
        <f t="shared" si="92"/>
        <v/>
      </c>
      <c r="AC1262" t="str">
        <f t="shared" si="92"/>
        <v/>
      </c>
      <c r="AD1262" t="str">
        <f t="shared" si="92"/>
        <v/>
      </c>
      <c r="AE1262" t="str">
        <f t="shared" si="92"/>
        <v/>
      </c>
      <c r="AF1262" t="str">
        <f t="shared" si="92"/>
        <v/>
      </c>
    </row>
    <row r="1263" spans="28:32" x14ac:dyDescent="0.3">
      <c r="AB1263" t="str">
        <f t="shared" si="92"/>
        <v/>
      </c>
      <c r="AC1263" t="str">
        <f t="shared" si="92"/>
        <v/>
      </c>
      <c r="AD1263" t="str">
        <f t="shared" si="92"/>
        <v/>
      </c>
      <c r="AE1263" t="str">
        <f t="shared" si="92"/>
        <v/>
      </c>
      <c r="AF1263" t="str">
        <f t="shared" si="92"/>
        <v/>
      </c>
    </row>
    <row r="1264" spans="28:32" x14ac:dyDescent="0.3">
      <c r="AB1264" t="str">
        <f t="shared" si="92"/>
        <v/>
      </c>
      <c r="AC1264" t="str">
        <f t="shared" si="92"/>
        <v/>
      </c>
      <c r="AD1264" t="str">
        <f t="shared" si="92"/>
        <v/>
      </c>
      <c r="AE1264" t="str">
        <f t="shared" si="92"/>
        <v/>
      </c>
      <c r="AF1264" t="str">
        <f t="shared" si="92"/>
        <v/>
      </c>
    </row>
    <row r="1265" spans="28:32" x14ac:dyDescent="0.3">
      <c r="AB1265" t="str">
        <f t="shared" si="92"/>
        <v/>
      </c>
      <c r="AC1265" t="str">
        <f t="shared" si="92"/>
        <v/>
      </c>
      <c r="AD1265" t="str">
        <f t="shared" si="92"/>
        <v/>
      </c>
      <c r="AE1265" t="str">
        <f t="shared" si="92"/>
        <v/>
      </c>
      <c r="AF1265" t="str">
        <f t="shared" si="92"/>
        <v/>
      </c>
    </row>
    <row r="1266" spans="28:32" x14ac:dyDescent="0.3">
      <c r="AB1266" t="str">
        <f t="shared" si="92"/>
        <v/>
      </c>
      <c r="AC1266" t="str">
        <f t="shared" si="92"/>
        <v/>
      </c>
      <c r="AD1266" t="str">
        <f t="shared" si="92"/>
        <v/>
      </c>
      <c r="AE1266" t="str">
        <f t="shared" si="92"/>
        <v/>
      </c>
      <c r="AF1266" t="str">
        <f t="shared" si="92"/>
        <v/>
      </c>
    </row>
    <row r="1267" spans="28:32" x14ac:dyDescent="0.3">
      <c r="AB1267" t="str">
        <f t="shared" si="92"/>
        <v/>
      </c>
      <c r="AC1267" t="str">
        <f t="shared" si="92"/>
        <v/>
      </c>
      <c r="AD1267" t="str">
        <f t="shared" si="92"/>
        <v/>
      </c>
      <c r="AE1267" t="str">
        <f t="shared" si="92"/>
        <v/>
      </c>
      <c r="AF1267" t="str">
        <f t="shared" si="92"/>
        <v/>
      </c>
    </row>
    <row r="1268" spans="28:32" x14ac:dyDescent="0.3">
      <c r="AB1268" t="str">
        <f t="shared" si="92"/>
        <v/>
      </c>
      <c r="AC1268" t="str">
        <f t="shared" si="92"/>
        <v/>
      </c>
      <c r="AD1268" t="str">
        <f t="shared" si="92"/>
        <v/>
      </c>
      <c r="AE1268" t="str">
        <f t="shared" si="92"/>
        <v/>
      </c>
      <c r="AF1268" t="str">
        <f t="shared" si="92"/>
        <v/>
      </c>
    </row>
    <row r="1269" spans="28:32" x14ac:dyDescent="0.3">
      <c r="AB1269" t="str">
        <f t="shared" si="92"/>
        <v/>
      </c>
      <c r="AC1269" t="str">
        <f t="shared" si="92"/>
        <v/>
      </c>
      <c r="AD1269" t="str">
        <f t="shared" si="92"/>
        <v/>
      </c>
      <c r="AE1269" t="str">
        <f t="shared" si="92"/>
        <v/>
      </c>
      <c r="AF1269" t="str">
        <f t="shared" si="92"/>
        <v/>
      </c>
    </row>
    <row r="1270" spans="28:32" x14ac:dyDescent="0.3">
      <c r="AB1270" t="str">
        <f t="shared" si="92"/>
        <v/>
      </c>
      <c r="AC1270" t="str">
        <f t="shared" si="92"/>
        <v/>
      </c>
      <c r="AD1270" t="str">
        <f t="shared" si="92"/>
        <v/>
      </c>
      <c r="AE1270" t="str">
        <f t="shared" si="92"/>
        <v/>
      </c>
      <c r="AF1270" t="str">
        <f t="shared" si="92"/>
        <v/>
      </c>
    </row>
    <row r="1271" spans="28:32" x14ac:dyDescent="0.3">
      <c r="AB1271" t="str">
        <f t="shared" si="92"/>
        <v/>
      </c>
      <c r="AC1271" t="str">
        <f t="shared" si="92"/>
        <v/>
      </c>
      <c r="AD1271" t="str">
        <f t="shared" si="92"/>
        <v/>
      </c>
      <c r="AE1271" t="str">
        <f t="shared" si="92"/>
        <v/>
      </c>
      <c r="AF1271" t="str">
        <f t="shared" si="92"/>
        <v/>
      </c>
    </row>
    <row r="1272" spans="28:32" x14ac:dyDescent="0.3">
      <c r="AB1272" t="str">
        <f t="shared" si="92"/>
        <v/>
      </c>
      <c r="AC1272" t="str">
        <f t="shared" si="92"/>
        <v/>
      </c>
      <c r="AD1272" t="str">
        <f t="shared" si="92"/>
        <v/>
      </c>
      <c r="AE1272" t="str">
        <f t="shared" si="92"/>
        <v/>
      </c>
      <c r="AF1272" t="str">
        <f t="shared" si="92"/>
        <v/>
      </c>
    </row>
    <row r="1273" spans="28:32" x14ac:dyDescent="0.3">
      <c r="AB1273" t="str">
        <f t="shared" si="92"/>
        <v/>
      </c>
      <c r="AC1273" t="str">
        <f t="shared" si="92"/>
        <v/>
      </c>
      <c r="AD1273" t="str">
        <f t="shared" si="92"/>
        <v/>
      </c>
      <c r="AE1273" t="str">
        <f t="shared" si="92"/>
        <v/>
      </c>
      <c r="AF1273" t="str">
        <f t="shared" si="92"/>
        <v/>
      </c>
    </row>
    <row r="1274" spans="28:32" x14ac:dyDescent="0.3">
      <c r="AB1274" t="str">
        <f t="shared" si="92"/>
        <v/>
      </c>
      <c r="AC1274" t="str">
        <f t="shared" si="92"/>
        <v/>
      </c>
      <c r="AD1274" t="str">
        <f t="shared" si="92"/>
        <v/>
      </c>
      <c r="AE1274" t="str">
        <f t="shared" si="92"/>
        <v/>
      </c>
      <c r="AF1274" t="str">
        <f t="shared" si="92"/>
        <v/>
      </c>
    </row>
    <row r="1275" spans="28:32" x14ac:dyDescent="0.3">
      <c r="AB1275" t="str">
        <f t="shared" si="92"/>
        <v/>
      </c>
      <c r="AC1275" t="str">
        <f t="shared" si="92"/>
        <v/>
      </c>
      <c r="AD1275" t="str">
        <f t="shared" si="92"/>
        <v/>
      </c>
      <c r="AE1275" t="str">
        <f t="shared" si="92"/>
        <v/>
      </c>
      <c r="AF1275" t="str">
        <f t="shared" si="92"/>
        <v/>
      </c>
    </row>
    <row r="1276" spans="28:32" x14ac:dyDescent="0.3">
      <c r="AB1276" t="str">
        <f t="shared" ref="AB1276:AF1326" si="93">IF(ROW()-$AA$51 &lt; (H$16+1)^5, MOD(_xlfn.FLOOR.MATH((ROW()-$AA$51)/AB$50), H$16+1), "")</f>
        <v/>
      </c>
      <c r="AC1276" t="str">
        <f t="shared" si="93"/>
        <v/>
      </c>
      <c r="AD1276" t="str">
        <f t="shared" si="93"/>
        <v/>
      </c>
      <c r="AE1276" t="str">
        <f t="shared" si="93"/>
        <v/>
      </c>
      <c r="AF1276" t="str">
        <f t="shared" si="93"/>
        <v/>
      </c>
    </row>
    <row r="1277" spans="28:32" x14ac:dyDescent="0.3">
      <c r="AB1277" t="str">
        <f t="shared" si="93"/>
        <v/>
      </c>
      <c r="AC1277" t="str">
        <f t="shared" si="93"/>
        <v/>
      </c>
      <c r="AD1277" t="str">
        <f t="shared" si="93"/>
        <v/>
      </c>
      <c r="AE1277" t="str">
        <f t="shared" si="93"/>
        <v/>
      </c>
      <c r="AF1277" t="str">
        <f t="shared" si="93"/>
        <v/>
      </c>
    </row>
    <row r="1278" spans="28:32" x14ac:dyDescent="0.3">
      <c r="AB1278" t="str">
        <f t="shared" si="93"/>
        <v/>
      </c>
      <c r="AC1278" t="str">
        <f t="shared" si="93"/>
        <v/>
      </c>
      <c r="AD1278" t="str">
        <f t="shared" si="93"/>
        <v/>
      </c>
      <c r="AE1278" t="str">
        <f t="shared" si="93"/>
        <v/>
      </c>
      <c r="AF1278" t="str">
        <f t="shared" si="93"/>
        <v/>
      </c>
    </row>
    <row r="1279" spans="28:32" x14ac:dyDescent="0.3">
      <c r="AB1279" t="str">
        <f t="shared" si="93"/>
        <v/>
      </c>
      <c r="AC1279" t="str">
        <f t="shared" si="93"/>
        <v/>
      </c>
      <c r="AD1279" t="str">
        <f t="shared" si="93"/>
        <v/>
      </c>
      <c r="AE1279" t="str">
        <f t="shared" si="93"/>
        <v/>
      </c>
      <c r="AF1279" t="str">
        <f t="shared" si="93"/>
        <v/>
      </c>
    </row>
    <row r="1280" spans="28:32" x14ac:dyDescent="0.3">
      <c r="AB1280" t="str">
        <f t="shared" si="93"/>
        <v/>
      </c>
      <c r="AC1280" t="str">
        <f t="shared" si="93"/>
        <v/>
      </c>
      <c r="AD1280" t="str">
        <f t="shared" si="93"/>
        <v/>
      </c>
      <c r="AE1280" t="str">
        <f t="shared" si="93"/>
        <v/>
      </c>
      <c r="AF1280" t="str">
        <f t="shared" si="93"/>
        <v/>
      </c>
    </row>
    <row r="1281" spans="28:32" x14ac:dyDescent="0.3">
      <c r="AB1281" t="str">
        <f t="shared" si="93"/>
        <v/>
      </c>
      <c r="AC1281" t="str">
        <f t="shared" si="93"/>
        <v/>
      </c>
      <c r="AD1281" t="str">
        <f t="shared" si="93"/>
        <v/>
      </c>
      <c r="AE1281" t="str">
        <f t="shared" si="93"/>
        <v/>
      </c>
      <c r="AF1281" t="str">
        <f t="shared" si="93"/>
        <v/>
      </c>
    </row>
    <row r="1282" spans="28:32" x14ac:dyDescent="0.3">
      <c r="AB1282" t="str">
        <f t="shared" si="93"/>
        <v/>
      </c>
      <c r="AC1282" t="str">
        <f t="shared" si="93"/>
        <v/>
      </c>
      <c r="AD1282" t="str">
        <f t="shared" si="93"/>
        <v/>
      </c>
      <c r="AE1282" t="str">
        <f t="shared" si="93"/>
        <v/>
      </c>
      <c r="AF1282" t="str">
        <f t="shared" si="93"/>
        <v/>
      </c>
    </row>
    <row r="1283" spans="28:32" x14ac:dyDescent="0.3">
      <c r="AB1283" t="str">
        <f t="shared" si="93"/>
        <v/>
      </c>
      <c r="AC1283" t="str">
        <f t="shared" si="93"/>
        <v/>
      </c>
      <c r="AD1283" t="str">
        <f t="shared" si="93"/>
        <v/>
      </c>
      <c r="AE1283" t="str">
        <f t="shared" si="93"/>
        <v/>
      </c>
      <c r="AF1283" t="str">
        <f t="shared" si="93"/>
        <v/>
      </c>
    </row>
    <row r="1284" spans="28:32" x14ac:dyDescent="0.3">
      <c r="AB1284" t="str">
        <f t="shared" si="93"/>
        <v/>
      </c>
      <c r="AC1284" t="str">
        <f t="shared" si="93"/>
        <v/>
      </c>
      <c r="AD1284" t="str">
        <f t="shared" si="93"/>
        <v/>
      </c>
      <c r="AE1284" t="str">
        <f t="shared" si="93"/>
        <v/>
      </c>
      <c r="AF1284" t="str">
        <f t="shared" si="93"/>
        <v/>
      </c>
    </row>
    <row r="1285" spans="28:32" x14ac:dyDescent="0.3">
      <c r="AB1285" t="str">
        <f t="shared" si="93"/>
        <v/>
      </c>
      <c r="AC1285" t="str">
        <f t="shared" si="93"/>
        <v/>
      </c>
      <c r="AD1285" t="str">
        <f t="shared" si="93"/>
        <v/>
      </c>
      <c r="AE1285" t="str">
        <f t="shared" si="93"/>
        <v/>
      </c>
      <c r="AF1285" t="str">
        <f t="shared" si="93"/>
        <v/>
      </c>
    </row>
    <row r="1286" spans="28:32" x14ac:dyDescent="0.3">
      <c r="AB1286" t="str">
        <f t="shared" si="93"/>
        <v/>
      </c>
      <c r="AC1286" t="str">
        <f t="shared" si="93"/>
        <v/>
      </c>
      <c r="AD1286" t="str">
        <f t="shared" si="93"/>
        <v/>
      </c>
      <c r="AE1286" t="str">
        <f t="shared" si="93"/>
        <v/>
      </c>
      <c r="AF1286" t="str">
        <f t="shared" si="93"/>
        <v/>
      </c>
    </row>
    <row r="1287" spans="28:32" x14ac:dyDescent="0.3">
      <c r="AB1287" t="str">
        <f t="shared" si="93"/>
        <v/>
      </c>
      <c r="AC1287" t="str">
        <f t="shared" si="93"/>
        <v/>
      </c>
      <c r="AD1287" t="str">
        <f t="shared" si="93"/>
        <v/>
      </c>
      <c r="AE1287" t="str">
        <f t="shared" si="93"/>
        <v/>
      </c>
      <c r="AF1287" t="str">
        <f t="shared" si="93"/>
        <v/>
      </c>
    </row>
    <row r="1288" spans="28:32" x14ac:dyDescent="0.3">
      <c r="AB1288" t="str">
        <f t="shared" si="93"/>
        <v/>
      </c>
      <c r="AC1288" t="str">
        <f t="shared" si="93"/>
        <v/>
      </c>
      <c r="AD1288" t="str">
        <f t="shared" si="93"/>
        <v/>
      </c>
      <c r="AE1288" t="str">
        <f t="shared" si="93"/>
        <v/>
      </c>
      <c r="AF1288" t="str">
        <f t="shared" si="93"/>
        <v/>
      </c>
    </row>
    <row r="1289" spans="28:32" x14ac:dyDescent="0.3">
      <c r="AB1289" t="str">
        <f t="shared" si="93"/>
        <v/>
      </c>
      <c r="AC1289" t="str">
        <f t="shared" si="93"/>
        <v/>
      </c>
      <c r="AD1289" t="str">
        <f t="shared" si="93"/>
        <v/>
      </c>
      <c r="AE1289" t="str">
        <f t="shared" si="93"/>
        <v/>
      </c>
      <c r="AF1289" t="str">
        <f t="shared" si="93"/>
        <v/>
      </c>
    </row>
    <row r="1290" spans="28:32" x14ac:dyDescent="0.3">
      <c r="AB1290" t="str">
        <f t="shared" si="93"/>
        <v/>
      </c>
      <c r="AC1290" t="str">
        <f t="shared" si="93"/>
        <v/>
      </c>
      <c r="AD1290" t="str">
        <f t="shared" si="93"/>
        <v/>
      </c>
      <c r="AE1290" t="str">
        <f t="shared" si="93"/>
        <v/>
      </c>
      <c r="AF1290" t="str">
        <f t="shared" si="93"/>
        <v/>
      </c>
    </row>
    <row r="1291" spans="28:32" x14ac:dyDescent="0.3">
      <c r="AB1291" t="str">
        <f t="shared" si="93"/>
        <v/>
      </c>
      <c r="AC1291" t="str">
        <f t="shared" si="93"/>
        <v/>
      </c>
      <c r="AD1291" t="str">
        <f t="shared" si="93"/>
        <v/>
      </c>
      <c r="AE1291" t="str">
        <f t="shared" si="93"/>
        <v/>
      </c>
      <c r="AF1291" t="str">
        <f t="shared" si="93"/>
        <v/>
      </c>
    </row>
    <row r="1292" spans="28:32" x14ac:dyDescent="0.3">
      <c r="AB1292" t="str">
        <f t="shared" si="93"/>
        <v/>
      </c>
      <c r="AC1292" t="str">
        <f t="shared" si="93"/>
        <v/>
      </c>
      <c r="AD1292" t="str">
        <f t="shared" si="93"/>
        <v/>
      </c>
      <c r="AE1292" t="str">
        <f t="shared" si="93"/>
        <v/>
      </c>
      <c r="AF1292" t="str">
        <f t="shared" si="93"/>
        <v/>
      </c>
    </row>
    <row r="1293" spans="28:32" x14ac:dyDescent="0.3">
      <c r="AB1293" t="str">
        <f t="shared" si="93"/>
        <v/>
      </c>
      <c r="AC1293" t="str">
        <f t="shared" si="93"/>
        <v/>
      </c>
      <c r="AD1293" t="str">
        <f t="shared" si="93"/>
        <v/>
      </c>
      <c r="AE1293" t="str">
        <f t="shared" si="93"/>
        <v/>
      </c>
      <c r="AF1293" t="str">
        <f t="shared" si="93"/>
        <v/>
      </c>
    </row>
    <row r="1294" spans="28:32" x14ac:dyDescent="0.3">
      <c r="AB1294" t="str">
        <f t="shared" si="93"/>
        <v/>
      </c>
      <c r="AC1294" t="str">
        <f t="shared" si="93"/>
        <v/>
      </c>
      <c r="AD1294" t="str">
        <f t="shared" si="93"/>
        <v/>
      </c>
      <c r="AE1294" t="str">
        <f t="shared" si="93"/>
        <v/>
      </c>
      <c r="AF1294" t="str">
        <f t="shared" si="93"/>
        <v/>
      </c>
    </row>
    <row r="1295" spans="28:32" x14ac:dyDescent="0.3">
      <c r="AB1295" t="str">
        <f t="shared" si="93"/>
        <v/>
      </c>
      <c r="AC1295" t="str">
        <f t="shared" si="93"/>
        <v/>
      </c>
      <c r="AD1295" t="str">
        <f t="shared" si="93"/>
        <v/>
      </c>
      <c r="AE1295" t="str">
        <f t="shared" si="93"/>
        <v/>
      </c>
      <c r="AF1295" t="str">
        <f t="shared" si="93"/>
        <v/>
      </c>
    </row>
    <row r="1296" spans="28:32" x14ac:dyDescent="0.3">
      <c r="AB1296" t="str">
        <f t="shared" si="93"/>
        <v/>
      </c>
      <c r="AC1296" t="str">
        <f t="shared" si="93"/>
        <v/>
      </c>
      <c r="AD1296" t="str">
        <f t="shared" si="93"/>
        <v/>
      </c>
      <c r="AE1296" t="str">
        <f t="shared" si="93"/>
        <v/>
      </c>
      <c r="AF1296" t="str">
        <f t="shared" si="93"/>
        <v/>
      </c>
    </row>
    <row r="1297" spans="28:32" x14ac:dyDescent="0.3">
      <c r="AB1297" t="str">
        <f t="shared" si="93"/>
        <v/>
      </c>
      <c r="AC1297" t="str">
        <f t="shared" si="93"/>
        <v/>
      </c>
      <c r="AD1297" t="str">
        <f t="shared" si="93"/>
        <v/>
      </c>
      <c r="AE1297" t="str">
        <f t="shared" si="93"/>
        <v/>
      </c>
      <c r="AF1297" t="str">
        <f t="shared" si="93"/>
        <v/>
      </c>
    </row>
    <row r="1298" spans="28:32" x14ac:dyDescent="0.3">
      <c r="AB1298" t="str">
        <f t="shared" si="93"/>
        <v/>
      </c>
      <c r="AC1298" t="str">
        <f t="shared" si="93"/>
        <v/>
      </c>
      <c r="AD1298" t="str">
        <f t="shared" si="93"/>
        <v/>
      </c>
      <c r="AE1298" t="str">
        <f t="shared" si="93"/>
        <v/>
      </c>
      <c r="AF1298" t="str">
        <f t="shared" si="93"/>
        <v/>
      </c>
    </row>
    <row r="1299" spans="28:32" x14ac:dyDescent="0.3">
      <c r="AB1299" t="str">
        <f t="shared" si="93"/>
        <v/>
      </c>
      <c r="AC1299" t="str">
        <f t="shared" si="93"/>
        <v/>
      </c>
      <c r="AD1299" t="str">
        <f t="shared" si="93"/>
        <v/>
      </c>
      <c r="AE1299" t="str">
        <f t="shared" si="93"/>
        <v/>
      </c>
      <c r="AF1299" t="str">
        <f t="shared" si="93"/>
        <v/>
      </c>
    </row>
    <row r="1300" spans="28:32" x14ac:dyDescent="0.3">
      <c r="AB1300" t="str">
        <f t="shared" si="93"/>
        <v/>
      </c>
      <c r="AC1300" t="str">
        <f t="shared" si="93"/>
        <v/>
      </c>
      <c r="AD1300" t="str">
        <f t="shared" si="93"/>
        <v/>
      </c>
      <c r="AE1300" t="str">
        <f t="shared" si="93"/>
        <v/>
      </c>
      <c r="AF1300" t="str">
        <f t="shared" si="93"/>
        <v/>
      </c>
    </row>
    <row r="1301" spans="28:32" x14ac:dyDescent="0.3">
      <c r="AB1301" t="str">
        <f t="shared" si="93"/>
        <v/>
      </c>
      <c r="AC1301" t="str">
        <f t="shared" si="93"/>
        <v/>
      </c>
      <c r="AD1301" t="str">
        <f t="shared" si="93"/>
        <v/>
      </c>
      <c r="AE1301" t="str">
        <f t="shared" si="93"/>
        <v/>
      </c>
      <c r="AF1301" t="str">
        <f t="shared" si="93"/>
        <v/>
      </c>
    </row>
    <row r="1302" spans="28:32" x14ac:dyDescent="0.3">
      <c r="AB1302" t="str">
        <f t="shared" si="93"/>
        <v/>
      </c>
      <c r="AC1302" t="str">
        <f t="shared" si="93"/>
        <v/>
      </c>
      <c r="AD1302" t="str">
        <f t="shared" si="93"/>
        <v/>
      </c>
      <c r="AE1302" t="str">
        <f t="shared" si="93"/>
        <v/>
      </c>
      <c r="AF1302" t="str">
        <f t="shared" si="93"/>
        <v/>
      </c>
    </row>
    <row r="1303" spans="28:32" x14ac:dyDescent="0.3">
      <c r="AB1303" t="str">
        <f t="shared" si="93"/>
        <v/>
      </c>
      <c r="AC1303" t="str">
        <f t="shared" si="93"/>
        <v/>
      </c>
      <c r="AD1303" t="str">
        <f t="shared" si="93"/>
        <v/>
      </c>
      <c r="AE1303" t="str">
        <f t="shared" si="93"/>
        <v/>
      </c>
      <c r="AF1303" t="str">
        <f t="shared" si="93"/>
        <v/>
      </c>
    </row>
    <row r="1304" spans="28:32" x14ac:dyDescent="0.3">
      <c r="AB1304" t="str">
        <f t="shared" si="93"/>
        <v/>
      </c>
      <c r="AC1304" t="str">
        <f t="shared" si="93"/>
        <v/>
      </c>
      <c r="AD1304" t="str">
        <f t="shared" si="93"/>
        <v/>
      </c>
      <c r="AE1304" t="str">
        <f t="shared" si="93"/>
        <v/>
      </c>
      <c r="AF1304" t="str">
        <f t="shared" si="93"/>
        <v/>
      </c>
    </row>
    <row r="1305" spans="28:32" x14ac:dyDescent="0.3">
      <c r="AB1305" t="str">
        <f t="shared" si="93"/>
        <v/>
      </c>
      <c r="AC1305" t="str">
        <f t="shared" si="93"/>
        <v/>
      </c>
      <c r="AD1305" t="str">
        <f t="shared" si="93"/>
        <v/>
      </c>
      <c r="AE1305" t="str">
        <f t="shared" si="93"/>
        <v/>
      </c>
      <c r="AF1305" t="str">
        <f t="shared" si="93"/>
        <v/>
      </c>
    </row>
    <row r="1306" spans="28:32" x14ac:dyDescent="0.3">
      <c r="AB1306" t="str">
        <f t="shared" si="93"/>
        <v/>
      </c>
      <c r="AC1306" t="str">
        <f t="shared" si="93"/>
        <v/>
      </c>
      <c r="AD1306" t="str">
        <f t="shared" si="93"/>
        <v/>
      </c>
      <c r="AE1306" t="str">
        <f t="shared" si="93"/>
        <v/>
      </c>
      <c r="AF1306" t="str">
        <f t="shared" si="93"/>
        <v/>
      </c>
    </row>
    <row r="1307" spans="28:32" x14ac:dyDescent="0.3">
      <c r="AB1307" t="str">
        <f t="shared" si="93"/>
        <v/>
      </c>
      <c r="AC1307" t="str">
        <f t="shared" si="93"/>
        <v/>
      </c>
      <c r="AD1307" t="str">
        <f t="shared" si="93"/>
        <v/>
      </c>
      <c r="AE1307" t="str">
        <f t="shared" si="93"/>
        <v/>
      </c>
      <c r="AF1307" t="str">
        <f t="shared" si="93"/>
        <v/>
      </c>
    </row>
    <row r="1308" spans="28:32" x14ac:dyDescent="0.3">
      <c r="AB1308" t="str">
        <f t="shared" si="93"/>
        <v/>
      </c>
      <c r="AC1308" t="str">
        <f t="shared" si="93"/>
        <v/>
      </c>
      <c r="AD1308" t="str">
        <f t="shared" si="93"/>
        <v/>
      </c>
      <c r="AE1308" t="str">
        <f t="shared" si="93"/>
        <v/>
      </c>
      <c r="AF1308" t="str">
        <f t="shared" si="93"/>
        <v/>
      </c>
    </row>
    <row r="1309" spans="28:32" x14ac:dyDescent="0.3">
      <c r="AB1309" t="str">
        <f t="shared" si="93"/>
        <v/>
      </c>
      <c r="AC1309" t="str">
        <f t="shared" si="93"/>
        <v/>
      </c>
      <c r="AD1309" t="str">
        <f t="shared" si="93"/>
        <v/>
      </c>
      <c r="AE1309" t="str">
        <f t="shared" si="93"/>
        <v/>
      </c>
      <c r="AF1309" t="str">
        <f t="shared" si="93"/>
        <v/>
      </c>
    </row>
    <row r="1310" spans="28:32" x14ac:dyDescent="0.3">
      <c r="AB1310" t="str">
        <f t="shared" si="93"/>
        <v/>
      </c>
      <c r="AC1310" t="str">
        <f t="shared" si="93"/>
        <v/>
      </c>
      <c r="AD1310" t="str">
        <f t="shared" si="93"/>
        <v/>
      </c>
      <c r="AE1310" t="str">
        <f t="shared" si="93"/>
        <v/>
      </c>
      <c r="AF1310" t="str">
        <f t="shared" si="93"/>
        <v/>
      </c>
    </row>
    <row r="1311" spans="28:32" x14ac:dyDescent="0.3">
      <c r="AB1311" t="str">
        <f t="shared" si="93"/>
        <v/>
      </c>
      <c r="AC1311" t="str">
        <f t="shared" si="93"/>
        <v/>
      </c>
      <c r="AD1311" t="str">
        <f t="shared" si="93"/>
        <v/>
      </c>
      <c r="AE1311" t="str">
        <f t="shared" si="93"/>
        <v/>
      </c>
      <c r="AF1311" t="str">
        <f t="shared" si="93"/>
        <v/>
      </c>
    </row>
    <row r="1312" spans="28:32" x14ac:dyDescent="0.3">
      <c r="AB1312" t="str">
        <f t="shared" si="93"/>
        <v/>
      </c>
      <c r="AC1312" t="str">
        <f t="shared" si="93"/>
        <v/>
      </c>
      <c r="AD1312" t="str">
        <f t="shared" si="93"/>
        <v/>
      </c>
      <c r="AE1312" t="str">
        <f t="shared" si="93"/>
        <v/>
      </c>
      <c r="AF1312" t="str">
        <f t="shared" si="93"/>
        <v/>
      </c>
    </row>
    <row r="1313" spans="28:32" x14ac:dyDescent="0.3">
      <c r="AB1313" t="str">
        <f t="shared" si="93"/>
        <v/>
      </c>
      <c r="AC1313" t="str">
        <f t="shared" si="93"/>
        <v/>
      </c>
      <c r="AD1313" t="str">
        <f t="shared" si="93"/>
        <v/>
      </c>
      <c r="AE1313" t="str">
        <f t="shared" si="93"/>
        <v/>
      </c>
      <c r="AF1313" t="str">
        <f t="shared" si="93"/>
        <v/>
      </c>
    </row>
    <row r="1314" spans="28:32" x14ac:dyDescent="0.3">
      <c r="AB1314" t="str">
        <f t="shared" si="93"/>
        <v/>
      </c>
      <c r="AC1314" t="str">
        <f t="shared" si="93"/>
        <v/>
      </c>
      <c r="AD1314" t="str">
        <f t="shared" si="93"/>
        <v/>
      </c>
      <c r="AE1314" t="str">
        <f t="shared" si="93"/>
        <v/>
      </c>
      <c r="AF1314" t="str">
        <f t="shared" si="93"/>
        <v/>
      </c>
    </row>
    <row r="1315" spans="28:32" x14ac:dyDescent="0.3">
      <c r="AB1315" t="str">
        <f t="shared" si="93"/>
        <v/>
      </c>
      <c r="AC1315" t="str">
        <f t="shared" si="93"/>
        <v/>
      </c>
      <c r="AD1315" t="str">
        <f t="shared" si="93"/>
        <v/>
      </c>
      <c r="AE1315" t="str">
        <f t="shared" si="93"/>
        <v/>
      </c>
      <c r="AF1315" t="str">
        <f t="shared" si="93"/>
        <v/>
      </c>
    </row>
    <row r="1316" spans="28:32" x14ac:dyDescent="0.3">
      <c r="AB1316" t="str">
        <f t="shared" si="93"/>
        <v/>
      </c>
      <c r="AC1316" t="str">
        <f t="shared" si="93"/>
        <v/>
      </c>
      <c r="AD1316" t="str">
        <f t="shared" si="93"/>
        <v/>
      </c>
      <c r="AE1316" t="str">
        <f t="shared" si="93"/>
        <v/>
      </c>
      <c r="AF1316" t="str">
        <f t="shared" si="93"/>
        <v/>
      </c>
    </row>
    <row r="1317" spans="28:32" x14ac:dyDescent="0.3">
      <c r="AB1317" t="str">
        <f t="shared" si="93"/>
        <v/>
      </c>
      <c r="AC1317" t="str">
        <f t="shared" si="93"/>
        <v/>
      </c>
      <c r="AD1317" t="str">
        <f t="shared" si="93"/>
        <v/>
      </c>
      <c r="AE1317" t="str">
        <f t="shared" si="93"/>
        <v/>
      </c>
      <c r="AF1317" t="str">
        <f t="shared" si="93"/>
        <v/>
      </c>
    </row>
    <row r="1318" spans="28:32" x14ac:dyDescent="0.3">
      <c r="AB1318" t="str">
        <f t="shared" si="93"/>
        <v/>
      </c>
      <c r="AC1318" t="str">
        <f t="shared" si="93"/>
        <v/>
      </c>
      <c r="AD1318" t="str">
        <f t="shared" si="93"/>
        <v/>
      </c>
      <c r="AE1318" t="str">
        <f t="shared" si="93"/>
        <v/>
      </c>
      <c r="AF1318" t="str">
        <f t="shared" si="93"/>
        <v/>
      </c>
    </row>
    <row r="1319" spans="28:32" x14ac:dyDescent="0.3">
      <c r="AB1319" t="str">
        <f t="shared" si="93"/>
        <v/>
      </c>
      <c r="AC1319" t="str">
        <f t="shared" si="93"/>
        <v/>
      </c>
      <c r="AD1319" t="str">
        <f t="shared" si="93"/>
        <v/>
      </c>
      <c r="AE1319" t="str">
        <f t="shared" si="93"/>
        <v/>
      </c>
      <c r="AF1319" t="str">
        <f t="shared" si="93"/>
        <v/>
      </c>
    </row>
    <row r="1320" spans="28:32" x14ac:dyDescent="0.3">
      <c r="AB1320" t="str">
        <f t="shared" si="93"/>
        <v/>
      </c>
      <c r="AC1320" t="str">
        <f t="shared" si="93"/>
        <v/>
      </c>
      <c r="AD1320" t="str">
        <f t="shared" si="93"/>
        <v/>
      </c>
      <c r="AE1320" t="str">
        <f t="shared" si="93"/>
        <v/>
      </c>
      <c r="AF1320" t="str">
        <f t="shared" si="93"/>
        <v/>
      </c>
    </row>
    <row r="1321" spans="28:32" x14ac:dyDescent="0.3">
      <c r="AB1321" t="str">
        <f t="shared" si="93"/>
        <v/>
      </c>
      <c r="AC1321" t="str">
        <f t="shared" si="93"/>
        <v/>
      </c>
      <c r="AD1321" t="str">
        <f t="shared" si="93"/>
        <v/>
      </c>
      <c r="AE1321" t="str">
        <f t="shared" si="93"/>
        <v/>
      </c>
      <c r="AF1321" t="str">
        <f t="shared" si="93"/>
        <v/>
      </c>
    </row>
    <row r="1322" spans="28:32" x14ac:dyDescent="0.3">
      <c r="AB1322" t="str">
        <f t="shared" si="93"/>
        <v/>
      </c>
      <c r="AC1322" t="str">
        <f t="shared" si="93"/>
        <v/>
      </c>
      <c r="AD1322" t="str">
        <f t="shared" si="93"/>
        <v/>
      </c>
      <c r="AE1322" t="str">
        <f t="shared" si="93"/>
        <v/>
      </c>
      <c r="AF1322" t="str">
        <f t="shared" si="93"/>
        <v/>
      </c>
    </row>
    <row r="1323" spans="28:32" x14ac:dyDescent="0.3">
      <c r="AB1323" t="str">
        <f t="shared" si="93"/>
        <v/>
      </c>
      <c r="AC1323" t="str">
        <f t="shared" si="93"/>
        <v/>
      </c>
      <c r="AD1323" t="str">
        <f t="shared" si="93"/>
        <v/>
      </c>
      <c r="AE1323" t="str">
        <f t="shared" si="93"/>
        <v/>
      </c>
      <c r="AF1323" t="str">
        <f t="shared" si="93"/>
        <v/>
      </c>
    </row>
    <row r="1324" spans="28:32" x14ac:dyDescent="0.3">
      <c r="AB1324" t="str">
        <f t="shared" si="93"/>
        <v/>
      </c>
      <c r="AC1324" t="str">
        <f t="shared" si="93"/>
        <v/>
      </c>
      <c r="AD1324" t="str">
        <f t="shared" si="93"/>
        <v/>
      </c>
      <c r="AE1324" t="str">
        <f t="shared" si="93"/>
        <v/>
      </c>
      <c r="AF1324" t="str">
        <f t="shared" si="93"/>
        <v/>
      </c>
    </row>
    <row r="1325" spans="28:32" x14ac:dyDescent="0.3">
      <c r="AB1325" t="str">
        <f t="shared" si="93"/>
        <v/>
      </c>
      <c r="AC1325" t="str">
        <f t="shared" si="93"/>
        <v/>
      </c>
      <c r="AD1325" t="str">
        <f t="shared" si="93"/>
        <v/>
      </c>
      <c r="AE1325" t="str">
        <f t="shared" si="93"/>
        <v/>
      </c>
      <c r="AF1325" t="str">
        <f t="shared" si="93"/>
        <v/>
      </c>
    </row>
    <row r="1326" spans="28:32" x14ac:dyDescent="0.3">
      <c r="AB1326" t="str">
        <f t="shared" si="93"/>
        <v/>
      </c>
      <c r="AC1326" t="str">
        <f t="shared" si="93"/>
        <v/>
      </c>
      <c r="AD1326" t="str">
        <f t="shared" si="93"/>
        <v/>
      </c>
      <c r="AE1326" t="str">
        <f t="shared" si="93"/>
        <v/>
      </c>
      <c r="AF1326" t="str">
        <f t="shared" si="93"/>
        <v/>
      </c>
    </row>
    <row r="1327" spans="28:32" x14ac:dyDescent="0.3">
      <c r="AB1327" t="str">
        <f t="shared" ref="AB1327:AF1346" si="94">IF(ROW()-$AA$51 &lt; (H$16+1)^5, MOD(_xlfn.FLOOR.MATH((ROW()-$AA$51)/AB$50), H$16+1), "")</f>
        <v/>
      </c>
      <c r="AC1327" t="str">
        <f t="shared" si="94"/>
        <v/>
      </c>
      <c r="AD1327" t="str">
        <f t="shared" si="94"/>
        <v/>
      </c>
      <c r="AE1327" t="str">
        <f t="shared" si="94"/>
        <v/>
      </c>
      <c r="AF1327" t="str">
        <f t="shared" si="94"/>
        <v/>
      </c>
    </row>
    <row r="1328" spans="28:32" x14ac:dyDescent="0.3">
      <c r="AB1328" t="str">
        <f t="shared" si="94"/>
        <v/>
      </c>
      <c r="AC1328" t="str">
        <f t="shared" si="94"/>
        <v/>
      </c>
      <c r="AD1328" t="str">
        <f t="shared" si="94"/>
        <v/>
      </c>
      <c r="AE1328" t="str">
        <f t="shared" si="94"/>
        <v/>
      </c>
      <c r="AF1328" t="str">
        <f t="shared" si="94"/>
        <v/>
      </c>
    </row>
    <row r="1329" spans="28:32" x14ac:dyDescent="0.3">
      <c r="AB1329" t="str">
        <f t="shared" si="94"/>
        <v/>
      </c>
      <c r="AC1329" t="str">
        <f t="shared" si="94"/>
        <v/>
      </c>
      <c r="AD1329" t="str">
        <f t="shared" si="94"/>
        <v/>
      </c>
      <c r="AE1329" t="str">
        <f t="shared" si="94"/>
        <v/>
      </c>
      <c r="AF1329" t="str">
        <f t="shared" si="94"/>
        <v/>
      </c>
    </row>
    <row r="1330" spans="28:32" x14ac:dyDescent="0.3">
      <c r="AB1330" t="str">
        <f t="shared" si="94"/>
        <v/>
      </c>
      <c r="AC1330" t="str">
        <f t="shared" si="94"/>
        <v/>
      </c>
      <c r="AD1330" t="str">
        <f t="shared" si="94"/>
        <v/>
      </c>
      <c r="AE1330" t="str">
        <f t="shared" si="94"/>
        <v/>
      </c>
      <c r="AF1330" t="str">
        <f t="shared" si="94"/>
        <v/>
      </c>
    </row>
    <row r="1331" spans="28:32" x14ac:dyDescent="0.3">
      <c r="AB1331" t="str">
        <f t="shared" si="94"/>
        <v/>
      </c>
      <c r="AC1331" t="str">
        <f t="shared" si="94"/>
        <v/>
      </c>
      <c r="AD1331" t="str">
        <f t="shared" si="94"/>
        <v/>
      </c>
      <c r="AE1331" t="str">
        <f t="shared" si="94"/>
        <v/>
      </c>
      <c r="AF1331" t="str">
        <f t="shared" si="94"/>
        <v/>
      </c>
    </row>
    <row r="1332" spans="28:32" x14ac:dyDescent="0.3">
      <c r="AB1332" t="str">
        <f t="shared" si="94"/>
        <v/>
      </c>
      <c r="AC1332" t="str">
        <f t="shared" si="94"/>
        <v/>
      </c>
      <c r="AD1332" t="str">
        <f t="shared" si="94"/>
        <v/>
      </c>
      <c r="AE1332" t="str">
        <f t="shared" si="94"/>
        <v/>
      </c>
      <c r="AF1332" t="str">
        <f t="shared" si="94"/>
        <v/>
      </c>
    </row>
    <row r="1333" spans="28:32" x14ac:dyDescent="0.3">
      <c r="AB1333" t="str">
        <f t="shared" si="94"/>
        <v/>
      </c>
      <c r="AC1333" t="str">
        <f t="shared" si="94"/>
        <v/>
      </c>
      <c r="AD1333" t="str">
        <f t="shared" si="94"/>
        <v/>
      </c>
      <c r="AE1333" t="str">
        <f t="shared" si="94"/>
        <v/>
      </c>
      <c r="AF1333" t="str">
        <f t="shared" si="94"/>
        <v/>
      </c>
    </row>
    <row r="1334" spans="28:32" x14ac:dyDescent="0.3">
      <c r="AB1334" t="str">
        <f t="shared" si="94"/>
        <v/>
      </c>
      <c r="AC1334" t="str">
        <f t="shared" si="94"/>
        <v/>
      </c>
      <c r="AD1334" t="str">
        <f t="shared" si="94"/>
        <v/>
      </c>
      <c r="AE1334" t="str">
        <f t="shared" si="94"/>
        <v/>
      </c>
      <c r="AF1334" t="str">
        <f t="shared" si="94"/>
        <v/>
      </c>
    </row>
    <row r="1335" spans="28:32" x14ac:dyDescent="0.3">
      <c r="AB1335" t="str">
        <f t="shared" si="94"/>
        <v/>
      </c>
      <c r="AC1335" t="str">
        <f t="shared" si="94"/>
        <v/>
      </c>
      <c r="AD1335" t="str">
        <f t="shared" si="94"/>
        <v/>
      </c>
      <c r="AE1335" t="str">
        <f t="shared" si="94"/>
        <v/>
      </c>
      <c r="AF1335" t="str">
        <f t="shared" si="94"/>
        <v/>
      </c>
    </row>
    <row r="1336" spans="28:32" x14ac:dyDescent="0.3">
      <c r="AB1336" t="str">
        <f t="shared" si="94"/>
        <v/>
      </c>
      <c r="AC1336" t="str">
        <f t="shared" si="94"/>
        <v/>
      </c>
      <c r="AD1336" t="str">
        <f t="shared" si="94"/>
        <v/>
      </c>
      <c r="AE1336" t="str">
        <f t="shared" si="94"/>
        <v/>
      </c>
      <c r="AF1336" t="str">
        <f t="shared" si="94"/>
        <v/>
      </c>
    </row>
    <row r="1337" spans="28:32" x14ac:dyDescent="0.3">
      <c r="AB1337" t="str">
        <f t="shared" si="94"/>
        <v/>
      </c>
      <c r="AC1337" t="str">
        <f t="shared" si="94"/>
        <v/>
      </c>
      <c r="AD1337" t="str">
        <f t="shared" si="94"/>
        <v/>
      </c>
      <c r="AE1337" t="str">
        <f t="shared" si="94"/>
        <v/>
      </c>
      <c r="AF1337" t="str">
        <f t="shared" si="94"/>
        <v/>
      </c>
    </row>
    <row r="1338" spans="28:32" x14ac:dyDescent="0.3">
      <c r="AB1338" t="str">
        <f t="shared" si="94"/>
        <v/>
      </c>
      <c r="AC1338" t="str">
        <f t="shared" si="94"/>
        <v/>
      </c>
      <c r="AD1338" t="str">
        <f t="shared" si="94"/>
        <v/>
      </c>
      <c r="AE1338" t="str">
        <f t="shared" si="94"/>
        <v/>
      </c>
      <c r="AF1338" t="str">
        <f t="shared" si="94"/>
        <v/>
      </c>
    </row>
    <row r="1339" spans="28:32" x14ac:dyDescent="0.3">
      <c r="AB1339" t="str">
        <f t="shared" si="94"/>
        <v/>
      </c>
      <c r="AC1339" t="str">
        <f t="shared" si="94"/>
        <v/>
      </c>
      <c r="AD1339" t="str">
        <f t="shared" si="94"/>
        <v/>
      </c>
      <c r="AE1339" t="str">
        <f t="shared" si="94"/>
        <v/>
      </c>
      <c r="AF1339" t="str">
        <f t="shared" si="94"/>
        <v/>
      </c>
    </row>
    <row r="1340" spans="28:32" x14ac:dyDescent="0.3">
      <c r="AB1340" t="str">
        <f t="shared" si="94"/>
        <v/>
      </c>
      <c r="AC1340" t="str">
        <f t="shared" si="94"/>
        <v/>
      </c>
      <c r="AD1340" t="str">
        <f t="shared" si="94"/>
        <v/>
      </c>
      <c r="AE1340" t="str">
        <f t="shared" si="94"/>
        <v/>
      </c>
      <c r="AF1340" t="str">
        <f t="shared" si="94"/>
        <v/>
      </c>
    </row>
    <row r="1341" spans="28:32" x14ac:dyDescent="0.3">
      <c r="AB1341" t="str">
        <f t="shared" si="94"/>
        <v/>
      </c>
      <c r="AC1341" t="str">
        <f t="shared" si="94"/>
        <v/>
      </c>
      <c r="AD1341" t="str">
        <f t="shared" si="94"/>
        <v/>
      </c>
      <c r="AE1341" t="str">
        <f t="shared" si="94"/>
        <v/>
      </c>
      <c r="AF1341" t="str">
        <f t="shared" si="94"/>
        <v/>
      </c>
    </row>
    <row r="1342" spans="28:32" x14ac:dyDescent="0.3">
      <c r="AB1342" t="str">
        <f t="shared" si="94"/>
        <v/>
      </c>
      <c r="AC1342" t="str">
        <f t="shared" si="94"/>
        <v/>
      </c>
      <c r="AD1342" t="str">
        <f t="shared" si="94"/>
        <v/>
      </c>
      <c r="AE1342" t="str">
        <f t="shared" si="94"/>
        <v/>
      </c>
      <c r="AF1342" t="str">
        <f t="shared" si="94"/>
        <v/>
      </c>
    </row>
    <row r="1343" spans="28:32" x14ac:dyDescent="0.3">
      <c r="AB1343" t="str">
        <f t="shared" si="94"/>
        <v/>
      </c>
      <c r="AC1343" t="str">
        <f t="shared" si="94"/>
        <v/>
      </c>
      <c r="AD1343" t="str">
        <f t="shared" si="94"/>
        <v/>
      </c>
      <c r="AE1343" t="str">
        <f t="shared" si="94"/>
        <v/>
      </c>
      <c r="AF1343" t="str">
        <f t="shared" si="94"/>
        <v/>
      </c>
    </row>
    <row r="1344" spans="28:32" x14ac:dyDescent="0.3">
      <c r="AB1344" t="str">
        <f t="shared" si="94"/>
        <v/>
      </c>
      <c r="AC1344" t="str">
        <f t="shared" si="94"/>
        <v/>
      </c>
      <c r="AD1344" t="str">
        <f t="shared" si="94"/>
        <v/>
      </c>
      <c r="AE1344" t="str">
        <f t="shared" si="94"/>
        <v/>
      </c>
      <c r="AF1344" t="str">
        <f t="shared" si="94"/>
        <v/>
      </c>
    </row>
    <row r="1345" spans="28:32" x14ac:dyDescent="0.3">
      <c r="AB1345" t="str">
        <f t="shared" si="94"/>
        <v/>
      </c>
      <c r="AC1345" t="str">
        <f t="shared" si="94"/>
        <v/>
      </c>
      <c r="AD1345" t="str">
        <f t="shared" si="94"/>
        <v/>
      </c>
      <c r="AE1345" t="str">
        <f t="shared" si="94"/>
        <v/>
      </c>
      <c r="AF1345" t="str">
        <f t="shared" si="94"/>
        <v/>
      </c>
    </row>
    <row r="1346" spans="28:32" x14ac:dyDescent="0.3">
      <c r="AB1346" t="str">
        <f t="shared" si="94"/>
        <v/>
      </c>
      <c r="AC1346" t="str">
        <f t="shared" si="94"/>
        <v/>
      </c>
      <c r="AD1346" t="str">
        <f t="shared" si="94"/>
        <v/>
      </c>
      <c r="AE1346" t="str">
        <f t="shared" si="94"/>
        <v/>
      </c>
      <c r="AF1346" t="str">
        <f t="shared" si="94"/>
        <v/>
      </c>
    </row>
    <row r="1356" spans="28:32" x14ac:dyDescent="0.3">
      <c r="AB1356" t="str">
        <f t="shared" ref="AB1356:AF1361" si="95">IF(ROW()-$AA$51 &lt; (H$16+1)^5, MOD(_xlfn.FLOOR.MATH((ROW()-$AA$51)/AB$50), H$16+1), "")</f>
        <v/>
      </c>
      <c r="AC1356" t="str">
        <f t="shared" si="95"/>
        <v/>
      </c>
      <c r="AD1356" t="str">
        <f t="shared" si="95"/>
        <v/>
      </c>
      <c r="AE1356" t="str">
        <f t="shared" si="95"/>
        <v/>
      </c>
      <c r="AF1356" t="str">
        <f t="shared" si="95"/>
        <v/>
      </c>
    </row>
    <row r="1357" spans="28:32" x14ac:dyDescent="0.3">
      <c r="AB1357" t="str">
        <f t="shared" si="95"/>
        <v/>
      </c>
      <c r="AC1357" t="str">
        <f t="shared" si="95"/>
        <v/>
      </c>
      <c r="AD1357" t="str">
        <f t="shared" si="95"/>
        <v/>
      </c>
      <c r="AE1357" t="str">
        <f t="shared" si="95"/>
        <v/>
      </c>
      <c r="AF1357" t="str">
        <f t="shared" si="95"/>
        <v/>
      </c>
    </row>
    <row r="1358" spans="28:32" x14ac:dyDescent="0.3">
      <c r="AB1358" t="str">
        <f t="shared" si="95"/>
        <v/>
      </c>
      <c r="AC1358" t="str">
        <f t="shared" si="95"/>
        <v/>
      </c>
      <c r="AD1358" t="str">
        <f t="shared" si="95"/>
        <v/>
      </c>
      <c r="AE1358" t="str">
        <f t="shared" si="95"/>
        <v/>
      </c>
      <c r="AF1358" t="str">
        <f t="shared" si="95"/>
        <v/>
      </c>
    </row>
    <row r="1359" spans="28:32" x14ac:dyDescent="0.3">
      <c r="AB1359" t="str">
        <f t="shared" si="95"/>
        <v/>
      </c>
      <c r="AC1359" t="str">
        <f t="shared" si="95"/>
        <v/>
      </c>
      <c r="AD1359" t="str">
        <f t="shared" si="95"/>
        <v/>
      </c>
      <c r="AE1359" t="str">
        <f t="shared" si="95"/>
        <v/>
      </c>
      <c r="AF1359" t="str">
        <f t="shared" si="95"/>
        <v/>
      </c>
    </row>
    <row r="1360" spans="28:32" x14ac:dyDescent="0.3">
      <c r="AB1360" t="str">
        <f t="shared" si="95"/>
        <v/>
      </c>
      <c r="AC1360" t="str">
        <f t="shared" si="95"/>
        <v/>
      </c>
      <c r="AD1360" t="str">
        <f t="shared" si="95"/>
        <v/>
      </c>
      <c r="AE1360" t="str">
        <f t="shared" si="95"/>
        <v/>
      </c>
      <c r="AF1360" t="str">
        <f t="shared" si="95"/>
        <v/>
      </c>
    </row>
    <row r="1361" spans="28:32" x14ac:dyDescent="0.3">
      <c r="AB1361" t="str">
        <f t="shared" si="95"/>
        <v/>
      </c>
      <c r="AC1361" t="str">
        <f t="shared" si="95"/>
        <v/>
      </c>
      <c r="AD1361" t="str">
        <f t="shared" si="95"/>
        <v/>
      </c>
      <c r="AE1361" t="str">
        <f t="shared" si="95"/>
        <v/>
      </c>
      <c r="AF1361" t="str">
        <f t="shared" si="95"/>
        <v/>
      </c>
    </row>
  </sheetData>
  <mergeCells count="23">
    <mergeCell ref="AR17:AW17"/>
    <mergeCell ref="AB51:AF51"/>
    <mergeCell ref="U28:Z28"/>
    <mergeCell ref="AM30:AM32"/>
    <mergeCell ref="AN30:AN32"/>
    <mergeCell ref="AO30:AO32"/>
    <mergeCell ref="AM33:AM35"/>
    <mergeCell ref="AN33:AN35"/>
    <mergeCell ref="AO33:AO35"/>
    <mergeCell ref="AM24:AM26"/>
    <mergeCell ref="AN24:AN26"/>
    <mergeCell ref="AO24:AO26"/>
    <mergeCell ref="AM27:AM29"/>
    <mergeCell ref="AN27:AN29"/>
    <mergeCell ref="AO27:AO29"/>
    <mergeCell ref="AM21:AM23"/>
    <mergeCell ref="AN21:AN23"/>
    <mergeCell ref="AO21:AO23"/>
    <mergeCell ref="H13:J13"/>
    <mergeCell ref="N15:P15"/>
    <mergeCell ref="AM18:AM20"/>
    <mergeCell ref="AN18:AN20"/>
    <mergeCell ref="AO18:AO20"/>
  </mergeCells>
  <conditionalFormatting sqref="T18:Y26 U27:Y27 AB27">
    <cfRule type="cellIs" dxfId="1" priority="1" stopIfTrue="1" operator="equal">
      <formula>0</formula>
    </cfRule>
  </conditionalFormatting>
  <pageMargins left="0.70000000000000007" right="0.70000000000000007" top="0.75" bottom="0.75" header="0.30000000000000004" footer="0.30000000000000004"/>
  <pageSetup paperSize="9" fitToWidth="0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9F9B8-9E29-4638-8008-A6B554E7CC22}">
  <dimension ref="A1:AW1361"/>
  <sheetViews>
    <sheetView topLeftCell="U7" zoomScale="70" zoomScaleNormal="70" workbookViewId="0">
      <selection activeCell="AR17" sqref="AR17:AW17"/>
    </sheetView>
  </sheetViews>
  <sheetFormatPr defaultRowHeight="15.05" x14ac:dyDescent="0.3"/>
  <cols>
    <col min="1" max="13" width="9.109375" customWidth="1"/>
    <col min="14" max="14" width="6.5546875" bestFit="1" customWidth="1"/>
    <col min="15" max="15" width="9.109375" customWidth="1"/>
    <col min="16" max="16" width="6.5546875" bestFit="1" customWidth="1"/>
    <col min="17" max="18" width="6.5546875" customWidth="1"/>
    <col min="19" max="19" width="9.109375" customWidth="1"/>
    <col min="20" max="20" width="19.33203125" bestFit="1" customWidth="1"/>
    <col min="21" max="21" width="10" bestFit="1" customWidth="1"/>
    <col min="22" max="30" width="9.109375" customWidth="1"/>
    <col min="31" max="31" width="13.109375" bestFit="1" customWidth="1"/>
    <col min="32" max="33" width="12" bestFit="1" customWidth="1"/>
    <col min="34" max="36" width="9.109375" customWidth="1"/>
    <col min="37" max="37" width="10.6640625" bestFit="1" customWidth="1"/>
    <col min="38" max="38" width="16.6640625" bestFit="1" customWidth="1"/>
    <col min="39" max="39" width="16.88671875" bestFit="1" customWidth="1"/>
  </cols>
  <sheetData>
    <row r="1" spans="1:21" x14ac:dyDescent="0.3">
      <c r="A1" s="57" t="s">
        <v>98</v>
      </c>
    </row>
    <row r="2" spans="1:21" x14ac:dyDescent="0.3">
      <c r="A2" s="57" t="s">
        <v>96</v>
      </c>
    </row>
    <row r="3" spans="1:21" x14ac:dyDescent="0.3">
      <c r="A3" s="57" t="s">
        <v>99</v>
      </c>
    </row>
    <row r="4" spans="1:21" x14ac:dyDescent="0.3">
      <c r="A4" s="57" t="s">
        <v>97</v>
      </c>
    </row>
    <row r="5" spans="1:21" x14ac:dyDescent="0.3">
      <c r="A5" s="57" t="s">
        <v>100</v>
      </c>
    </row>
    <row r="7" spans="1:21" x14ac:dyDescent="0.3">
      <c r="A7" t="str">
        <f>SUBSTITUTE(SUBSTITUTE(SUBSTITUTE(SUBSTITUTE(SUBSTITUTE(A1, " ",""), """", ""), "[", ""), "],",""), "]","")</f>
        <v>BLANK,CP,BLANK,BLANK,BLANK,BLANK,BLANK,BLANK,CP,BLANK,BLANK,CP,BLANK,BLANK,BLANK,BLANK,BLANK,BLANK,CP,BLANK,BLANK,CP,CP,BLANK,CP,CP,BLANK,BLANK,CP,BLANK,CP,CP,BLANK,BLANK,BLANK,BLANK,BLANK,BLANK,BLANK,BLANK,BLANK,BLANK,BLANK,CP,CP,BLANK,BLANK</v>
      </c>
    </row>
    <row r="8" spans="1:21" x14ac:dyDescent="0.3">
      <c r="A8" t="str">
        <f>SUBSTITUTE(SUBSTITUTE(SUBSTITUTE(SUBSTITUTE(SUBSTITUTE(A2, " ",""), """", ""), "[", ""), "],",""), "]","")</f>
        <v>BLANK,CP,BLANK,CP,CP,CP,CP,CP,BLANK,BLANK,BLANK,BLANK,CP,CP,BLANK,BLANK,BLANK,BLANK,BLANK,BLANK,BLANK,BLANK,CP,BLANK,CP,BLANK,BLANK,BLANK,BLANK,BLANK,BLANK,CP,CP,BLANK,CP,BLANK,BLANK,CP,CP,CP,BLANK,BLANK,CP,CP,CP,CP,BLANK,BLANK,BLANK,BLANK,BLANK,BLANK,BLANK,CP,CP,BLANK,CP</v>
      </c>
    </row>
    <row r="9" spans="1:21" x14ac:dyDescent="0.3">
      <c r="A9" t="str">
        <f>SUBSTITUTE(SUBSTITUTE(SUBSTITUTE(SUBSTITUTE(SUBSTITUTE(A3, " ",""), """", ""), "[", ""), "],",""), "]","")</f>
        <v>BLANK,CP,CP,CP,BLANK,CP,BLANK,CP,BLANK,BLANK,BLANK,BLANK,BLANK,CP,BLANK,BLANK,BLANK,BLANK,BLANK,BLANK,BLANK,BLANK,CP,BLANK,BLANK,BLANK,CP,BLANK,CP,CP,BLANK,BLANK,CP,BLANK,BLANK,CP,CP,BLANK,BLANK,BLANK,BLANK,BLANK,BLANK,BLANK,CP,CP,BLANK,BLANK</v>
      </c>
    </row>
    <row r="10" spans="1:21" x14ac:dyDescent="0.3">
      <c r="A10" t="str">
        <f t="shared" ref="A10:A11" si="0">SUBSTITUTE(SUBSTITUTE(SUBSTITUTE(SUBSTITUTE(SUBSTITUTE(A4, " ",""), """", ""), "[", ""), "],",""), "]","")</f>
        <v>BLANK,BLANK,CP,CP,CP,CP,CP,BLANK,BLANK,BLANK,BLANK,CP,CP,CP,BLANK,CP,CP,BLANK,BLANK,BLANK,BLANK,BLANK,BLANK,BLANK,BLANK,CP,BLANK,BLANK,CP,BLANK,BLANK,CP,BLANK,BLANK,CP,CP,BLANK,BLANK,BLANK,CP,CP,CP,BLANK,BLANK,CP,CP,CP,CP,BLANK,BLANK,BLANK,BLANK,BLANK,BLANK,BLANK,CP,CP,BLANK,CP</v>
      </c>
    </row>
    <row r="11" spans="1:21" x14ac:dyDescent="0.3">
      <c r="A11" t="str">
        <f t="shared" si="0"/>
        <v>BLANK,CP,CP,CP,BLANK,BLANK,BLANK,BLANK,BLANK,CP,CP,BLANK,CP,CP,BLANK,CP,CP,BLANK,BLANK,BLANK,BLANK,BLANK,BLANK,BLANK,BLANK,BLANK,BLANK,BLANK,BLANK,CP,CP,BLANK,BLANK,CP,BLANK,BLANK,CP,CP,BLANK,BLANK,BLANK,BLANK,BLANK,BLANK,BLANK,CP,CP,BLANK,BLANK</v>
      </c>
    </row>
    <row r="13" spans="1:21" x14ac:dyDescent="0.3">
      <c r="H13" s="76" t="s">
        <v>51</v>
      </c>
      <c r="I13" s="76"/>
      <c r="J13" s="76"/>
      <c r="K13" s="48"/>
      <c r="L13" s="48"/>
    </row>
    <row r="14" spans="1:21" x14ac:dyDescent="0.3">
      <c r="G14" s="4" t="s">
        <v>48</v>
      </c>
      <c r="H14">
        <f>ROWS(TRANSPOSE(_xlfn.TEXTSPLIT(A7, ",")))</f>
        <v>47</v>
      </c>
      <c r="I14">
        <f>ROWS(TRANSPOSE(_xlfn.TEXTSPLIT(A8, ",")))</f>
        <v>57</v>
      </c>
      <c r="J14">
        <f>ROWS(TRANSPOSE(_xlfn.TEXTSPLIT(A9, ",")))</f>
        <v>48</v>
      </c>
      <c r="K14">
        <f>ROWS(TRANSPOSE(_xlfn.TEXTSPLIT(A10, ",")))</f>
        <v>59</v>
      </c>
      <c r="L14">
        <f>ROWS(TRANSPOSE(_xlfn.TEXTSPLIT(A11, ",")))</f>
        <v>49</v>
      </c>
      <c r="T14" s="4" t="s">
        <v>55</v>
      </c>
      <c r="U14" s="29" t="e">
        <f ca="1">AM25+AM52+#REF!</f>
        <v>#REF!</v>
      </c>
    </row>
    <row r="15" spans="1:21" x14ac:dyDescent="0.3">
      <c r="G15" s="4" t="s">
        <v>49</v>
      </c>
      <c r="H15">
        <f>ROW(A18)</f>
        <v>18</v>
      </c>
      <c r="I15">
        <f>ROW(B18)</f>
        <v>18</v>
      </c>
      <c r="J15">
        <f>ROW(C18)</f>
        <v>18</v>
      </c>
      <c r="K15">
        <f t="shared" ref="K15:L15" si="1">ROW(D18)</f>
        <v>18</v>
      </c>
      <c r="L15">
        <f t="shared" si="1"/>
        <v>18</v>
      </c>
      <c r="N15" s="77" t="s">
        <v>52</v>
      </c>
      <c r="O15" s="77"/>
      <c r="P15" s="77"/>
    </row>
    <row r="16" spans="1:21" x14ac:dyDescent="0.3">
      <c r="G16" s="4" t="s">
        <v>50</v>
      </c>
      <c r="H16">
        <v>3</v>
      </c>
      <c r="I16">
        <v>3</v>
      </c>
      <c r="J16">
        <v>3</v>
      </c>
      <c r="K16">
        <v>3</v>
      </c>
      <c r="L16">
        <v>3</v>
      </c>
    </row>
    <row r="17" spans="1:49" x14ac:dyDescent="0.3">
      <c r="A17" s="1" t="s">
        <v>18</v>
      </c>
      <c r="B17" s="19" t="s">
        <v>19</v>
      </c>
      <c r="C17" s="1" t="s">
        <v>20</v>
      </c>
      <c r="D17" s="1" t="s">
        <v>56</v>
      </c>
      <c r="E17" s="1" t="s">
        <v>57</v>
      </c>
      <c r="F17" s="4"/>
      <c r="G17" s="4"/>
      <c r="H17" s="45" t="str">
        <f>A17</f>
        <v>Reel 1</v>
      </c>
      <c r="I17" s="45" t="str">
        <f>B17</f>
        <v>Reel 2</v>
      </c>
      <c r="J17" s="45" t="str">
        <f>C17</f>
        <v>Reel 3</v>
      </c>
      <c r="K17" s="45" t="str">
        <f t="shared" ref="K17:L17" si="2">D17</f>
        <v>Reel 4</v>
      </c>
      <c r="L17" s="45" t="str">
        <f t="shared" si="2"/>
        <v>Reel 5</v>
      </c>
      <c r="M17" s="4"/>
      <c r="N17" s="45" t="str">
        <f>H17</f>
        <v>Reel 1</v>
      </c>
      <c r="O17" s="45" t="str">
        <f>I17</f>
        <v>Reel 2</v>
      </c>
      <c r="P17" s="45" t="str">
        <f>J17</f>
        <v>Reel 3</v>
      </c>
      <c r="Q17" s="45" t="str">
        <f t="shared" ref="Q17:R17" si="3">K17</f>
        <v>Reel 4</v>
      </c>
      <c r="R17" s="45" t="str">
        <f t="shared" si="3"/>
        <v>Reel 5</v>
      </c>
      <c r="S17" s="4"/>
      <c r="T17" s="19" t="s">
        <v>38</v>
      </c>
      <c r="U17" s="45" t="s">
        <v>18</v>
      </c>
      <c r="V17" s="45" t="s">
        <v>19</v>
      </c>
      <c r="W17" s="45" t="s">
        <v>20</v>
      </c>
      <c r="X17" s="45" t="s">
        <v>56</v>
      </c>
      <c r="Y17" s="105" t="s">
        <v>57</v>
      </c>
      <c r="Z17" s="109"/>
      <c r="AB17" s="45" t="s">
        <v>38</v>
      </c>
      <c r="AC17" s="45" t="s">
        <v>89</v>
      </c>
      <c r="AD17" s="45" t="s">
        <v>18</v>
      </c>
      <c r="AE17" s="45" t="s">
        <v>19</v>
      </c>
      <c r="AF17" s="45" t="s">
        <v>20</v>
      </c>
      <c r="AG17" s="45" t="s">
        <v>56</v>
      </c>
      <c r="AH17" s="45" t="s">
        <v>57</v>
      </c>
      <c r="AI17" s="45" t="s">
        <v>40</v>
      </c>
      <c r="AJ17" s="45" t="s">
        <v>37</v>
      </c>
      <c r="AK17" s="45" t="s">
        <v>41</v>
      </c>
      <c r="AL17" s="45" t="s">
        <v>34</v>
      </c>
      <c r="AM17" s="45" t="s">
        <v>42</v>
      </c>
      <c r="AN17" s="45" t="s">
        <v>43</v>
      </c>
      <c r="AO17" s="45" t="s">
        <v>44</v>
      </c>
      <c r="AR17" s="110" t="s">
        <v>90</v>
      </c>
      <c r="AS17" s="111"/>
      <c r="AT17" s="111"/>
      <c r="AU17" s="111"/>
      <c r="AV17" s="111"/>
      <c r="AW17" s="112"/>
    </row>
    <row r="18" spans="1:49" x14ac:dyDescent="0.3">
      <c r="A18" t="str" cm="1">
        <f t="array" ref="A18:A64">TRANSPOSE(_xlfn.TEXTSPLIT(A7, ","))</f>
        <v>BLANK</v>
      </c>
      <c r="B18" t="str" cm="1">
        <f t="array" ref="B18:B74">TRANSPOSE(_xlfn.TEXTSPLIT(A8, ","))</f>
        <v>BLANK</v>
      </c>
      <c r="C18" t="str" cm="1">
        <f t="array" ref="C18:C65">TRANSPOSE(_xlfn.TEXTSPLIT(A9, ","))</f>
        <v>BLANK</v>
      </c>
      <c r="D18" t="str" cm="1">
        <f t="array" ref="D18:D76">TRANSPOSE(_xlfn.TEXTSPLIT(A10, ","))</f>
        <v>BLANK</v>
      </c>
      <c r="E18" t="str" cm="1">
        <f t="array" ref="E18:E66">TRANSPOSE(_xlfn.TEXTSPLIT(A11, ","))</f>
        <v>BLANK</v>
      </c>
      <c r="H18" t="str" cm="1">
        <f t="array" aca="1" ref="H18" ca="1">IF(ROW(A18)-H$15 &lt; H$14,A18,IF(ROW(A18) - H$15 -H$16 + 1 &lt; H$14,INDIRECT(ADDRESS(MOD(ROW(A18) - H$15, H$14) + H$15, COLUMN(A18))),""))</f>
        <v>BLANK</v>
      </c>
      <c r="I18" t="str" cm="1">
        <f t="array" aca="1" ref="I18" ca="1">IF(ROW(B18)-I$15 &lt; I$14,B18,IF(ROW(B18) - I$15 -I$16 + 1 &lt; I$14,INDIRECT(ADDRESS(MOD(ROW(B18) - I$15, I$14) + I$15, COLUMN(B18))),""))</f>
        <v>BLANK</v>
      </c>
      <c r="J18" t="str" cm="1">
        <f t="array" aca="1" ref="J18" ca="1">IF(ROW(C18)-J$15 &lt; J$14,C18,IF(ROW(C18) - J$15 -J$16 + 1 &lt; J$14,INDIRECT(ADDRESS(MOD(ROW(C18) - J$15, J$14) + J$15, COLUMN(C18))),""))</f>
        <v>BLANK</v>
      </c>
      <c r="K18" t="str" cm="1">
        <f t="array" aca="1" ref="K18" ca="1">IF(ROW(D18)-K$15 &lt; K$14,D18,IF(ROW(D18) - K$15 -K$16 + 1 &lt; K$14,INDIRECT(ADDRESS(MOD(ROW(D18) - K$15, K$14) + K$15, COLUMN(D18))),""))</f>
        <v>BLANK</v>
      </c>
      <c r="L18" t="str" cm="1">
        <f t="array" aca="1" ref="L18" ca="1">IF(ROW(E18)-L$15 &lt; L$14,E18,IF(ROW(E18) - L$15 -L$16 + 1 &lt; L$14,INDIRECT(ADDRESS(MOD(ROW(E18) - L$15, L$14) + L$15, COLUMN(E18))),""))</f>
        <v>BLANK</v>
      </c>
      <c r="N18" cm="1">
        <f t="array" aca="1" ref="N18" ca="1">IF(H18&lt;&gt;"", SUMPRODUCT((OFFSET(H18,0,0,H$16,1)=$T$24) +0),"")</f>
        <v>1</v>
      </c>
      <c r="O18" cm="1">
        <f t="array" aca="1" ref="O18" ca="1">IF(I18&lt;&gt;"", SUMPRODUCT((OFFSET(I18,0,0,I$16,1)=$T$24) +0),"")</f>
        <v>1</v>
      </c>
      <c r="P18" cm="1">
        <f t="array" aca="1" ref="P18" ca="1">IF(J18&lt;&gt;"", SUMPRODUCT((OFFSET(J18,0,0,J$16,1)=$T$24) +0),"")</f>
        <v>2</v>
      </c>
      <c r="Q18" cm="1">
        <f t="array" aca="1" ref="Q18" ca="1">IF(K18&lt;&gt;"", SUMPRODUCT((OFFSET(K18,0,0,K$16,1)=$T$24) +0),"")</f>
        <v>1</v>
      </c>
      <c r="R18" cm="1">
        <f t="array" aca="1" ref="R18" ca="1">IF(L18&lt;&gt;"", SUMPRODUCT((OFFSET(L18,0,0,L$16,1)=$T$24) +0),"")</f>
        <v>2</v>
      </c>
      <c r="T18" s="5" t="str">
        <f>Summary!B4</f>
        <v>P1</v>
      </c>
      <c r="U18" s="46">
        <f t="shared" ref="U18:W24" si="4">COUNTIF(A$18:A$254,$T18)</f>
        <v>0</v>
      </c>
      <c r="V18" s="46">
        <f t="shared" si="4"/>
        <v>0</v>
      </c>
      <c r="W18" s="46">
        <f t="shared" si="4"/>
        <v>0</v>
      </c>
      <c r="X18" s="46">
        <f t="shared" ref="X18:Y27" si="5">COUNTIF(D$18:D$254,$T18)</f>
        <v>0</v>
      </c>
      <c r="Y18" s="65">
        <f t="shared" si="5"/>
        <v>0</v>
      </c>
      <c r="Z18" s="109"/>
      <c r="AB18" s="46" t="str">
        <f t="shared" ref="AB18" si="6">T18</f>
        <v>P1</v>
      </c>
      <c r="AC18" s="46">
        <v>5</v>
      </c>
      <c r="AD18" s="46">
        <f t="shared" ref="AD18:AD35" si="7">IF(_xlfn.XLOOKUP($AC18,$AR$18:$AR$22,AS$18:AS$22)=1, _xlfn.XLOOKUP($AB18,$T$18:$T$26,U$18:U$26)+U$25, IF(_xlfn.XLOOKUP($AC18,$AR$18:$AR$22,AS$18:AS$22)=0, U$28-(_xlfn.XLOOKUP($AB18,$T$18:$T$26,U$18:U$26)+U$25), U$28))</f>
        <v>0</v>
      </c>
      <c r="AE18" s="46">
        <f t="shared" ref="AE18:AE35" si="8">IF(_xlfn.XLOOKUP($AC18,$AR$18:$AR$22,AT$18:AT$22)=1, _xlfn.XLOOKUP($AB18,$T$18:$T$26,V$18:V$26)+V$25, IF(_xlfn.XLOOKUP($AC18,$AR$18:$AR$22,AT$18:AT$22)=0, V$28-(_xlfn.XLOOKUP($AB18,$T$18:$T$26,V$18:V$26)+V$25), V$28))</f>
        <v>0</v>
      </c>
      <c r="AF18" s="46">
        <f t="shared" ref="AF18:AF35" si="9">IF(_xlfn.XLOOKUP($AC18,$AR$18:$AR$22,AU$18:AU$22)=1, _xlfn.XLOOKUP($AB18,$T$18:$T$26,W$18:W$26)+W$25, IF(_xlfn.XLOOKUP($AC18,$AR$18:$AR$22,AU$18:AU$22)=0, W$28-(_xlfn.XLOOKUP($AB18,$T$18:$T$26,W$18:W$26)+W$25), W$28))</f>
        <v>0</v>
      </c>
      <c r="AG18" s="46">
        <f t="shared" ref="AG18:AG35" si="10">IF(_xlfn.XLOOKUP($AC18,$AR$18:$AR$22,AV$18:AV$22)=1, _xlfn.XLOOKUP($AB18,$T$18:$T$26,X$18:X$26)+X$25, IF(_xlfn.XLOOKUP($AC18,$AR$18:$AR$22,AV$18:AV$22)=0, X$28-(_xlfn.XLOOKUP($AB18,$T$18:$T$26,X$18:X$26)+X$25), X$28))</f>
        <v>0</v>
      </c>
      <c r="AH18" s="46">
        <f t="shared" ref="AH18:AH35" si="11">IF(_xlfn.XLOOKUP($AC18,$AR$18:$AR$22,AW$18:AW$22)=1, _xlfn.XLOOKUP($AB18,$T$18:$T$26,Y$18:Y$26)+Y$25, IF(_xlfn.XLOOKUP($AC18,$AR$18:$AR$22,AW$18:AW$22)=0, Y$28-(_xlfn.XLOOKUP($AB18,$T$18:$T$26,Y$18:Y$26)+Y$25), Y$28))</f>
        <v>0</v>
      </c>
      <c r="AI18" s="46">
        <f>PRODUCT(AD18:AH18)</f>
        <v>0</v>
      </c>
      <c r="AJ18" s="50">
        <f t="shared" ref="AJ18:AJ35" si="12">AI18/$U$29</f>
        <v>0</v>
      </c>
      <c r="AK18" s="46" t="e">
        <f t="shared" ref="AK18:AK35" si="13">1/AJ18</f>
        <v>#DIV/0!</v>
      </c>
      <c r="AL18" s="46">
        <f>IFERROR(INDEX(Summary!$C$4:$E$9, MATCH($AB18, Summary!$B$4:$B$9, 0), MATCH($AC18, Summary!$C$3:$E$3, 0)), 0)</f>
        <v>1000</v>
      </c>
      <c r="AM18" s="51">
        <f t="shared" ref="AM18:AM35" si="14">AJ18*AL18</f>
        <v>0</v>
      </c>
      <c r="AN18" s="52">
        <v>0.11447830000000001</v>
      </c>
      <c r="AO18" s="53" t="e">
        <f>AM18*(1-#REF!)-AN18</f>
        <v>#REF!</v>
      </c>
      <c r="AR18" s="46">
        <v>5</v>
      </c>
      <c r="AS18" s="46">
        <v>1</v>
      </c>
      <c r="AT18" s="46">
        <v>1</v>
      </c>
      <c r="AU18" s="46">
        <v>1</v>
      </c>
      <c r="AV18" s="46">
        <v>1</v>
      </c>
      <c r="AW18" s="46">
        <v>1</v>
      </c>
    </row>
    <row r="19" spans="1:49" x14ac:dyDescent="0.3">
      <c r="A19" t="str">
        <v>CP</v>
      </c>
      <c r="B19" t="str">
        <v>CP</v>
      </c>
      <c r="C19" t="str">
        <v>CP</v>
      </c>
      <c r="D19" t="str">
        <v>BLANK</v>
      </c>
      <c r="E19" t="str">
        <v>CP</v>
      </c>
      <c r="H19" t="str" cm="1">
        <f t="array" aca="1" ref="H19" ca="1">IF(ROW(A19)-H$15 &lt; H$14,A19,IF(ROW(A19) - H$15 -H$16 + 1 &lt; H$14,INDIRECT(ADDRESS(MOD(ROW(A19) - H$15, H$14) + H$15, COLUMN(A19))),""))</f>
        <v>CP</v>
      </c>
      <c r="I19" t="str" cm="1">
        <f t="array" aca="1" ref="I19" ca="1">IF(ROW(B19)-I$15 &lt; I$14,B19,IF(ROW(B19) - I$15 -I$16 + 1 &lt; I$14,INDIRECT(ADDRESS(MOD(ROW(B19) - I$15, I$14) + I$15, COLUMN(B19))),""))</f>
        <v>CP</v>
      </c>
      <c r="J19" t="str" cm="1">
        <f t="array" aca="1" ref="J19" ca="1">IF(ROW(C19)-J$15 &lt; J$14,C19,IF(ROW(C19) - J$15 -J$16 + 1 &lt; J$14,INDIRECT(ADDRESS(MOD(ROW(C19) - J$15, J$14) + J$15, COLUMN(C19))),""))</f>
        <v>CP</v>
      </c>
      <c r="K19" t="str" cm="1">
        <f t="array" aca="1" ref="K19" ca="1">IF(ROW(D19)-K$15 &lt; K$14,D19,IF(ROW(D19) - K$15 -K$16 + 1 &lt; K$14,INDIRECT(ADDRESS(MOD(ROW(D19) - K$15, K$14) + K$15, COLUMN(D19))),""))</f>
        <v>BLANK</v>
      </c>
      <c r="L19" t="str" cm="1">
        <f t="array" aca="1" ref="L19" ca="1">IF(ROW(E19)-L$15 &lt; L$14,E19,IF(ROW(E19) - L$15 -L$16 + 1 &lt; L$14,INDIRECT(ADDRESS(MOD(ROW(E19) - L$15, L$14) + L$15, COLUMN(E19))),""))</f>
        <v>CP</v>
      </c>
      <c r="N19" cm="1">
        <f t="array" aca="1" ref="N19" ca="1">IF(H19&lt;&gt;"", SUMPRODUCT((OFFSET(H19,0,0,H$16,1)=$T$24) +0),"")</f>
        <v>1</v>
      </c>
      <c r="O19" cm="1">
        <f t="array" aca="1" ref="O19" ca="1">IF(I19&lt;&gt;"", SUMPRODUCT((OFFSET(I19,0,0,I$16,1)=$T$24) +0),"")</f>
        <v>2</v>
      </c>
      <c r="P19" cm="1">
        <f t="array" aca="1" ref="P19" ca="1">IF(J19&lt;&gt;"", SUMPRODUCT((OFFSET(J19,0,0,J$16,1)=$T$24) +0),"")</f>
        <v>3</v>
      </c>
      <c r="Q19" cm="1">
        <f t="array" aca="1" ref="Q19" ca="1">IF(K19&lt;&gt;"", SUMPRODUCT((OFFSET(K19,0,0,K$16,1)=$T$24) +0),"")</f>
        <v>2</v>
      </c>
      <c r="R19" cm="1">
        <f t="array" aca="1" ref="R19" ca="1">IF(L19&lt;&gt;"", SUMPRODUCT((OFFSET(L19,0,0,L$16,1)=$T$24) +0),"")</f>
        <v>3</v>
      </c>
      <c r="T19" s="5" t="str">
        <f>Summary!B5</f>
        <v>P2</v>
      </c>
      <c r="U19" s="46">
        <f t="shared" si="4"/>
        <v>0</v>
      </c>
      <c r="V19" s="46">
        <f t="shared" si="4"/>
        <v>0</v>
      </c>
      <c r="W19" s="46">
        <f t="shared" si="4"/>
        <v>0</v>
      </c>
      <c r="X19" s="46">
        <f t="shared" si="5"/>
        <v>0</v>
      </c>
      <c r="Y19" s="65">
        <f t="shared" si="5"/>
        <v>0</v>
      </c>
      <c r="Z19" s="109"/>
      <c r="AB19" s="46" t="str">
        <f>T18</f>
        <v>P1</v>
      </c>
      <c r="AC19" s="46">
        <v>4</v>
      </c>
      <c r="AD19" s="46">
        <f t="shared" si="7"/>
        <v>0</v>
      </c>
      <c r="AE19" s="46">
        <f t="shared" si="8"/>
        <v>0</v>
      </c>
      <c r="AF19" s="46">
        <f t="shared" si="9"/>
        <v>0</v>
      </c>
      <c r="AG19" s="46">
        <f t="shared" si="10"/>
        <v>0</v>
      </c>
      <c r="AH19" s="46">
        <f t="shared" si="11"/>
        <v>49</v>
      </c>
      <c r="AI19" s="46">
        <f t="shared" ref="AI19:AI35" si="15">PRODUCT(AD19:AH19)</f>
        <v>0</v>
      </c>
      <c r="AJ19" s="50">
        <f t="shared" si="12"/>
        <v>0</v>
      </c>
      <c r="AK19" s="46" t="e">
        <f t="shared" si="13"/>
        <v>#DIV/0!</v>
      </c>
      <c r="AL19" s="46">
        <f>IFERROR(INDEX(Summary!$C$4:$E$9, MATCH($AB19, Summary!$B$4:$B$9, 0), MATCH($AC19, Summary!$C$3:$E$3, 0)), 0)</f>
        <v>200</v>
      </c>
      <c r="AM19" s="51">
        <f t="shared" si="14"/>
        <v>0</v>
      </c>
      <c r="AN19" s="52">
        <v>7.0308899999999994E-2</v>
      </c>
      <c r="AO19" s="53" t="e">
        <f>AM19*(1-#REF!)-AN19</f>
        <v>#REF!</v>
      </c>
      <c r="AR19" s="46">
        <v>4</v>
      </c>
      <c r="AS19" s="46">
        <v>1</v>
      </c>
      <c r="AT19" s="46">
        <v>1</v>
      </c>
      <c r="AU19" s="46">
        <v>1</v>
      </c>
      <c r="AV19" s="46">
        <v>1</v>
      </c>
      <c r="AW19" s="46">
        <v>0</v>
      </c>
    </row>
    <row r="20" spans="1:49" x14ac:dyDescent="0.3">
      <c r="A20" t="str">
        <v>BLANK</v>
      </c>
      <c r="B20" t="str">
        <v>BLANK</v>
      </c>
      <c r="C20" t="str">
        <v>CP</v>
      </c>
      <c r="D20" t="str">
        <v>CP</v>
      </c>
      <c r="E20" t="str">
        <v>CP</v>
      </c>
      <c r="H20" t="str" cm="1">
        <f t="array" aca="1" ref="H20" ca="1">IF(ROW(A20)-H$15 &lt; H$14,A20,IF(ROW(A20) - H$15 -H$16 + 1 &lt; H$14,INDIRECT(ADDRESS(MOD(ROW(A20) - H$15, H$14) + H$15, COLUMN(A20))),""))</f>
        <v>BLANK</v>
      </c>
      <c r="I20" t="str" cm="1">
        <f t="array" aca="1" ref="I20" ca="1">IF(ROW(B20)-I$15 &lt; I$14,B20,IF(ROW(B20) - I$15 -I$16 + 1 &lt; I$14,INDIRECT(ADDRESS(MOD(ROW(B20) - I$15, I$14) + I$15, COLUMN(B20))),""))</f>
        <v>BLANK</v>
      </c>
      <c r="J20" t="str" cm="1">
        <f t="array" aca="1" ref="J20" ca="1">IF(ROW(C20)-J$15 &lt; J$14,C20,IF(ROW(C20) - J$15 -J$16 + 1 &lt; J$14,INDIRECT(ADDRESS(MOD(ROW(C20) - J$15, J$14) + J$15, COLUMN(C20))),""))</f>
        <v>CP</v>
      </c>
      <c r="K20" t="str" cm="1">
        <f t="array" aca="1" ref="K20" ca="1">IF(ROW(D20)-K$15 &lt; K$14,D20,IF(ROW(D20) - K$15 -K$16 + 1 &lt; K$14,INDIRECT(ADDRESS(MOD(ROW(D20) - K$15, K$14) + K$15, COLUMN(D20))),""))</f>
        <v>CP</v>
      </c>
      <c r="L20" t="str" cm="1">
        <f t="array" aca="1" ref="L20" ca="1">IF(ROW(E20)-L$15 &lt; L$14,E20,IF(ROW(E20) - L$15 -L$16 + 1 &lt; L$14,INDIRECT(ADDRESS(MOD(ROW(E20) - L$15, L$14) + L$15, COLUMN(E20))),""))</f>
        <v>CP</v>
      </c>
      <c r="N20" cm="1">
        <f t="array" aca="1" ref="N20" ca="1">IF(H20&lt;&gt;"", SUMPRODUCT((OFFSET(H20,0,0,H$16,1)=$T$24) +0),"")</f>
        <v>0</v>
      </c>
      <c r="O20" cm="1">
        <f t="array" aca="1" ref="O20" ca="1">IF(I20&lt;&gt;"", SUMPRODUCT((OFFSET(I20,0,0,I$16,1)=$T$24) +0),"")</f>
        <v>2</v>
      </c>
      <c r="P20" cm="1">
        <f t="array" aca="1" ref="P20" ca="1">IF(J20&lt;&gt;"", SUMPRODUCT((OFFSET(J20,0,0,J$16,1)=$T$24) +0),"")</f>
        <v>2</v>
      </c>
      <c r="Q20" cm="1">
        <f t="array" aca="1" ref="Q20" ca="1">IF(K20&lt;&gt;"", SUMPRODUCT((OFFSET(K20,0,0,K$16,1)=$T$24) +0),"")</f>
        <v>3</v>
      </c>
      <c r="R20" cm="1">
        <f t="array" aca="1" ref="R20" ca="1">IF(L20&lt;&gt;"", SUMPRODUCT((OFFSET(L20,0,0,L$16,1)=$T$24) +0),"")</f>
        <v>2</v>
      </c>
      <c r="T20" s="5" t="str">
        <f>Summary!B6</f>
        <v>P3</v>
      </c>
      <c r="U20" s="46">
        <f t="shared" si="4"/>
        <v>0</v>
      </c>
      <c r="V20" s="46">
        <f t="shared" si="4"/>
        <v>0</v>
      </c>
      <c r="W20" s="46">
        <f t="shared" si="4"/>
        <v>0</v>
      </c>
      <c r="X20" s="46">
        <f t="shared" si="5"/>
        <v>0</v>
      </c>
      <c r="Y20" s="65">
        <f t="shared" si="5"/>
        <v>0</v>
      </c>
      <c r="Z20" s="109"/>
      <c r="AB20" s="46" t="str">
        <f>T18</f>
        <v>P1</v>
      </c>
      <c r="AC20" s="46">
        <v>3</v>
      </c>
      <c r="AD20" s="46">
        <f t="shared" si="7"/>
        <v>0</v>
      </c>
      <c r="AE20" s="46">
        <f t="shared" si="8"/>
        <v>0</v>
      </c>
      <c r="AF20" s="46">
        <f t="shared" si="9"/>
        <v>0</v>
      </c>
      <c r="AG20" s="46">
        <f t="shared" si="10"/>
        <v>59</v>
      </c>
      <c r="AH20" s="46">
        <f t="shared" si="11"/>
        <v>49</v>
      </c>
      <c r="AI20" s="46">
        <f t="shared" si="15"/>
        <v>0</v>
      </c>
      <c r="AJ20" s="50">
        <f t="shared" si="12"/>
        <v>0</v>
      </c>
      <c r="AK20" s="46" t="e">
        <f t="shared" si="13"/>
        <v>#DIV/0!</v>
      </c>
      <c r="AL20" s="46">
        <f>IFERROR(INDEX(Summary!$C$4:$E$9, MATCH($AB20, Summary!$B$4:$B$9, 0), MATCH($AC20, Summary!$C$3:$E$3, 0)), 0)</f>
        <v>50</v>
      </c>
      <c r="AM20" s="51">
        <f t="shared" si="14"/>
        <v>0</v>
      </c>
      <c r="AN20" s="52">
        <v>8.1811480000000006E-2</v>
      </c>
      <c r="AO20" s="53" t="e">
        <f>AM20*(1-#REF!)-AN20</f>
        <v>#REF!</v>
      </c>
      <c r="AR20" s="46">
        <v>3</v>
      </c>
      <c r="AS20" s="46">
        <v>1</v>
      </c>
      <c r="AT20" s="46">
        <v>1</v>
      </c>
      <c r="AU20" s="46">
        <v>1</v>
      </c>
      <c r="AV20" s="46">
        <v>0</v>
      </c>
      <c r="AW20" s="46">
        <v>-1</v>
      </c>
    </row>
    <row r="21" spans="1:49" x14ac:dyDescent="0.3">
      <c r="A21" t="str">
        <v>BLANK</v>
      </c>
      <c r="B21" t="str">
        <v>CP</v>
      </c>
      <c r="C21" t="str">
        <v>CP</v>
      </c>
      <c r="D21" t="str">
        <v>CP</v>
      </c>
      <c r="E21" t="str">
        <v>CP</v>
      </c>
      <c r="H21" t="str" cm="1">
        <f t="array" aca="1" ref="H21" ca="1">IF(ROW(A21)-H$15 &lt; H$14,A21,IF(ROW(A21) - H$15 -H$16 + 1 &lt; H$14,INDIRECT(ADDRESS(MOD(ROW(A21) - H$15, H$14) + H$15, COLUMN(A21))),""))</f>
        <v>BLANK</v>
      </c>
      <c r="I21" t="str" cm="1">
        <f t="array" aca="1" ref="I21" ca="1">IF(ROW(B21)-I$15 &lt; I$14,B21,IF(ROW(B21) - I$15 -I$16 + 1 &lt; I$14,INDIRECT(ADDRESS(MOD(ROW(B21) - I$15, I$14) + I$15, COLUMN(B21))),""))</f>
        <v>CP</v>
      </c>
      <c r="J21" t="str" cm="1">
        <f t="array" aca="1" ref="J21" ca="1">IF(ROW(C21)-J$15 &lt; J$14,C21,IF(ROW(C21) - J$15 -J$16 + 1 &lt; J$14,INDIRECT(ADDRESS(MOD(ROW(C21) - J$15, J$14) + J$15, COLUMN(C21))),""))</f>
        <v>CP</v>
      </c>
      <c r="K21" t="str" cm="1">
        <f t="array" aca="1" ref="K21" ca="1">IF(ROW(D21)-K$15 &lt; K$14,D21,IF(ROW(D21) - K$15 -K$16 + 1 &lt; K$14,INDIRECT(ADDRESS(MOD(ROW(D21) - K$15, K$14) + K$15, COLUMN(D21))),""))</f>
        <v>CP</v>
      </c>
      <c r="L21" t="str" cm="1">
        <f t="array" aca="1" ref="L21" ca="1">IF(ROW(E21)-L$15 &lt; L$14,E21,IF(ROW(E21) - L$15 -L$16 + 1 &lt; L$14,INDIRECT(ADDRESS(MOD(ROW(E21) - L$15, L$14) + L$15, COLUMN(E21))),""))</f>
        <v>CP</v>
      </c>
      <c r="N21" cm="1">
        <f t="array" aca="1" ref="N21" ca="1">IF(H21&lt;&gt;"", SUMPRODUCT((OFFSET(H21,0,0,H$16,1)=$T$24) +0),"")</f>
        <v>0</v>
      </c>
      <c r="O21" cm="1">
        <f t="array" aca="1" ref="O21" ca="1">IF(I21&lt;&gt;"", SUMPRODUCT((OFFSET(I21,0,0,I$16,1)=$T$24) +0),"")</f>
        <v>3</v>
      </c>
      <c r="P21" cm="1">
        <f t="array" aca="1" ref="P21" ca="1">IF(J21&lt;&gt;"", SUMPRODUCT((OFFSET(J21,0,0,J$16,1)=$T$24) +0),"")</f>
        <v>2</v>
      </c>
      <c r="Q21" cm="1">
        <f t="array" aca="1" ref="Q21" ca="1">IF(K21&lt;&gt;"", SUMPRODUCT((OFFSET(K21,0,0,K$16,1)=$T$24) +0),"")</f>
        <v>3</v>
      </c>
      <c r="R21" cm="1">
        <f t="array" aca="1" ref="R21" ca="1">IF(L21&lt;&gt;"", SUMPRODUCT((OFFSET(L21,0,0,L$16,1)=$T$24) +0),"")</f>
        <v>1</v>
      </c>
      <c r="T21" s="5" t="str">
        <f>Summary!B7</f>
        <v>P4</v>
      </c>
      <c r="U21" s="46">
        <f t="shared" si="4"/>
        <v>0</v>
      </c>
      <c r="V21" s="46">
        <f t="shared" si="4"/>
        <v>0</v>
      </c>
      <c r="W21" s="46">
        <f t="shared" si="4"/>
        <v>0</v>
      </c>
      <c r="X21" s="46">
        <f t="shared" si="5"/>
        <v>0</v>
      </c>
      <c r="Y21" s="65">
        <f t="shared" si="5"/>
        <v>0</v>
      </c>
      <c r="Z21" s="109"/>
      <c r="AB21" s="46" t="str">
        <f>T19</f>
        <v>P2</v>
      </c>
      <c r="AC21" s="46">
        <v>5</v>
      </c>
      <c r="AD21" s="46">
        <f t="shared" si="7"/>
        <v>0</v>
      </c>
      <c r="AE21" s="46">
        <f t="shared" si="8"/>
        <v>0</v>
      </c>
      <c r="AF21" s="46">
        <f t="shared" si="9"/>
        <v>0</v>
      </c>
      <c r="AG21" s="46">
        <f t="shared" si="10"/>
        <v>0</v>
      </c>
      <c r="AH21" s="46">
        <f t="shared" si="11"/>
        <v>0</v>
      </c>
      <c r="AI21" s="46">
        <f t="shared" si="15"/>
        <v>0</v>
      </c>
      <c r="AJ21" s="50">
        <f t="shared" si="12"/>
        <v>0</v>
      </c>
      <c r="AK21" s="46" t="e">
        <f t="shared" si="13"/>
        <v>#DIV/0!</v>
      </c>
      <c r="AL21" s="46">
        <f>IFERROR(INDEX(Summary!$C$4:$E$9, MATCH($AB21, Summary!$B$4:$B$9, 0), MATCH($AC21, Summary!$C$3:$E$3, 0)), 0)</f>
        <v>500</v>
      </c>
      <c r="AM21" s="51">
        <f t="shared" si="14"/>
        <v>0</v>
      </c>
      <c r="AN21" s="52">
        <v>4.675518E-2</v>
      </c>
      <c r="AO21" s="53" t="e">
        <f>AM21*(1-#REF!)-AN21</f>
        <v>#REF!</v>
      </c>
    </row>
    <row r="22" spans="1:49" x14ac:dyDescent="0.3">
      <c r="A22" t="str">
        <v>BLANK</v>
      </c>
      <c r="B22" t="str">
        <v>CP</v>
      </c>
      <c r="C22" t="str">
        <v>BLANK</v>
      </c>
      <c r="D22" t="str">
        <v>CP</v>
      </c>
      <c r="E22" t="str">
        <v>BLANK</v>
      </c>
      <c r="H22" t="str" cm="1">
        <f t="array" aca="1" ref="H22" ca="1">IF(ROW(A22)-H$15 &lt; H$14,A22,IF(ROW(A22) - H$15 -H$16 + 1 &lt; H$14,INDIRECT(ADDRESS(MOD(ROW(A22) - H$15, H$14) + H$15, COLUMN(A22))),""))</f>
        <v>BLANK</v>
      </c>
      <c r="I22" t="str" cm="1">
        <f t="array" aca="1" ref="I22" ca="1">IF(ROW(B22)-I$15 &lt; I$14,B22,IF(ROW(B22) - I$15 -I$16 + 1 &lt; I$14,INDIRECT(ADDRESS(MOD(ROW(B22) - I$15, I$14) + I$15, COLUMN(B22))),""))</f>
        <v>CP</v>
      </c>
      <c r="J22" t="str" cm="1">
        <f t="array" aca="1" ref="J22" ca="1">IF(ROW(C22)-J$15 &lt; J$14,C22,IF(ROW(C22) - J$15 -J$16 + 1 &lt; J$14,INDIRECT(ADDRESS(MOD(ROW(C22) - J$15, J$14) + J$15, COLUMN(C22))),""))</f>
        <v>BLANK</v>
      </c>
      <c r="K22" t="str" cm="1">
        <f t="array" aca="1" ref="K22" ca="1">IF(ROW(D22)-K$15 &lt; K$14,D22,IF(ROW(D22) - K$15 -K$16 + 1 &lt; K$14,INDIRECT(ADDRESS(MOD(ROW(D22) - K$15, K$14) + K$15, COLUMN(D22))),""))</f>
        <v>CP</v>
      </c>
      <c r="L22" t="str" cm="1">
        <f t="array" aca="1" ref="L22" ca="1">IF(ROW(E22)-L$15 &lt; L$14,E22,IF(ROW(E22) - L$15 -L$16 + 1 &lt; L$14,INDIRECT(ADDRESS(MOD(ROW(E22) - L$15, L$14) + L$15, COLUMN(E22))),""))</f>
        <v>BLANK</v>
      </c>
      <c r="N22" cm="1">
        <f t="array" aca="1" ref="N22" ca="1">IF(H22&lt;&gt;"", SUMPRODUCT((OFFSET(H22,0,0,H$16,1)=$T$24) +0),"")</f>
        <v>0</v>
      </c>
      <c r="O22" cm="1">
        <f t="array" aca="1" ref="O22" ca="1">IF(I22&lt;&gt;"", SUMPRODUCT((OFFSET(I22,0,0,I$16,1)=$T$24) +0),"")</f>
        <v>3</v>
      </c>
      <c r="P22" cm="1">
        <f t="array" aca="1" ref="P22" ca="1">IF(J22&lt;&gt;"", SUMPRODUCT((OFFSET(J22,0,0,J$16,1)=$T$24) +0),"")</f>
        <v>1</v>
      </c>
      <c r="Q22" cm="1">
        <f t="array" aca="1" ref="Q22" ca="1">IF(K22&lt;&gt;"", SUMPRODUCT((OFFSET(K22,0,0,K$16,1)=$T$24) +0),"")</f>
        <v>3</v>
      </c>
      <c r="R22" cm="1">
        <f t="array" aca="1" ref="R22" ca="1">IF(L22&lt;&gt;"", SUMPRODUCT((OFFSET(L22,0,0,L$16,1)=$T$24) +0),"")</f>
        <v>0</v>
      </c>
      <c r="T22" s="5" t="str">
        <f>Summary!B8</f>
        <v>P5</v>
      </c>
      <c r="U22" s="46">
        <f t="shared" si="4"/>
        <v>0</v>
      </c>
      <c r="V22" s="46">
        <f t="shared" si="4"/>
        <v>0</v>
      </c>
      <c r="W22" s="46">
        <f t="shared" si="4"/>
        <v>0</v>
      </c>
      <c r="X22" s="46">
        <f t="shared" si="5"/>
        <v>0</v>
      </c>
      <c r="Y22" s="65">
        <f t="shared" si="5"/>
        <v>0</v>
      </c>
      <c r="Z22" s="109"/>
      <c r="AB22" s="46" t="str">
        <f>T19</f>
        <v>P2</v>
      </c>
      <c r="AC22" s="46">
        <v>4</v>
      </c>
      <c r="AD22" s="46">
        <f t="shared" si="7"/>
        <v>0</v>
      </c>
      <c r="AE22" s="46">
        <f t="shared" si="8"/>
        <v>0</v>
      </c>
      <c r="AF22" s="46">
        <f t="shared" si="9"/>
        <v>0</v>
      </c>
      <c r="AG22" s="46">
        <f t="shared" si="10"/>
        <v>0</v>
      </c>
      <c r="AH22" s="46">
        <f t="shared" si="11"/>
        <v>49</v>
      </c>
      <c r="AI22" s="46">
        <f t="shared" si="15"/>
        <v>0</v>
      </c>
      <c r="AJ22" s="50">
        <f t="shared" si="12"/>
        <v>0</v>
      </c>
      <c r="AK22" s="46" t="e">
        <f t="shared" si="13"/>
        <v>#DIV/0!</v>
      </c>
      <c r="AL22" s="46">
        <f>IFERROR(INDEX(Summary!$C$4:$E$9, MATCH($AB22, Summary!$B$4:$B$9, 0), MATCH($AC22, Summary!$C$3:$E$3, 0)), 0)</f>
        <v>100</v>
      </c>
      <c r="AM22" s="51">
        <f t="shared" si="14"/>
        <v>0</v>
      </c>
      <c r="AN22" s="52">
        <v>3.0313044000000001E-2</v>
      </c>
      <c r="AO22" s="53" t="e">
        <f>AM22*(1-#REF!)-AN22</f>
        <v>#REF!</v>
      </c>
    </row>
    <row r="23" spans="1:49" x14ac:dyDescent="0.3">
      <c r="A23" t="str">
        <v>BLANK</v>
      </c>
      <c r="B23" t="str">
        <v>CP</v>
      </c>
      <c r="C23" t="str">
        <v>CP</v>
      </c>
      <c r="D23" t="str">
        <v>CP</v>
      </c>
      <c r="E23" t="str">
        <v>BLANK</v>
      </c>
      <c r="H23" t="str" cm="1">
        <f t="array" aca="1" ref="H23" ca="1">IF(ROW(A23)-H$15 &lt; H$14,A23,IF(ROW(A23) - H$15 -H$16 + 1 &lt; H$14,INDIRECT(ADDRESS(MOD(ROW(A23) - H$15, H$14) + H$15, COLUMN(A23))),""))</f>
        <v>BLANK</v>
      </c>
      <c r="I23" t="str" cm="1">
        <f t="array" aca="1" ref="I23" ca="1">IF(ROW(B23)-I$15 &lt; I$14,B23,IF(ROW(B23) - I$15 -I$16 + 1 &lt; I$14,INDIRECT(ADDRESS(MOD(ROW(B23) - I$15, I$14) + I$15, COLUMN(B23))),""))</f>
        <v>CP</v>
      </c>
      <c r="J23" t="str" cm="1">
        <f t="array" aca="1" ref="J23" ca="1">IF(ROW(C23)-J$15 &lt; J$14,C23,IF(ROW(C23) - J$15 -J$16 + 1 &lt; J$14,INDIRECT(ADDRESS(MOD(ROW(C23) - J$15, J$14) + J$15, COLUMN(C23))),""))</f>
        <v>CP</v>
      </c>
      <c r="K23" t="str" cm="1">
        <f t="array" aca="1" ref="K23" ca="1">IF(ROW(D23)-K$15 &lt; K$14,D23,IF(ROW(D23) - K$15 -K$16 + 1 &lt; K$14,INDIRECT(ADDRESS(MOD(ROW(D23) - K$15, K$14) + K$15, COLUMN(D23))),""))</f>
        <v>CP</v>
      </c>
      <c r="L23" t="str" cm="1">
        <f t="array" aca="1" ref="L23" ca="1">IF(ROW(E23)-L$15 &lt; L$14,E23,IF(ROW(E23) - L$15 -L$16 + 1 &lt; L$14,INDIRECT(ADDRESS(MOD(ROW(E23) - L$15, L$14) + L$15, COLUMN(E23))),""))</f>
        <v>BLANK</v>
      </c>
      <c r="N23" cm="1">
        <f t="array" aca="1" ref="N23" ca="1">IF(H23&lt;&gt;"", SUMPRODUCT((OFFSET(H23,0,0,H$16,1)=$T$24) +0),"")</f>
        <v>0</v>
      </c>
      <c r="O23" cm="1">
        <f t="array" aca="1" ref="O23" ca="1">IF(I23&lt;&gt;"", SUMPRODUCT((OFFSET(I23,0,0,I$16,1)=$T$24) +0),"")</f>
        <v>3</v>
      </c>
      <c r="P23" cm="1">
        <f t="array" aca="1" ref="P23" ca="1">IF(J23&lt;&gt;"", SUMPRODUCT((OFFSET(J23,0,0,J$16,1)=$T$24) +0),"")</f>
        <v>2</v>
      </c>
      <c r="Q23" cm="1">
        <f t="array" aca="1" ref="Q23" ca="1">IF(K23&lt;&gt;"", SUMPRODUCT((OFFSET(K23,0,0,K$16,1)=$T$24) +0),"")</f>
        <v>2</v>
      </c>
      <c r="R23" cm="1">
        <f t="array" aca="1" ref="R23" ca="1">IF(L23&lt;&gt;"", SUMPRODUCT((OFFSET(L23,0,0,L$16,1)=$T$24) +0),"")</f>
        <v>0</v>
      </c>
      <c r="T23" s="5" t="str">
        <f>Summary!B9</f>
        <v>P6</v>
      </c>
      <c r="U23" s="46">
        <f t="shared" si="4"/>
        <v>0</v>
      </c>
      <c r="V23" s="46">
        <f t="shared" si="4"/>
        <v>0</v>
      </c>
      <c r="W23" s="46">
        <f t="shared" si="4"/>
        <v>0</v>
      </c>
      <c r="X23" s="46">
        <f t="shared" si="5"/>
        <v>0</v>
      </c>
      <c r="Y23" s="65">
        <f t="shared" si="5"/>
        <v>0</v>
      </c>
      <c r="Z23" s="109"/>
      <c r="AB23" s="46" t="str">
        <f>T19</f>
        <v>P2</v>
      </c>
      <c r="AC23" s="46">
        <v>3</v>
      </c>
      <c r="AD23" s="46">
        <f t="shared" si="7"/>
        <v>0</v>
      </c>
      <c r="AE23" s="46">
        <f t="shared" si="8"/>
        <v>0</v>
      </c>
      <c r="AF23" s="46">
        <f t="shared" si="9"/>
        <v>0</v>
      </c>
      <c r="AG23" s="46">
        <f t="shared" si="10"/>
        <v>59</v>
      </c>
      <c r="AH23" s="46">
        <f t="shared" si="11"/>
        <v>49</v>
      </c>
      <c r="AI23" s="46">
        <f t="shared" si="15"/>
        <v>0</v>
      </c>
      <c r="AJ23" s="50">
        <f t="shared" si="12"/>
        <v>0</v>
      </c>
      <c r="AK23" s="46" t="e">
        <f t="shared" si="13"/>
        <v>#DIV/0!</v>
      </c>
      <c r="AL23" s="46">
        <f>IFERROR(INDEX(Summary!$C$4:$E$9, MATCH($AB23, Summary!$B$4:$B$9, 0), MATCH($AC23, Summary!$C$3:$E$3, 0)), 0)</f>
        <v>20</v>
      </c>
      <c r="AM23" s="51">
        <f t="shared" si="14"/>
        <v>0</v>
      </c>
      <c r="AN23" s="52">
        <v>2.0205734E-2</v>
      </c>
      <c r="AO23" s="53" t="e">
        <f>AM23*(1-#REF!)-AN23</f>
        <v>#REF!</v>
      </c>
    </row>
    <row r="24" spans="1:49" x14ac:dyDescent="0.3">
      <c r="A24" t="str">
        <v>BLANK</v>
      </c>
      <c r="B24" t="str">
        <v>CP</v>
      </c>
      <c r="C24" t="str">
        <v>BLANK</v>
      </c>
      <c r="D24" t="str">
        <v>CP</v>
      </c>
      <c r="E24" t="str">
        <v>BLANK</v>
      </c>
      <c r="H24" t="str" cm="1">
        <f t="array" aca="1" ref="H24" ca="1">IF(ROW(A24)-H$15 &lt; H$14,A24,IF(ROW(A24) - H$15 -H$16 + 1 &lt; H$14,INDIRECT(ADDRESS(MOD(ROW(A24) - H$15, H$14) + H$15, COLUMN(A24))),""))</f>
        <v>BLANK</v>
      </c>
      <c r="I24" t="str" cm="1">
        <f t="array" aca="1" ref="I24" ca="1">IF(ROW(B24)-I$15 &lt; I$14,B24,IF(ROW(B24) - I$15 -I$16 + 1 &lt; I$14,INDIRECT(ADDRESS(MOD(ROW(B24) - I$15, I$14) + I$15, COLUMN(B24))),""))</f>
        <v>CP</v>
      </c>
      <c r="J24" t="str" cm="1">
        <f t="array" aca="1" ref="J24" ca="1">IF(ROW(C24)-J$15 &lt; J$14,C24,IF(ROW(C24) - J$15 -J$16 + 1 &lt; J$14,INDIRECT(ADDRESS(MOD(ROW(C24) - J$15, J$14) + J$15, COLUMN(C24))),""))</f>
        <v>BLANK</v>
      </c>
      <c r="K24" t="str" cm="1">
        <f t="array" aca="1" ref="K24" ca="1">IF(ROW(D24)-K$15 &lt; K$14,D24,IF(ROW(D24) - K$15 -K$16 + 1 &lt; K$14,INDIRECT(ADDRESS(MOD(ROW(D24) - K$15, K$14) + K$15, COLUMN(D24))),""))</f>
        <v>CP</v>
      </c>
      <c r="L24" t="str" cm="1">
        <f t="array" aca="1" ref="L24" ca="1">IF(ROW(E24)-L$15 &lt; L$14,E24,IF(ROW(E24) - L$15 -L$16 + 1 &lt; L$14,INDIRECT(ADDRESS(MOD(ROW(E24) - L$15, L$14) + L$15, COLUMN(E24))),""))</f>
        <v>BLANK</v>
      </c>
      <c r="N24" cm="1">
        <f t="array" aca="1" ref="N24" ca="1">IF(H24&lt;&gt;"", SUMPRODUCT((OFFSET(H24,0,0,H$16,1)=$T$24) +0),"")</f>
        <v>1</v>
      </c>
      <c r="O24" cm="1">
        <f t="array" aca="1" ref="O24" ca="1">IF(I24&lt;&gt;"", SUMPRODUCT((OFFSET(I24,0,0,I$16,1)=$T$24) +0),"")</f>
        <v>2</v>
      </c>
      <c r="P24" cm="1">
        <f t="array" aca="1" ref="P24" ca="1">IF(J24&lt;&gt;"", SUMPRODUCT((OFFSET(J24,0,0,J$16,1)=$T$24) +0),"")</f>
        <v>1</v>
      </c>
      <c r="Q24" cm="1">
        <f t="array" aca="1" ref="Q24" ca="1">IF(K24&lt;&gt;"", SUMPRODUCT((OFFSET(K24,0,0,K$16,1)=$T$24) +0),"")</f>
        <v>1</v>
      </c>
      <c r="R24" cm="1">
        <f t="array" aca="1" ref="R24" ca="1">IF(L24&lt;&gt;"", SUMPRODUCT((OFFSET(L24,0,0,L$16,1)=$T$24) +0),"")</f>
        <v>0</v>
      </c>
      <c r="T24" s="5" t="str">
        <f>Summary!B10</f>
        <v>CP</v>
      </c>
      <c r="U24" s="46">
        <f t="shared" si="4"/>
        <v>13</v>
      </c>
      <c r="V24" s="46">
        <f t="shared" si="4"/>
        <v>23</v>
      </c>
      <c r="W24" s="46">
        <f t="shared" si="4"/>
        <v>15</v>
      </c>
      <c r="X24" s="46">
        <f t="shared" si="5"/>
        <v>25</v>
      </c>
      <c r="Y24" s="65">
        <f t="shared" si="5"/>
        <v>16</v>
      </c>
      <c r="Z24" s="109"/>
      <c r="AB24" s="46" t="str">
        <f>T20</f>
        <v>P3</v>
      </c>
      <c r="AC24" s="46">
        <v>5</v>
      </c>
      <c r="AD24" s="46">
        <f t="shared" si="7"/>
        <v>0</v>
      </c>
      <c r="AE24" s="46">
        <f t="shared" si="8"/>
        <v>0</v>
      </c>
      <c r="AF24" s="46">
        <f t="shared" si="9"/>
        <v>0</v>
      </c>
      <c r="AG24" s="46">
        <f t="shared" si="10"/>
        <v>0</v>
      </c>
      <c r="AH24" s="46">
        <f t="shared" si="11"/>
        <v>0</v>
      </c>
      <c r="AI24" s="46">
        <f t="shared" si="15"/>
        <v>0</v>
      </c>
      <c r="AJ24" s="50">
        <f t="shared" si="12"/>
        <v>0</v>
      </c>
      <c r="AK24" s="46" t="e">
        <f t="shared" si="13"/>
        <v>#DIV/0!</v>
      </c>
      <c r="AL24" s="46">
        <f>IFERROR(INDEX(Summary!$C$4:$E$9, MATCH($AB24, Summary!$B$4:$B$9, 0), MATCH($AC24, Summary!$C$3:$E$3, 0)), 0)</f>
        <v>250</v>
      </c>
      <c r="AM24" s="51">
        <f t="shared" si="14"/>
        <v>0</v>
      </c>
      <c r="AN24" s="52">
        <v>2.36712E-2</v>
      </c>
      <c r="AO24" s="53" t="e">
        <f>AM24*(1-#REF!)-AN24</f>
        <v>#REF!</v>
      </c>
    </row>
    <row r="25" spans="1:49" x14ac:dyDescent="0.3">
      <c r="A25" t="str">
        <v>BLANK</v>
      </c>
      <c r="B25" t="str">
        <v>CP</v>
      </c>
      <c r="C25" t="str">
        <v>CP</v>
      </c>
      <c r="D25" t="str">
        <v>BLANK</v>
      </c>
      <c r="E25" t="str">
        <v>BLANK</v>
      </c>
      <c r="H25" t="str" cm="1">
        <f t="array" aca="1" ref="H25" ca="1">IF(ROW(A25)-H$15 &lt; H$14,A25,IF(ROW(A25) - H$15 -H$16 + 1 &lt; H$14,INDIRECT(ADDRESS(MOD(ROW(A25) - H$15, H$14) + H$15, COLUMN(A25))),""))</f>
        <v>BLANK</v>
      </c>
      <c r="I25" t="str" cm="1">
        <f t="array" aca="1" ref="I25" ca="1">IF(ROW(B25)-I$15 &lt; I$14,B25,IF(ROW(B25) - I$15 -I$16 + 1 &lt; I$14,INDIRECT(ADDRESS(MOD(ROW(B25) - I$15, I$14) + I$15, COLUMN(B25))),""))</f>
        <v>CP</v>
      </c>
      <c r="J25" t="str" cm="1">
        <f t="array" aca="1" ref="J25" ca="1">IF(ROW(C25)-J$15 &lt; J$14,C25,IF(ROW(C25) - J$15 -J$16 + 1 &lt; J$14,INDIRECT(ADDRESS(MOD(ROW(C25) - J$15, J$14) + J$15, COLUMN(C25))),""))</f>
        <v>CP</v>
      </c>
      <c r="K25" t="str" cm="1">
        <f t="array" aca="1" ref="K25" ca="1">IF(ROW(D25)-K$15 &lt; K$14,D25,IF(ROW(D25) - K$15 -K$16 + 1 &lt; K$14,INDIRECT(ADDRESS(MOD(ROW(D25) - K$15, K$14) + K$15, COLUMN(D25))),""))</f>
        <v>BLANK</v>
      </c>
      <c r="L25" t="str" cm="1">
        <f t="array" aca="1" ref="L25" ca="1">IF(ROW(E25)-L$15 &lt; L$14,E25,IF(ROW(E25) - L$15 -L$16 + 1 &lt; L$14,INDIRECT(ADDRESS(MOD(ROW(E25) - L$15, L$14) + L$15, COLUMN(E25))),""))</f>
        <v>BLANK</v>
      </c>
      <c r="N25" cm="1">
        <f t="array" aca="1" ref="N25" ca="1">IF(H25&lt;&gt;"", SUMPRODUCT((OFFSET(H25,0,0,H$16,1)=$T$24) +0),"")</f>
        <v>1</v>
      </c>
      <c r="O25" cm="1">
        <f t="array" aca="1" ref="O25" ca="1">IF(I25&lt;&gt;"", SUMPRODUCT((OFFSET(I25,0,0,I$16,1)=$T$24) +0),"")</f>
        <v>1</v>
      </c>
      <c r="P25" cm="1">
        <f t="array" aca="1" ref="P25" ca="1">IF(J25&lt;&gt;"", SUMPRODUCT((OFFSET(J25,0,0,J$16,1)=$T$24) +0),"")</f>
        <v>1</v>
      </c>
      <c r="Q25" cm="1">
        <f t="array" aca="1" ref="Q25" ca="1">IF(K25&lt;&gt;"", SUMPRODUCT((OFFSET(K25,0,0,K$16,1)=$T$24) +0),"")</f>
        <v>0</v>
      </c>
      <c r="R25" cm="1">
        <f t="array" aca="1" ref="R25" ca="1">IF(L25&lt;&gt;"", SUMPRODUCT((OFFSET(L25,0,0,L$16,1)=$T$24) +0),"")</f>
        <v>1</v>
      </c>
      <c r="T25" s="5" t="s">
        <v>12</v>
      </c>
      <c r="U25" s="46">
        <f t="shared" ref="U25:W27" si="16">COUNTIF(A$18:A$254,$T25)</f>
        <v>0</v>
      </c>
      <c r="V25" s="46">
        <f t="shared" si="16"/>
        <v>0</v>
      </c>
      <c r="W25" s="46">
        <f t="shared" si="16"/>
        <v>0</v>
      </c>
      <c r="X25" s="46">
        <f t="shared" si="5"/>
        <v>0</v>
      </c>
      <c r="Y25" s="65">
        <f t="shared" si="5"/>
        <v>0</v>
      </c>
      <c r="Z25" s="109"/>
      <c r="AB25" s="46" t="str">
        <f>T20</f>
        <v>P3</v>
      </c>
      <c r="AC25" s="46">
        <v>4</v>
      </c>
      <c r="AD25" s="46">
        <f t="shared" si="7"/>
        <v>0</v>
      </c>
      <c r="AE25" s="46">
        <f t="shared" si="8"/>
        <v>0</v>
      </c>
      <c r="AF25" s="46">
        <f t="shared" si="9"/>
        <v>0</v>
      </c>
      <c r="AG25" s="46">
        <f t="shared" si="10"/>
        <v>0</v>
      </c>
      <c r="AH25" s="46">
        <f t="shared" si="11"/>
        <v>49</v>
      </c>
      <c r="AI25" s="46">
        <f t="shared" si="15"/>
        <v>0</v>
      </c>
      <c r="AJ25" s="50">
        <f t="shared" si="12"/>
        <v>0</v>
      </c>
      <c r="AK25" s="46" t="e">
        <f t="shared" si="13"/>
        <v>#DIV/0!</v>
      </c>
      <c r="AL25" s="46">
        <f>IFERROR(INDEX(Summary!$C$4:$E$9, MATCH($AB25, Summary!$B$4:$B$9, 0), MATCH($AC25, Summary!$C$3:$E$3, 0)), 0)</f>
        <v>50</v>
      </c>
      <c r="AM25" s="51">
        <f t="shared" si="14"/>
        <v>0</v>
      </c>
      <c r="AN25" s="46"/>
      <c r="AO25" s="46"/>
    </row>
    <row r="26" spans="1:49" x14ac:dyDescent="0.3">
      <c r="A26" t="str">
        <v>CP</v>
      </c>
      <c r="B26" t="str">
        <v>BLANK</v>
      </c>
      <c r="C26" t="str">
        <v>BLANK</v>
      </c>
      <c r="D26" t="str">
        <v>BLANK</v>
      </c>
      <c r="E26" t="str">
        <v>BLANK</v>
      </c>
      <c r="H26" t="str" cm="1">
        <f t="array" aca="1" ref="H26" ca="1">IF(ROW(A26)-H$15 &lt; H$14,A26,IF(ROW(A26) - H$15 -H$16 + 1 &lt; H$14,INDIRECT(ADDRESS(MOD(ROW(A26) - H$15, H$14) + H$15, COLUMN(A26))),""))</f>
        <v>CP</v>
      </c>
      <c r="I26" t="str" cm="1">
        <f t="array" aca="1" ref="I26" ca="1">IF(ROW(B26)-I$15 &lt; I$14,B26,IF(ROW(B26) - I$15 -I$16 + 1 &lt; I$14,INDIRECT(ADDRESS(MOD(ROW(B26) - I$15, I$14) + I$15, COLUMN(B26))),""))</f>
        <v>BLANK</v>
      </c>
      <c r="J26" t="str" cm="1">
        <f t="array" aca="1" ref="J26" ca="1">IF(ROW(C26)-J$15 &lt; J$14,C26,IF(ROW(C26) - J$15 -J$16 + 1 &lt; J$14,INDIRECT(ADDRESS(MOD(ROW(C26) - J$15, J$14) + J$15, COLUMN(C26))),""))</f>
        <v>BLANK</v>
      </c>
      <c r="K26" t="str" cm="1">
        <f t="array" aca="1" ref="K26" ca="1">IF(ROW(D26)-K$15 &lt; K$14,D26,IF(ROW(D26) - K$15 -K$16 + 1 &lt; K$14,INDIRECT(ADDRESS(MOD(ROW(D26) - K$15, K$14) + K$15, COLUMN(D26))),""))</f>
        <v>BLANK</v>
      </c>
      <c r="L26" t="str" cm="1">
        <f t="array" aca="1" ref="L26" ca="1">IF(ROW(E26)-L$15 &lt; L$14,E26,IF(ROW(E26) - L$15 -L$16 + 1 &lt; L$14,INDIRECT(ADDRESS(MOD(ROW(E26) - L$15, L$14) + L$15, COLUMN(E26))),""))</f>
        <v>BLANK</v>
      </c>
      <c r="N26" cm="1">
        <f t="array" aca="1" ref="N26" ca="1">IF(H26&lt;&gt;"", SUMPRODUCT((OFFSET(H26,0,0,H$16,1)=$T$24) +0),"")</f>
        <v>1</v>
      </c>
      <c r="O26" cm="1">
        <f t="array" aca="1" ref="O26" ca="1">IF(I26&lt;&gt;"", SUMPRODUCT((OFFSET(I26,0,0,I$16,1)=$T$24) +0),"")</f>
        <v>0</v>
      </c>
      <c r="P26" cm="1">
        <f t="array" aca="1" ref="P26" ca="1">IF(J26&lt;&gt;"", SUMPRODUCT((OFFSET(J26,0,0,J$16,1)=$T$24) +0),"")</f>
        <v>0</v>
      </c>
      <c r="Q26" cm="1">
        <f t="array" aca="1" ref="Q26" ca="1">IF(K26&lt;&gt;"", SUMPRODUCT((OFFSET(K26,0,0,K$16,1)=$T$24) +0),"")</f>
        <v>0</v>
      </c>
      <c r="R26" cm="1">
        <f t="array" aca="1" ref="R26" ca="1">IF(L26&lt;&gt;"", SUMPRODUCT((OFFSET(L26,0,0,L$16,1)=$T$24) +0),"")</f>
        <v>2</v>
      </c>
      <c r="T26" s="5" t="str">
        <f>Summary!B12</f>
        <v>SCAT</v>
      </c>
      <c r="U26" s="46">
        <f t="shared" si="16"/>
        <v>0</v>
      </c>
      <c r="V26" s="46">
        <f t="shared" ref="V26:V27" si="17">COUNTIF(B$18:B$254,$T26)</f>
        <v>0</v>
      </c>
      <c r="W26" s="46">
        <f t="shared" ref="W26:W27" si="18">COUNTIF(C$18:C$254,$T26)</f>
        <v>0</v>
      </c>
      <c r="X26" s="46">
        <f t="shared" si="5"/>
        <v>0</v>
      </c>
      <c r="Y26" s="65">
        <f t="shared" si="5"/>
        <v>0</v>
      </c>
      <c r="Z26" s="109"/>
      <c r="AB26" s="46" t="str">
        <f>T20</f>
        <v>P3</v>
      </c>
      <c r="AC26" s="46">
        <v>3</v>
      </c>
      <c r="AD26" s="46">
        <f t="shared" si="7"/>
        <v>0</v>
      </c>
      <c r="AE26" s="46">
        <f t="shared" si="8"/>
        <v>0</v>
      </c>
      <c r="AF26" s="46">
        <f t="shared" si="9"/>
        <v>0</v>
      </c>
      <c r="AG26" s="46">
        <f t="shared" si="10"/>
        <v>59</v>
      </c>
      <c r="AH26" s="46">
        <f t="shared" si="11"/>
        <v>49</v>
      </c>
      <c r="AI26" s="46">
        <f t="shared" si="15"/>
        <v>0</v>
      </c>
      <c r="AJ26" s="50">
        <f t="shared" si="12"/>
        <v>0</v>
      </c>
      <c r="AK26" s="46" t="e">
        <f t="shared" si="13"/>
        <v>#DIV/0!</v>
      </c>
      <c r="AL26" s="46">
        <f>IFERROR(INDEX(Summary!$C$4:$E$9, MATCH($AB26, Summary!$B$4:$B$9, 0), MATCH($AC26, Summary!$C$3:$E$3, 0)), 0)</f>
        <v>10</v>
      </c>
      <c r="AM26" s="51">
        <f t="shared" si="14"/>
        <v>0</v>
      </c>
      <c r="AN26" s="46"/>
      <c r="AO26" s="46"/>
    </row>
    <row r="27" spans="1:49" x14ac:dyDescent="0.3">
      <c r="A27" t="str">
        <v>BLANK</v>
      </c>
      <c r="B27" t="str">
        <v>BLANK</v>
      </c>
      <c r="C27" t="str">
        <v>BLANK</v>
      </c>
      <c r="D27" t="str">
        <v>BLANK</v>
      </c>
      <c r="E27" t="str">
        <v>CP</v>
      </c>
      <c r="H27" t="str" cm="1">
        <f t="array" aca="1" ref="H27" ca="1">IF(ROW(A27)-H$15 &lt; H$14,A27,IF(ROW(A27) - H$15 -H$16 + 1 &lt; H$14,INDIRECT(ADDRESS(MOD(ROW(A27) - H$15, H$14) + H$15, COLUMN(A27))),""))</f>
        <v>BLANK</v>
      </c>
      <c r="I27" t="str" cm="1">
        <f t="array" aca="1" ref="I27" ca="1">IF(ROW(B27)-I$15 &lt; I$14,B27,IF(ROW(B27) - I$15 -I$16 + 1 &lt; I$14,INDIRECT(ADDRESS(MOD(ROW(B27) - I$15, I$14) + I$15, COLUMN(B27))),""))</f>
        <v>BLANK</v>
      </c>
      <c r="J27" t="str" cm="1">
        <f t="array" aca="1" ref="J27" ca="1">IF(ROW(C27)-J$15 &lt; J$14,C27,IF(ROW(C27) - J$15 -J$16 + 1 &lt; J$14,INDIRECT(ADDRESS(MOD(ROW(C27) - J$15, J$14) + J$15, COLUMN(C27))),""))</f>
        <v>BLANK</v>
      </c>
      <c r="K27" t="str" cm="1">
        <f t="array" aca="1" ref="K27" ca="1">IF(ROW(D27)-K$15 &lt; K$14,D27,IF(ROW(D27) - K$15 -K$16 + 1 &lt; K$14,INDIRECT(ADDRESS(MOD(ROW(D27) - K$15, K$14) + K$15, COLUMN(D27))),""))</f>
        <v>BLANK</v>
      </c>
      <c r="L27" t="str" cm="1">
        <f t="array" aca="1" ref="L27" ca="1">IF(ROW(E27)-L$15 &lt; L$14,E27,IF(ROW(E27) - L$15 -L$16 + 1 &lt; L$14,INDIRECT(ADDRESS(MOD(ROW(E27) - L$15, L$14) + L$15, COLUMN(E27))),""))</f>
        <v>CP</v>
      </c>
      <c r="N27" cm="1">
        <f t="array" aca="1" ref="N27" ca="1">IF(H27&lt;&gt;"", SUMPRODUCT((OFFSET(H27,0,0,H$16,1)=$T$24) +0),"")</f>
        <v>1</v>
      </c>
      <c r="O27" cm="1">
        <f t="array" aca="1" ref="O27" ca="1">IF(I27&lt;&gt;"", SUMPRODUCT((OFFSET(I27,0,0,I$16,1)=$T$24) +0),"")</f>
        <v>0</v>
      </c>
      <c r="P27" cm="1">
        <f t="array" aca="1" ref="P27" ca="1">IF(J27&lt;&gt;"", SUMPRODUCT((OFFSET(J27,0,0,J$16,1)=$T$24) +0),"")</f>
        <v>0</v>
      </c>
      <c r="Q27" cm="1">
        <f t="array" aca="1" ref="Q27" ca="1">IF(K27&lt;&gt;"", SUMPRODUCT((OFFSET(K27,0,0,K$16,1)=$T$24) +0),"")</f>
        <v>1</v>
      </c>
      <c r="R27" cm="1">
        <f t="array" aca="1" ref="R27" ca="1">IF(L27&lt;&gt;"", SUMPRODUCT((OFFSET(L27,0,0,L$16,1)=$T$24) +0),"")</f>
        <v>2</v>
      </c>
      <c r="T27" t="s">
        <v>92</v>
      </c>
      <c r="U27" s="46">
        <f t="shared" si="16"/>
        <v>34</v>
      </c>
      <c r="V27" s="46">
        <f t="shared" si="17"/>
        <v>34</v>
      </c>
      <c r="W27" s="46">
        <f t="shared" si="18"/>
        <v>33</v>
      </c>
      <c r="X27" s="46">
        <f t="shared" si="5"/>
        <v>34</v>
      </c>
      <c r="Y27" s="65">
        <f t="shared" si="5"/>
        <v>33</v>
      </c>
      <c r="Z27" s="109"/>
      <c r="AB27" s="46" t="str">
        <f>T21</f>
        <v>P4</v>
      </c>
      <c r="AC27" s="46">
        <v>5</v>
      </c>
      <c r="AD27" s="46">
        <f t="shared" si="7"/>
        <v>0</v>
      </c>
      <c r="AE27" s="46">
        <f t="shared" si="8"/>
        <v>0</v>
      </c>
      <c r="AF27" s="46">
        <f t="shared" si="9"/>
        <v>0</v>
      </c>
      <c r="AG27" s="46">
        <f t="shared" si="10"/>
        <v>0</v>
      </c>
      <c r="AH27" s="46">
        <f t="shared" si="11"/>
        <v>0</v>
      </c>
      <c r="AI27" s="46">
        <f t="shared" si="15"/>
        <v>0</v>
      </c>
      <c r="AJ27" s="50">
        <f t="shared" si="12"/>
        <v>0</v>
      </c>
      <c r="AK27" s="46" t="e">
        <f t="shared" si="13"/>
        <v>#DIV/0!</v>
      </c>
      <c r="AL27" s="46">
        <f>IFERROR(INDEX(Summary!$C$4:$E$9, MATCH($AB27, Summary!$B$4:$B$9, 0), MATCH($AC27, Summary!$C$3:$E$3, 0)), 0)</f>
        <v>100</v>
      </c>
      <c r="AM27" s="51">
        <f t="shared" si="14"/>
        <v>0</v>
      </c>
      <c r="AN27" s="46"/>
      <c r="AO27" s="46"/>
    </row>
    <row r="28" spans="1:49" x14ac:dyDescent="0.3">
      <c r="A28" t="str">
        <v>BLANK</v>
      </c>
      <c r="B28" t="str">
        <v>BLANK</v>
      </c>
      <c r="C28" t="str">
        <v>BLANK</v>
      </c>
      <c r="D28" t="str">
        <v>BLANK</v>
      </c>
      <c r="E28" t="str">
        <v>CP</v>
      </c>
      <c r="H28" t="str" cm="1">
        <f t="array" aca="1" ref="H28" ca="1">IF(ROW(A28)-H$15 &lt; H$14,A28,IF(ROW(A28) - H$15 -H$16 + 1 &lt; H$14,INDIRECT(ADDRESS(MOD(ROW(A28) - H$15, H$14) + H$15, COLUMN(A28))),""))</f>
        <v>BLANK</v>
      </c>
      <c r="I28" t="str" cm="1">
        <f t="array" aca="1" ref="I28" ca="1">IF(ROW(B28)-I$15 &lt; I$14,B28,IF(ROW(B28) - I$15 -I$16 + 1 &lt; I$14,INDIRECT(ADDRESS(MOD(ROW(B28) - I$15, I$14) + I$15, COLUMN(B28))),""))</f>
        <v>BLANK</v>
      </c>
      <c r="J28" t="str" cm="1">
        <f t="array" aca="1" ref="J28" ca="1">IF(ROW(C28)-J$15 &lt; J$14,C28,IF(ROW(C28) - J$15 -J$16 + 1 &lt; J$14,INDIRECT(ADDRESS(MOD(ROW(C28) - J$15, J$14) + J$15, COLUMN(C28))),""))</f>
        <v>BLANK</v>
      </c>
      <c r="K28" t="str" cm="1">
        <f t="array" aca="1" ref="K28" ca="1">IF(ROW(D28)-K$15 &lt; K$14,D28,IF(ROW(D28) - K$15 -K$16 + 1 &lt; K$14,INDIRECT(ADDRESS(MOD(ROW(D28) - K$15, K$14) + K$15, COLUMN(D28))),""))</f>
        <v>BLANK</v>
      </c>
      <c r="L28" t="str" cm="1">
        <f t="array" aca="1" ref="L28" ca="1">IF(ROW(E28)-L$15 &lt; L$14,E28,IF(ROW(E28) - L$15 -L$16 + 1 &lt; L$14,INDIRECT(ADDRESS(MOD(ROW(E28) - L$15, L$14) + L$15, COLUMN(E28))),""))</f>
        <v>CP</v>
      </c>
      <c r="N28" cm="1">
        <f t="array" aca="1" ref="N28" ca="1">IF(H28&lt;&gt;"", SUMPRODUCT((OFFSET(H28,0,0,H$16,1)=$T$24) +0),"")</f>
        <v>1</v>
      </c>
      <c r="O28" cm="1">
        <f t="array" aca="1" ref="O28" ca="1">IF(I28&lt;&gt;"", SUMPRODUCT((OFFSET(I28,0,0,I$16,1)=$T$24) +0),"")</f>
        <v>1</v>
      </c>
      <c r="P28" cm="1">
        <f t="array" aca="1" ref="P28" ca="1">IF(J28&lt;&gt;"", SUMPRODUCT((OFFSET(J28,0,0,J$16,1)=$T$24) +0),"")</f>
        <v>0</v>
      </c>
      <c r="Q28" cm="1">
        <f t="array" aca="1" ref="Q28" ca="1">IF(K28&lt;&gt;"", SUMPRODUCT((OFFSET(K28,0,0,K$16,1)=$T$24) +0),"")</f>
        <v>2</v>
      </c>
      <c r="R28" cm="1">
        <f t="array" aca="1" ref="R28" ca="1">IF(L28&lt;&gt;"", SUMPRODUCT((OFFSET(L28,0,0,L$16,1)=$T$24) +0),"")</f>
        <v>2</v>
      </c>
      <c r="T28" s="1" t="s">
        <v>39</v>
      </c>
      <c r="U28" s="9">
        <f>SUM(U18:U27)</f>
        <v>47</v>
      </c>
      <c r="V28" s="9">
        <f>SUM(V18:V27)</f>
        <v>57</v>
      </c>
      <c r="W28" s="9">
        <f>SUM(W18:W27)</f>
        <v>48</v>
      </c>
      <c r="X28" s="9">
        <f>SUM(X18:X27)</f>
        <v>59</v>
      </c>
      <c r="Y28" s="7">
        <f>SUM(Y18:Y27)</f>
        <v>49</v>
      </c>
      <c r="Z28" s="109"/>
      <c r="AB28" s="46" t="str">
        <f>T21</f>
        <v>P4</v>
      </c>
      <c r="AC28" s="46">
        <v>4</v>
      </c>
      <c r="AD28" s="46">
        <f t="shared" si="7"/>
        <v>0</v>
      </c>
      <c r="AE28" s="46">
        <f t="shared" si="8"/>
        <v>0</v>
      </c>
      <c r="AF28" s="46">
        <f t="shared" si="9"/>
        <v>0</v>
      </c>
      <c r="AG28" s="46">
        <f t="shared" si="10"/>
        <v>0</v>
      </c>
      <c r="AH28" s="46">
        <f t="shared" si="11"/>
        <v>49</v>
      </c>
      <c r="AI28" s="46">
        <f t="shared" si="15"/>
        <v>0</v>
      </c>
      <c r="AJ28" s="50">
        <f t="shared" si="12"/>
        <v>0</v>
      </c>
      <c r="AK28" s="46" t="e">
        <f t="shared" si="13"/>
        <v>#DIV/0!</v>
      </c>
      <c r="AL28" s="46">
        <f>IFERROR(INDEX(Summary!$C$4:$E$9, MATCH($AB28, Summary!$B$4:$B$9, 0), MATCH($AC28, Summary!$C$3:$E$3, 0)), 0)</f>
        <v>25</v>
      </c>
      <c r="AM28" s="51">
        <f t="shared" si="14"/>
        <v>0</v>
      </c>
      <c r="AN28" s="46"/>
      <c r="AO28" s="46"/>
    </row>
    <row r="29" spans="1:49" x14ac:dyDescent="0.3">
      <c r="A29" t="str">
        <v>CP</v>
      </c>
      <c r="B29" t="str">
        <v>BLANK</v>
      </c>
      <c r="C29" t="str">
        <v>BLANK</v>
      </c>
      <c r="D29" t="str">
        <v>CP</v>
      </c>
      <c r="E29" t="str">
        <v>BLANK</v>
      </c>
      <c r="H29" t="str" cm="1">
        <f t="array" aca="1" ref="H29" ca="1">IF(ROW(A29)-H$15 &lt; H$14,A29,IF(ROW(A29) - H$15 -H$16 + 1 &lt; H$14,INDIRECT(ADDRESS(MOD(ROW(A29) - H$15, H$14) + H$15, COLUMN(A29))),""))</f>
        <v>CP</v>
      </c>
      <c r="I29" t="str" cm="1">
        <f t="array" aca="1" ref="I29" ca="1">IF(ROW(B29)-I$15 &lt; I$14,B29,IF(ROW(B29) - I$15 -I$16 + 1 &lt; I$14,INDIRECT(ADDRESS(MOD(ROW(B29) - I$15, I$14) + I$15, COLUMN(B29))),""))</f>
        <v>BLANK</v>
      </c>
      <c r="J29" t="str" cm="1">
        <f t="array" aca="1" ref="J29" ca="1">IF(ROW(C29)-J$15 &lt; J$14,C29,IF(ROW(C29) - J$15 -J$16 + 1 &lt; J$14,INDIRECT(ADDRESS(MOD(ROW(C29) - J$15, J$14) + J$15, COLUMN(C29))),""))</f>
        <v>BLANK</v>
      </c>
      <c r="K29" t="str" cm="1">
        <f t="array" aca="1" ref="K29" ca="1">IF(ROW(D29)-K$15 &lt; K$14,D29,IF(ROW(D29) - K$15 -K$16 + 1 &lt; K$14,INDIRECT(ADDRESS(MOD(ROW(D29) - K$15, K$14) + K$15, COLUMN(D29))),""))</f>
        <v>CP</v>
      </c>
      <c r="L29" t="str" cm="1">
        <f t="array" aca="1" ref="L29" ca="1">IF(ROW(E29)-L$15 &lt; L$14,E29,IF(ROW(E29) - L$15 -L$16 + 1 &lt; L$14,INDIRECT(ADDRESS(MOD(ROW(E29) - L$15, L$14) + L$15, COLUMN(E29))),""))</f>
        <v>BLANK</v>
      </c>
      <c r="N29" cm="1">
        <f t="array" aca="1" ref="N29" ca="1">IF(H29&lt;&gt;"", SUMPRODUCT((OFFSET(H29,0,0,H$16,1)=$T$24) +0),"")</f>
        <v>1</v>
      </c>
      <c r="O29" cm="1">
        <f t="array" aca="1" ref="O29" ca="1">IF(I29&lt;&gt;"", SUMPRODUCT((OFFSET(I29,0,0,I$16,1)=$T$24) +0),"")</f>
        <v>2</v>
      </c>
      <c r="P29" cm="1">
        <f t="array" aca="1" ref="P29" ca="1">IF(J29&lt;&gt;"", SUMPRODUCT((OFFSET(J29,0,0,J$16,1)=$T$24) +0),"")</f>
        <v>1</v>
      </c>
      <c r="Q29" cm="1">
        <f t="array" aca="1" ref="Q29" ca="1">IF(K29&lt;&gt;"", SUMPRODUCT((OFFSET(K29,0,0,K$16,1)=$T$24) +0),"")</f>
        <v>3</v>
      </c>
      <c r="R29" cm="1">
        <f t="array" aca="1" ref="R29" ca="1">IF(L29&lt;&gt;"", SUMPRODUCT((OFFSET(L29,0,0,L$16,1)=$T$24) +0),"")</f>
        <v>2</v>
      </c>
      <c r="T29" s="19" t="s">
        <v>45</v>
      </c>
      <c r="U29" s="78">
        <f>PRODUCT(U28:Z28)</f>
        <v>371759472</v>
      </c>
      <c r="V29" s="79"/>
      <c r="W29" s="79"/>
      <c r="X29" s="79"/>
      <c r="Y29" s="79"/>
      <c r="Z29" s="108"/>
      <c r="AB29" s="46" t="str">
        <f>T21</f>
        <v>P4</v>
      </c>
      <c r="AC29" s="46">
        <v>3</v>
      </c>
      <c r="AD29" s="46">
        <f t="shared" si="7"/>
        <v>0</v>
      </c>
      <c r="AE29" s="46">
        <f t="shared" si="8"/>
        <v>0</v>
      </c>
      <c r="AF29" s="46">
        <f t="shared" si="9"/>
        <v>0</v>
      </c>
      <c r="AG29" s="46">
        <f t="shared" si="10"/>
        <v>59</v>
      </c>
      <c r="AH29" s="46">
        <f t="shared" si="11"/>
        <v>49</v>
      </c>
      <c r="AI29" s="46">
        <f t="shared" si="15"/>
        <v>0</v>
      </c>
      <c r="AJ29" s="50">
        <f t="shared" si="12"/>
        <v>0</v>
      </c>
      <c r="AK29" s="46" t="e">
        <f t="shared" si="13"/>
        <v>#DIV/0!</v>
      </c>
      <c r="AL29" s="46">
        <f>IFERROR(INDEX(Summary!$C$4:$E$9, MATCH($AB29, Summary!$B$4:$B$9, 0), MATCH($AC29, Summary!$C$3:$E$3, 0)), 0)</f>
        <v>5</v>
      </c>
      <c r="AM29" s="51">
        <f t="shared" si="14"/>
        <v>0</v>
      </c>
      <c r="AN29" s="46"/>
      <c r="AO29" s="46"/>
    </row>
    <row r="30" spans="1:49" x14ac:dyDescent="0.3">
      <c r="A30" t="str">
        <v>BLANK</v>
      </c>
      <c r="B30" t="str">
        <v>CP</v>
      </c>
      <c r="C30" t="str">
        <v>BLANK</v>
      </c>
      <c r="D30" t="str">
        <v>CP</v>
      </c>
      <c r="E30" t="str">
        <v>CP</v>
      </c>
      <c r="H30" t="str" cm="1">
        <f t="array" aca="1" ref="H30" ca="1">IF(ROW(A30)-H$15 &lt; H$14,A30,IF(ROW(A30) - H$15 -H$16 + 1 &lt; H$14,INDIRECT(ADDRESS(MOD(ROW(A30) - H$15, H$14) + H$15, COLUMN(A30))),""))</f>
        <v>BLANK</v>
      </c>
      <c r="I30" t="str" cm="1">
        <f t="array" aca="1" ref="I30" ca="1">IF(ROW(B30)-I$15 &lt; I$14,B30,IF(ROW(B30) - I$15 -I$16 + 1 &lt; I$14,INDIRECT(ADDRESS(MOD(ROW(B30) - I$15, I$14) + I$15, COLUMN(B30))),""))</f>
        <v>CP</v>
      </c>
      <c r="J30" t="str" cm="1">
        <f t="array" aca="1" ref="J30" ca="1">IF(ROW(C30)-J$15 &lt; J$14,C30,IF(ROW(C30) - J$15 -J$16 + 1 &lt; J$14,INDIRECT(ADDRESS(MOD(ROW(C30) - J$15, J$14) + J$15, COLUMN(C30))),""))</f>
        <v>BLANK</v>
      </c>
      <c r="K30" t="str" cm="1">
        <f t="array" aca="1" ref="K30" ca="1">IF(ROW(D30)-K$15 &lt; K$14,D30,IF(ROW(D30) - K$15 -K$16 + 1 &lt; K$14,INDIRECT(ADDRESS(MOD(ROW(D30) - K$15, K$14) + K$15, COLUMN(D30))),""))</f>
        <v>CP</v>
      </c>
      <c r="L30" t="str" cm="1">
        <f t="array" aca="1" ref="L30" ca="1">IF(ROW(E30)-L$15 &lt; L$14,E30,IF(ROW(E30) - L$15 -L$16 + 1 &lt; L$14,INDIRECT(ADDRESS(MOD(ROW(E30) - L$15, L$14) + L$15, COLUMN(E30))),""))</f>
        <v>CP</v>
      </c>
      <c r="N30" cm="1">
        <f t="array" aca="1" ref="N30" ca="1">IF(H30&lt;&gt;"", SUMPRODUCT((OFFSET(H30,0,0,H$16,1)=$T$24) +0),"")</f>
        <v>0</v>
      </c>
      <c r="O30" cm="1">
        <f t="array" aca="1" ref="O30" ca="1">IF(I30&lt;&gt;"", SUMPRODUCT((OFFSET(I30,0,0,I$16,1)=$T$24) +0),"")</f>
        <v>2</v>
      </c>
      <c r="P30" cm="1">
        <f t="array" aca="1" ref="P30" ca="1">IF(J30&lt;&gt;"", SUMPRODUCT((OFFSET(J30,0,0,J$16,1)=$T$24) +0),"")</f>
        <v>1</v>
      </c>
      <c r="Q30" cm="1">
        <f t="array" aca="1" ref="Q30" ca="1">IF(K30&lt;&gt;"", SUMPRODUCT((OFFSET(K30,0,0,K$16,1)=$T$24) +0),"")</f>
        <v>2</v>
      </c>
      <c r="R30" cm="1">
        <f t="array" aca="1" ref="R30" ca="1">IF(L30&lt;&gt;"", SUMPRODUCT((OFFSET(L30,0,0,L$16,1)=$T$24) +0),"")</f>
        <v>2</v>
      </c>
      <c r="T30" s="4"/>
      <c r="AB30" s="46" t="str">
        <f>T22</f>
        <v>P5</v>
      </c>
      <c r="AC30" s="46">
        <v>5</v>
      </c>
      <c r="AD30" s="46">
        <f t="shared" si="7"/>
        <v>0</v>
      </c>
      <c r="AE30" s="46">
        <f t="shared" si="8"/>
        <v>0</v>
      </c>
      <c r="AF30" s="46">
        <f t="shared" si="9"/>
        <v>0</v>
      </c>
      <c r="AG30" s="46">
        <f t="shared" si="10"/>
        <v>0</v>
      </c>
      <c r="AH30" s="46">
        <f t="shared" si="11"/>
        <v>0</v>
      </c>
      <c r="AI30" s="46">
        <f t="shared" si="15"/>
        <v>0</v>
      </c>
      <c r="AJ30" s="50">
        <f t="shared" si="12"/>
        <v>0</v>
      </c>
      <c r="AK30" s="46" t="e">
        <f t="shared" si="13"/>
        <v>#DIV/0!</v>
      </c>
      <c r="AL30" s="46">
        <f>IFERROR(INDEX(Summary!$C$4:$E$9, MATCH($AB30, Summary!$B$4:$B$9, 0), MATCH($AC30, Summary!$C$3:$E$3, 0)), 0)</f>
        <v>100</v>
      </c>
      <c r="AM30" s="51">
        <f t="shared" si="14"/>
        <v>0</v>
      </c>
      <c r="AN30" s="46"/>
      <c r="AO30" s="46"/>
    </row>
    <row r="31" spans="1:49" x14ac:dyDescent="0.3">
      <c r="A31" t="str">
        <v>BLANK</v>
      </c>
      <c r="B31" t="str">
        <v>CP</v>
      </c>
      <c r="C31" t="str">
        <v>CP</v>
      </c>
      <c r="D31" t="str">
        <v>CP</v>
      </c>
      <c r="E31" t="str">
        <v>CP</v>
      </c>
      <c r="H31" t="str" cm="1">
        <f t="array" aca="1" ref="H31" ca="1">IF(ROW(A31)-H$15 &lt; H$14,A31,IF(ROW(A31) - H$15 -H$16 + 1 &lt; H$14,INDIRECT(ADDRESS(MOD(ROW(A31) - H$15, H$14) + H$15, COLUMN(A31))),""))</f>
        <v>BLANK</v>
      </c>
      <c r="I31" t="str" cm="1">
        <f t="array" aca="1" ref="I31" ca="1">IF(ROW(B31)-I$15 &lt; I$14,B31,IF(ROW(B31) - I$15 -I$16 + 1 &lt; I$14,INDIRECT(ADDRESS(MOD(ROW(B31) - I$15, I$14) + I$15, COLUMN(B31))),""))</f>
        <v>CP</v>
      </c>
      <c r="J31" t="str" cm="1">
        <f t="array" aca="1" ref="J31" ca="1">IF(ROW(C31)-J$15 &lt; J$14,C31,IF(ROW(C31) - J$15 -J$16 + 1 &lt; J$14,INDIRECT(ADDRESS(MOD(ROW(C31) - J$15, J$14) + J$15, COLUMN(C31))),""))</f>
        <v>CP</v>
      </c>
      <c r="K31" t="str" cm="1">
        <f t="array" aca="1" ref="K31" ca="1">IF(ROW(D31)-K$15 &lt; K$14,D31,IF(ROW(D31) - K$15 -K$16 + 1 &lt; K$14,INDIRECT(ADDRESS(MOD(ROW(D31) - K$15, K$14) + K$15, COLUMN(D31))),""))</f>
        <v>CP</v>
      </c>
      <c r="L31" t="str" cm="1">
        <f t="array" aca="1" ref="L31" ca="1">IF(ROW(E31)-L$15 &lt; L$14,E31,IF(ROW(E31) - L$15 -L$16 + 1 &lt; L$14,INDIRECT(ADDRESS(MOD(ROW(E31) - L$15, L$14) + L$15, COLUMN(E31))),""))</f>
        <v>CP</v>
      </c>
      <c r="N31" cm="1">
        <f t="array" aca="1" ref="N31" ca="1">IF(H31&lt;&gt;"", SUMPRODUCT((OFFSET(H31,0,0,H$16,1)=$T$24) +0),"")</f>
        <v>0</v>
      </c>
      <c r="O31" cm="1">
        <f t="array" aca="1" ref="O31" ca="1">IF(I31&lt;&gt;"", SUMPRODUCT((OFFSET(I31,0,0,I$16,1)=$T$24) +0),"")</f>
        <v>1</v>
      </c>
      <c r="P31" cm="1">
        <f t="array" aca="1" ref="P31" ca="1">IF(J31&lt;&gt;"", SUMPRODUCT((OFFSET(J31,0,0,J$16,1)=$T$24) +0),"")</f>
        <v>1</v>
      </c>
      <c r="Q31" cm="1">
        <f t="array" aca="1" ref="Q31" ca="1">IF(K31&lt;&gt;"", SUMPRODUCT((OFFSET(K31,0,0,K$16,1)=$T$24) +0),"")</f>
        <v>2</v>
      </c>
      <c r="R31" cm="1">
        <f t="array" aca="1" ref="R31" ca="1">IF(L31&lt;&gt;"", SUMPRODUCT((OFFSET(L31,0,0,L$16,1)=$T$24) +0),"")</f>
        <v>2</v>
      </c>
      <c r="AB31" s="46" t="str">
        <f>T22</f>
        <v>P5</v>
      </c>
      <c r="AC31" s="46">
        <v>4</v>
      </c>
      <c r="AD31" s="46">
        <f t="shared" si="7"/>
        <v>0</v>
      </c>
      <c r="AE31" s="46">
        <f t="shared" si="8"/>
        <v>0</v>
      </c>
      <c r="AF31" s="46">
        <f t="shared" si="9"/>
        <v>0</v>
      </c>
      <c r="AG31" s="46">
        <f t="shared" si="10"/>
        <v>0</v>
      </c>
      <c r="AH31" s="46">
        <f t="shared" si="11"/>
        <v>49</v>
      </c>
      <c r="AI31" s="46">
        <f t="shared" si="15"/>
        <v>0</v>
      </c>
      <c r="AJ31" s="50">
        <f t="shared" si="12"/>
        <v>0</v>
      </c>
      <c r="AK31" s="46" t="e">
        <f t="shared" si="13"/>
        <v>#DIV/0!</v>
      </c>
      <c r="AL31" s="46">
        <f>IFERROR(INDEX(Summary!$C$4:$E$9, MATCH($AB31, Summary!$B$4:$B$9, 0), MATCH($AC31, Summary!$C$3:$E$3, 0)), 0)</f>
        <v>25</v>
      </c>
      <c r="AM31" s="51">
        <f t="shared" si="14"/>
        <v>0</v>
      </c>
      <c r="AN31" s="46"/>
      <c r="AO31" s="46"/>
    </row>
    <row r="32" spans="1:49" x14ac:dyDescent="0.3">
      <c r="A32" t="str">
        <v>BLANK</v>
      </c>
      <c r="B32" t="str">
        <v>BLANK</v>
      </c>
      <c r="C32" t="str">
        <v>BLANK</v>
      </c>
      <c r="D32" t="str">
        <v>BLANK</v>
      </c>
      <c r="E32" t="str">
        <v>BLANK</v>
      </c>
      <c r="H32" t="str" cm="1">
        <f t="array" aca="1" ref="H32" ca="1">IF(ROW(A32)-H$15 &lt; H$14,A32,IF(ROW(A32) - H$15 -H$16 + 1 &lt; H$14,INDIRECT(ADDRESS(MOD(ROW(A32) - H$15, H$14) + H$15, COLUMN(A32))),""))</f>
        <v>BLANK</v>
      </c>
      <c r="I32" t="str" cm="1">
        <f t="array" aca="1" ref="I32" ca="1">IF(ROW(B32)-I$15 &lt; I$14,B32,IF(ROW(B32) - I$15 -I$16 + 1 &lt; I$14,INDIRECT(ADDRESS(MOD(ROW(B32) - I$15, I$14) + I$15, COLUMN(B32))),""))</f>
        <v>BLANK</v>
      </c>
      <c r="J32" t="str" cm="1">
        <f t="array" aca="1" ref="J32" ca="1">IF(ROW(C32)-J$15 &lt; J$14,C32,IF(ROW(C32) - J$15 -J$16 + 1 &lt; J$14,INDIRECT(ADDRESS(MOD(ROW(C32) - J$15, J$14) + J$15, COLUMN(C32))),""))</f>
        <v>BLANK</v>
      </c>
      <c r="K32" t="str" cm="1">
        <f t="array" aca="1" ref="K32" ca="1">IF(ROW(D32)-K$15 &lt; K$14,D32,IF(ROW(D32) - K$15 -K$16 + 1 &lt; K$14,INDIRECT(ADDRESS(MOD(ROW(D32) - K$15, K$14) + K$15, COLUMN(D32))),""))</f>
        <v>BLANK</v>
      </c>
      <c r="L32" t="str" cm="1">
        <f t="array" aca="1" ref="L32" ca="1">IF(ROW(E32)-L$15 &lt; L$14,E32,IF(ROW(E32) - L$15 -L$16 + 1 &lt; L$14,INDIRECT(ADDRESS(MOD(ROW(E32) - L$15, L$14) + L$15, COLUMN(E32))),""))</f>
        <v>BLANK</v>
      </c>
      <c r="N32" cm="1">
        <f t="array" aca="1" ref="N32" ca="1">IF(H32&lt;&gt;"", SUMPRODUCT((OFFSET(H32,0,0,H$16,1)=$T$24) +0),"")</f>
        <v>0</v>
      </c>
      <c r="O32" cm="1">
        <f t="array" aca="1" ref="O32" ca="1">IF(I32&lt;&gt;"", SUMPRODUCT((OFFSET(I32,0,0,I$16,1)=$T$24) +0),"")</f>
        <v>0</v>
      </c>
      <c r="P32" cm="1">
        <f t="array" aca="1" ref="P32" ca="1">IF(J32&lt;&gt;"", SUMPRODUCT((OFFSET(J32,0,0,J$16,1)=$T$24) +0),"")</f>
        <v>0</v>
      </c>
      <c r="Q32" cm="1">
        <f t="array" aca="1" ref="Q32" ca="1">IF(K32&lt;&gt;"", SUMPRODUCT((OFFSET(K32,0,0,K$16,1)=$T$24) +0),"")</f>
        <v>2</v>
      </c>
      <c r="R32" cm="1">
        <f t="array" aca="1" ref="R32" ca="1">IF(L32&lt;&gt;"", SUMPRODUCT((OFFSET(L32,0,0,L$16,1)=$T$24) +0),"")</f>
        <v>2</v>
      </c>
      <c r="AB32" s="46" t="str">
        <f>T22</f>
        <v>P5</v>
      </c>
      <c r="AC32" s="46">
        <v>3</v>
      </c>
      <c r="AD32" s="46">
        <f t="shared" si="7"/>
        <v>0</v>
      </c>
      <c r="AE32" s="46">
        <f t="shared" si="8"/>
        <v>0</v>
      </c>
      <c r="AF32" s="46">
        <f t="shared" si="9"/>
        <v>0</v>
      </c>
      <c r="AG32" s="46">
        <f t="shared" si="10"/>
        <v>59</v>
      </c>
      <c r="AH32" s="46">
        <f t="shared" si="11"/>
        <v>49</v>
      </c>
      <c r="AI32" s="46">
        <f t="shared" si="15"/>
        <v>0</v>
      </c>
      <c r="AJ32" s="50">
        <f t="shared" si="12"/>
        <v>0</v>
      </c>
      <c r="AK32" s="46" t="e">
        <f t="shared" si="13"/>
        <v>#DIV/0!</v>
      </c>
      <c r="AL32" s="46">
        <f>IFERROR(INDEX(Summary!$C$4:$E$9, MATCH($AB32, Summary!$B$4:$B$9, 0), MATCH($AC32, Summary!$C$3:$E$3, 0)), 0)</f>
        <v>5</v>
      </c>
      <c r="AM32" s="51">
        <f t="shared" si="14"/>
        <v>0</v>
      </c>
      <c r="AN32" s="46"/>
      <c r="AO32" s="46"/>
    </row>
    <row r="33" spans="1:41" x14ac:dyDescent="0.3">
      <c r="A33" t="str">
        <v>BLANK</v>
      </c>
      <c r="B33" t="str">
        <v>BLANK</v>
      </c>
      <c r="C33" t="str">
        <v>BLANK</v>
      </c>
      <c r="D33" t="str">
        <v>CP</v>
      </c>
      <c r="E33" t="str">
        <v>CP</v>
      </c>
      <c r="H33" t="str" cm="1">
        <f t="array" aca="1" ref="H33" ca="1">IF(ROW(A33)-H$15 &lt; H$14,A33,IF(ROW(A33) - H$15 -H$16 + 1 &lt; H$14,INDIRECT(ADDRESS(MOD(ROW(A33) - H$15, H$14) + H$15, COLUMN(A33))),""))</f>
        <v>BLANK</v>
      </c>
      <c r="I33" t="str" cm="1">
        <f t="array" aca="1" ref="I33" ca="1">IF(ROW(B33)-I$15 &lt; I$14,B33,IF(ROW(B33) - I$15 -I$16 + 1 &lt; I$14,INDIRECT(ADDRESS(MOD(ROW(B33) - I$15, I$14) + I$15, COLUMN(B33))),""))</f>
        <v>BLANK</v>
      </c>
      <c r="J33" t="str" cm="1">
        <f t="array" aca="1" ref="J33" ca="1">IF(ROW(C33)-J$15 &lt; J$14,C33,IF(ROW(C33) - J$15 -J$16 + 1 &lt; J$14,INDIRECT(ADDRESS(MOD(ROW(C33) - J$15, J$14) + J$15, COLUMN(C33))),""))</f>
        <v>BLANK</v>
      </c>
      <c r="K33" t="str" cm="1">
        <f t="array" aca="1" ref="K33" ca="1">IF(ROW(D33)-K$15 &lt; K$14,D33,IF(ROW(D33) - K$15 -K$16 + 1 &lt; K$14,INDIRECT(ADDRESS(MOD(ROW(D33) - K$15, K$14) + K$15, COLUMN(D33))),""))</f>
        <v>CP</v>
      </c>
      <c r="L33" t="str" cm="1">
        <f t="array" aca="1" ref="L33" ca="1">IF(ROW(E33)-L$15 &lt; L$14,E33,IF(ROW(E33) - L$15 -L$16 + 1 &lt; L$14,INDIRECT(ADDRESS(MOD(ROW(E33) - L$15, L$14) + L$15, COLUMN(E33))),""))</f>
        <v>CP</v>
      </c>
      <c r="N33" cm="1">
        <f t="array" aca="1" ref="N33" ca="1">IF(H33&lt;&gt;"", SUMPRODUCT((OFFSET(H33,0,0,H$16,1)=$T$24) +0),"")</f>
        <v>0</v>
      </c>
      <c r="O33" cm="1">
        <f t="array" aca="1" ref="O33" ca="1">IF(I33&lt;&gt;"", SUMPRODUCT((OFFSET(I33,0,0,I$16,1)=$T$24) +0),"")</f>
        <v>0</v>
      </c>
      <c r="P33" cm="1">
        <f t="array" aca="1" ref="P33" ca="1">IF(J33&lt;&gt;"", SUMPRODUCT((OFFSET(J33,0,0,J$16,1)=$T$24) +0),"")</f>
        <v>0</v>
      </c>
      <c r="Q33" cm="1">
        <f t="array" aca="1" ref="Q33" ca="1">IF(K33&lt;&gt;"", SUMPRODUCT((OFFSET(K33,0,0,K$16,1)=$T$24) +0),"")</f>
        <v>2</v>
      </c>
      <c r="R33" cm="1">
        <f t="array" aca="1" ref="R33" ca="1">IF(L33&lt;&gt;"", SUMPRODUCT((OFFSET(L33,0,0,L$16,1)=$T$24) +0),"")</f>
        <v>2</v>
      </c>
      <c r="AB33" s="46" t="str">
        <f>T23</f>
        <v>P6</v>
      </c>
      <c r="AC33" s="46">
        <v>5</v>
      </c>
      <c r="AD33" s="46">
        <f t="shared" si="7"/>
        <v>0</v>
      </c>
      <c r="AE33" s="46">
        <f t="shared" si="8"/>
        <v>0</v>
      </c>
      <c r="AF33" s="46">
        <f t="shared" si="9"/>
        <v>0</v>
      </c>
      <c r="AG33" s="46">
        <f t="shared" si="10"/>
        <v>0</v>
      </c>
      <c r="AH33" s="46">
        <f t="shared" si="11"/>
        <v>0</v>
      </c>
      <c r="AI33" s="46">
        <f t="shared" si="15"/>
        <v>0</v>
      </c>
      <c r="AJ33" s="50">
        <f t="shared" si="12"/>
        <v>0</v>
      </c>
      <c r="AK33" s="46" t="e">
        <f t="shared" si="13"/>
        <v>#DIV/0!</v>
      </c>
      <c r="AL33" s="46">
        <f>IFERROR(INDEX(Summary!$C$4:$E$9, MATCH($AB33, Summary!$B$4:$B$9, 0), MATCH($AC33, Summary!$C$3:$E$3, 0)), 0)</f>
        <v>100</v>
      </c>
      <c r="AM33" s="51">
        <f t="shared" si="14"/>
        <v>0</v>
      </c>
      <c r="AN33" s="46"/>
      <c r="AO33" s="46"/>
    </row>
    <row r="34" spans="1:41" x14ac:dyDescent="0.3">
      <c r="A34" t="str">
        <v>BLANK</v>
      </c>
      <c r="B34" t="str">
        <v>BLANK</v>
      </c>
      <c r="C34" t="str">
        <v>BLANK</v>
      </c>
      <c r="D34" t="str">
        <v>CP</v>
      </c>
      <c r="E34" t="str">
        <v>CP</v>
      </c>
      <c r="H34" t="str" cm="1">
        <f t="array" aca="1" ref="H34" ca="1">IF(ROW(A34)-H$15 &lt; H$14,A34,IF(ROW(A34) - H$15 -H$16 + 1 &lt; H$14,INDIRECT(ADDRESS(MOD(ROW(A34) - H$15, H$14) + H$15, COLUMN(A34))),""))</f>
        <v>BLANK</v>
      </c>
      <c r="I34" t="str" cm="1">
        <f t="array" aca="1" ref="I34" ca="1">IF(ROW(B34)-I$15 &lt; I$14,B34,IF(ROW(B34) - I$15 -I$16 + 1 &lt; I$14,INDIRECT(ADDRESS(MOD(ROW(B34) - I$15, I$14) + I$15, COLUMN(B34))),""))</f>
        <v>BLANK</v>
      </c>
      <c r="J34" t="str" cm="1">
        <f t="array" aca="1" ref="J34" ca="1">IF(ROW(C34)-J$15 &lt; J$14,C34,IF(ROW(C34) - J$15 -J$16 + 1 &lt; J$14,INDIRECT(ADDRESS(MOD(ROW(C34) - J$15, J$14) + J$15, COLUMN(C34))),""))</f>
        <v>BLANK</v>
      </c>
      <c r="K34" t="str" cm="1">
        <f t="array" aca="1" ref="K34" ca="1">IF(ROW(D34)-K$15 &lt; K$14,D34,IF(ROW(D34) - K$15 -K$16 + 1 &lt; K$14,INDIRECT(ADDRESS(MOD(ROW(D34) - K$15, K$14) + K$15, COLUMN(D34))),""))</f>
        <v>CP</v>
      </c>
      <c r="L34" t="str" cm="1">
        <f t="array" aca="1" ref="L34" ca="1">IF(ROW(E34)-L$15 &lt; L$14,E34,IF(ROW(E34) - L$15 -L$16 + 1 &lt; L$14,INDIRECT(ADDRESS(MOD(ROW(E34) - L$15, L$14) + L$15, COLUMN(E34))),""))</f>
        <v>CP</v>
      </c>
      <c r="N34" cm="1">
        <f t="array" aca="1" ref="N34" ca="1">IF(H34&lt;&gt;"", SUMPRODUCT((OFFSET(H34,0,0,H$16,1)=$T$24) +0),"")</f>
        <v>1</v>
      </c>
      <c r="O34" cm="1">
        <f t="array" aca="1" ref="O34" ca="1">IF(I34&lt;&gt;"", SUMPRODUCT((OFFSET(I34,0,0,I$16,1)=$T$24) +0),"")</f>
        <v>0</v>
      </c>
      <c r="P34" cm="1">
        <f t="array" aca="1" ref="P34" ca="1">IF(J34&lt;&gt;"", SUMPRODUCT((OFFSET(J34,0,0,J$16,1)=$T$24) +0),"")</f>
        <v>0</v>
      </c>
      <c r="Q34" cm="1">
        <f t="array" aca="1" ref="Q34" ca="1">IF(K34&lt;&gt;"", SUMPRODUCT((OFFSET(K34,0,0,K$16,1)=$T$24) +0),"")</f>
        <v>1</v>
      </c>
      <c r="R34" cm="1">
        <f t="array" aca="1" ref="R34" ca="1">IF(L34&lt;&gt;"", SUMPRODUCT((OFFSET(L34,0,0,L$16,1)=$T$24) +0),"")</f>
        <v>1</v>
      </c>
      <c r="AB34" s="46" t="str">
        <f>T23</f>
        <v>P6</v>
      </c>
      <c r="AC34" s="46">
        <v>4</v>
      </c>
      <c r="AD34" s="46">
        <f t="shared" si="7"/>
        <v>0</v>
      </c>
      <c r="AE34" s="46">
        <f t="shared" si="8"/>
        <v>0</v>
      </c>
      <c r="AF34" s="46">
        <f t="shared" si="9"/>
        <v>0</v>
      </c>
      <c r="AG34" s="46">
        <f t="shared" si="10"/>
        <v>0</v>
      </c>
      <c r="AH34" s="46">
        <f t="shared" si="11"/>
        <v>49</v>
      </c>
      <c r="AI34" s="46">
        <f t="shared" si="15"/>
        <v>0</v>
      </c>
      <c r="AJ34" s="50">
        <f t="shared" si="12"/>
        <v>0</v>
      </c>
      <c r="AK34" s="46" t="e">
        <f t="shared" si="13"/>
        <v>#DIV/0!</v>
      </c>
      <c r="AL34" s="46">
        <f>IFERROR(INDEX(Summary!$C$4:$E$9, MATCH($AB34, Summary!$B$4:$B$9, 0), MATCH($AC34, Summary!$C$3:$E$3, 0)), 0)</f>
        <v>25</v>
      </c>
      <c r="AM34" s="51">
        <f t="shared" si="14"/>
        <v>0</v>
      </c>
      <c r="AN34" s="46"/>
      <c r="AO34" s="46"/>
    </row>
    <row r="35" spans="1:41" x14ac:dyDescent="0.3">
      <c r="A35" t="str">
        <v>BLANK</v>
      </c>
      <c r="B35" t="str">
        <v>BLANK</v>
      </c>
      <c r="C35" t="str">
        <v>BLANK</v>
      </c>
      <c r="D35" t="str">
        <v>BLANK</v>
      </c>
      <c r="E35" t="str">
        <v>BLANK</v>
      </c>
      <c r="H35" t="str" cm="1">
        <f t="array" aca="1" ref="H35" ca="1">IF(ROW(A35)-H$15 &lt; H$14,A35,IF(ROW(A35) - H$15 -H$16 + 1 &lt; H$14,INDIRECT(ADDRESS(MOD(ROW(A35) - H$15, H$14) + H$15, COLUMN(A35))),""))</f>
        <v>BLANK</v>
      </c>
      <c r="I35" t="str" cm="1">
        <f t="array" aca="1" ref="I35" ca="1">IF(ROW(B35)-I$15 &lt; I$14,B35,IF(ROW(B35) - I$15 -I$16 + 1 &lt; I$14,INDIRECT(ADDRESS(MOD(ROW(B35) - I$15, I$14) + I$15, COLUMN(B35))),""))</f>
        <v>BLANK</v>
      </c>
      <c r="J35" t="str" cm="1">
        <f t="array" aca="1" ref="J35" ca="1">IF(ROW(C35)-J$15 &lt; J$14,C35,IF(ROW(C35) - J$15 -J$16 + 1 &lt; J$14,INDIRECT(ADDRESS(MOD(ROW(C35) - J$15, J$14) + J$15, COLUMN(C35))),""))</f>
        <v>BLANK</v>
      </c>
      <c r="K35" t="str" cm="1">
        <f t="array" aca="1" ref="K35" ca="1">IF(ROW(D35)-K$15 &lt; K$14,D35,IF(ROW(D35) - K$15 -K$16 + 1 &lt; K$14,INDIRECT(ADDRESS(MOD(ROW(D35) - K$15, K$14) + K$15, COLUMN(D35))),""))</f>
        <v>BLANK</v>
      </c>
      <c r="L35" t="str" cm="1">
        <f t="array" aca="1" ref="L35" ca="1">IF(ROW(E35)-L$15 &lt; L$14,E35,IF(ROW(E35) - L$15 -L$16 + 1 &lt; L$14,INDIRECT(ADDRESS(MOD(ROW(E35) - L$15, L$14) + L$15, COLUMN(E35))),""))</f>
        <v>BLANK</v>
      </c>
      <c r="N35" cm="1">
        <f t="array" aca="1" ref="N35" ca="1">IF(H35&lt;&gt;"", SUMPRODUCT((OFFSET(H35,0,0,H$16,1)=$T$24) +0),"")</f>
        <v>1</v>
      </c>
      <c r="O35" cm="1">
        <f t="array" aca="1" ref="O35" ca="1">IF(I35&lt;&gt;"", SUMPRODUCT((OFFSET(I35,0,0,I$16,1)=$T$24) +0),"")</f>
        <v>0</v>
      </c>
      <c r="P35" cm="1">
        <f t="array" aca="1" ref="P35" ca="1">IF(J35&lt;&gt;"", SUMPRODUCT((OFFSET(J35,0,0,J$16,1)=$T$24) +0),"")</f>
        <v>0</v>
      </c>
      <c r="Q35" cm="1">
        <f t="array" aca="1" ref="Q35" ca="1">IF(K35&lt;&gt;"", SUMPRODUCT((OFFSET(K35,0,0,K$16,1)=$T$24) +0),"")</f>
        <v>0</v>
      </c>
      <c r="R35" cm="1">
        <f t="array" aca="1" ref="R35" ca="1">IF(L35&lt;&gt;"", SUMPRODUCT((OFFSET(L35,0,0,L$16,1)=$T$24) +0),"")</f>
        <v>0</v>
      </c>
      <c r="AB35" s="46" t="str">
        <f>T23</f>
        <v>P6</v>
      </c>
      <c r="AC35" s="46">
        <v>3</v>
      </c>
      <c r="AD35" s="46">
        <f t="shared" si="7"/>
        <v>0</v>
      </c>
      <c r="AE35" s="46">
        <f t="shared" si="8"/>
        <v>0</v>
      </c>
      <c r="AF35" s="46">
        <f t="shared" si="9"/>
        <v>0</v>
      </c>
      <c r="AG35" s="46">
        <f t="shared" si="10"/>
        <v>59</v>
      </c>
      <c r="AH35" s="46">
        <f t="shared" si="11"/>
        <v>49</v>
      </c>
      <c r="AI35" s="46">
        <f t="shared" si="15"/>
        <v>0</v>
      </c>
      <c r="AJ35" s="50">
        <f t="shared" si="12"/>
        <v>0</v>
      </c>
      <c r="AK35" s="46" t="e">
        <f t="shared" si="13"/>
        <v>#DIV/0!</v>
      </c>
      <c r="AL35" s="46">
        <f>IFERROR(INDEX(Summary!$C$4:$E$9, MATCH($AB35, Summary!$B$4:$B$9, 0), MATCH($AC35, Summary!$C$3:$E$3, 0)), 0)</f>
        <v>5</v>
      </c>
      <c r="AM35" s="51">
        <f t="shared" si="14"/>
        <v>0</v>
      </c>
      <c r="AN35" s="46"/>
      <c r="AO35" s="46"/>
    </row>
    <row r="36" spans="1:41" x14ac:dyDescent="0.3">
      <c r="A36" t="str">
        <v>CP</v>
      </c>
      <c r="B36" t="str">
        <v>BLANK</v>
      </c>
      <c r="C36" t="str">
        <v>BLANK</v>
      </c>
      <c r="D36" t="str">
        <v>BLANK</v>
      </c>
      <c r="E36" t="str">
        <v>BLANK</v>
      </c>
      <c r="H36" t="str" cm="1">
        <f t="array" aca="1" ref="H36" ca="1">IF(ROW(A36)-H$15 &lt; H$14,A36,IF(ROW(A36) - H$15 -H$16 + 1 &lt; H$14,INDIRECT(ADDRESS(MOD(ROW(A36) - H$15, H$14) + H$15, COLUMN(A36))),""))</f>
        <v>CP</v>
      </c>
      <c r="I36" t="str" cm="1">
        <f t="array" aca="1" ref="I36" ca="1">IF(ROW(B36)-I$15 &lt; I$14,B36,IF(ROW(B36) - I$15 -I$16 + 1 &lt; I$14,INDIRECT(ADDRESS(MOD(ROW(B36) - I$15, I$14) + I$15, COLUMN(B36))),""))</f>
        <v>BLANK</v>
      </c>
      <c r="J36" t="str" cm="1">
        <f t="array" aca="1" ref="J36" ca="1">IF(ROW(C36)-J$15 &lt; J$14,C36,IF(ROW(C36) - J$15 -J$16 + 1 &lt; J$14,INDIRECT(ADDRESS(MOD(ROW(C36) - J$15, J$14) + J$15, COLUMN(C36))),""))</f>
        <v>BLANK</v>
      </c>
      <c r="K36" t="str" cm="1">
        <f t="array" aca="1" ref="K36" ca="1">IF(ROW(D36)-K$15 &lt; K$14,D36,IF(ROW(D36) - K$15 -K$16 + 1 &lt; K$14,INDIRECT(ADDRESS(MOD(ROW(D36) - K$15, K$14) + K$15, COLUMN(D36))),""))</f>
        <v>BLANK</v>
      </c>
      <c r="L36" t="str" cm="1">
        <f t="array" aca="1" ref="L36" ca="1">IF(ROW(E36)-L$15 &lt; L$14,E36,IF(ROW(E36) - L$15 -L$16 + 1 &lt; L$14,INDIRECT(ADDRESS(MOD(ROW(E36) - L$15, L$14) + L$15, COLUMN(E36))),""))</f>
        <v>BLANK</v>
      </c>
      <c r="N36" cm="1">
        <f t="array" aca="1" ref="N36" ca="1">IF(H36&lt;&gt;"", SUMPRODUCT((OFFSET(H36,0,0,H$16,1)=$T$24) +0),"")</f>
        <v>1</v>
      </c>
      <c r="O36" cm="1">
        <f t="array" aca="1" ref="O36" ca="1">IF(I36&lt;&gt;"", SUMPRODUCT((OFFSET(I36,0,0,I$16,1)=$T$24) +0),"")</f>
        <v>0</v>
      </c>
      <c r="P36" cm="1">
        <f t="array" aca="1" ref="P36" ca="1">IF(J36&lt;&gt;"", SUMPRODUCT((OFFSET(J36,0,0,J$16,1)=$T$24) +0),"")</f>
        <v>0</v>
      </c>
      <c r="Q36" cm="1">
        <f t="array" aca="1" ref="Q36" ca="1">IF(K36&lt;&gt;"", SUMPRODUCT((OFFSET(K36,0,0,K$16,1)=$T$24) +0),"")</f>
        <v>0</v>
      </c>
      <c r="R36" cm="1">
        <f t="array" aca="1" ref="R36" ca="1">IF(L36&lt;&gt;"", SUMPRODUCT((OFFSET(L36,0,0,L$16,1)=$T$24) +0),"")</f>
        <v>0</v>
      </c>
      <c r="T36" s="5" t="s">
        <v>24</v>
      </c>
      <c r="U36" s="6">
        <f>SUM(AJ18:AJ35)*Summary!C17</f>
        <v>0</v>
      </c>
      <c r="AM36" s="29">
        <f>SUM(AM18:AM35)</f>
        <v>0</v>
      </c>
    </row>
    <row r="37" spans="1:41" x14ac:dyDescent="0.3">
      <c r="A37" t="str">
        <v>BLANK</v>
      </c>
      <c r="B37" t="str">
        <v>BLANK</v>
      </c>
      <c r="C37" t="str">
        <v>BLANK</v>
      </c>
      <c r="D37" t="str">
        <v>BLANK</v>
      </c>
      <c r="E37" t="str">
        <v>BLANK</v>
      </c>
      <c r="H37" t="str" cm="1">
        <f t="array" aca="1" ref="H37" ca="1">IF(ROW(A37)-H$15 &lt; H$14,A37,IF(ROW(A37) - H$15 -H$16 + 1 &lt; H$14,INDIRECT(ADDRESS(MOD(ROW(A37) - H$15, H$14) + H$15, COLUMN(A37))),""))</f>
        <v>BLANK</v>
      </c>
      <c r="I37" t="str" cm="1">
        <f t="array" aca="1" ref="I37" ca="1">IF(ROW(B37)-I$15 &lt; I$14,B37,IF(ROW(B37) - I$15 -I$16 + 1 &lt; I$14,INDIRECT(ADDRESS(MOD(ROW(B37) - I$15, I$14) + I$15, COLUMN(B37))),""))</f>
        <v>BLANK</v>
      </c>
      <c r="J37" t="str" cm="1">
        <f t="array" aca="1" ref="J37" ca="1">IF(ROW(C37)-J$15 &lt; J$14,C37,IF(ROW(C37) - J$15 -J$16 + 1 &lt; J$14,INDIRECT(ADDRESS(MOD(ROW(C37) - J$15, J$14) + J$15, COLUMN(C37))),""))</f>
        <v>BLANK</v>
      </c>
      <c r="K37" t="str" cm="1">
        <f t="array" aca="1" ref="K37" ca="1">IF(ROW(D37)-K$15 &lt; K$14,D37,IF(ROW(D37) - K$15 -K$16 + 1 &lt; K$14,INDIRECT(ADDRESS(MOD(ROW(D37) - K$15, K$14) + K$15, COLUMN(D37))),""))</f>
        <v>BLANK</v>
      </c>
      <c r="L37" t="str" cm="1">
        <f t="array" aca="1" ref="L37" ca="1">IF(ROW(E37)-L$15 &lt; L$14,E37,IF(ROW(E37) - L$15 -L$16 + 1 &lt; L$14,INDIRECT(ADDRESS(MOD(ROW(E37) - L$15, L$14) + L$15, COLUMN(E37))),""))</f>
        <v>BLANK</v>
      </c>
      <c r="N37" cm="1">
        <f t="array" aca="1" ref="N37" ca="1">IF(H37&lt;&gt;"", SUMPRODUCT((OFFSET(H37,0,0,H$16,1)=$T$24) +0),"")</f>
        <v>1</v>
      </c>
      <c r="O37" cm="1">
        <f t="array" aca="1" ref="O37" ca="1">IF(I37&lt;&gt;"", SUMPRODUCT((OFFSET(I37,0,0,I$16,1)=$T$24) +0),"")</f>
        <v>0</v>
      </c>
      <c r="P37" cm="1">
        <f t="array" aca="1" ref="P37" ca="1">IF(J37&lt;&gt;"", SUMPRODUCT((OFFSET(J37,0,0,J$16,1)=$T$24) +0),"")</f>
        <v>0</v>
      </c>
      <c r="Q37" cm="1">
        <f t="array" aca="1" ref="Q37" ca="1">IF(K37&lt;&gt;"", SUMPRODUCT((OFFSET(K37,0,0,K$16,1)=$T$24) +0),"")</f>
        <v>0</v>
      </c>
      <c r="R37" cm="1">
        <f t="array" aca="1" ref="R37" ca="1">IF(L37&lt;&gt;"", SUMPRODUCT((OFFSET(L37,0,0,L$16,1)=$T$24) +0),"")</f>
        <v>0</v>
      </c>
      <c r="T37" s="5" t="s">
        <v>25</v>
      </c>
      <c r="U37" s="6">
        <f>SUMIF(AN52:AN62,"&gt;4",AO52:AO62)</f>
        <v>0</v>
      </c>
    </row>
    <row r="38" spans="1:41" x14ac:dyDescent="0.3">
      <c r="A38" t="str">
        <v>BLANK</v>
      </c>
      <c r="B38" t="str">
        <v>BLANK</v>
      </c>
      <c r="C38" t="str">
        <v>BLANK</v>
      </c>
      <c r="D38" t="str">
        <v>BLANK</v>
      </c>
      <c r="E38" t="str">
        <v>BLANK</v>
      </c>
      <c r="H38" t="str" cm="1">
        <f t="array" aca="1" ref="H38" ca="1">IF(ROW(A38)-H$15 &lt; H$14,A38,IF(ROW(A38) - H$15 -H$16 + 1 &lt; H$14,INDIRECT(ADDRESS(MOD(ROW(A38) - H$15, H$14) + H$15, COLUMN(A38))),""))</f>
        <v>BLANK</v>
      </c>
      <c r="I38" t="str" cm="1">
        <f t="array" aca="1" ref="I38" ca="1">IF(ROW(B38)-I$15 &lt; I$14,B38,IF(ROW(B38) - I$15 -I$16 + 1 &lt; I$14,INDIRECT(ADDRESS(MOD(ROW(B38) - I$15, I$14) + I$15, COLUMN(B38))),""))</f>
        <v>BLANK</v>
      </c>
      <c r="J38" t="str" cm="1">
        <f t="array" aca="1" ref="J38" ca="1">IF(ROW(C38)-J$15 &lt; J$14,C38,IF(ROW(C38) - J$15 -J$16 + 1 &lt; J$14,INDIRECT(ADDRESS(MOD(ROW(C38) - J$15, J$14) + J$15, COLUMN(C38))),""))</f>
        <v>BLANK</v>
      </c>
      <c r="K38" t="str" cm="1">
        <f t="array" aca="1" ref="K38" ca="1">IF(ROW(D38)-K$15 &lt; K$14,D38,IF(ROW(D38) - K$15 -K$16 + 1 &lt; K$14,INDIRECT(ADDRESS(MOD(ROW(D38) - K$15, K$14) + K$15, COLUMN(D38))),""))</f>
        <v>BLANK</v>
      </c>
      <c r="L38" t="str" cm="1">
        <f t="array" aca="1" ref="L38" ca="1">IF(ROW(E38)-L$15 &lt; L$14,E38,IF(ROW(E38) - L$15 -L$16 + 1 &lt; L$14,INDIRECT(ADDRESS(MOD(ROW(E38) - L$15, L$14) + L$15, COLUMN(E38))),""))</f>
        <v>BLANK</v>
      </c>
      <c r="N38" cm="1">
        <f t="array" aca="1" ref="N38" ca="1">IF(H38&lt;&gt;"", SUMPRODUCT((OFFSET(H38,0,0,H$16,1)=$T$24) +0),"")</f>
        <v>2</v>
      </c>
      <c r="O38" cm="1">
        <f t="array" aca="1" ref="O38" ca="1">IF(I38&lt;&gt;"", SUMPRODUCT((OFFSET(I38,0,0,I$16,1)=$T$24) +0),"")</f>
        <v>1</v>
      </c>
      <c r="P38" cm="1">
        <f t="array" aca="1" ref="P38" ca="1">IF(J38&lt;&gt;"", SUMPRODUCT((OFFSET(J38,0,0,J$16,1)=$T$24) +0),"")</f>
        <v>1</v>
      </c>
      <c r="Q38" cm="1">
        <f t="array" aca="1" ref="Q38" ca="1">IF(K38&lt;&gt;"", SUMPRODUCT((OFFSET(K38,0,0,K$16,1)=$T$24) +0),"")</f>
        <v>0</v>
      </c>
      <c r="R38" cm="1">
        <f t="array" aca="1" ref="R38" ca="1">IF(L38&lt;&gt;"", SUMPRODUCT((OFFSET(L38,0,0,L$16,1)=$T$24) +0),"")</f>
        <v>0</v>
      </c>
      <c r="T38" s="5" t="s">
        <v>16</v>
      </c>
      <c r="U38" s="30">
        <f>AM36</f>
        <v>0</v>
      </c>
    </row>
    <row r="39" spans="1:41" x14ac:dyDescent="0.3">
      <c r="A39" t="str">
        <v>CP</v>
      </c>
      <c r="B39" t="str">
        <v>BLANK</v>
      </c>
      <c r="C39" t="str">
        <v>BLANK</v>
      </c>
      <c r="D39" t="str">
        <v>BLANK</v>
      </c>
      <c r="E39" t="str">
        <v>BLANK</v>
      </c>
      <c r="H39" t="str" cm="1">
        <f t="array" aca="1" ref="H39" ca="1">IF(ROW(A39)-H$15 &lt; H$14,A39,IF(ROW(A39) - H$15 -H$16 + 1 &lt; H$14,INDIRECT(ADDRESS(MOD(ROW(A39) - H$15, H$14) + H$15, COLUMN(A39))),""))</f>
        <v>CP</v>
      </c>
      <c r="I39" t="str" cm="1">
        <f t="array" aca="1" ref="I39" ca="1">IF(ROW(B39)-I$15 &lt; I$14,B39,IF(ROW(B39) - I$15 -I$16 + 1 &lt; I$14,INDIRECT(ADDRESS(MOD(ROW(B39) - I$15, I$14) + I$15, COLUMN(B39))),""))</f>
        <v>BLANK</v>
      </c>
      <c r="J39" t="str" cm="1">
        <f t="array" aca="1" ref="J39" ca="1">IF(ROW(C39)-J$15 &lt; J$14,C39,IF(ROW(C39) - J$15 -J$16 + 1 &lt; J$14,INDIRECT(ADDRESS(MOD(ROW(C39) - J$15, J$14) + J$15, COLUMN(C39))),""))</f>
        <v>BLANK</v>
      </c>
      <c r="K39" t="str" cm="1">
        <f t="array" aca="1" ref="K39" ca="1">IF(ROW(D39)-K$15 &lt; K$14,D39,IF(ROW(D39) - K$15 -K$16 + 1 &lt; K$14,INDIRECT(ADDRESS(MOD(ROW(D39) - K$15, K$14) + K$15, COLUMN(D39))),""))</f>
        <v>BLANK</v>
      </c>
      <c r="L39" t="str" cm="1">
        <f t="array" aca="1" ref="L39" ca="1">IF(ROW(E39)-L$15 &lt; L$14,E39,IF(ROW(E39) - L$15 -L$16 + 1 &lt; L$14,INDIRECT(ADDRESS(MOD(ROW(E39) - L$15, L$14) + L$15, COLUMN(E39))),""))</f>
        <v>BLANK</v>
      </c>
      <c r="N39" cm="1">
        <f t="array" aca="1" ref="N39" ca="1">IF(H39&lt;&gt;"", SUMPRODUCT((OFFSET(H39,0,0,H$16,1)=$T$24) +0),"")</f>
        <v>2</v>
      </c>
      <c r="O39" cm="1">
        <f t="array" aca="1" ref="O39" ca="1">IF(I39&lt;&gt;"", SUMPRODUCT((OFFSET(I39,0,0,I$16,1)=$T$24) +0),"")</f>
        <v>1</v>
      </c>
      <c r="P39" cm="1">
        <f t="array" aca="1" ref="P39" ca="1">IF(J39&lt;&gt;"", SUMPRODUCT((OFFSET(J39,0,0,J$16,1)=$T$24) +0),"")</f>
        <v>1</v>
      </c>
      <c r="Q39" cm="1">
        <f t="array" aca="1" ref="Q39" ca="1">IF(K39&lt;&gt;"", SUMPRODUCT((OFFSET(K39,0,0,K$16,1)=$T$24) +0),"")</f>
        <v>0</v>
      </c>
      <c r="R39" cm="1">
        <f t="array" aca="1" ref="R39" ca="1">IF(L39&lt;&gt;"", SUMPRODUCT((OFFSET(L39,0,0,L$16,1)=$T$24) +0),"")</f>
        <v>0</v>
      </c>
      <c r="T39" s="5" t="s">
        <v>17</v>
      </c>
      <c r="U39" s="30">
        <f ca="1">AM52</f>
        <v>5.9313455960153441</v>
      </c>
    </row>
    <row r="40" spans="1:41" x14ac:dyDescent="0.3">
      <c r="A40" t="str">
        <v>CP</v>
      </c>
      <c r="B40" t="str">
        <v>CP</v>
      </c>
      <c r="C40" t="str">
        <v>CP</v>
      </c>
      <c r="D40" t="str">
        <v>BLANK</v>
      </c>
      <c r="E40" t="str">
        <v>BLANK</v>
      </c>
      <c r="H40" t="str" cm="1">
        <f t="array" aca="1" ref="H40" ca="1">IF(ROW(A40)-H$15 &lt; H$14,A40,IF(ROW(A40) - H$15 -H$16 + 1 &lt; H$14,INDIRECT(ADDRESS(MOD(ROW(A40) - H$15, H$14) + H$15, COLUMN(A40))),""))</f>
        <v>CP</v>
      </c>
      <c r="I40" t="str" cm="1">
        <f t="array" aca="1" ref="I40" ca="1">IF(ROW(B40)-I$15 &lt; I$14,B40,IF(ROW(B40) - I$15 -I$16 + 1 &lt; I$14,INDIRECT(ADDRESS(MOD(ROW(B40) - I$15, I$14) + I$15, COLUMN(B40))),""))</f>
        <v>CP</v>
      </c>
      <c r="J40" t="str" cm="1">
        <f t="array" aca="1" ref="J40" ca="1">IF(ROW(C40)-J$15 &lt; J$14,C40,IF(ROW(C40) - J$15 -J$16 + 1 &lt; J$14,INDIRECT(ADDRESS(MOD(ROW(C40) - J$15, J$14) + J$15, COLUMN(C40))),""))</f>
        <v>CP</v>
      </c>
      <c r="K40" t="str" cm="1">
        <f t="array" aca="1" ref="K40" ca="1">IF(ROW(D40)-K$15 &lt; K$14,D40,IF(ROW(D40) - K$15 -K$16 + 1 &lt; K$14,INDIRECT(ADDRESS(MOD(ROW(D40) - K$15, K$14) + K$15, COLUMN(D40))),""))</f>
        <v>BLANK</v>
      </c>
      <c r="L40" t="str" cm="1">
        <f t="array" aca="1" ref="L40" ca="1">IF(ROW(E40)-L$15 &lt; L$14,E40,IF(ROW(E40) - L$15 -L$16 + 1 &lt; L$14,INDIRECT(ADDRESS(MOD(ROW(E40) - L$15, L$14) + L$15, COLUMN(E40))),""))</f>
        <v>BLANK</v>
      </c>
      <c r="N40" cm="1">
        <f t="array" aca="1" ref="N40" ca="1">IF(H40&lt;&gt;"", SUMPRODUCT((OFFSET(H40,0,0,H$16,1)=$T$24) +0),"")</f>
        <v>2</v>
      </c>
      <c r="O40" cm="1">
        <f t="array" aca="1" ref="O40" ca="1">IF(I40&lt;&gt;"", SUMPRODUCT((OFFSET(I40,0,0,I$16,1)=$T$24) +0),"")</f>
        <v>2</v>
      </c>
      <c r="P40" cm="1">
        <f t="array" aca="1" ref="P40" ca="1">IF(J40&lt;&gt;"", SUMPRODUCT((OFFSET(J40,0,0,J$16,1)=$T$24) +0),"")</f>
        <v>1</v>
      </c>
      <c r="Q40" cm="1">
        <f t="array" aca="1" ref="Q40" ca="1">IF(K40&lt;&gt;"", SUMPRODUCT((OFFSET(K40,0,0,K$16,1)=$T$24) +0),"")</f>
        <v>0</v>
      </c>
      <c r="R40" cm="1">
        <f t="array" aca="1" ref="R40" ca="1">IF(L40&lt;&gt;"", SUMPRODUCT((OFFSET(L40,0,0,L$16,1)=$T$24) +0),"")</f>
        <v>0</v>
      </c>
      <c r="T40" s="19" t="s">
        <v>26</v>
      </c>
      <c r="U40" s="31">
        <f ca="1">SUM(U38:U39)</f>
        <v>5.9313455960153441</v>
      </c>
      <c r="AH40" s="85"/>
      <c r="AM40" s="85"/>
      <c r="AN40" s="85"/>
    </row>
    <row r="41" spans="1:41" x14ac:dyDescent="0.3">
      <c r="A41" t="str">
        <v>BLANK</v>
      </c>
      <c r="B41" t="str">
        <v>BLANK</v>
      </c>
      <c r="C41" t="str">
        <v>BLANK</v>
      </c>
      <c r="D41" t="str">
        <v>BLANK</v>
      </c>
      <c r="E41" t="str">
        <v>BLANK</v>
      </c>
      <c r="H41" t="str" cm="1">
        <f t="array" aca="1" ref="H41" ca="1">IF(ROW(A41)-H$15 &lt; H$14,A41,IF(ROW(A41) - H$15 -H$16 + 1 &lt; H$14,INDIRECT(ADDRESS(MOD(ROW(A41) - H$15, H$14) + H$15, COLUMN(A41))),""))</f>
        <v>BLANK</v>
      </c>
      <c r="I41" t="str" cm="1">
        <f t="array" aca="1" ref="I41" ca="1">IF(ROW(B41)-I$15 &lt; I$14,B41,IF(ROW(B41) - I$15 -I$16 + 1 &lt; I$14,INDIRECT(ADDRESS(MOD(ROW(B41) - I$15, I$14) + I$15, COLUMN(B41))),""))</f>
        <v>BLANK</v>
      </c>
      <c r="J41" t="str" cm="1">
        <f t="array" aca="1" ref="J41" ca="1">IF(ROW(C41)-J$15 &lt; J$14,C41,IF(ROW(C41) - J$15 -J$16 + 1 &lt; J$14,INDIRECT(ADDRESS(MOD(ROW(C41) - J$15, J$14) + J$15, COLUMN(C41))),""))</f>
        <v>BLANK</v>
      </c>
      <c r="K41" t="str" cm="1">
        <f t="array" aca="1" ref="K41" ca="1">IF(ROW(D41)-K$15 &lt; K$14,D41,IF(ROW(D41) - K$15 -K$16 + 1 &lt; K$14,INDIRECT(ADDRESS(MOD(ROW(D41) - K$15, K$14) + K$15, COLUMN(D41))),""))</f>
        <v>BLANK</v>
      </c>
      <c r="L41" t="str" cm="1">
        <f t="array" aca="1" ref="L41" ca="1">IF(ROW(E41)-L$15 &lt; L$14,E41,IF(ROW(E41) - L$15 -L$16 + 1 &lt; L$14,INDIRECT(ADDRESS(MOD(ROW(E41) - L$15, L$14) + L$15, COLUMN(E41))),""))</f>
        <v>BLANK</v>
      </c>
      <c r="N41" cm="1">
        <f t="array" aca="1" ref="N41" ca="1">IF(H41&lt;&gt;"", SUMPRODUCT((OFFSET(H41,0,0,H$16,1)=$T$24) +0),"")</f>
        <v>2</v>
      </c>
      <c r="O41" cm="1">
        <f t="array" aca="1" ref="O41" ca="1">IF(I41&lt;&gt;"", SUMPRODUCT((OFFSET(I41,0,0,I$16,1)=$T$24) +0),"")</f>
        <v>1</v>
      </c>
      <c r="P41" cm="1">
        <f t="array" aca="1" ref="P41" ca="1">IF(J41&lt;&gt;"", SUMPRODUCT((OFFSET(J41,0,0,J$16,1)=$T$24) +0),"")</f>
        <v>0</v>
      </c>
      <c r="Q41" cm="1">
        <f t="array" aca="1" ref="Q41" ca="1">IF(K41&lt;&gt;"", SUMPRODUCT((OFFSET(K41,0,0,K$16,1)=$T$24) +0),"")</f>
        <v>1</v>
      </c>
      <c r="R41" cm="1">
        <f t="array" aca="1" ref="R41" ca="1">IF(L41&lt;&gt;"", SUMPRODUCT((OFFSET(L41,0,0,L$16,1)=$T$24) +0),"")</f>
        <v>0</v>
      </c>
      <c r="AH41" s="85"/>
      <c r="AM41" s="85"/>
      <c r="AN41" s="85"/>
    </row>
    <row r="42" spans="1:41" x14ac:dyDescent="0.3">
      <c r="A42" t="str">
        <v>CP</v>
      </c>
      <c r="B42" t="str">
        <v>CP</v>
      </c>
      <c r="C42" t="str">
        <v>BLANK</v>
      </c>
      <c r="D42" t="str">
        <v>BLANK</v>
      </c>
      <c r="E42" t="str">
        <v>BLANK</v>
      </c>
      <c r="H42" t="str" cm="1">
        <f t="array" aca="1" ref="H42" ca="1">IF(ROW(A42)-H$15 &lt; H$14,A42,IF(ROW(A42) - H$15 -H$16 + 1 &lt; H$14,INDIRECT(ADDRESS(MOD(ROW(A42) - H$15, H$14) + H$15, COLUMN(A42))),""))</f>
        <v>CP</v>
      </c>
      <c r="I42" t="str" cm="1">
        <f t="array" aca="1" ref="I42" ca="1">IF(ROW(B42)-I$15 &lt; I$14,B42,IF(ROW(B42) - I$15 -I$16 + 1 &lt; I$14,INDIRECT(ADDRESS(MOD(ROW(B42) - I$15, I$14) + I$15, COLUMN(B42))),""))</f>
        <v>CP</v>
      </c>
      <c r="J42" t="str" cm="1">
        <f t="array" aca="1" ref="J42" ca="1">IF(ROW(C42)-J$15 &lt; J$14,C42,IF(ROW(C42) - J$15 -J$16 + 1 &lt; J$14,INDIRECT(ADDRESS(MOD(ROW(C42) - J$15, J$14) + J$15, COLUMN(C42))),""))</f>
        <v>BLANK</v>
      </c>
      <c r="K42" t="str" cm="1">
        <f t="array" aca="1" ref="K42" ca="1">IF(ROW(D42)-K$15 &lt; K$14,D42,IF(ROW(D42) - K$15 -K$16 + 1 &lt; K$14,INDIRECT(ADDRESS(MOD(ROW(D42) - K$15, K$14) + K$15, COLUMN(D42))),""))</f>
        <v>BLANK</v>
      </c>
      <c r="L42" t="str" cm="1">
        <f t="array" aca="1" ref="L42" ca="1">IF(ROW(E42)-L$15 &lt; L$14,E42,IF(ROW(E42) - L$15 -L$16 + 1 &lt; L$14,INDIRECT(ADDRESS(MOD(ROW(E42) - L$15, L$14) + L$15, COLUMN(E42))),""))</f>
        <v>BLANK</v>
      </c>
      <c r="N42" cm="1">
        <f t="array" aca="1" ref="N42" ca="1">IF(H42&lt;&gt;"", SUMPRODUCT((OFFSET(H42,0,0,H$16,1)=$T$24) +0),"")</f>
        <v>2</v>
      </c>
      <c r="O42" cm="1">
        <f t="array" aca="1" ref="O42" ca="1">IF(I42&lt;&gt;"", SUMPRODUCT((OFFSET(I42,0,0,I$16,1)=$T$24) +0),"")</f>
        <v>1</v>
      </c>
      <c r="P42" cm="1">
        <f t="array" aca="1" ref="P42" ca="1">IF(J42&lt;&gt;"", SUMPRODUCT((OFFSET(J42,0,0,J$16,1)=$T$24) +0),"")</f>
        <v>1</v>
      </c>
      <c r="Q42" cm="1">
        <f t="array" aca="1" ref="Q42" ca="1">IF(K42&lt;&gt;"", SUMPRODUCT((OFFSET(K42,0,0,K$16,1)=$T$24) +0),"")</f>
        <v>1</v>
      </c>
      <c r="R42" cm="1">
        <f t="array" aca="1" ref="R42" ca="1">IF(L42&lt;&gt;"", SUMPRODUCT((OFFSET(L42,0,0,L$16,1)=$T$24) +0),"")</f>
        <v>0</v>
      </c>
      <c r="AH42" s="85"/>
      <c r="AM42" s="85"/>
      <c r="AN42" s="85"/>
    </row>
    <row r="43" spans="1:41" x14ac:dyDescent="0.3">
      <c r="A43" t="str">
        <v>CP</v>
      </c>
      <c r="B43" t="str">
        <v>BLANK</v>
      </c>
      <c r="C43" t="str">
        <v>BLANK</v>
      </c>
      <c r="D43" t="str">
        <v>CP</v>
      </c>
      <c r="E43" t="str">
        <v>BLANK</v>
      </c>
      <c r="H43" t="str" cm="1">
        <f t="array" aca="1" ref="H43" ca="1">IF(ROW(A43)-H$15 &lt; H$14,A43,IF(ROW(A43) - H$15 -H$16 + 1 &lt; H$14,INDIRECT(ADDRESS(MOD(ROW(A43) - H$15, H$14) + H$15, COLUMN(A43))),""))</f>
        <v>CP</v>
      </c>
      <c r="I43" t="str" cm="1">
        <f t="array" aca="1" ref="I43" ca="1">IF(ROW(B43)-I$15 &lt; I$14,B43,IF(ROW(B43) - I$15 -I$16 + 1 &lt; I$14,INDIRECT(ADDRESS(MOD(ROW(B43) - I$15, I$14) + I$15, COLUMN(B43))),""))</f>
        <v>BLANK</v>
      </c>
      <c r="J43" t="str" cm="1">
        <f t="array" aca="1" ref="J43" ca="1">IF(ROW(C43)-J$15 &lt; J$14,C43,IF(ROW(C43) - J$15 -J$16 + 1 &lt; J$14,INDIRECT(ADDRESS(MOD(ROW(C43) - J$15, J$14) + J$15, COLUMN(C43))),""))</f>
        <v>BLANK</v>
      </c>
      <c r="K43" t="str" cm="1">
        <f t="array" aca="1" ref="K43" ca="1">IF(ROW(D43)-K$15 &lt; K$14,D43,IF(ROW(D43) - K$15 -K$16 + 1 &lt; K$14,INDIRECT(ADDRESS(MOD(ROW(D43) - K$15, K$14) + K$15, COLUMN(D43))),""))</f>
        <v>CP</v>
      </c>
      <c r="L43" t="str" cm="1">
        <f t="array" aca="1" ref="L43" ca="1">IF(ROW(E43)-L$15 &lt; L$14,E43,IF(ROW(E43) - L$15 -L$16 + 1 &lt; L$14,INDIRECT(ADDRESS(MOD(ROW(E43) - L$15, L$14) + L$15, COLUMN(E43))),""))</f>
        <v>BLANK</v>
      </c>
      <c r="N43" cm="1">
        <f t="array" aca="1" ref="N43" ca="1">IF(H43&lt;&gt;"", SUMPRODUCT((OFFSET(H43,0,0,H$16,1)=$T$24) +0),"")</f>
        <v>1</v>
      </c>
      <c r="O43" cm="1">
        <f t="array" aca="1" ref="O43" ca="1">IF(I43&lt;&gt;"", SUMPRODUCT((OFFSET(I43,0,0,I$16,1)=$T$24) +0),"")</f>
        <v>0</v>
      </c>
      <c r="P43" cm="1">
        <f t="array" aca="1" ref="P43" ca="1">IF(J43&lt;&gt;"", SUMPRODUCT((OFFSET(J43,0,0,J$16,1)=$T$24) +0),"")</f>
        <v>1</v>
      </c>
      <c r="Q43" cm="1">
        <f t="array" aca="1" ref="Q43" ca="1">IF(K43&lt;&gt;"", SUMPRODUCT((OFFSET(K43,0,0,K$16,1)=$T$24) +0),"")</f>
        <v>1</v>
      </c>
      <c r="R43" cm="1">
        <f t="array" aca="1" ref="R43" ca="1">IF(L43&lt;&gt;"", SUMPRODUCT((OFFSET(L43,0,0,L$16,1)=$T$24) +0),"")</f>
        <v>0</v>
      </c>
      <c r="U43" s="4"/>
      <c r="V43" s="4"/>
      <c r="W43" s="4"/>
    </row>
    <row r="44" spans="1:41" x14ac:dyDescent="0.3">
      <c r="A44" t="str">
        <v>BLANK</v>
      </c>
      <c r="B44" t="str">
        <v>BLANK</v>
      </c>
      <c r="C44" t="str">
        <v>CP</v>
      </c>
      <c r="D44" t="str">
        <v>BLANK</v>
      </c>
      <c r="E44" t="str">
        <v>BLANK</v>
      </c>
      <c r="H44" t="str" cm="1">
        <f t="array" aca="1" ref="H44" ca="1">IF(ROW(A44)-H$15 &lt; H$14,A44,IF(ROW(A44) - H$15 -H$16 + 1 &lt; H$14,INDIRECT(ADDRESS(MOD(ROW(A44) - H$15, H$14) + H$15, COLUMN(A44))),""))</f>
        <v>BLANK</v>
      </c>
      <c r="I44" t="str" cm="1">
        <f t="array" aca="1" ref="I44" ca="1">IF(ROW(B44)-I$15 &lt; I$14,B44,IF(ROW(B44) - I$15 -I$16 + 1 &lt; I$14,INDIRECT(ADDRESS(MOD(ROW(B44) - I$15, I$14) + I$15, COLUMN(B44))),""))</f>
        <v>BLANK</v>
      </c>
      <c r="J44" t="str" cm="1">
        <f t="array" aca="1" ref="J44" ca="1">IF(ROW(C44)-J$15 &lt; J$14,C44,IF(ROW(C44) - J$15 -J$16 + 1 &lt; J$14,INDIRECT(ADDRESS(MOD(ROW(C44) - J$15, J$14) + J$15, COLUMN(C44))),""))</f>
        <v>CP</v>
      </c>
      <c r="K44" t="str" cm="1">
        <f t="array" aca="1" ref="K44" ca="1">IF(ROW(D44)-K$15 &lt; K$14,D44,IF(ROW(D44) - K$15 -K$16 + 1 &lt; K$14,INDIRECT(ADDRESS(MOD(ROW(D44) - K$15, K$14) + K$15, COLUMN(D44))),""))</f>
        <v>BLANK</v>
      </c>
      <c r="L44" t="str" cm="1">
        <f t="array" aca="1" ref="L44" ca="1">IF(ROW(E44)-L$15 &lt; L$14,E44,IF(ROW(E44) - L$15 -L$16 + 1 &lt; L$14,INDIRECT(ADDRESS(MOD(ROW(E44) - L$15, L$14) + L$15, COLUMN(E44))),""))</f>
        <v>BLANK</v>
      </c>
      <c r="N44" cm="1">
        <f t="array" aca="1" ref="N44" ca="1">IF(H44&lt;&gt;"", SUMPRODUCT((OFFSET(H44,0,0,H$16,1)=$T$24) +0),"")</f>
        <v>1</v>
      </c>
      <c r="O44" cm="1">
        <f t="array" aca="1" ref="O44" ca="1">IF(I44&lt;&gt;"", SUMPRODUCT((OFFSET(I44,0,0,I$16,1)=$T$24) +0),"")</f>
        <v>0</v>
      </c>
      <c r="P44" cm="1">
        <f t="array" aca="1" ref="P44" ca="1">IF(J44&lt;&gt;"", SUMPRODUCT((OFFSET(J44,0,0,J$16,1)=$T$24) +0),"")</f>
        <v>2</v>
      </c>
      <c r="Q44" cm="1">
        <f t="array" aca="1" ref="Q44" ca="1">IF(K44&lt;&gt;"", SUMPRODUCT((OFFSET(K44,0,0,K$16,1)=$T$24) +0),"")</f>
        <v>1</v>
      </c>
      <c r="R44" cm="1">
        <f t="array" aca="1" ref="R44" ca="1">IF(L44&lt;&gt;"", SUMPRODUCT((OFFSET(L44,0,0,L$16,1)=$T$24) +0),"")</f>
        <v>0</v>
      </c>
    </row>
    <row r="45" spans="1:41" x14ac:dyDescent="0.3">
      <c r="A45" t="str">
        <v>BLANK</v>
      </c>
      <c r="B45" t="str">
        <v>BLANK</v>
      </c>
      <c r="C45" t="str">
        <v>BLANK</v>
      </c>
      <c r="D45" t="str">
        <v>BLANK</v>
      </c>
      <c r="E45" t="str">
        <v>BLANK</v>
      </c>
      <c r="H45" t="str" cm="1">
        <f t="array" aca="1" ref="H45" ca="1">IF(ROW(A45)-H$15 &lt; H$14,A45,IF(ROW(A45) - H$15 -H$16 + 1 &lt; H$14,INDIRECT(ADDRESS(MOD(ROW(A45) - H$15, H$14) + H$15, COLUMN(A45))),""))</f>
        <v>BLANK</v>
      </c>
      <c r="I45" t="str" cm="1">
        <f t="array" aca="1" ref="I45" ca="1">IF(ROW(B45)-I$15 &lt; I$14,B45,IF(ROW(B45) - I$15 -I$16 + 1 &lt; I$14,INDIRECT(ADDRESS(MOD(ROW(B45) - I$15, I$14) + I$15, COLUMN(B45))),""))</f>
        <v>BLANK</v>
      </c>
      <c r="J45" t="str" cm="1">
        <f t="array" aca="1" ref="J45" ca="1">IF(ROW(C45)-J$15 &lt; J$14,C45,IF(ROW(C45) - J$15 -J$16 + 1 &lt; J$14,INDIRECT(ADDRESS(MOD(ROW(C45) - J$15, J$14) + J$15, COLUMN(C45))),""))</f>
        <v>BLANK</v>
      </c>
      <c r="K45" t="str" cm="1">
        <f t="array" aca="1" ref="K45" ca="1">IF(ROW(D45)-K$15 &lt; K$14,D45,IF(ROW(D45) - K$15 -K$16 + 1 &lt; K$14,INDIRECT(ADDRESS(MOD(ROW(D45) - K$15, K$14) + K$15, COLUMN(D45))),""))</f>
        <v>BLANK</v>
      </c>
      <c r="L45" t="str" cm="1">
        <f t="array" aca="1" ref="L45" ca="1">IF(ROW(E45)-L$15 &lt; L$14,E45,IF(ROW(E45) - L$15 -L$16 + 1 &lt; L$14,INDIRECT(ADDRESS(MOD(ROW(E45) - L$15, L$14) + L$15, COLUMN(E45))),""))</f>
        <v>BLANK</v>
      </c>
      <c r="N45" cm="1">
        <f t="array" aca="1" ref="N45" ca="1">IF(H45&lt;&gt;"", SUMPRODUCT((OFFSET(H45,0,0,H$16,1)=$T$24) +0),"")</f>
        <v>1</v>
      </c>
      <c r="O45" cm="1">
        <f t="array" aca="1" ref="O45" ca="1">IF(I45&lt;&gt;"", SUMPRODUCT((OFFSET(I45,0,0,I$16,1)=$T$24) +0),"")</f>
        <v>0</v>
      </c>
      <c r="P45" cm="1">
        <f t="array" aca="1" ref="P45" ca="1">IF(J45&lt;&gt;"", SUMPRODUCT((OFFSET(J45,0,0,J$16,1)=$T$24) +0),"")</f>
        <v>2</v>
      </c>
      <c r="Q45" cm="1">
        <f t="array" aca="1" ref="Q45" ca="1">IF(K45&lt;&gt;"", SUMPRODUCT((OFFSET(K45,0,0,K$16,1)=$T$24) +0),"")</f>
        <v>1</v>
      </c>
      <c r="R45" cm="1">
        <f t="array" aca="1" ref="R45" ca="1">IF(L45&lt;&gt;"", SUMPRODUCT((OFFSET(L45,0,0,L$16,1)=$T$24) +0),"")</f>
        <v>1</v>
      </c>
    </row>
    <row r="46" spans="1:41" x14ac:dyDescent="0.3">
      <c r="A46" t="str">
        <v>CP</v>
      </c>
      <c r="B46" t="str">
        <v>BLANK</v>
      </c>
      <c r="C46" t="str">
        <v>CP</v>
      </c>
      <c r="D46" t="str">
        <v>CP</v>
      </c>
      <c r="E46" t="str">
        <v>BLANK</v>
      </c>
      <c r="H46" t="str" cm="1">
        <f t="array" aca="1" ref="H46" ca="1">IF(ROW(A46)-H$15 &lt; H$14,A46,IF(ROW(A46) - H$15 -H$16 + 1 &lt; H$14,INDIRECT(ADDRESS(MOD(ROW(A46) - H$15, H$14) + H$15, COLUMN(A46))),""))</f>
        <v>CP</v>
      </c>
      <c r="I46" t="str" cm="1">
        <f t="array" aca="1" ref="I46" ca="1">IF(ROW(B46)-I$15 &lt; I$14,B46,IF(ROW(B46) - I$15 -I$16 + 1 &lt; I$14,INDIRECT(ADDRESS(MOD(ROW(B46) - I$15, I$14) + I$15, COLUMN(B46))),""))</f>
        <v>BLANK</v>
      </c>
      <c r="J46" t="str" cm="1">
        <f t="array" aca="1" ref="J46" ca="1">IF(ROW(C46)-J$15 &lt; J$14,C46,IF(ROW(C46) - J$15 -J$16 + 1 &lt; J$14,INDIRECT(ADDRESS(MOD(ROW(C46) - J$15, J$14) + J$15, COLUMN(C46))),""))</f>
        <v>CP</v>
      </c>
      <c r="K46" t="str" cm="1">
        <f t="array" aca="1" ref="K46" ca="1">IF(ROW(D46)-K$15 &lt; K$14,D46,IF(ROW(D46) - K$15 -K$16 + 1 &lt; K$14,INDIRECT(ADDRESS(MOD(ROW(D46) - K$15, K$14) + K$15, COLUMN(D46))),""))</f>
        <v>CP</v>
      </c>
      <c r="L46" t="str" cm="1">
        <f t="array" aca="1" ref="L46" ca="1">IF(ROW(E46)-L$15 &lt; L$14,E46,IF(ROW(E46) - L$15 -L$16 + 1 &lt; L$14,INDIRECT(ADDRESS(MOD(ROW(E46) - L$15, L$14) + L$15, COLUMN(E46))),""))</f>
        <v>BLANK</v>
      </c>
      <c r="N46" cm="1">
        <f t="array" aca="1" ref="N46" ca="1">IF(H46&lt;&gt;"", SUMPRODUCT((OFFSET(H46,0,0,H$16,1)=$T$24) +0),"")</f>
        <v>2</v>
      </c>
      <c r="O46" cm="1">
        <f t="array" aca="1" ref="O46" ca="1">IF(I46&lt;&gt;"", SUMPRODUCT((OFFSET(I46,0,0,I$16,1)=$T$24) +0),"")</f>
        <v>0</v>
      </c>
      <c r="P46" cm="1">
        <f t="array" aca="1" ref="P46" ca="1">IF(J46&lt;&gt;"", SUMPRODUCT((OFFSET(J46,0,0,J$16,1)=$T$24) +0),"")</f>
        <v>2</v>
      </c>
      <c r="Q46" cm="1">
        <f t="array" aca="1" ref="Q46" ca="1">IF(K46&lt;&gt;"", SUMPRODUCT((OFFSET(K46,0,0,K$16,1)=$T$24) +0),"")</f>
        <v>1</v>
      </c>
      <c r="R46" cm="1">
        <f t="array" aca="1" ref="R46" ca="1">IF(L46&lt;&gt;"", SUMPRODUCT((OFFSET(L46,0,0,L$16,1)=$T$24) +0),"")</f>
        <v>2</v>
      </c>
    </row>
    <row r="47" spans="1:41" x14ac:dyDescent="0.3">
      <c r="A47" t="str">
        <v>BLANK</v>
      </c>
      <c r="B47" t="str">
        <v>BLANK</v>
      </c>
      <c r="C47" t="str">
        <v>CP</v>
      </c>
      <c r="D47" t="str">
        <v>BLANK</v>
      </c>
      <c r="E47" t="str">
        <v>CP</v>
      </c>
      <c r="H47" t="str" cm="1">
        <f t="array" aca="1" ref="H47" ca="1">IF(ROW(A47)-H$15 &lt; H$14,A47,IF(ROW(A47) - H$15 -H$16 + 1 &lt; H$14,INDIRECT(ADDRESS(MOD(ROW(A47) - H$15, H$14) + H$15, COLUMN(A47))),""))</f>
        <v>BLANK</v>
      </c>
      <c r="I47" t="str" cm="1">
        <f t="array" aca="1" ref="I47" ca="1">IF(ROW(B47)-I$15 &lt; I$14,B47,IF(ROW(B47) - I$15 -I$16 + 1 &lt; I$14,INDIRECT(ADDRESS(MOD(ROW(B47) - I$15, I$14) + I$15, COLUMN(B47))),""))</f>
        <v>BLANK</v>
      </c>
      <c r="J47" t="str" cm="1">
        <f t="array" aca="1" ref="J47" ca="1">IF(ROW(C47)-J$15 &lt; J$14,C47,IF(ROW(C47) - J$15 -J$16 + 1 &lt; J$14,INDIRECT(ADDRESS(MOD(ROW(C47) - J$15, J$14) + J$15, COLUMN(C47))),""))</f>
        <v>CP</v>
      </c>
      <c r="K47" t="str" cm="1">
        <f t="array" aca="1" ref="K47" ca="1">IF(ROW(D47)-K$15 &lt; K$14,D47,IF(ROW(D47) - K$15 -K$16 + 1 &lt; K$14,INDIRECT(ADDRESS(MOD(ROW(D47) - K$15, K$14) + K$15, COLUMN(D47))),""))</f>
        <v>BLANK</v>
      </c>
      <c r="L47" t="str" cm="1">
        <f t="array" aca="1" ref="L47" ca="1">IF(ROW(E47)-L$15 &lt; L$14,E47,IF(ROW(E47) - L$15 -L$16 + 1 &lt; L$14,INDIRECT(ADDRESS(MOD(ROW(E47) - L$15, L$14) + L$15, COLUMN(E47))),""))</f>
        <v>CP</v>
      </c>
      <c r="N47" cm="1">
        <f t="array" aca="1" ref="N47" ca="1">IF(H47&lt;&gt;"", SUMPRODUCT((OFFSET(H47,0,0,H$16,1)=$T$24) +0),"")</f>
        <v>2</v>
      </c>
      <c r="O47" cm="1">
        <f t="array" aca="1" ref="O47" ca="1">IF(I47&lt;&gt;"", SUMPRODUCT((OFFSET(I47,0,0,I$16,1)=$T$24) +0),"")</f>
        <v>1</v>
      </c>
      <c r="P47" cm="1">
        <f t="array" aca="1" ref="P47" ca="1">IF(J47&lt;&gt;"", SUMPRODUCT((OFFSET(J47,0,0,J$16,1)=$T$24) +0),"")</f>
        <v>1</v>
      </c>
      <c r="Q47" cm="1">
        <f t="array" aca="1" ref="Q47" ca="1">IF(K47&lt;&gt;"", SUMPRODUCT((OFFSET(K47,0,0,K$16,1)=$T$24) +0),"")</f>
        <v>1</v>
      </c>
      <c r="R47" cm="1">
        <f t="array" aca="1" ref="R47" ca="1">IF(L47&lt;&gt;"", SUMPRODUCT((OFFSET(L47,0,0,L$16,1)=$T$24) +0),"")</f>
        <v>2</v>
      </c>
    </row>
    <row r="48" spans="1:41" x14ac:dyDescent="0.3">
      <c r="A48" t="str">
        <v>CP</v>
      </c>
      <c r="B48" t="str">
        <v>BLANK</v>
      </c>
      <c r="C48" t="str">
        <v>BLANK</v>
      </c>
      <c r="D48" t="str">
        <v>BLANK</v>
      </c>
      <c r="E48" t="str">
        <v>CP</v>
      </c>
      <c r="H48" t="str" cm="1">
        <f t="array" aca="1" ref="H48" ca="1">IF(ROW(A48)-H$15 &lt; H$14,A48,IF(ROW(A48) - H$15 -H$16 + 1 &lt; H$14,INDIRECT(ADDRESS(MOD(ROW(A48) - H$15, H$14) + H$15, COLUMN(A48))),""))</f>
        <v>CP</v>
      </c>
      <c r="I48" t="str" cm="1">
        <f t="array" aca="1" ref="I48" ca="1">IF(ROW(B48)-I$15 &lt; I$14,B48,IF(ROW(B48) - I$15 -I$16 + 1 &lt; I$14,INDIRECT(ADDRESS(MOD(ROW(B48) - I$15, I$14) + I$15, COLUMN(B48))),""))</f>
        <v>BLANK</v>
      </c>
      <c r="J48" t="str" cm="1">
        <f t="array" aca="1" ref="J48" ca="1">IF(ROW(C48)-J$15 &lt; J$14,C48,IF(ROW(C48) - J$15 -J$16 + 1 &lt; J$14,INDIRECT(ADDRESS(MOD(ROW(C48) - J$15, J$14) + J$15, COLUMN(C48))),""))</f>
        <v>BLANK</v>
      </c>
      <c r="K48" t="str" cm="1">
        <f t="array" aca="1" ref="K48" ca="1">IF(ROW(D48)-K$15 &lt; K$14,D48,IF(ROW(D48) - K$15 -K$16 + 1 &lt; K$14,INDIRECT(ADDRESS(MOD(ROW(D48) - K$15, K$14) + K$15, COLUMN(D48))),""))</f>
        <v>BLANK</v>
      </c>
      <c r="L48" t="str" cm="1">
        <f t="array" aca="1" ref="L48" ca="1">IF(ROW(E48)-L$15 &lt; L$14,E48,IF(ROW(E48) - L$15 -L$16 + 1 &lt; L$14,INDIRECT(ADDRESS(MOD(ROW(E48) - L$15, L$14) + L$15, COLUMN(E48))),""))</f>
        <v>CP</v>
      </c>
      <c r="N48" cm="1">
        <f t="array" aca="1" ref="N48" ca="1">IF(H48&lt;&gt;"", SUMPRODUCT((OFFSET(H48,0,0,H$16,1)=$T$24) +0),"")</f>
        <v>2</v>
      </c>
      <c r="O48" cm="1">
        <f t="array" aca="1" ref="O48" ca="1">IF(I48&lt;&gt;"", SUMPRODUCT((OFFSET(I48,0,0,I$16,1)=$T$24) +0),"")</f>
        <v>2</v>
      </c>
      <c r="P48" cm="1">
        <f t="array" aca="1" ref="P48" ca="1">IF(J48&lt;&gt;"", SUMPRODUCT((OFFSET(J48,0,0,J$16,1)=$T$24) +0),"")</f>
        <v>1</v>
      </c>
      <c r="Q48" cm="1">
        <f t="array" aca="1" ref="Q48" ca="1">IF(K48&lt;&gt;"", SUMPRODUCT((OFFSET(K48,0,0,K$16,1)=$T$24) +0),"")</f>
        <v>1</v>
      </c>
      <c r="R48" cm="1">
        <f t="array" aca="1" ref="R48" ca="1">IF(L48&lt;&gt;"", SUMPRODUCT((OFFSET(L48,0,0,L$16,1)=$T$24) +0),"")</f>
        <v>1</v>
      </c>
    </row>
    <row r="49" spans="1:40" x14ac:dyDescent="0.3">
      <c r="A49" t="str">
        <v>CP</v>
      </c>
      <c r="B49" t="str">
        <v>CP</v>
      </c>
      <c r="C49" t="str">
        <v>BLANK</v>
      </c>
      <c r="D49" t="str">
        <v>CP</v>
      </c>
      <c r="E49" t="str">
        <v>BLANK</v>
      </c>
      <c r="H49" t="str" cm="1">
        <f t="array" aca="1" ref="H49" ca="1">IF(ROW(A49)-H$15 &lt; H$14,A49,IF(ROW(A49) - H$15 -H$16 + 1 &lt; H$14,INDIRECT(ADDRESS(MOD(ROW(A49) - H$15, H$14) + H$15, COLUMN(A49))),""))</f>
        <v>CP</v>
      </c>
      <c r="I49" t="str" cm="1">
        <f t="array" aca="1" ref="I49" ca="1">IF(ROW(B49)-I$15 &lt; I$14,B49,IF(ROW(B49) - I$15 -I$16 + 1 &lt; I$14,INDIRECT(ADDRESS(MOD(ROW(B49) - I$15, I$14) + I$15, COLUMN(B49))),""))</f>
        <v>CP</v>
      </c>
      <c r="J49" t="str" cm="1">
        <f t="array" aca="1" ref="J49" ca="1">IF(ROW(C49)-J$15 &lt; J$14,C49,IF(ROW(C49) - J$15 -J$16 + 1 &lt; J$14,INDIRECT(ADDRESS(MOD(ROW(C49) - J$15, J$14) + J$15, COLUMN(C49))),""))</f>
        <v>BLANK</v>
      </c>
      <c r="K49" t="str" cm="1">
        <f t="array" aca="1" ref="K49" ca="1">IF(ROW(D49)-K$15 &lt; K$14,D49,IF(ROW(D49) - K$15 -K$16 + 1 &lt; K$14,INDIRECT(ADDRESS(MOD(ROW(D49) - K$15, K$14) + K$15, COLUMN(D49))),""))</f>
        <v>CP</v>
      </c>
      <c r="L49" t="str" cm="1">
        <f t="array" aca="1" ref="L49" ca="1">IF(ROW(E49)-L$15 &lt; L$14,E49,IF(ROW(E49) - L$15 -L$16 + 1 &lt; L$14,INDIRECT(ADDRESS(MOD(ROW(E49) - L$15, L$14) + L$15, COLUMN(E49))),""))</f>
        <v>BLANK</v>
      </c>
      <c r="N49" cm="1">
        <f t="array" aca="1" ref="N49" ca="1">IF(H49&lt;&gt;"", SUMPRODUCT((OFFSET(H49,0,0,H$16,1)=$T$24) +0),"")</f>
        <v>1</v>
      </c>
      <c r="O49" cm="1">
        <f t="array" aca="1" ref="O49" ca="1">IF(I49&lt;&gt;"", SUMPRODUCT((OFFSET(I49,0,0,I$16,1)=$T$24) +0),"")</f>
        <v>2</v>
      </c>
      <c r="P49" cm="1">
        <f t="array" aca="1" ref="P49" ca="1">IF(J49&lt;&gt;"", SUMPRODUCT((OFFSET(J49,0,0,J$16,1)=$T$24) +0),"")</f>
        <v>1</v>
      </c>
      <c r="Q49" cm="1">
        <f t="array" aca="1" ref="Q49" ca="1">IF(K49&lt;&gt;"", SUMPRODUCT((OFFSET(K49,0,0,K$16,1)=$T$24) +0),"")</f>
        <v>1</v>
      </c>
      <c r="R49" cm="1">
        <f t="array" aca="1" ref="R49" ca="1">IF(L49&lt;&gt;"", SUMPRODUCT((OFFSET(L49,0,0,L$16,1)=$T$24) +0),"")</f>
        <v>1</v>
      </c>
    </row>
    <row r="50" spans="1:40" x14ac:dyDescent="0.3">
      <c r="A50" t="str">
        <v>BLANK</v>
      </c>
      <c r="B50" t="str">
        <v>CP</v>
      </c>
      <c r="C50" t="str">
        <v>CP</v>
      </c>
      <c r="D50" t="str">
        <v>BLANK</v>
      </c>
      <c r="E50" t="str">
        <v>BLANK</v>
      </c>
      <c r="H50" t="str" cm="1">
        <f t="array" aca="1" ref="H50" ca="1">IF(ROW(A50)-H$15 &lt; H$14,A50,IF(ROW(A50) - H$15 -H$16 + 1 &lt; H$14,INDIRECT(ADDRESS(MOD(ROW(A50) - H$15, H$14) + H$15, COLUMN(A50))),""))</f>
        <v>BLANK</v>
      </c>
      <c r="I50" t="str" cm="1">
        <f t="array" aca="1" ref="I50" ca="1">IF(ROW(B50)-I$15 &lt; I$14,B50,IF(ROW(B50) - I$15 -I$16 + 1 &lt; I$14,INDIRECT(ADDRESS(MOD(ROW(B50) - I$15, I$14) + I$15, COLUMN(B50))),""))</f>
        <v>CP</v>
      </c>
      <c r="J50" t="str" cm="1">
        <f t="array" aca="1" ref="J50" ca="1">IF(ROW(C50)-J$15 &lt; J$14,C50,IF(ROW(C50) - J$15 -J$16 + 1 &lt; J$14,INDIRECT(ADDRESS(MOD(ROW(C50) - J$15, J$14) + J$15, COLUMN(C50))),""))</f>
        <v>CP</v>
      </c>
      <c r="K50" t="str" cm="1">
        <f t="array" aca="1" ref="K50" ca="1">IF(ROW(D50)-K$15 &lt; K$14,D50,IF(ROW(D50) - K$15 -K$16 + 1 &lt; K$14,INDIRECT(ADDRESS(MOD(ROW(D50) - K$15, K$14) + K$15, COLUMN(D50))),""))</f>
        <v>BLANK</v>
      </c>
      <c r="L50" t="str" cm="1">
        <f t="array" aca="1" ref="L50" ca="1">IF(ROW(E50)-L$15 &lt; L$14,E50,IF(ROW(E50) - L$15 -L$16 + 1 &lt; L$14,INDIRECT(ADDRESS(MOD(ROW(E50) - L$15, L$14) + L$15, COLUMN(E50))),""))</f>
        <v>BLANK</v>
      </c>
      <c r="N50" cm="1">
        <f t="array" aca="1" ref="N50" ca="1">IF(H50&lt;&gt;"", SUMPRODUCT((OFFSET(H50,0,0,H$16,1)=$T$24) +0),"")</f>
        <v>0</v>
      </c>
      <c r="O50" cm="1">
        <f t="array" aca="1" ref="O50" ca="1">IF(I50&lt;&gt;"", SUMPRODUCT((OFFSET(I50,0,0,I$16,1)=$T$24) +0),"")</f>
        <v>2</v>
      </c>
      <c r="P50" cm="1">
        <f t="array" aca="1" ref="P50" ca="1">IF(J50&lt;&gt;"", SUMPRODUCT((OFFSET(J50,0,0,J$16,1)=$T$24) +0),"")</f>
        <v>1</v>
      </c>
      <c r="Q50" cm="1">
        <f t="array" aca="1" ref="Q50" ca="1">IF(K50&lt;&gt;"", SUMPRODUCT((OFFSET(K50,0,0,K$16,1)=$T$24) +0),"")</f>
        <v>1</v>
      </c>
      <c r="R50" cm="1">
        <f t="array" aca="1" ref="R50" ca="1">IF(L50&lt;&gt;"", SUMPRODUCT((OFFSET(L50,0,0,L$16,1)=$T$24) +0),"")</f>
        <v>1</v>
      </c>
      <c r="T50" s="1" t="s">
        <v>46</v>
      </c>
      <c r="U50" s="41" t="s">
        <v>18</v>
      </c>
      <c r="V50" s="16" t="s">
        <v>19</v>
      </c>
      <c r="W50" s="1" t="s">
        <v>20</v>
      </c>
      <c r="X50" s="1" t="s">
        <v>56</v>
      </c>
      <c r="Y50" s="1" t="s">
        <v>57</v>
      </c>
      <c r="AB50">
        <f>1</f>
        <v>1</v>
      </c>
      <c r="AC50">
        <f>AB50*(H16+1)</f>
        <v>4</v>
      </c>
      <c r="AD50">
        <f>AC50*(I16+1)</f>
        <v>16</v>
      </c>
      <c r="AE50">
        <f>AD50*(J16+1)</f>
        <v>64</v>
      </c>
      <c r="AF50">
        <f>AE50*(K16+1)</f>
        <v>256</v>
      </c>
    </row>
    <row r="51" spans="1:40" x14ac:dyDescent="0.3">
      <c r="A51" t="str">
        <v>BLANK</v>
      </c>
      <c r="B51" t="str">
        <v>BLANK</v>
      </c>
      <c r="C51" t="str">
        <v>BLANK</v>
      </c>
      <c r="D51" t="str">
        <v>BLANK</v>
      </c>
      <c r="E51" t="str">
        <v>CP</v>
      </c>
      <c r="H51" t="str" cm="1">
        <f t="array" aca="1" ref="H51" ca="1">IF(ROW(A51)-H$15 &lt; H$14,A51,IF(ROW(A51) - H$15 -H$16 + 1 &lt; H$14,INDIRECT(ADDRESS(MOD(ROW(A51) - H$15, H$14) + H$15, COLUMN(A51))),""))</f>
        <v>BLANK</v>
      </c>
      <c r="I51" t="str" cm="1">
        <f t="array" aca="1" ref="I51" ca="1">IF(ROW(B51)-I$15 &lt; I$14,B51,IF(ROW(B51) - I$15 -I$16 + 1 &lt; I$14,INDIRECT(ADDRESS(MOD(ROW(B51) - I$15, I$14) + I$15, COLUMN(B51))),""))</f>
        <v>BLANK</v>
      </c>
      <c r="J51" t="str" cm="1">
        <f t="array" aca="1" ref="J51" ca="1">IF(ROW(C51)-J$15 &lt; J$14,C51,IF(ROW(C51) - J$15 -J$16 + 1 &lt; J$14,INDIRECT(ADDRESS(MOD(ROW(C51) - J$15, J$14) + J$15, COLUMN(C51))),""))</f>
        <v>BLANK</v>
      </c>
      <c r="K51" t="str" cm="1">
        <f t="array" aca="1" ref="K51" ca="1">IF(ROW(D51)-K$15 &lt; K$14,D51,IF(ROW(D51) - K$15 -K$16 + 1 &lt; K$14,INDIRECT(ADDRESS(MOD(ROW(D51) - K$15, K$14) + K$15, COLUMN(D51))),""))</f>
        <v>BLANK</v>
      </c>
      <c r="L51" t="str" cm="1">
        <f t="array" aca="1" ref="L51" ca="1">IF(ROW(E51)-L$15 &lt; L$14,E51,IF(ROW(E51) - L$15 -L$16 + 1 &lt; L$14,INDIRECT(ADDRESS(MOD(ROW(E51) - L$15, L$14) + L$15, COLUMN(E51))),""))</f>
        <v>CP</v>
      </c>
      <c r="N51" cm="1">
        <f t="array" aca="1" ref="N51" ca="1">IF(H51&lt;&gt;"", SUMPRODUCT((OFFSET(H51,0,0,H$16,1)=$T$24) +0),"")</f>
        <v>0</v>
      </c>
      <c r="O51" cm="1">
        <f t="array" aca="1" ref="O51" ca="1">IF(I51&lt;&gt;"", SUMPRODUCT((OFFSET(I51,0,0,I$16,1)=$T$24) +0),"")</f>
        <v>1</v>
      </c>
      <c r="P51" cm="1">
        <f t="array" aca="1" ref="P51" ca="1">IF(J51&lt;&gt;"", SUMPRODUCT((OFFSET(J51,0,0,J$16,1)=$T$24) +0),"")</f>
        <v>1</v>
      </c>
      <c r="Q51" cm="1">
        <f t="array" aca="1" ref="Q51" ca="1">IF(K51&lt;&gt;"", SUMPRODUCT((OFFSET(K51,0,0,K$16,1)=$T$24) +0),"")</f>
        <v>2</v>
      </c>
      <c r="R51" cm="1">
        <f t="array" aca="1" ref="R51" ca="1">IF(L51&lt;&gt;"", SUMPRODUCT((OFFSET(L51,0,0,L$16,1)=$T$24) +0),"")</f>
        <v>1</v>
      </c>
      <c r="T51" s="42">
        <v>0</v>
      </c>
      <c r="U51" s="43">
        <f ca="1">COUNTIF(N:N,$T51)</f>
        <v>18</v>
      </c>
      <c r="V51" s="43">
        <f t="shared" ref="U51:Y55" ca="1" si="19">COUNTIF(O:O,$T51)</f>
        <v>17</v>
      </c>
      <c r="W51" s="43">
        <f t="shared" ca="1" si="19"/>
        <v>16</v>
      </c>
      <c r="X51" s="43">
        <f t="shared" ca="1" si="19"/>
        <v>14</v>
      </c>
      <c r="Y51" s="43">
        <f t="shared" ca="1" si="19"/>
        <v>19</v>
      </c>
      <c r="AA51">
        <f>ROW(AA52)</f>
        <v>52</v>
      </c>
      <c r="AB51" s="80" t="s">
        <v>47</v>
      </c>
      <c r="AC51" s="76"/>
      <c r="AD51" s="76"/>
      <c r="AE51" s="76"/>
      <c r="AF51" s="81"/>
      <c r="AG51" s="45" t="s">
        <v>53</v>
      </c>
      <c r="AH51" s="45" t="s">
        <v>37</v>
      </c>
      <c r="AI51" s="45" t="s">
        <v>34</v>
      </c>
      <c r="AJ51" s="45" t="s">
        <v>6</v>
      </c>
      <c r="AL51" s="45" t="s">
        <v>93</v>
      </c>
      <c r="AM51" s="45" t="s">
        <v>54</v>
      </c>
      <c r="AN51" s="4"/>
    </row>
    <row r="52" spans="1:40" x14ac:dyDescent="0.3">
      <c r="A52" t="str">
        <v>BLANK</v>
      </c>
      <c r="B52" t="str">
        <v>CP</v>
      </c>
      <c r="C52" t="str">
        <v>BLANK</v>
      </c>
      <c r="D52" t="str">
        <v>CP</v>
      </c>
      <c r="E52" t="str">
        <v>BLANK</v>
      </c>
      <c r="H52" t="str" cm="1">
        <f t="array" aca="1" ref="H52" ca="1">IF(ROW(A52)-H$15 &lt; H$14,A52,IF(ROW(A52) - H$15 -H$16 + 1 &lt; H$14,INDIRECT(ADDRESS(MOD(ROW(A52) - H$15, H$14) + H$15, COLUMN(A52))),""))</f>
        <v>BLANK</v>
      </c>
      <c r="I52" t="str" cm="1">
        <f t="array" aca="1" ref="I52" ca="1">IF(ROW(B52)-I$15 &lt; I$14,B52,IF(ROW(B52) - I$15 -I$16 + 1 &lt; I$14,INDIRECT(ADDRESS(MOD(ROW(B52) - I$15, I$14) + I$15, COLUMN(B52))),""))</f>
        <v>CP</v>
      </c>
      <c r="J52" t="str" cm="1">
        <f t="array" aca="1" ref="J52" ca="1">IF(ROW(C52)-J$15 &lt; J$14,C52,IF(ROW(C52) - J$15 -J$16 + 1 &lt; J$14,INDIRECT(ADDRESS(MOD(ROW(C52) - J$15, J$14) + J$15, COLUMN(C52))),""))</f>
        <v>BLANK</v>
      </c>
      <c r="K52" t="str" cm="1">
        <f t="array" aca="1" ref="K52" ca="1">IF(ROW(D52)-K$15 &lt; K$14,D52,IF(ROW(D52) - K$15 -K$16 + 1 &lt; K$14,INDIRECT(ADDRESS(MOD(ROW(D52) - K$15, K$14) + K$15, COLUMN(D52))),""))</f>
        <v>CP</v>
      </c>
      <c r="L52" t="str" cm="1">
        <f t="array" aca="1" ref="L52" ca="1">IF(ROW(E52)-L$15 &lt; L$14,E52,IF(ROW(E52) - L$15 -L$16 + 1 &lt; L$14,INDIRECT(ADDRESS(MOD(ROW(E52) - L$15, L$14) + L$15, COLUMN(E52))),""))</f>
        <v>BLANK</v>
      </c>
      <c r="N52" cm="1">
        <f t="array" aca="1" ref="N52" ca="1">IF(H52&lt;&gt;"", SUMPRODUCT((OFFSET(H52,0,0,H$16,1)=$T$24) +0),"")</f>
        <v>0</v>
      </c>
      <c r="O52" cm="1">
        <f t="array" aca="1" ref="O52" ca="1">IF(I52&lt;&gt;"", SUMPRODUCT((OFFSET(I52,0,0,I$16,1)=$T$24) +0),"")</f>
        <v>1</v>
      </c>
      <c r="P52" cm="1">
        <f t="array" aca="1" ref="P52" ca="1">IF(J52&lt;&gt;"", SUMPRODUCT((OFFSET(J52,0,0,J$16,1)=$T$24) +0),"")</f>
        <v>2</v>
      </c>
      <c r="Q52" cm="1">
        <f t="array" aca="1" ref="Q52" ca="1">IF(K52&lt;&gt;"", SUMPRODUCT((OFFSET(K52,0,0,K$16,1)=$T$24) +0),"")</f>
        <v>2</v>
      </c>
      <c r="R52" cm="1">
        <f t="array" aca="1" ref="R52" ca="1">IF(L52&lt;&gt;"", SUMPRODUCT((OFFSET(L52,0,0,L$16,1)=$T$24) +0),"")</f>
        <v>1</v>
      </c>
      <c r="T52" s="1">
        <v>1</v>
      </c>
      <c r="U52" s="43">
        <f t="shared" ca="1" si="19"/>
        <v>19</v>
      </c>
      <c r="V52" s="43">
        <f t="shared" ca="1" si="19"/>
        <v>17</v>
      </c>
      <c r="W52" s="43">
        <f t="shared" ca="1" si="19"/>
        <v>20</v>
      </c>
      <c r="X52" s="43">
        <f t="shared" ca="1" si="19"/>
        <v>22</v>
      </c>
      <c r="Y52" s="43">
        <f t="shared" ca="1" si="19"/>
        <v>13</v>
      </c>
      <c r="AB52">
        <f t="shared" ref="AB52:AB115" si="20">IF(ROW()-$AA$51 &lt; (H$16+1)^5, MOD(_xlfn.FLOOR.MATH((ROW()-$AA$51)/AB$50), H$16+1), "")</f>
        <v>0</v>
      </c>
      <c r="AC52">
        <f t="shared" ref="AC52:AC115" si="21">IF(ROW()-$AA$51 &lt; (I$16+1)^5, MOD(_xlfn.FLOOR.MATH((ROW()-$AA$51)/AC$50), I$16+1), "")</f>
        <v>0</v>
      </c>
      <c r="AD52">
        <f t="shared" ref="AD52:AD115" si="22">IF(ROW()-$AA$51 &lt; (J$16+1)^5, MOD(_xlfn.FLOOR.MATH((ROW()-$AA$51)/AD$50), J$16+1), "")</f>
        <v>0</v>
      </c>
      <c r="AE52">
        <f t="shared" ref="AE52:AE115" si="23">IF(ROW()-$AA$51 &lt; (K$16+1)^5, MOD(_xlfn.FLOOR.MATH((ROW()-$AA$51)/AE$50), K$16+1), "")</f>
        <v>0</v>
      </c>
      <c r="AF52">
        <f t="shared" ref="AF52:AF115" si="24">IF(ROW()-$AA$51 &lt; (L$16+1)^5, MOD(_xlfn.FLOOR.MATH((ROW()-$AA$51)/AF$50), L$16+1), "")</f>
        <v>0</v>
      </c>
      <c r="AG52">
        <f t="shared" ref="AG52:AG115" si="25">IF(ROW($AA52) - $AA$51 &lt; ($H$16+1)^5, SUM(AB52:AF52), "")</f>
        <v>0</v>
      </c>
      <c r="AH52">
        <f ca="1">IF(ROW($AA52) - $AA$51 &lt; (4)^5,(_xlfn.XLOOKUP(AB52,$T$51:$T$55,U$51:U$55,0)/U$28) * (_xlfn.XLOOKUP(AC52,$T$51:$T$55,V$51:V$55,0)/V$28) * (_xlfn.XLOOKUP(AD52,$T$51:$T$55,W$51:W$55,0)/W$28) * (_xlfn.XLOOKUP(AE52,$T$51:$T$55,X$51:X$55,0)/X$28) * (_xlfn.XLOOKUP(AF52,$T$51:$T$55,Y$51:Y$55,0)/Y$28),
"")</f>
        <v>3.5031683066302603E-3</v>
      </c>
      <c r="AI52">
        <f>IF(ROW($AA52) - $AA$51 &lt; ($H$16+1)^5, IF(AG52 &gt;= FreeSpinsBonus!$C$16, AG52*FreeSpinsBonus!$E$31, 0), "")</f>
        <v>0</v>
      </c>
      <c r="AJ52">
        <f t="shared" ref="AJ52:AJ115" ca="1" si="26">IF(ROW($AA52) - $AA$51 &lt; ($H$16+1)^5, AH52*AI52, "")</f>
        <v>0</v>
      </c>
      <c r="AL52" s="46">
        <f ca="1">SUMIF(AI52:AI2000,"&gt;0",AH52:AH2000)</f>
        <v>0.63491130092846815</v>
      </c>
      <c r="AM52" s="54">
        <f ca="1">SUM(AJ52:AJ1297)</f>
        <v>5.9313455960153441</v>
      </c>
      <c r="AN52" s="47"/>
    </row>
    <row r="53" spans="1:40" x14ac:dyDescent="0.3">
      <c r="A53" t="str">
        <v>BLANK</v>
      </c>
      <c r="B53" t="str">
        <v>BLANK</v>
      </c>
      <c r="C53" t="str">
        <v>CP</v>
      </c>
      <c r="D53" t="str">
        <v>CP</v>
      </c>
      <c r="E53" t="str">
        <v>BLANK</v>
      </c>
      <c r="H53" t="str" cm="1">
        <f t="array" aca="1" ref="H53" ca="1">IF(ROW(A53)-H$15 &lt; H$14,A53,IF(ROW(A53) - H$15 -H$16 + 1 &lt; H$14,INDIRECT(ADDRESS(MOD(ROW(A53) - H$15, H$14) + H$15, COLUMN(A53))),""))</f>
        <v>BLANK</v>
      </c>
      <c r="I53" t="str" cm="1">
        <f t="array" aca="1" ref="I53" ca="1">IF(ROW(B53)-I$15 &lt; I$14,B53,IF(ROW(B53) - I$15 -I$16 + 1 &lt; I$14,INDIRECT(ADDRESS(MOD(ROW(B53) - I$15, I$14) + I$15, COLUMN(B53))),""))</f>
        <v>BLANK</v>
      </c>
      <c r="J53" t="str" cm="1">
        <f t="array" aca="1" ref="J53" ca="1">IF(ROW(C53)-J$15 &lt; J$14,C53,IF(ROW(C53) - J$15 -J$16 + 1 &lt; J$14,INDIRECT(ADDRESS(MOD(ROW(C53) - J$15, J$14) + J$15, COLUMN(C53))),""))</f>
        <v>CP</v>
      </c>
      <c r="K53" t="str" cm="1">
        <f t="array" aca="1" ref="K53" ca="1">IF(ROW(D53)-K$15 &lt; K$14,D53,IF(ROW(D53) - K$15 -K$16 + 1 &lt; K$14,INDIRECT(ADDRESS(MOD(ROW(D53) - K$15, K$14) + K$15, COLUMN(D53))),""))</f>
        <v>CP</v>
      </c>
      <c r="L53" t="str" cm="1">
        <f t="array" aca="1" ref="L53" ca="1">IF(ROW(E53)-L$15 &lt; L$14,E53,IF(ROW(E53) - L$15 -L$16 + 1 &lt; L$14,INDIRECT(ADDRESS(MOD(ROW(E53) - L$15, L$14) + L$15, COLUMN(E53))),""))</f>
        <v>BLANK</v>
      </c>
      <c r="N53" cm="1">
        <f t="array" aca="1" ref="N53" ca="1">IF(H53&lt;&gt;"", SUMPRODUCT((OFFSET(H53,0,0,H$16,1)=$T$24) +0),"")</f>
        <v>0</v>
      </c>
      <c r="O53" cm="1">
        <f t="array" aca="1" ref="O53" ca="1">IF(I53&lt;&gt;"", SUMPRODUCT((OFFSET(I53,0,0,I$16,1)=$T$24) +0),"")</f>
        <v>1</v>
      </c>
      <c r="P53" cm="1">
        <f t="array" aca="1" ref="P53" ca="1">IF(J53&lt;&gt;"", SUMPRODUCT((OFFSET(J53,0,0,J$16,1)=$T$24) +0),"")</f>
        <v>2</v>
      </c>
      <c r="Q53" cm="1">
        <f t="array" aca="1" ref="Q53" ca="1">IF(K53&lt;&gt;"", SUMPRODUCT((OFFSET(K53,0,0,K$16,1)=$T$24) +0),"")</f>
        <v>1</v>
      </c>
      <c r="R53" cm="1">
        <f t="array" aca="1" ref="R53" ca="1">IF(L53&lt;&gt;"", SUMPRODUCT((OFFSET(L53,0,0,L$16,1)=$T$24) +0),"")</f>
        <v>2</v>
      </c>
      <c r="T53" s="1">
        <v>2</v>
      </c>
      <c r="U53" s="43">
        <f t="shared" ca="1" si="19"/>
        <v>10</v>
      </c>
      <c r="V53" s="43">
        <f t="shared" ca="1" si="19"/>
        <v>17</v>
      </c>
      <c r="W53" s="43">
        <f t="shared" ca="1" si="19"/>
        <v>11</v>
      </c>
      <c r="X53" s="43">
        <f t="shared" ca="1" si="19"/>
        <v>16</v>
      </c>
      <c r="Y53" s="43">
        <f t="shared" ca="1" si="19"/>
        <v>16</v>
      </c>
      <c r="AB53">
        <f t="shared" si="20"/>
        <v>1</v>
      </c>
      <c r="AC53">
        <f t="shared" si="21"/>
        <v>0</v>
      </c>
      <c r="AD53">
        <f t="shared" si="22"/>
        <v>0</v>
      </c>
      <c r="AE53">
        <f t="shared" si="23"/>
        <v>0</v>
      </c>
      <c r="AF53">
        <f t="shared" si="24"/>
        <v>0</v>
      </c>
      <c r="AG53">
        <f t="shared" si="25"/>
        <v>1</v>
      </c>
      <c r="AH53">
        <f t="shared" ref="AH53:AH116" ca="1" si="27">IF(ROW($AA53) - $AA$51 &lt; (4)^5,
    (_xlfn.XLOOKUP(AB53,$T$51:$T$55,U$51:U$55,0)/U$28) * (_xlfn.XLOOKUP(AC53,$T$51:$T$55,V$51:V$55,0)/V$28) * (_xlfn.XLOOKUP(AD53,$T$51:$T$55,W$51:W$55,0)/W$28) * (_xlfn.XLOOKUP(AE53,$T$51:$T$55,X$51:X$55,0)/X$28) * (_xlfn.XLOOKUP(AF53,$T$51:$T$55,Y$51:Y$55,0)/Y$28),
"")</f>
        <v>3.6977887681097191E-3</v>
      </c>
      <c r="AI53">
        <f>IF(ROW($AA53) - $AA$51 &lt; ($H$16+1)^5, IF(AG53 &gt;= FreeSpinsBonus!$C$16, AG53*FreeSpinsBonus!$E$31, 0), "")</f>
        <v>0</v>
      </c>
      <c r="AJ53">
        <f t="shared" ca="1" si="26"/>
        <v>0</v>
      </c>
      <c r="AN53" s="47"/>
    </row>
    <row r="54" spans="1:40" x14ac:dyDescent="0.3">
      <c r="A54" t="str">
        <v>BLANK</v>
      </c>
      <c r="B54" t="str">
        <v>BLANK</v>
      </c>
      <c r="C54" t="str">
        <v>CP</v>
      </c>
      <c r="D54" t="str">
        <v>BLANK</v>
      </c>
      <c r="E54" t="str">
        <v>CP</v>
      </c>
      <c r="H54" t="str" cm="1">
        <f t="array" aca="1" ref="H54" ca="1">IF(ROW(A54)-H$15 &lt; H$14,A54,IF(ROW(A54) - H$15 -H$16 + 1 &lt; H$14,INDIRECT(ADDRESS(MOD(ROW(A54) - H$15, H$14) + H$15, COLUMN(A54))),""))</f>
        <v>BLANK</v>
      </c>
      <c r="I54" t="str" cm="1">
        <f t="array" aca="1" ref="I54" ca="1">IF(ROW(B54)-I$15 &lt; I$14,B54,IF(ROW(B54) - I$15 -I$16 + 1 &lt; I$14,INDIRECT(ADDRESS(MOD(ROW(B54) - I$15, I$14) + I$15, COLUMN(B54))),""))</f>
        <v>BLANK</v>
      </c>
      <c r="J54" t="str" cm="1">
        <f t="array" aca="1" ref="J54" ca="1">IF(ROW(C54)-J$15 &lt; J$14,C54,IF(ROW(C54) - J$15 -J$16 + 1 &lt; J$14,INDIRECT(ADDRESS(MOD(ROW(C54) - J$15, J$14) + J$15, COLUMN(C54))),""))</f>
        <v>CP</v>
      </c>
      <c r="K54" t="str" cm="1">
        <f t="array" aca="1" ref="K54" ca="1">IF(ROW(D54)-K$15 &lt; K$14,D54,IF(ROW(D54) - K$15 -K$16 + 1 &lt; K$14,INDIRECT(ADDRESS(MOD(ROW(D54) - K$15, K$14) + K$15, COLUMN(D54))),""))</f>
        <v>BLANK</v>
      </c>
      <c r="L54" t="str" cm="1">
        <f t="array" aca="1" ref="L54" ca="1">IF(ROW(E54)-L$15 &lt; L$14,E54,IF(ROW(E54) - L$15 -L$16 + 1 &lt; L$14,INDIRECT(ADDRESS(MOD(ROW(E54) - L$15, L$14) + L$15, COLUMN(E54))),""))</f>
        <v>CP</v>
      </c>
      <c r="N54" cm="1">
        <f t="array" aca="1" ref="N54" ca="1">IF(H54&lt;&gt;"", SUMPRODUCT((OFFSET(H54,0,0,H$16,1)=$T$24) +0),"")</f>
        <v>0</v>
      </c>
      <c r="O54" cm="1">
        <f t="array" aca="1" ref="O54" ca="1">IF(I54&lt;&gt;"", SUMPRODUCT((OFFSET(I54,0,0,I$16,1)=$T$24) +0),"")</f>
        <v>2</v>
      </c>
      <c r="P54" cm="1">
        <f t="array" aca="1" ref="P54" ca="1">IF(J54&lt;&gt;"", SUMPRODUCT((OFFSET(J54,0,0,J$16,1)=$T$24) +0),"")</f>
        <v>1</v>
      </c>
      <c r="Q54" cm="1">
        <f t="array" aca="1" ref="Q54" ca="1">IF(K54&lt;&gt;"", SUMPRODUCT((OFFSET(K54,0,0,K$16,1)=$T$24) +0),"")</f>
        <v>0</v>
      </c>
      <c r="R54" cm="1">
        <f t="array" aca="1" ref="R54" ca="1">IF(L54&lt;&gt;"", SUMPRODUCT((OFFSET(L54,0,0,L$16,1)=$T$24) +0),"")</f>
        <v>2</v>
      </c>
      <c r="T54" s="1">
        <v>3</v>
      </c>
      <c r="U54" s="43">
        <f t="shared" ca="1" si="19"/>
        <v>0</v>
      </c>
      <c r="V54" s="43">
        <f t="shared" ca="1" si="19"/>
        <v>6</v>
      </c>
      <c r="W54" s="43">
        <f t="shared" ca="1" si="19"/>
        <v>1</v>
      </c>
      <c r="X54" s="43">
        <f t="shared" ca="1" si="19"/>
        <v>7</v>
      </c>
      <c r="Y54" s="43">
        <f t="shared" ca="1" si="19"/>
        <v>1</v>
      </c>
      <c r="AB54">
        <f t="shared" si="20"/>
        <v>2</v>
      </c>
      <c r="AC54">
        <f t="shared" si="21"/>
        <v>0</v>
      </c>
      <c r="AD54">
        <f t="shared" si="22"/>
        <v>0</v>
      </c>
      <c r="AE54">
        <f t="shared" si="23"/>
        <v>0</v>
      </c>
      <c r="AF54">
        <f t="shared" si="24"/>
        <v>0</v>
      </c>
      <c r="AG54">
        <f t="shared" si="25"/>
        <v>2</v>
      </c>
      <c r="AH54">
        <f t="shared" ca="1" si="27"/>
        <v>1.9462046147945894E-3</v>
      </c>
      <c r="AI54">
        <f>IF(ROW($AA54) - $AA$51 &lt; ($H$16+1)^5, IF(AG54 &gt;= FreeSpinsBonus!$C$16, AG54*FreeSpinsBonus!$E$31, 0), "")</f>
        <v>0</v>
      </c>
      <c r="AJ54">
        <f t="shared" ca="1" si="26"/>
        <v>0</v>
      </c>
      <c r="AN54" s="47"/>
    </row>
    <row r="55" spans="1:40" x14ac:dyDescent="0.3">
      <c r="A55" t="str">
        <v>BLANK</v>
      </c>
      <c r="B55" t="str">
        <v>CP</v>
      </c>
      <c r="C55" t="str">
        <v>BLANK</v>
      </c>
      <c r="D55" t="str">
        <v>BLANK</v>
      </c>
      <c r="E55" t="str">
        <v>CP</v>
      </c>
      <c r="H55" t="str" cm="1">
        <f t="array" aca="1" ref="H55" ca="1">IF(ROW(A55)-H$15 &lt; H$14,A55,IF(ROW(A55) - H$15 -H$16 + 1 &lt; H$14,INDIRECT(ADDRESS(MOD(ROW(A55) - H$15, H$14) + H$15, COLUMN(A55))),""))</f>
        <v>BLANK</v>
      </c>
      <c r="I55" t="str" cm="1">
        <f t="array" aca="1" ref="I55" ca="1">IF(ROW(B55)-I$15 &lt; I$14,B55,IF(ROW(B55) - I$15 -I$16 + 1 &lt; I$14,INDIRECT(ADDRESS(MOD(ROW(B55) - I$15, I$14) + I$15, COLUMN(B55))),""))</f>
        <v>CP</v>
      </c>
      <c r="J55" t="str" cm="1">
        <f t="array" aca="1" ref="J55" ca="1">IF(ROW(C55)-J$15 &lt; J$14,C55,IF(ROW(C55) - J$15 -J$16 + 1 &lt; J$14,INDIRECT(ADDRESS(MOD(ROW(C55) - J$15, J$14) + J$15, COLUMN(C55))),""))</f>
        <v>BLANK</v>
      </c>
      <c r="K55" t="str" cm="1">
        <f t="array" aca="1" ref="K55" ca="1">IF(ROW(D55)-K$15 &lt; K$14,D55,IF(ROW(D55) - K$15 -K$16 + 1 &lt; K$14,INDIRECT(ADDRESS(MOD(ROW(D55) - K$15, K$14) + K$15, COLUMN(D55))),""))</f>
        <v>BLANK</v>
      </c>
      <c r="L55" t="str" cm="1">
        <f t="array" aca="1" ref="L55" ca="1">IF(ROW(E55)-L$15 &lt; L$14,E55,IF(ROW(E55) - L$15 -L$16 + 1 &lt; L$14,INDIRECT(ADDRESS(MOD(ROW(E55) - L$15, L$14) + L$15, COLUMN(E55))),""))</f>
        <v>CP</v>
      </c>
      <c r="N55" cm="1">
        <f t="array" aca="1" ref="N55" ca="1">IF(H55&lt;&gt;"", SUMPRODUCT((OFFSET(H55,0,0,H$16,1)=$T$24) +0),"")</f>
        <v>0</v>
      </c>
      <c r="O55" cm="1">
        <f t="array" aca="1" ref="O55" ca="1">IF(I55&lt;&gt;"", SUMPRODUCT((OFFSET(I55,0,0,I$16,1)=$T$24) +0),"")</f>
        <v>3</v>
      </c>
      <c r="P55" cm="1">
        <f t="array" aca="1" ref="P55" ca="1">IF(J55&lt;&gt;"", SUMPRODUCT((OFFSET(J55,0,0,J$16,1)=$T$24) +0),"")</f>
        <v>0</v>
      </c>
      <c r="Q55" cm="1">
        <f t="array" aca="1" ref="Q55" ca="1">IF(K55&lt;&gt;"", SUMPRODUCT((OFFSET(K55,0,0,K$16,1)=$T$24) +0),"")</f>
        <v>1</v>
      </c>
      <c r="R55" cm="1">
        <f t="array" aca="1" ref="R55" ca="1">IF(L55&lt;&gt;"", SUMPRODUCT((OFFSET(L55,0,0,L$16,1)=$T$24) +0),"")</f>
        <v>1</v>
      </c>
      <c r="T55" s="1">
        <v>4</v>
      </c>
      <c r="U55" s="43">
        <f t="shared" ca="1" si="19"/>
        <v>0</v>
      </c>
      <c r="V55" s="43">
        <f t="shared" ca="1" si="19"/>
        <v>0</v>
      </c>
      <c r="W55" s="43">
        <f t="shared" ca="1" si="19"/>
        <v>0</v>
      </c>
      <c r="X55" s="43">
        <f t="shared" ca="1" si="19"/>
        <v>0</v>
      </c>
      <c r="Y55" s="43">
        <f t="shared" ca="1" si="19"/>
        <v>0</v>
      </c>
      <c r="AB55">
        <f t="shared" si="20"/>
        <v>3</v>
      </c>
      <c r="AC55">
        <f t="shared" si="21"/>
        <v>0</v>
      </c>
      <c r="AD55">
        <f t="shared" si="22"/>
        <v>0</v>
      </c>
      <c r="AE55">
        <f t="shared" si="23"/>
        <v>0</v>
      </c>
      <c r="AF55">
        <f t="shared" si="24"/>
        <v>0</v>
      </c>
      <c r="AG55">
        <f t="shared" si="25"/>
        <v>3</v>
      </c>
      <c r="AH55">
        <f t="shared" ca="1" si="27"/>
        <v>0</v>
      </c>
      <c r="AI55">
        <f>IF(ROW($AA55) - $AA$51 &lt; ($H$16+1)^5, IF(AG55 &gt;= FreeSpinsBonus!$C$16, AG55*FreeSpinsBonus!$E$31, 0), "")</f>
        <v>0</v>
      </c>
      <c r="AJ55">
        <f t="shared" ca="1" si="26"/>
        <v>0</v>
      </c>
      <c r="AN55" s="47"/>
    </row>
    <row r="56" spans="1:40" x14ac:dyDescent="0.3">
      <c r="A56" t="str">
        <v>BLANK</v>
      </c>
      <c r="B56" t="str">
        <v>CP</v>
      </c>
      <c r="C56" t="str">
        <v>BLANK</v>
      </c>
      <c r="D56" t="str">
        <v>BLANK</v>
      </c>
      <c r="E56" t="str">
        <v>BLANK</v>
      </c>
      <c r="H56" t="str" cm="1">
        <f t="array" aca="1" ref="H56" ca="1">IF(ROW(A56)-H$15 &lt; H$14,A56,IF(ROW(A56) - H$15 -H$16 + 1 &lt; H$14,INDIRECT(ADDRESS(MOD(ROW(A56) - H$15, H$14) + H$15, COLUMN(A56))),""))</f>
        <v>BLANK</v>
      </c>
      <c r="I56" t="str" cm="1">
        <f t="array" aca="1" ref="I56" ca="1">IF(ROW(B56)-I$15 &lt; I$14,B56,IF(ROW(B56) - I$15 -I$16 + 1 &lt; I$14,INDIRECT(ADDRESS(MOD(ROW(B56) - I$15, I$14) + I$15, COLUMN(B56))),""))</f>
        <v>CP</v>
      </c>
      <c r="J56" t="str" cm="1">
        <f t="array" aca="1" ref="J56" ca="1">IF(ROW(C56)-J$15 &lt; J$14,C56,IF(ROW(C56) - J$15 -J$16 + 1 &lt; J$14,INDIRECT(ADDRESS(MOD(ROW(C56) - J$15, J$14) + J$15, COLUMN(C56))),""))</f>
        <v>BLANK</v>
      </c>
      <c r="K56" t="str" cm="1">
        <f t="array" aca="1" ref="K56" ca="1">IF(ROW(D56)-K$15 &lt; K$14,D56,IF(ROW(D56) - K$15 -K$16 + 1 &lt; K$14,INDIRECT(ADDRESS(MOD(ROW(D56) - K$15, K$14) + K$15, COLUMN(D56))),""))</f>
        <v>BLANK</v>
      </c>
      <c r="L56" t="str" cm="1">
        <f t="array" aca="1" ref="L56" ca="1">IF(ROW(E56)-L$15 &lt; L$14,E56,IF(ROW(E56) - L$15 -L$16 + 1 &lt; L$14,INDIRECT(ADDRESS(MOD(ROW(E56) - L$15, L$14) + L$15, COLUMN(E56))),""))</f>
        <v>BLANK</v>
      </c>
      <c r="N56" cm="1">
        <f t="array" aca="1" ref="N56" ca="1">IF(H56&lt;&gt;"", SUMPRODUCT((OFFSET(H56,0,0,H$16,1)=$T$24) +0),"")</f>
        <v>0</v>
      </c>
      <c r="O56" cm="1">
        <f t="array" aca="1" ref="O56" ca="1">IF(I56&lt;&gt;"", SUMPRODUCT((OFFSET(I56,0,0,I$16,1)=$T$24) +0),"")</f>
        <v>2</v>
      </c>
      <c r="P56" cm="1">
        <f t="array" aca="1" ref="P56" ca="1">IF(J56&lt;&gt;"", SUMPRODUCT((OFFSET(J56,0,0,J$16,1)=$T$24) +0),"")</f>
        <v>0</v>
      </c>
      <c r="Q56" cm="1">
        <f t="array" aca="1" ref="Q56" ca="1">IF(K56&lt;&gt;"", SUMPRODUCT((OFFSET(K56,0,0,K$16,1)=$T$24) +0),"")</f>
        <v>2</v>
      </c>
      <c r="R56" cm="1">
        <f t="array" aca="1" ref="R56" ca="1">IF(L56&lt;&gt;"", SUMPRODUCT((OFFSET(L56,0,0,L$16,1)=$T$24) +0),"")</f>
        <v>0</v>
      </c>
      <c r="AB56">
        <f t="shared" si="20"/>
        <v>0</v>
      </c>
      <c r="AC56">
        <f t="shared" si="21"/>
        <v>1</v>
      </c>
      <c r="AD56">
        <f t="shared" si="22"/>
        <v>0</v>
      </c>
      <c r="AE56">
        <f t="shared" si="23"/>
        <v>0</v>
      </c>
      <c r="AF56">
        <f t="shared" si="24"/>
        <v>0</v>
      </c>
      <c r="AG56">
        <f t="shared" si="25"/>
        <v>1</v>
      </c>
      <c r="AH56">
        <f t="shared" ca="1" si="27"/>
        <v>3.5031683066302603E-3</v>
      </c>
      <c r="AI56">
        <f>IF(ROW($AA56) - $AA$51 &lt; ($H$16+1)^5, IF(AG56 &gt;= FreeSpinsBonus!$C$16, AG56*FreeSpinsBonus!$E$31, 0), "")</f>
        <v>0</v>
      </c>
      <c r="AJ56">
        <f t="shared" ca="1" si="26"/>
        <v>0</v>
      </c>
      <c r="AN56" s="47"/>
    </row>
    <row r="57" spans="1:40" x14ac:dyDescent="0.3">
      <c r="A57" t="str">
        <v>BLANK</v>
      </c>
      <c r="B57" t="str">
        <v>CP</v>
      </c>
      <c r="C57" t="str">
        <v>BLANK</v>
      </c>
      <c r="D57" t="str">
        <v>CP</v>
      </c>
      <c r="E57" t="str">
        <v>BLANK</v>
      </c>
      <c r="H57" t="str" cm="1">
        <f t="array" aca="1" ref="H57" ca="1">IF(ROW(A57)-H$15 &lt; H$14,A57,IF(ROW(A57) - H$15 -H$16 + 1 &lt; H$14,INDIRECT(ADDRESS(MOD(ROW(A57) - H$15, H$14) + H$15, COLUMN(A57))),""))</f>
        <v>BLANK</v>
      </c>
      <c r="I57" t="str" cm="1">
        <f t="array" aca="1" ref="I57" ca="1">IF(ROW(B57)-I$15 &lt; I$14,B57,IF(ROW(B57) - I$15 -I$16 + 1 &lt; I$14,INDIRECT(ADDRESS(MOD(ROW(B57) - I$15, I$14) + I$15, COLUMN(B57))),""))</f>
        <v>CP</v>
      </c>
      <c r="J57" t="str" cm="1">
        <f t="array" aca="1" ref="J57" ca="1">IF(ROW(C57)-J$15 &lt; J$14,C57,IF(ROW(C57) - J$15 -J$16 + 1 &lt; J$14,INDIRECT(ADDRESS(MOD(ROW(C57) - J$15, J$14) + J$15, COLUMN(C57))),""))</f>
        <v>BLANK</v>
      </c>
      <c r="K57" t="str" cm="1">
        <f t="array" aca="1" ref="K57" ca="1">IF(ROW(D57)-K$15 &lt; K$14,D57,IF(ROW(D57) - K$15 -K$16 + 1 &lt; K$14,INDIRECT(ADDRESS(MOD(ROW(D57) - K$15, K$14) + K$15, COLUMN(D57))),""))</f>
        <v>CP</v>
      </c>
      <c r="L57" t="str" cm="1">
        <f t="array" aca="1" ref="L57" ca="1">IF(ROW(E57)-L$15 &lt; L$14,E57,IF(ROW(E57) - L$15 -L$16 + 1 &lt; L$14,INDIRECT(ADDRESS(MOD(ROW(E57) - L$15, L$14) + L$15, COLUMN(E57))),""))</f>
        <v>BLANK</v>
      </c>
      <c r="N57" cm="1">
        <f t="array" aca="1" ref="N57" ca="1">IF(H57&lt;&gt;"", SUMPRODUCT((OFFSET(H57,0,0,H$16,1)=$T$24) +0),"")</f>
        <v>0</v>
      </c>
      <c r="O57" cm="1">
        <f t="array" aca="1" ref="O57" ca="1">IF(I57&lt;&gt;"", SUMPRODUCT((OFFSET(I57,0,0,I$16,1)=$T$24) +0),"")</f>
        <v>1</v>
      </c>
      <c r="P57" cm="1">
        <f t="array" aca="1" ref="P57" ca="1">IF(J57&lt;&gt;"", SUMPRODUCT((OFFSET(J57,0,0,J$16,1)=$T$24) +0),"")</f>
        <v>0</v>
      </c>
      <c r="Q57" cm="1">
        <f t="array" aca="1" ref="Q57" ca="1">IF(K57&lt;&gt;"", SUMPRODUCT((OFFSET(K57,0,0,K$16,1)=$T$24) +0),"")</f>
        <v>3</v>
      </c>
      <c r="R57" cm="1">
        <f t="array" aca="1" ref="R57" ca="1">IF(L57&lt;&gt;"", SUMPRODUCT((OFFSET(L57,0,0,L$16,1)=$T$24) +0),"")</f>
        <v>0</v>
      </c>
      <c r="AB57">
        <f t="shared" si="20"/>
        <v>1</v>
      </c>
      <c r="AC57">
        <f t="shared" si="21"/>
        <v>1</v>
      </c>
      <c r="AD57">
        <f t="shared" si="22"/>
        <v>0</v>
      </c>
      <c r="AE57">
        <f t="shared" si="23"/>
        <v>0</v>
      </c>
      <c r="AF57">
        <f t="shared" si="24"/>
        <v>0</v>
      </c>
      <c r="AG57">
        <f t="shared" si="25"/>
        <v>2</v>
      </c>
      <c r="AH57">
        <f t="shared" ca="1" si="27"/>
        <v>3.6977887681097191E-3</v>
      </c>
      <c r="AI57">
        <f>IF(ROW($AA57) - $AA$51 &lt; ($H$16+1)^5, IF(AG57 &gt;= FreeSpinsBonus!$C$16, AG57*FreeSpinsBonus!$E$31, 0), "")</f>
        <v>0</v>
      </c>
      <c r="AJ57">
        <f t="shared" ca="1" si="26"/>
        <v>0</v>
      </c>
      <c r="AL57" s="29"/>
      <c r="AN57" s="47"/>
    </row>
    <row r="58" spans="1:40" x14ac:dyDescent="0.3">
      <c r="A58" t="str">
        <v>BLANK</v>
      </c>
      <c r="B58" t="str">
        <v>BLANK</v>
      </c>
      <c r="C58" t="str">
        <v>BLANK</v>
      </c>
      <c r="D58" t="str">
        <v>CP</v>
      </c>
      <c r="E58" t="str">
        <v>BLANK</v>
      </c>
      <c r="H58" t="str" cm="1">
        <f t="array" aca="1" ref="H58" ca="1">IF(ROW(A58)-H$15 &lt; H$14,A58,IF(ROW(A58) - H$15 -H$16 + 1 &lt; H$14,INDIRECT(ADDRESS(MOD(ROW(A58) - H$15, H$14) + H$15, COLUMN(A58))),""))</f>
        <v>BLANK</v>
      </c>
      <c r="I58" t="str" cm="1">
        <f t="array" aca="1" ref="I58" ca="1">IF(ROW(B58)-I$15 &lt; I$14,B58,IF(ROW(B58) - I$15 -I$16 + 1 &lt; I$14,INDIRECT(ADDRESS(MOD(ROW(B58) - I$15, I$14) + I$15, COLUMN(B58))),""))</f>
        <v>BLANK</v>
      </c>
      <c r="J58" t="str" cm="1">
        <f t="array" aca="1" ref="J58" ca="1">IF(ROW(C58)-J$15 &lt; J$14,C58,IF(ROW(C58) - J$15 -J$16 + 1 &lt; J$14,INDIRECT(ADDRESS(MOD(ROW(C58) - J$15, J$14) + J$15, COLUMN(C58))),""))</f>
        <v>BLANK</v>
      </c>
      <c r="K58" t="str" cm="1">
        <f t="array" aca="1" ref="K58" ca="1">IF(ROW(D58)-K$15 &lt; K$14,D58,IF(ROW(D58) - K$15 -K$16 + 1 &lt; K$14,INDIRECT(ADDRESS(MOD(ROW(D58) - K$15, K$14) + K$15, COLUMN(D58))),""))</f>
        <v>CP</v>
      </c>
      <c r="L58" t="str" cm="1">
        <f t="array" aca="1" ref="L58" ca="1">IF(ROW(E58)-L$15 &lt; L$14,E58,IF(ROW(E58) - L$15 -L$16 + 1 &lt; L$14,INDIRECT(ADDRESS(MOD(ROW(E58) - L$15, L$14) + L$15, COLUMN(E58))),""))</f>
        <v>BLANK</v>
      </c>
      <c r="N58" cm="1">
        <f t="array" aca="1" ref="N58" ca="1">IF(H58&lt;&gt;"", SUMPRODUCT((OFFSET(H58,0,0,H$16,1)=$T$24) +0),"")</f>
        <v>0</v>
      </c>
      <c r="O58" cm="1">
        <f t="array" aca="1" ref="O58" ca="1">IF(I58&lt;&gt;"", SUMPRODUCT((OFFSET(I58,0,0,I$16,1)=$T$24) +0),"")</f>
        <v>1</v>
      </c>
      <c r="P58" cm="1">
        <f t="array" aca="1" ref="P58" ca="1">IF(J58&lt;&gt;"", SUMPRODUCT((OFFSET(J58,0,0,J$16,1)=$T$24) +0),"")</f>
        <v>0</v>
      </c>
      <c r="Q58" cm="1">
        <f t="array" aca="1" ref="Q58" ca="1">IF(K58&lt;&gt;"", SUMPRODUCT((OFFSET(K58,0,0,K$16,1)=$T$24) +0),"")</f>
        <v>2</v>
      </c>
      <c r="R58" cm="1">
        <f t="array" aca="1" ref="R58" ca="1">IF(L58&lt;&gt;"", SUMPRODUCT((OFFSET(L58,0,0,L$16,1)=$T$24) +0),"")</f>
        <v>0</v>
      </c>
      <c r="AB58">
        <f t="shared" si="20"/>
        <v>2</v>
      </c>
      <c r="AC58">
        <f t="shared" si="21"/>
        <v>1</v>
      </c>
      <c r="AD58">
        <f t="shared" si="22"/>
        <v>0</v>
      </c>
      <c r="AE58">
        <f t="shared" si="23"/>
        <v>0</v>
      </c>
      <c r="AF58">
        <f t="shared" si="24"/>
        <v>0</v>
      </c>
      <c r="AG58">
        <f t="shared" si="25"/>
        <v>3</v>
      </c>
      <c r="AH58">
        <f t="shared" ca="1" si="27"/>
        <v>1.9462046147945894E-3</v>
      </c>
      <c r="AI58">
        <f>IF(ROW($AA58) - $AA$51 &lt; ($H$16+1)^5, IF(AG58 &gt;= FreeSpinsBonus!$C$16, AG58*FreeSpinsBonus!$E$31, 0), "")</f>
        <v>0</v>
      </c>
      <c r="AJ58">
        <f t="shared" ca="1" si="26"/>
        <v>0</v>
      </c>
      <c r="AN58" s="47"/>
    </row>
    <row r="59" spans="1:40" x14ac:dyDescent="0.3">
      <c r="A59" t="str">
        <v>BLANK</v>
      </c>
      <c r="B59" t="str">
        <v>BLANK</v>
      </c>
      <c r="C59" t="str">
        <v>BLANK</v>
      </c>
      <c r="D59" t="str">
        <v>CP</v>
      </c>
      <c r="E59" t="str">
        <v>BLANK</v>
      </c>
      <c r="H59" t="str" cm="1">
        <f t="array" aca="1" ref="H59" ca="1">IF(ROW(A59)-H$15 &lt; H$14,A59,IF(ROW(A59) - H$15 -H$16 + 1 &lt; H$14,INDIRECT(ADDRESS(MOD(ROW(A59) - H$15, H$14) + H$15, COLUMN(A59))),""))</f>
        <v>BLANK</v>
      </c>
      <c r="I59" t="str" cm="1">
        <f t="array" aca="1" ref="I59" ca="1">IF(ROW(B59)-I$15 &lt; I$14,B59,IF(ROW(B59) - I$15 -I$16 + 1 &lt; I$14,INDIRECT(ADDRESS(MOD(ROW(B59) - I$15, I$14) + I$15, COLUMN(B59))),""))</f>
        <v>BLANK</v>
      </c>
      <c r="J59" t="str" cm="1">
        <f t="array" aca="1" ref="J59" ca="1">IF(ROW(C59)-J$15 &lt; J$14,C59,IF(ROW(C59) - J$15 -J$16 + 1 &lt; J$14,INDIRECT(ADDRESS(MOD(ROW(C59) - J$15, J$14) + J$15, COLUMN(C59))),""))</f>
        <v>BLANK</v>
      </c>
      <c r="K59" t="str" cm="1">
        <f t="array" aca="1" ref="K59" ca="1">IF(ROW(D59)-K$15 &lt; K$14,D59,IF(ROW(D59) - K$15 -K$16 + 1 &lt; K$14,INDIRECT(ADDRESS(MOD(ROW(D59) - K$15, K$14) + K$15, COLUMN(D59))),""))</f>
        <v>CP</v>
      </c>
      <c r="L59" t="str" cm="1">
        <f t="array" aca="1" ref="L59" ca="1">IF(ROW(E59)-L$15 &lt; L$14,E59,IF(ROW(E59) - L$15 -L$16 + 1 &lt; L$14,INDIRECT(ADDRESS(MOD(ROW(E59) - L$15, L$14) + L$15, COLUMN(E59))),""))</f>
        <v>BLANK</v>
      </c>
      <c r="N59" cm="1">
        <f t="array" aca="1" ref="N59" ca="1">IF(H59&lt;&gt;"", SUMPRODUCT((OFFSET(H59,0,0,H$16,1)=$T$24) +0),"")</f>
        <v>1</v>
      </c>
      <c r="O59" cm="1">
        <f t="array" aca="1" ref="O59" ca="1">IF(I59&lt;&gt;"", SUMPRODUCT((OFFSET(I59,0,0,I$16,1)=$T$24) +0),"")</f>
        <v>2</v>
      </c>
      <c r="P59" cm="1">
        <f t="array" aca="1" ref="P59" ca="1">IF(J59&lt;&gt;"", SUMPRODUCT((OFFSET(J59,0,0,J$16,1)=$T$24) +0),"")</f>
        <v>0</v>
      </c>
      <c r="Q59" cm="1">
        <f t="array" aca="1" ref="Q59" ca="1">IF(K59&lt;&gt;"", SUMPRODUCT((OFFSET(K59,0,0,K$16,1)=$T$24) +0),"")</f>
        <v>1</v>
      </c>
      <c r="R59" cm="1">
        <f t="array" aca="1" ref="R59" ca="1">IF(L59&lt;&gt;"", SUMPRODUCT((OFFSET(L59,0,0,L$16,1)=$T$24) +0),"")</f>
        <v>0</v>
      </c>
      <c r="AB59">
        <f t="shared" si="20"/>
        <v>3</v>
      </c>
      <c r="AC59">
        <f t="shared" si="21"/>
        <v>1</v>
      </c>
      <c r="AD59">
        <f t="shared" si="22"/>
        <v>0</v>
      </c>
      <c r="AE59">
        <f t="shared" si="23"/>
        <v>0</v>
      </c>
      <c r="AF59">
        <f t="shared" si="24"/>
        <v>0</v>
      </c>
      <c r="AG59">
        <f t="shared" si="25"/>
        <v>4</v>
      </c>
      <c r="AH59">
        <f t="shared" ca="1" si="27"/>
        <v>0</v>
      </c>
      <c r="AI59">
        <f>IF(ROW($AA59) - $AA$51 &lt; ($H$16+1)^5, IF(AG59 &gt;= FreeSpinsBonus!$C$16, AG59*FreeSpinsBonus!$E$31, 0), "")</f>
        <v>0</v>
      </c>
      <c r="AJ59">
        <f t="shared" ca="1" si="26"/>
        <v>0</v>
      </c>
      <c r="AN59" s="47"/>
    </row>
    <row r="60" spans="1:40" x14ac:dyDescent="0.3">
      <c r="A60" t="str">
        <v>BLANK</v>
      </c>
      <c r="B60" t="str">
        <v>CP</v>
      </c>
      <c r="C60" t="str">
        <v>BLANK</v>
      </c>
      <c r="D60" t="str">
        <v>BLANK</v>
      </c>
      <c r="E60" t="str">
        <v>BLANK</v>
      </c>
      <c r="H60" t="str" cm="1">
        <f t="array" aca="1" ref="H60" ca="1">IF(ROW(A60)-H$15 &lt; H$14,A60,IF(ROW(A60) - H$15 -H$16 + 1 &lt; H$14,INDIRECT(ADDRESS(MOD(ROW(A60) - H$15, H$14) + H$15, COLUMN(A60))),""))</f>
        <v>BLANK</v>
      </c>
      <c r="I60" t="str" cm="1">
        <f t="array" aca="1" ref="I60" ca="1">IF(ROW(B60)-I$15 &lt; I$14,B60,IF(ROW(B60) - I$15 -I$16 + 1 &lt; I$14,INDIRECT(ADDRESS(MOD(ROW(B60) - I$15, I$14) + I$15, COLUMN(B60))),""))</f>
        <v>CP</v>
      </c>
      <c r="J60" t="str" cm="1">
        <f t="array" aca="1" ref="J60" ca="1">IF(ROW(C60)-J$15 &lt; J$14,C60,IF(ROW(C60) - J$15 -J$16 + 1 &lt; J$14,INDIRECT(ADDRESS(MOD(ROW(C60) - J$15, J$14) + J$15, COLUMN(C60))),""))</f>
        <v>BLANK</v>
      </c>
      <c r="K60" t="str" cm="1">
        <f t="array" aca="1" ref="K60" ca="1">IF(ROW(D60)-K$15 &lt; K$14,D60,IF(ROW(D60) - K$15 -K$16 + 1 &lt; K$14,INDIRECT(ADDRESS(MOD(ROW(D60) - K$15, K$14) + K$15, COLUMN(D60))),""))</f>
        <v>BLANK</v>
      </c>
      <c r="L60" t="str" cm="1">
        <f t="array" aca="1" ref="L60" ca="1">IF(ROW(E60)-L$15 &lt; L$14,E60,IF(ROW(E60) - L$15 -L$16 + 1 &lt; L$14,INDIRECT(ADDRESS(MOD(ROW(E60) - L$15, L$14) + L$15, COLUMN(E60))),""))</f>
        <v>BLANK</v>
      </c>
      <c r="N60" cm="1">
        <f t="array" aca="1" ref="N60" ca="1">IF(H60&lt;&gt;"", SUMPRODUCT((OFFSET(H60,0,0,H$16,1)=$T$24) +0),"")</f>
        <v>2</v>
      </c>
      <c r="O60" cm="1">
        <f t="array" aca="1" ref="O60" ca="1">IF(I60&lt;&gt;"", SUMPRODUCT((OFFSET(I60,0,0,I$16,1)=$T$24) +0),"")</f>
        <v>3</v>
      </c>
      <c r="P60" cm="1">
        <f t="array" aca="1" ref="P60" ca="1">IF(J60&lt;&gt;"", SUMPRODUCT((OFFSET(J60,0,0,J$16,1)=$T$24) +0),"")</f>
        <v>1</v>
      </c>
      <c r="Q60" cm="1">
        <f t="array" aca="1" ref="Q60" ca="1">IF(K60&lt;&gt;"", SUMPRODUCT((OFFSET(K60,0,0,K$16,1)=$T$24) +0),"")</f>
        <v>1</v>
      </c>
      <c r="R60" cm="1">
        <f t="array" aca="1" ref="R60" ca="1">IF(L60&lt;&gt;"", SUMPRODUCT((OFFSET(L60,0,0,L$16,1)=$T$24) +0),"")</f>
        <v>0</v>
      </c>
      <c r="AB60">
        <f t="shared" si="20"/>
        <v>0</v>
      </c>
      <c r="AC60">
        <f t="shared" si="21"/>
        <v>2</v>
      </c>
      <c r="AD60">
        <f t="shared" si="22"/>
        <v>0</v>
      </c>
      <c r="AE60">
        <f t="shared" si="23"/>
        <v>0</v>
      </c>
      <c r="AF60">
        <f t="shared" si="24"/>
        <v>0</v>
      </c>
      <c r="AG60">
        <f t="shared" si="25"/>
        <v>2</v>
      </c>
      <c r="AH60">
        <f t="shared" ca="1" si="27"/>
        <v>3.5031683066302603E-3</v>
      </c>
      <c r="AI60">
        <f>IF(ROW($AA60) - $AA$51 &lt; ($H$16+1)^5, IF(AG60 &gt;= FreeSpinsBonus!$C$16, AG60*FreeSpinsBonus!$E$31, 0), "")</f>
        <v>0</v>
      </c>
      <c r="AJ60">
        <f t="shared" ca="1" si="26"/>
        <v>0</v>
      </c>
      <c r="AN60" s="47"/>
    </row>
    <row r="61" spans="1:40" x14ac:dyDescent="0.3">
      <c r="A61" t="str">
        <v>CP</v>
      </c>
      <c r="B61" t="str">
        <v>CP</v>
      </c>
      <c r="C61" t="str">
        <v>BLANK</v>
      </c>
      <c r="D61" t="str">
        <v>BLANK</v>
      </c>
      <c r="E61" t="str">
        <v>BLANK</v>
      </c>
      <c r="H61" t="str" cm="1">
        <f t="array" aca="1" ref="H61" ca="1">IF(ROW(A61)-H$15 &lt; H$14,A61,IF(ROW(A61) - H$15 -H$16 + 1 &lt; H$14,INDIRECT(ADDRESS(MOD(ROW(A61) - H$15, H$14) + H$15, COLUMN(A61))),""))</f>
        <v>CP</v>
      </c>
      <c r="I61" t="str" cm="1">
        <f t="array" aca="1" ref="I61" ca="1">IF(ROW(B61)-I$15 &lt; I$14,B61,IF(ROW(B61) - I$15 -I$16 + 1 &lt; I$14,INDIRECT(ADDRESS(MOD(ROW(B61) - I$15, I$14) + I$15, COLUMN(B61))),""))</f>
        <v>CP</v>
      </c>
      <c r="J61" t="str" cm="1">
        <f t="array" aca="1" ref="J61" ca="1">IF(ROW(C61)-J$15 &lt; J$14,C61,IF(ROW(C61) - J$15 -J$16 + 1 &lt; J$14,INDIRECT(ADDRESS(MOD(ROW(C61) - J$15, J$14) + J$15, COLUMN(C61))),""))</f>
        <v>BLANK</v>
      </c>
      <c r="K61" t="str" cm="1">
        <f t="array" aca="1" ref="K61" ca="1">IF(ROW(D61)-K$15 &lt; K$14,D61,IF(ROW(D61) - K$15 -K$16 + 1 &lt; K$14,INDIRECT(ADDRESS(MOD(ROW(D61) - K$15, K$14) + K$15, COLUMN(D61))),""))</f>
        <v>BLANK</v>
      </c>
      <c r="L61" t="str" cm="1">
        <f t="array" aca="1" ref="L61" ca="1">IF(ROW(E61)-L$15 &lt; L$14,E61,IF(ROW(E61) - L$15 -L$16 + 1 &lt; L$14,INDIRECT(ADDRESS(MOD(ROW(E61) - L$15, L$14) + L$15, COLUMN(E61))),""))</f>
        <v>BLANK</v>
      </c>
      <c r="N61" cm="1">
        <f t="array" aca="1" ref="N61" ca="1">IF(H61&lt;&gt;"", SUMPRODUCT((OFFSET(H61,0,0,H$16,1)=$T$24) +0),"")</f>
        <v>2</v>
      </c>
      <c r="O61" cm="1">
        <f t="array" aca="1" ref="O61" ca="1">IF(I61&lt;&gt;"", SUMPRODUCT((OFFSET(I61,0,0,I$16,1)=$T$24) +0),"")</f>
        <v>3</v>
      </c>
      <c r="P61" cm="1">
        <f t="array" aca="1" ref="P61" ca="1">IF(J61&lt;&gt;"", SUMPRODUCT((OFFSET(J61,0,0,J$16,1)=$T$24) +0),"")</f>
        <v>2</v>
      </c>
      <c r="Q61" cm="1">
        <f t="array" aca="1" ref="Q61" ca="1">IF(K61&lt;&gt;"", SUMPRODUCT((OFFSET(K61,0,0,K$16,1)=$T$24) +0),"")</f>
        <v>2</v>
      </c>
      <c r="R61" cm="1">
        <f t="array" aca="1" ref="R61" ca="1">IF(L61&lt;&gt;"", SUMPRODUCT((OFFSET(L61,0,0,L$16,1)=$T$24) +0),"")</f>
        <v>1</v>
      </c>
      <c r="AB61">
        <f t="shared" si="20"/>
        <v>1</v>
      </c>
      <c r="AC61">
        <f t="shared" si="21"/>
        <v>2</v>
      </c>
      <c r="AD61">
        <f t="shared" si="22"/>
        <v>0</v>
      </c>
      <c r="AE61">
        <f t="shared" si="23"/>
        <v>0</v>
      </c>
      <c r="AF61">
        <f t="shared" si="24"/>
        <v>0</v>
      </c>
      <c r="AG61">
        <f t="shared" si="25"/>
        <v>3</v>
      </c>
      <c r="AH61">
        <f t="shared" ca="1" si="27"/>
        <v>3.6977887681097191E-3</v>
      </c>
      <c r="AI61">
        <f>IF(ROW($AA61) - $AA$51 &lt; ($H$16+1)^5, IF(AG61 &gt;= FreeSpinsBonus!$C$16, AG61*FreeSpinsBonus!$E$31, 0), "")</f>
        <v>0</v>
      </c>
      <c r="AJ61">
        <f t="shared" ca="1" si="26"/>
        <v>0</v>
      </c>
      <c r="AN61" s="47"/>
    </row>
    <row r="62" spans="1:40" x14ac:dyDescent="0.3">
      <c r="A62" t="str">
        <v>CP</v>
      </c>
      <c r="B62" t="str">
        <v>CP</v>
      </c>
      <c r="C62" t="str">
        <v>CP</v>
      </c>
      <c r="D62" t="str">
        <v>CP</v>
      </c>
      <c r="E62" t="str">
        <v>BLANK</v>
      </c>
      <c r="H62" t="str" cm="1">
        <f t="array" aca="1" ref="H62" ca="1">IF(ROW(A62)-H$15 &lt; H$14,A62,IF(ROW(A62) - H$15 -H$16 + 1 &lt; H$14,INDIRECT(ADDRESS(MOD(ROW(A62) - H$15, H$14) + H$15, COLUMN(A62))),""))</f>
        <v>CP</v>
      </c>
      <c r="I62" t="str" cm="1">
        <f t="array" aca="1" ref="I62" ca="1">IF(ROW(B62)-I$15 &lt; I$14,B62,IF(ROW(B62) - I$15 -I$16 + 1 &lt; I$14,INDIRECT(ADDRESS(MOD(ROW(B62) - I$15, I$14) + I$15, COLUMN(B62))),""))</f>
        <v>CP</v>
      </c>
      <c r="J62" t="str" cm="1">
        <f t="array" aca="1" ref="J62" ca="1">IF(ROW(C62)-J$15 &lt; J$14,C62,IF(ROW(C62) - J$15 -J$16 + 1 &lt; J$14,INDIRECT(ADDRESS(MOD(ROW(C62) - J$15, J$14) + J$15, COLUMN(C62))),""))</f>
        <v>CP</v>
      </c>
      <c r="K62" t="str" cm="1">
        <f t="array" aca="1" ref="K62" ca="1">IF(ROW(D62)-K$15 &lt; K$14,D62,IF(ROW(D62) - K$15 -K$16 + 1 &lt; K$14,INDIRECT(ADDRESS(MOD(ROW(D62) - K$15, K$14) + K$15, COLUMN(D62))),""))</f>
        <v>CP</v>
      </c>
      <c r="L62" t="str" cm="1">
        <f t="array" aca="1" ref="L62" ca="1">IF(ROW(E62)-L$15 &lt; L$14,E62,IF(ROW(E62) - L$15 -L$16 + 1 &lt; L$14,INDIRECT(ADDRESS(MOD(ROW(E62) - L$15, L$14) + L$15, COLUMN(E62))),""))</f>
        <v>BLANK</v>
      </c>
      <c r="N62" cm="1">
        <f t="array" aca="1" ref="N62" ca="1">IF(H62&lt;&gt;"", SUMPRODUCT((OFFSET(H62,0,0,H$16,1)=$T$24) +0),"")</f>
        <v>1</v>
      </c>
      <c r="O62" cm="1">
        <f t="array" aca="1" ref="O62" ca="1">IF(I62&lt;&gt;"", SUMPRODUCT((OFFSET(I62,0,0,I$16,1)=$T$24) +0),"")</f>
        <v>2</v>
      </c>
      <c r="P62" cm="1">
        <f t="array" aca="1" ref="P62" ca="1">IF(J62&lt;&gt;"", SUMPRODUCT((OFFSET(J62,0,0,J$16,1)=$T$24) +0),"")</f>
        <v>2</v>
      </c>
      <c r="Q62" cm="1">
        <f t="array" aca="1" ref="Q62" ca="1">IF(K62&lt;&gt;"", SUMPRODUCT((OFFSET(K62,0,0,K$16,1)=$T$24) +0),"")</f>
        <v>3</v>
      </c>
      <c r="R62" cm="1">
        <f t="array" aca="1" ref="R62" ca="1">IF(L62&lt;&gt;"", SUMPRODUCT((OFFSET(L62,0,0,L$16,1)=$T$24) +0),"")</f>
        <v>2</v>
      </c>
      <c r="AB62">
        <f t="shared" si="20"/>
        <v>2</v>
      </c>
      <c r="AC62">
        <f t="shared" si="21"/>
        <v>2</v>
      </c>
      <c r="AD62">
        <f t="shared" si="22"/>
        <v>0</v>
      </c>
      <c r="AE62">
        <f t="shared" si="23"/>
        <v>0</v>
      </c>
      <c r="AF62">
        <f t="shared" si="24"/>
        <v>0</v>
      </c>
      <c r="AG62">
        <f t="shared" si="25"/>
        <v>4</v>
      </c>
      <c r="AH62">
        <f t="shared" ca="1" si="27"/>
        <v>1.9462046147945894E-3</v>
      </c>
      <c r="AI62">
        <f>IF(ROW($AA62) - $AA$51 &lt; ($H$16+1)^5, IF(AG62 &gt;= FreeSpinsBonus!$C$16, AG62*FreeSpinsBonus!$E$31, 0), "")</f>
        <v>0</v>
      </c>
      <c r="AJ62">
        <f t="shared" ca="1" si="26"/>
        <v>0</v>
      </c>
      <c r="AN62" s="47"/>
    </row>
    <row r="63" spans="1:40" x14ac:dyDescent="0.3">
      <c r="A63" t="str">
        <v>BLANK</v>
      </c>
      <c r="B63" t="str">
        <v>CP</v>
      </c>
      <c r="C63" t="str">
        <v>CP</v>
      </c>
      <c r="D63" t="str">
        <v>CP</v>
      </c>
      <c r="E63" t="str">
        <v>CP</v>
      </c>
      <c r="H63" t="str" cm="1">
        <f t="array" aca="1" ref="H63" ca="1">IF(ROW(A63)-H$15 &lt; H$14,A63,IF(ROW(A63) - H$15 -H$16 + 1 &lt; H$14,INDIRECT(ADDRESS(MOD(ROW(A63) - H$15, H$14) + H$15, COLUMN(A63))),""))</f>
        <v>BLANK</v>
      </c>
      <c r="I63" t="str" cm="1">
        <f t="array" aca="1" ref="I63" ca="1">IF(ROW(B63)-I$15 &lt; I$14,B63,IF(ROW(B63) - I$15 -I$16 + 1 &lt; I$14,INDIRECT(ADDRESS(MOD(ROW(B63) - I$15, I$14) + I$15, COLUMN(B63))),""))</f>
        <v>CP</v>
      </c>
      <c r="J63" t="str" cm="1">
        <f t="array" aca="1" ref="J63" ca="1">IF(ROW(C63)-J$15 &lt; J$14,C63,IF(ROW(C63) - J$15 -J$16 + 1 &lt; J$14,INDIRECT(ADDRESS(MOD(ROW(C63) - J$15, J$14) + J$15, COLUMN(C63))),""))</f>
        <v>CP</v>
      </c>
      <c r="K63" t="str" cm="1">
        <f t="array" aca="1" ref="K63" ca="1">IF(ROW(D63)-K$15 &lt; K$14,D63,IF(ROW(D63) - K$15 -K$16 + 1 &lt; K$14,INDIRECT(ADDRESS(MOD(ROW(D63) - K$15, K$14) + K$15, COLUMN(D63))),""))</f>
        <v>CP</v>
      </c>
      <c r="L63" t="str" cm="1">
        <f t="array" aca="1" ref="L63" ca="1">IF(ROW(E63)-L$15 &lt; L$14,E63,IF(ROW(E63) - L$15 -L$16 + 1 &lt; L$14,INDIRECT(ADDRESS(MOD(ROW(E63) - L$15, L$14) + L$15, COLUMN(E63))),""))</f>
        <v>CP</v>
      </c>
      <c r="N63" cm="1">
        <f t="array" aca="1" ref="N63" ca="1">IF(H63&lt;&gt;"", SUMPRODUCT((OFFSET(H63,0,0,H$16,1)=$T$24) +0),"")</f>
        <v>0</v>
      </c>
      <c r="O63" cm="1">
        <f t="array" aca="1" ref="O63" ca="1">IF(I63&lt;&gt;"", SUMPRODUCT((OFFSET(I63,0,0,I$16,1)=$T$24) +0),"")</f>
        <v>1</v>
      </c>
      <c r="P63" cm="1">
        <f t="array" aca="1" ref="P63" ca="1">IF(J63&lt;&gt;"", SUMPRODUCT((OFFSET(J63,0,0,J$16,1)=$T$24) +0),"")</f>
        <v>1</v>
      </c>
      <c r="Q63" cm="1">
        <f t="array" aca="1" ref="Q63" ca="1">IF(K63&lt;&gt;"", SUMPRODUCT((OFFSET(K63,0,0,K$16,1)=$T$24) +0),"")</f>
        <v>3</v>
      </c>
      <c r="R63" cm="1">
        <f t="array" aca="1" ref="R63" ca="1">IF(L63&lt;&gt;"", SUMPRODUCT((OFFSET(L63,0,0,L$16,1)=$T$24) +0),"")</f>
        <v>2</v>
      </c>
      <c r="AB63">
        <f t="shared" si="20"/>
        <v>3</v>
      </c>
      <c r="AC63">
        <f t="shared" si="21"/>
        <v>2</v>
      </c>
      <c r="AD63">
        <f t="shared" si="22"/>
        <v>0</v>
      </c>
      <c r="AE63">
        <f t="shared" si="23"/>
        <v>0</v>
      </c>
      <c r="AF63">
        <f t="shared" si="24"/>
        <v>0</v>
      </c>
      <c r="AG63">
        <f t="shared" si="25"/>
        <v>5</v>
      </c>
      <c r="AH63">
        <f t="shared" ca="1" si="27"/>
        <v>0</v>
      </c>
      <c r="AI63">
        <f>IF(ROW($AA63) - $AA$51 &lt; ($H$16+1)^5, IF(AG63 &gt;= FreeSpinsBonus!$C$16, AG63*FreeSpinsBonus!$E$31, 0), "")</f>
        <v>7.2865053920139902</v>
      </c>
      <c r="AJ63">
        <f t="shared" ca="1" si="26"/>
        <v>0</v>
      </c>
      <c r="AM63" t="str">
        <f>IF(AN62&lt;&gt;"",IF(SUM($H$16:$J$16)&gt;=AN62+1,AN62+1,""),"")</f>
        <v/>
      </c>
    </row>
    <row r="64" spans="1:40" x14ac:dyDescent="0.3">
      <c r="A64" t="str">
        <v>BLANK</v>
      </c>
      <c r="B64" t="str">
        <v>BLANK</v>
      </c>
      <c r="C64" t="str">
        <v>BLANK</v>
      </c>
      <c r="D64" t="str">
        <v>CP</v>
      </c>
      <c r="E64" t="str">
        <v>CP</v>
      </c>
      <c r="H64" t="str" cm="1">
        <f t="array" aca="1" ref="H64" ca="1">IF(ROW(A64)-H$15 &lt; H$14,A64,IF(ROW(A64) - H$15 -H$16 + 1 &lt; H$14,INDIRECT(ADDRESS(MOD(ROW(A64) - H$15, H$14) + H$15, COLUMN(A64))),""))</f>
        <v>BLANK</v>
      </c>
      <c r="I64" t="str" cm="1">
        <f t="array" aca="1" ref="I64" ca="1">IF(ROW(B64)-I$15 &lt; I$14,B64,IF(ROW(B64) - I$15 -I$16 + 1 &lt; I$14,INDIRECT(ADDRESS(MOD(ROW(B64) - I$15, I$14) + I$15, COLUMN(B64))),""))</f>
        <v>BLANK</v>
      </c>
      <c r="J64" t="str" cm="1">
        <f t="array" aca="1" ref="J64" ca="1">IF(ROW(C64)-J$15 &lt; J$14,C64,IF(ROW(C64) - J$15 -J$16 + 1 &lt; J$14,INDIRECT(ADDRESS(MOD(ROW(C64) - J$15, J$14) + J$15, COLUMN(C64))),""))</f>
        <v>BLANK</v>
      </c>
      <c r="K64" t="str" cm="1">
        <f t="array" aca="1" ref="K64" ca="1">IF(ROW(D64)-K$15 &lt; K$14,D64,IF(ROW(D64) - K$15 -K$16 + 1 &lt; K$14,INDIRECT(ADDRESS(MOD(ROW(D64) - K$15, K$14) + K$15, COLUMN(D64))),""))</f>
        <v>CP</v>
      </c>
      <c r="L64" t="str" cm="1">
        <f t="array" aca="1" ref="L64" ca="1">IF(ROW(E64)-L$15 &lt; L$14,E64,IF(ROW(E64) - L$15 -L$16 + 1 &lt; L$14,INDIRECT(ADDRESS(MOD(ROW(E64) - L$15, L$14) + L$15, COLUMN(E64))),""))</f>
        <v>CP</v>
      </c>
      <c r="N64" cm="1">
        <f t="array" aca="1" ref="N64" ca="1">IF(H64&lt;&gt;"", SUMPRODUCT((OFFSET(H64,0,0,H$16,1)=$T$24) +0),"")</f>
        <v>1</v>
      </c>
      <c r="O64" cm="1">
        <f t="array" aca="1" ref="O64" ca="1">IF(I64&lt;&gt;"", SUMPRODUCT((OFFSET(I64,0,0,I$16,1)=$T$24) +0),"")</f>
        <v>0</v>
      </c>
      <c r="P64" cm="1">
        <f t="array" aca="1" ref="P64" ca="1">IF(J64&lt;&gt;"", SUMPRODUCT((OFFSET(J64,0,0,J$16,1)=$T$24) +0),"")</f>
        <v>0</v>
      </c>
      <c r="Q64" cm="1">
        <f t="array" aca="1" ref="Q64" ca="1">IF(K64&lt;&gt;"", SUMPRODUCT((OFFSET(K64,0,0,K$16,1)=$T$24) +0),"")</f>
        <v>2</v>
      </c>
      <c r="R64" cm="1">
        <f t="array" aca="1" ref="R64" ca="1">IF(L64&lt;&gt;"", SUMPRODUCT((OFFSET(L64,0,0,L$16,1)=$T$24) +0),"")</f>
        <v>1</v>
      </c>
      <c r="AB64">
        <f t="shared" si="20"/>
        <v>0</v>
      </c>
      <c r="AC64">
        <f t="shared" si="21"/>
        <v>3</v>
      </c>
      <c r="AD64">
        <f t="shared" si="22"/>
        <v>0</v>
      </c>
      <c r="AE64">
        <f t="shared" si="23"/>
        <v>0</v>
      </c>
      <c r="AF64">
        <f t="shared" si="24"/>
        <v>0</v>
      </c>
      <c r="AG64">
        <f t="shared" si="25"/>
        <v>3</v>
      </c>
      <c r="AH64">
        <f t="shared" ca="1" si="27"/>
        <v>1.2364123435165627E-3</v>
      </c>
      <c r="AI64">
        <f>IF(ROW($AA64) - $AA$51 &lt; ($H$16+1)^5, IF(AG64 &gt;= FreeSpinsBonus!$C$16, AG64*FreeSpinsBonus!$E$31, 0), "")</f>
        <v>0</v>
      </c>
      <c r="AJ64">
        <f t="shared" ca="1" si="26"/>
        <v>0</v>
      </c>
      <c r="AM64" t="str">
        <f>IF(AM63&lt;&gt;"",IF(SUM($H$16:$J$16)&gt;=AM63+1,AM63+1,""),"")</f>
        <v/>
      </c>
    </row>
    <row r="65" spans="2:39" x14ac:dyDescent="0.3">
      <c r="B65" t="str">
        <v>BLANK</v>
      </c>
      <c r="C65" t="str">
        <v>BLANK</v>
      </c>
      <c r="D65" t="str">
        <v>CP</v>
      </c>
      <c r="E65" t="str">
        <v>BLANK</v>
      </c>
      <c r="H65" t="str" cm="1">
        <f t="array" aca="1" ref="H65" ca="1">IF(ROW(A65)-H$15 &lt; H$14,A65,IF(ROW(A65) - H$15 -H$16 + 1 &lt; H$14,INDIRECT(ADDRESS(MOD(ROW(A65) - H$15, H$14) + H$15, COLUMN(A65))),""))</f>
        <v>BLANK</v>
      </c>
      <c r="I65" t="str" cm="1">
        <f t="array" aca="1" ref="I65" ca="1">IF(ROW(B65)-I$15 &lt; I$14,B65,IF(ROW(B65) - I$15 -I$16 + 1 &lt; I$14,INDIRECT(ADDRESS(MOD(ROW(B65) - I$15, I$14) + I$15, COLUMN(B65))),""))</f>
        <v>BLANK</v>
      </c>
      <c r="J65" t="str" cm="1">
        <f t="array" aca="1" ref="J65" ca="1">IF(ROW(C65)-J$15 &lt; J$14,C65,IF(ROW(C65) - J$15 -J$16 + 1 &lt; J$14,INDIRECT(ADDRESS(MOD(ROW(C65) - J$15, J$14) + J$15, COLUMN(C65))),""))</f>
        <v>BLANK</v>
      </c>
      <c r="K65" t="str" cm="1">
        <f t="array" aca="1" ref="K65" ca="1">IF(ROW(D65)-K$15 &lt; K$14,D65,IF(ROW(D65) - K$15 -K$16 + 1 &lt; K$14,INDIRECT(ADDRESS(MOD(ROW(D65) - K$15, K$14) + K$15, COLUMN(D65))),""))</f>
        <v>CP</v>
      </c>
      <c r="L65" t="str" cm="1">
        <f t="array" aca="1" ref="L65" ca="1">IF(ROW(E65)-L$15 &lt; L$14,E65,IF(ROW(E65) - L$15 -L$16 + 1 &lt; L$14,INDIRECT(ADDRESS(MOD(ROW(E65) - L$15, L$14) + L$15, COLUMN(E65))),""))</f>
        <v>BLANK</v>
      </c>
      <c r="N65" t="str" cm="1">
        <f t="array" aca="1" ref="N65" ca="1">IF(A65&lt;&gt;"", SUMPRODUCT((OFFSET(A65,0,0,H$16,1)=$T$24) +0),"")</f>
        <v/>
      </c>
      <c r="O65" cm="1">
        <f t="array" aca="1" ref="O65" ca="1">IF(I65&lt;&gt;"", SUMPRODUCT((OFFSET(I65,0,0,I$16,1)=$T$24) +0),"")</f>
        <v>0</v>
      </c>
      <c r="P65" cm="1">
        <f t="array" aca="1" ref="P65" ca="1">IF(J65&lt;&gt;"", SUMPRODUCT((OFFSET(J65,0,0,J$16,1)=$T$24) +0),"")</f>
        <v>1</v>
      </c>
      <c r="Q65" cm="1">
        <f t="array" aca="1" ref="Q65" ca="1">IF(K65&lt;&gt;"", SUMPRODUCT((OFFSET(K65,0,0,K$16,1)=$T$24) +0),"")</f>
        <v>1</v>
      </c>
      <c r="R65" cm="1">
        <f t="array" aca="1" ref="R65" ca="1">IF(L65&lt;&gt;"", SUMPRODUCT((OFFSET(L65,0,0,L$16,1)=$T$24) +0),"")</f>
        <v>0</v>
      </c>
      <c r="AB65">
        <f t="shared" si="20"/>
        <v>1</v>
      </c>
      <c r="AC65">
        <f t="shared" si="21"/>
        <v>3</v>
      </c>
      <c r="AD65">
        <f t="shared" si="22"/>
        <v>0</v>
      </c>
      <c r="AE65">
        <f t="shared" si="23"/>
        <v>0</v>
      </c>
      <c r="AF65">
        <f t="shared" si="24"/>
        <v>0</v>
      </c>
      <c r="AG65">
        <f t="shared" si="25"/>
        <v>4</v>
      </c>
      <c r="AH65">
        <f t="shared" ca="1" si="27"/>
        <v>1.3051019181563714E-3</v>
      </c>
      <c r="AI65">
        <f>IF(ROW($AA65) - $AA$51 &lt; ($H$16+1)^5, IF(AG65 &gt;= FreeSpinsBonus!$C$16, AG65*FreeSpinsBonus!$E$31, 0), "")</f>
        <v>0</v>
      </c>
      <c r="AJ65">
        <f t="shared" ca="1" si="26"/>
        <v>0</v>
      </c>
      <c r="AM65" t="str">
        <f t="shared" ref="AM65:AM72" si="28">IF(AM64&lt;&gt;"",IF(SUM($H$16:$J$16)&gt;=AM64+1,AM64+1,""),"")</f>
        <v/>
      </c>
    </row>
    <row r="66" spans="2:39" x14ac:dyDescent="0.3">
      <c r="B66" t="str">
        <v>BLANK</v>
      </c>
      <c r="D66" t="str">
        <v>BLANK</v>
      </c>
      <c r="E66" t="str">
        <v>BLANK</v>
      </c>
      <c r="H66" t="str" cm="1">
        <f t="array" aca="1" ref="H66" ca="1">IF(ROW(A66)-H$15 &lt; H$14,A66,IF(ROW(A66) - H$15 -H$16 + 1 &lt; H$14,INDIRECT(ADDRESS(MOD(ROW(A66) - H$15, H$14) + H$15, COLUMN(A66))),""))</f>
        <v>CP</v>
      </c>
      <c r="I66" t="str" cm="1">
        <f t="array" aca="1" ref="I66" ca="1">IF(ROW(B66)-I$15 &lt; I$14,B66,IF(ROW(B66) - I$15 -I$16 + 1 &lt; I$14,INDIRECT(ADDRESS(MOD(ROW(B66) - I$15, I$14) + I$15, COLUMN(B66))),""))</f>
        <v>BLANK</v>
      </c>
      <c r="J66" t="str" cm="1">
        <f t="array" aca="1" ref="J66" ca="1">IF(ROW(C66)-J$15 &lt; J$14,C66,IF(ROW(C66) - J$15 -J$16 + 1 &lt; J$14,INDIRECT(ADDRESS(MOD(ROW(C66) - J$15, J$14) + J$15, COLUMN(C66))),""))</f>
        <v>BLANK</v>
      </c>
      <c r="K66" t="str" cm="1">
        <f t="array" aca="1" ref="K66" ca="1">IF(ROW(D66)-K$15 &lt; K$14,D66,IF(ROW(D66) - K$15 -K$16 + 1 &lt; K$14,INDIRECT(ADDRESS(MOD(ROW(D66) - K$15, K$14) + K$15, COLUMN(D66))),""))</f>
        <v>BLANK</v>
      </c>
      <c r="L66" t="str" cm="1">
        <f t="array" aca="1" ref="L66" ca="1">IF(ROW(E66)-L$15 &lt; L$14,E66,IF(ROW(E66) - L$15 -L$16 + 1 &lt; L$14,INDIRECT(ADDRESS(MOD(ROW(E66) - L$15, L$14) + L$15, COLUMN(E66))),""))</f>
        <v>BLANK</v>
      </c>
      <c r="N66" t="str" cm="1">
        <f t="array" aca="1" ref="N66" ca="1">IF(A66&lt;&gt;"", SUMPRODUCT((OFFSET(A66,0,0,H$16,1)=$T$24) +0),"")</f>
        <v/>
      </c>
      <c r="O66" cm="1">
        <f t="array" aca="1" ref="O66" ca="1">IF(I66&lt;&gt;"", SUMPRODUCT((OFFSET(I66,0,0,I$16,1)=$T$24) +0),"")</f>
        <v>0</v>
      </c>
      <c r="P66" t="str" cm="1">
        <f t="array" aca="1" ref="P66" ca="1">IF(C66&lt;&gt;"", SUMPRODUCT((OFFSET(C66,0,0,J$16,1)=$T$24) +0),"")</f>
        <v/>
      </c>
      <c r="Q66" cm="1">
        <f t="array" aca="1" ref="Q66" ca="1">IF(K66&lt;&gt;"", SUMPRODUCT((OFFSET(K66,0,0,K$16,1)=$T$24) +0),"")</f>
        <v>0</v>
      </c>
      <c r="R66" cm="1">
        <f t="array" aca="1" ref="R66" ca="1">IF(L66&lt;&gt;"", SUMPRODUCT((OFFSET(L66,0,0,L$16,1)=$T$24) +0),"")</f>
        <v>1</v>
      </c>
      <c r="AB66">
        <f t="shared" si="20"/>
        <v>2</v>
      </c>
      <c r="AC66">
        <f t="shared" si="21"/>
        <v>3</v>
      </c>
      <c r="AD66">
        <f t="shared" si="22"/>
        <v>0</v>
      </c>
      <c r="AE66">
        <f t="shared" si="23"/>
        <v>0</v>
      </c>
      <c r="AF66">
        <f t="shared" si="24"/>
        <v>0</v>
      </c>
      <c r="AG66">
        <f t="shared" si="25"/>
        <v>5</v>
      </c>
      <c r="AH66">
        <f t="shared" ca="1" si="27"/>
        <v>6.8689574639809034E-4</v>
      </c>
      <c r="AI66">
        <f>IF(ROW($AA66) - $AA$51 &lt; ($H$16+1)^5, IF(AG66 &gt;= FreeSpinsBonus!$C$16, AG66*FreeSpinsBonus!$E$31, 0), "")</f>
        <v>7.2865053920139902</v>
      </c>
      <c r="AJ66">
        <f t="shared" ca="1" si="26"/>
        <v>5.0050695598811597E-3</v>
      </c>
      <c r="AM66" t="str">
        <f t="shared" si="28"/>
        <v/>
      </c>
    </row>
    <row r="67" spans="2:39" x14ac:dyDescent="0.3">
      <c r="B67" t="str">
        <v>BLANK</v>
      </c>
      <c r="D67" t="str">
        <v>BLANK</v>
      </c>
      <c r="H67" t="str" cm="1">
        <f t="array" aca="1" ref="H67" ca="1">IF(ROW(A67)-H$15 &lt; H$14,A67,IF(ROW(A67) - H$15 -H$16 + 1 &lt; H$14,INDIRECT(ADDRESS(MOD(ROW(A67) - H$15, H$14) + H$15, COLUMN(A67))),""))</f>
        <v/>
      </c>
      <c r="I67" t="str" cm="1">
        <f t="array" aca="1" ref="I67" ca="1">IF(ROW(B67)-I$15 &lt; I$14,B67,IF(ROW(B67) - I$15 -I$16 + 1 &lt; I$14,INDIRECT(ADDRESS(MOD(ROW(B67) - I$15, I$14) + I$15, COLUMN(B67))),""))</f>
        <v>BLANK</v>
      </c>
      <c r="J67" t="str" cm="1">
        <f t="array" aca="1" ref="J67" ca="1">IF(ROW(C67)-J$15 &lt; J$14,C67,IF(ROW(C67) - J$15 -J$16 + 1 &lt; J$14,INDIRECT(ADDRESS(MOD(ROW(C67) - J$15, J$14) + J$15, COLUMN(C67))),""))</f>
        <v>CP</v>
      </c>
      <c r="K67" t="str" cm="1">
        <f t="array" aca="1" ref="K67" ca="1">IF(ROW(D67)-K$15 &lt; K$14,D67,IF(ROW(D67) - K$15 -K$16 + 1 &lt; K$14,INDIRECT(ADDRESS(MOD(ROW(D67) - K$15, K$14) + K$15, COLUMN(D67))),""))</f>
        <v>BLANK</v>
      </c>
      <c r="L67" t="str" cm="1">
        <f t="array" aca="1" ref="L67" ca="1">IF(ROW(E67)-L$15 &lt; L$14,E67,IF(ROW(E67) - L$15 -L$16 + 1 &lt; L$14,INDIRECT(ADDRESS(MOD(ROW(E67) - L$15, L$14) + L$15, COLUMN(E67))),""))</f>
        <v>BLANK</v>
      </c>
      <c r="N67" t="str" cm="1">
        <f t="array" aca="1" ref="N67" ca="1">IF(A67&lt;&gt;"", SUMPRODUCT((OFFSET(A67,0,0,H$16,1)=$T$24) +0),"")</f>
        <v/>
      </c>
      <c r="O67" cm="1">
        <f t="array" aca="1" ref="O67" ca="1">IF(I67&lt;&gt;"", SUMPRODUCT((OFFSET(I67,0,0,I$16,1)=$T$24) +0),"")</f>
        <v>0</v>
      </c>
      <c r="P67" t="str" cm="1">
        <f t="array" aca="1" ref="P67" ca="1">IF(C67&lt;&gt;"", SUMPRODUCT((OFFSET(C67,0,0,J$16,1)=$T$24) +0),"")</f>
        <v/>
      </c>
      <c r="Q67" cm="1">
        <f t="array" aca="1" ref="Q67" ca="1">IF(K67&lt;&gt;"", SUMPRODUCT((OFFSET(K67,0,0,K$16,1)=$T$24) +0),"")</f>
        <v>0</v>
      </c>
      <c r="R67" t="str" cm="1">
        <f t="array" aca="1" ref="R67" ca="1">IF(E67&lt;&gt;"", SUMPRODUCT((OFFSET(E67,0,0,L$16,1)=$T$24) +0),"")</f>
        <v/>
      </c>
      <c r="AB67">
        <f t="shared" si="20"/>
        <v>3</v>
      </c>
      <c r="AC67">
        <f t="shared" si="21"/>
        <v>3</v>
      </c>
      <c r="AD67">
        <f t="shared" si="22"/>
        <v>0</v>
      </c>
      <c r="AE67">
        <f t="shared" si="23"/>
        <v>0</v>
      </c>
      <c r="AF67">
        <f t="shared" si="24"/>
        <v>0</v>
      </c>
      <c r="AG67">
        <f t="shared" si="25"/>
        <v>6</v>
      </c>
      <c r="AH67">
        <f t="shared" ca="1" si="27"/>
        <v>0</v>
      </c>
      <c r="AI67">
        <f>IF(ROW($AA67) - $AA$51 &lt; ($H$16+1)^5, IF(AG67 &gt;= FreeSpinsBonus!$C$16, AG67*FreeSpinsBonus!$E$31, 0), "")</f>
        <v>8.7438064704167875</v>
      </c>
      <c r="AJ67">
        <f t="shared" ca="1" si="26"/>
        <v>0</v>
      </c>
      <c r="AM67" t="str">
        <f t="shared" si="28"/>
        <v/>
      </c>
    </row>
    <row r="68" spans="2:39" x14ac:dyDescent="0.3">
      <c r="B68" t="str">
        <v>BLANK</v>
      </c>
      <c r="D68" t="str">
        <v>BLANK</v>
      </c>
      <c r="H68" t="str" cm="1">
        <f t="array" aca="1" ref="H68" ca="1">IF(ROW(A68)-H$15 &lt; H$14,A68,IF(ROW(A68) - H$15 -H$16 + 1 &lt; H$14,INDIRECT(ADDRESS(MOD(ROW(A68) - H$15, H$14) + H$15, COLUMN(A68))),""))</f>
        <v/>
      </c>
      <c r="I68" t="str" cm="1">
        <f t="array" aca="1" ref="I68" ca="1">IF(ROW(B68)-I$15 &lt; I$14,B68,IF(ROW(B68) - I$15 -I$16 + 1 &lt; I$14,INDIRECT(ADDRESS(MOD(ROW(B68) - I$15, I$14) + I$15, COLUMN(B68))),""))</f>
        <v>BLANK</v>
      </c>
      <c r="J68" t="str" cm="1">
        <f t="array" aca="1" ref="J68" ca="1">IF(ROW(C68)-J$15 &lt; J$14,C68,IF(ROW(C68) - J$15 -J$16 + 1 &lt; J$14,INDIRECT(ADDRESS(MOD(ROW(C68) - J$15, J$14) + J$15, COLUMN(C68))),""))</f>
        <v/>
      </c>
      <c r="K68" t="str" cm="1">
        <f t="array" aca="1" ref="K68" ca="1">IF(ROW(D68)-K$15 &lt; K$14,D68,IF(ROW(D68) - K$15 -K$16 + 1 &lt; K$14,INDIRECT(ADDRESS(MOD(ROW(D68) - K$15, K$14) + K$15, COLUMN(D68))),""))</f>
        <v>BLANK</v>
      </c>
      <c r="L68" t="str" cm="1">
        <f t="array" aca="1" ref="L68" ca="1">IF(ROW(E68)-L$15 &lt; L$14,E68,IF(ROW(E68) - L$15 -L$16 + 1 &lt; L$14,INDIRECT(ADDRESS(MOD(ROW(E68) - L$15, L$14) + L$15, COLUMN(E68))),""))</f>
        <v>CP</v>
      </c>
      <c r="N68" t="str" cm="1">
        <f t="array" aca="1" ref="N68" ca="1">IF(A68&lt;&gt;"", SUMPRODUCT((OFFSET(A68,0,0,H$16,1)=$T$24) +0),"")</f>
        <v/>
      </c>
      <c r="O68" cm="1">
        <f t="array" aca="1" ref="O68" ca="1">IF(I68&lt;&gt;"", SUMPRODUCT((OFFSET(I68,0,0,I$16,1)=$T$24) +0),"")</f>
        <v>0</v>
      </c>
      <c r="P68" t="str" cm="1">
        <f t="array" aca="1" ref="P68" ca="1">IF(C68&lt;&gt;"", SUMPRODUCT((OFFSET(C68,0,0,J$16,1)=$T$24) +0),"")</f>
        <v/>
      </c>
      <c r="Q68" cm="1">
        <f t="array" aca="1" ref="Q68" ca="1">IF(K68&lt;&gt;"", SUMPRODUCT((OFFSET(K68,0,0,K$16,1)=$T$24) +0),"")</f>
        <v>0</v>
      </c>
      <c r="R68" t="str" cm="1">
        <f t="array" aca="1" ref="R68" ca="1">IF(E68&lt;&gt;"", SUMPRODUCT((OFFSET(E68,0,0,L$16,1)=$T$24) +0),"")</f>
        <v/>
      </c>
      <c r="AB68">
        <f t="shared" si="20"/>
        <v>0</v>
      </c>
      <c r="AC68">
        <f t="shared" si="21"/>
        <v>0</v>
      </c>
      <c r="AD68">
        <f t="shared" si="22"/>
        <v>1</v>
      </c>
      <c r="AE68">
        <f t="shared" si="23"/>
        <v>0</v>
      </c>
      <c r="AF68">
        <f t="shared" si="24"/>
        <v>0</v>
      </c>
      <c r="AG68">
        <f t="shared" si="25"/>
        <v>1</v>
      </c>
      <c r="AH68">
        <f t="shared" ca="1" si="27"/>
        <v>4.3789603832878263E-3</v>
      </c>
      <c r="AI68">
        <f>IF(ROW($AA68) - $AA$51 &lt; ($H$16+1)^5, IF(AG68 &gt;= FreeSpinsBonus!$C$16, AG68*FreeSpinsBonus!$E$31, 0), "")</f>
        <v>0</v>
      </c>
      <c r="AJ68">
        <f t="shared" ca="1" si="26"/>
        <v>0</v>
      </c>
      <c r="AM68" t="str">
        <f t="shared" si="28"/>
        <v/>
      </c>
    </row>
    <row r="69" spans="2:39" x14ac:dyDescent="0.3">
      <c r="B69" t="str">
        <v>BLANK</v>
      </c>
      <c r="D69" t="str">
        <v>BLANK</v>
      </c>
      <c r="H69" t="str" cm="1">
        <f t="array" aca="1" ref="H69" ca="1">IF(ROW(A69)-H$15 &lt; H$14,A69,IF(ROW(A69) - H$15 -H$16 + 1 &lt; H$14,INDIRECT(ADDRESS(MOD(ROW(A69) - H$15, H$14) + H$15, COLUMN(A69))),""))</f>
        <v/>
      </c>
      <c r="I69" t="str" cm="1">
        <f t="array" aca="1" ref="I69" ca="1">IF(ROW(B69)-I$15 &lt; I$14,B69,IF(ROW(B69) - I$15 -I$16 + 1 &lt; I$14,INDIRECT(ADDRESS(MOD(ROW(B69) - I$15, I$14) + I$15, COLUMN(B69))),""))</f>
        <v>BLANK</v>
      </c>
      <c r="J69" t="str" cm="1">
        <f t="array" aca="1" ref="J69" ca="1">IF(ROW(C69)-J$15 &lt; J$14,C69,IF(ROW(C69) - J$15 -J$16 + 1 &lt; J$14,INDIRECT(ADDRESS(MOD(ROW(C69) - J$15, J$14) + J$15, COLUMN(C69))),""))</f>
        <v/>
      </c>
      <c r="K69" t="str" cm="1">
        <f t="array" aca="1" ref="K69" ca="1">IF(ROW(D69)-K$15 &lt; K$14,D69,IF(ROW(D69) - K$15 -K$16 + 1 &lt; K$14,INDIRECT(ADDRESS(MOD(ROW(D69) - K$15, K$14) + K$15, COLUMN(D69))),""))</f>
        <v>BLANK</v>
      </c>
      <c r="L69" t="str" cm="1">
        <f t="array" aca="1" ref="L69" ca="1">IF(ROW(E69)-L$15 &lt; L$14,E69,IF(ROW(E69) - L$15 -L$16 + 1 &lt; L$14,INDIRECT(ADDRESS(MOD(ROW(E69) - L$15, L$14) + L$15, COLUMN(E69))),""))</f>
        <v/>
      </c>
      <c r="N69" t="str" cm="1">
        <f t="array" aca="1" ref="N69" ca="1">IF(A69&lt;&gt;"", SUMPRODUCT((OFFSET(A69,0,0,H$16,1)=$T$24) +0),"")</f>
        <v/>
      </c>
      <c r="O69" cm="1">
        <f t="array" aca="1" ref="O69" ca="1">IF(I69&lt;&gt;"", SUMPRODUCT((OFFSET(I69,0,0,I$16,1)=$T$24) +0),"")</f>
        <v>1</v>
      </c>
      <c r="P69" t="str" cm="1">
        <f t="array" aca="1" ref="P69" ca="1">IF(C69&lt;&gt;"", SUMPRODUCT((OFFSET(C69,0,0,J$16,1)=$T$24) +0),"")</f>
        <v/>
      </c>
      <c r="Q69" cm="1">
        <f t="array" aca="1" ref="Q69" ca="1">IF(K69&lt;&gt;"", SUMPRODUCT((OFFSET(K69,0,0,K$16,1)=$T$24) +0),"")</f>
        <v>0</v>
      </c>
      <c r="R69" t="str" cm="1">
        <f t="array" aca="1" ref="R69" ca="1">IF(E69&lt;&gt;"", SUMPRODUCT((OFFSET(E69,0,0,L$16,1)=$T$24) +0),"")</f>
        <v/>
      </c>
      <c r="AB69">
        <f t="shared" si="20"/>
        <v>1</v>
      </c>
      <c r="AC69">
        <f t="shared" si="21"/>
        <v>0</v>
      </c>
      <c r="AD69">
        <f t="shared" si="22"/>
        <v>1</v>
      </c>
      <c r="AE69">
        <f t="shared" si="23"/>
        <v>0</v>
      </c>
      <c r="AF69">
        <f t="shared" si="24"/>
        <v>0</v>
      </c>
      <c r="AG69">
        <f t="shared" si="25"/>
        <v>2</v>
      </c>
      <c r="AH69">
        <f t="shared" ca="1" si="27"/>
        <v>4.6222359601371501E-3</v>
      </c>
      <c r="AI69">
        <f>IF(ROW($AA69) - $AA$51 &lt; ($H$16+1)^5, IF(AG69 &gt;= FreeSpinsBonus!$C$16, AG69*FreeSpinsBonus!$E$31, 0), "")</f>
        <v>0</v>
      </c>
      <c r="AJ69">
        <f t="shared" ca="1" si="26"/>
        <v>0</v>
      </c>
      <c r="AM69" t="str">
        <f t="shared" si="28"/>
        <v/>
      </c>
    </row>
    <row r="70" spans="2:39" x14ac:dyDescent="0.3">
      <c r="B70" t="str">
        <v>BLANK</v>
      </c>
      <c r="D70" t="str">
        <v>BLANK</v>
      </c>
      <c r="H70" t="str" cm="1">
        <f t="array" aca="1" ref="H70" ca="1">IF(ROW(A70)-H$15 &lt; H$14,A70,IF(ROW(A70) - H$15 -H$16 + 1 &lt; H$14,INDIRECT(ADDRESS(MOD(ROW(A70) - H$15, H$14) + H$15, COLUMN(A70))),""))</f>
        <v/>
      </c>
      <c r="I70" t="str" cm="1">
        <f t="array" aca="1" ref="I70" ca="1">IF(ROW(B70)-I$15 &lt; I$14,B70,IF(ROW(B70) - I$15 -I$16 + 1 &lt; I$14,INDIRECT(ADDRESS(MOD(ROW(B70) - I$15, I$14) + I$15, COLUMN(B70))),""))</f>
        <v>BLANK</v>
      </c>
      <c r="J70" t="str" cm="1">
        <f t="array" aca="1" ref="J70" ca="1">IF(ROW(C70)-J$15 &lt; J$14,C70,IF(ROW(C70) - J$15 -J$16 + 1 &lt; J$14,INDIRECT(ADDRESS(MOD(ROW(C70) - J$15, J$14) + J$15, COLUMN(C70))),""))</f>
        <v/>
      </c>
      <c r="K70" t="str" cm="1">
        <f t="array" aca="1" ref="K70" ca="1">IF(ROW(D70)-K$15 &lt; K$14,D70,IF(ROW(D70) - K$15 -K$16 + 1 &lt; K$14,INDIRECT(ADDRESS(MOD(ROW(D70) - K$15, K$14) + K$15, COLUMN(D70))),""))</f>
        <v>BLANK</v>
      </c>
      <c r="L70" t="str" cm="1">
        <f t="array" aca="1" ref="L70" ca="1">IF(ROW(E70)-L$15 &lt; L$14,E70,IF(ROW(E70) - L$15 -L$16 + 1 &lt; L$14,INDIRECT(ADDRESS(MOD(ROW(E70) - L$15, L$14) + L$15, COLUMN(E70))),""))</f>
        <v/>
      </c>
      <c r="N70" t="str" cm="1">
        <f t="array" aca="1" ref="N70" ca="1">IF(A70&lt;&gt;"", SUMPRODUCT((OFFSET(A70,0,0,H$16,1)=$T$24) +0),"")</f>
        <v/>
      </c>
      <c r="O70" cm="1">
        <f t="array" aca="1" ref="O70" ca="1">IF(I70&lt;&gt;"", SUMPRODUCT((OFFSET(I70,0,0,I$16,1)=$T$24) +0),"")</f>
        <v>2</v>
      </c>
      <c r="P70" t="str" cm="1">
        <f t="array" aca="1" ref="P70" ca="1">IF(C70&lt;&gt;"", SUMPRODUCT((OFFSET(C70,0,0,J$16,1)=$T$24) +0),"")</f>
        <v/>
      </c>
      <c r="Q70" cm="1">
        <f t="array" aca="1" ref="Q70" ca="1">IF(K70&lt;&gt;"", SUMPRODUCT((OFFSET(K70,0,0,K$16,1)=$T$24) +0),"")</f>
        <v>0</v>
      </c>
      <c r="R70" t="str" cm="1">
        <f t="array" aca="1" ref="R70" ca="1">IF(E70&lt;&gt;"", SUMPRODUCT((OFFSET(E70,0,0,L$16,1)=$T$24) +0),"")</f>
        <v/>
      </c>
      <c r="AB70">
        <f t="shared" si="20"/>
        <v>2</v>
      </c>
      <c r="AC70">
        <f t="shared" si="21"/>
        <v>0</v>
      </c>
      <c r="AD70">
        <f t="shared" si="22"/>
        <v>1</v>
      </c>
      <c r="AE70">
        <f t="shared" si="23"/>
        <v>0</v>
      </c>
      <c r="AF70">
        <f t="shared" si="24"/>
        <v>0</v>
      </c>
      <c r="AG70">
        <f t="shared" si="25"/>
        <v>3</v>
      </c>
      <c r="AH70">
        <f t="shared" ca="1" si="27"/>
        <v>2.4327557684932369E-3</v>
      </c>
      <c r="AI70">
        <f>IF(ROW($AA70) - $AA$51 &lt; ($H$16+1)^5, IF(AG70 &gt;= FreeSpinsBonus!$C$16, AG70*FreeSpinsBonus!$E$31, 0), "")</f>
        <v>0</v>
      </c>
      <c r="AJ70">
        <f t="shared" ca="1" si="26"/>
        <v>0</v>
      </c>
      <c r="AK70" s="28"/>
      <c r="AM70" t="str">
        <f t="shared" si="28"/>
        <v/>
      </c>
    </row>
    <row r="71" spans="2:39" x14ac:dyDescent="0.3">
      <c r="B71" t="str">
        <v>CP</v>
      </c>
      <c r="D71" t="str">
        <v>BLANK</v>
      </c>
      <c r="H71" t="str" cm="1">
        <f t="array" aca="1" ref="H71" ca="1">IF(ROW(A71)-H$15 &lt; H$14,A71,IF(ROW(A71) - H$15 -H$16 + 1 &lt; H$14,INDIRECT(ADDRESS(MOD(ROW(A71) - H$15, H$14) + H$15, COLUMN(A71))),""))</f>
        <v/>
      </c>
      <c r="I71" t="str" cm="1">
        <f t="array" aca="1" ref="I71" ca="1">IF(ROW(B71)-I$15 &lt; I$14,B71,IF(ROW(B71) - I$15 -I$16 + 1 &lt; I$14,INDIRECT(ADDRESS(MOD(ROW(B71) - I$15, I$14) + I$15, COLUMN(B71))),""))</f>
        <v>CP</v>
      </c>
      <c r="J71" t="str" cm="1">
        <f t="array" aca="1" ref="J71" ca="1">IF(ROW(C71)-J$15 &lt; J$14,C71,IF(ROW(C71) - J$15 -J$16 + 1 &lt; J$14,INDIRECT(ADDRESS(MOD(ROW(C71) - J$15, J$14) + J$15, COLUMN(C71))),""))</f>
        <v/>
      </c>
      <c r="K71" t="str" cm="1">
        <f t="array" aca="1" ref="K71" ca="1">IF(ROW(D71)-K$15 &lt; K$14,D71,IF(ROW(D71) - K$15 -K$16 + 1 &lt; K$14,INDIRECT(ADDRESS(MOD(ROW(D71) - K$15, K$14) + K$15, COLUMN(D71))),""))</f>
        <v>BLANK</v>
      </c>
      <c r="L71" t="str" cm="1">
        <f t="array" aca="1" ref="L71" ca="1">IF(ROW(E71)-L$15 &lt; L$14,E71,IF(ROW(E71) - L$15 -L$16 + 1 &lt; L$14,INDIRECT(ADDRESS(MOD(ROW(E71) - L$15, L$14) + L$15, COLUMN(E71))),""))</f>
        <v/>
      </c>
      <c r="N71" t="str" cm="1">
        <f t="array" aca="1" ref="N71" ca="1">IF(A71&lt;&gt;"", SUMPRODUCT((OFFSET(A71,0,0,H$16,1)=$T$24) +0),"")</f>
        <v/>
      </c>
      <c r="O71" cm="1">
        <f t="array" aca="1" ref="O71" ca="1">IF(I71&lt;&gt;"", SUMPRODUCT((OFFSET(I71,0,0,I$16,1)=$T$24) +0),"")</f>
        <v>2</v>
      </c>
      <c r="P71" t="str" cm="1">
        <f t="array" aca="1" ref="P71" ca="1">IF(C71&lt;&gt;"", SUMPRODUCT((OFFSET(C71,0,0,J$16,1)=$T$24) +0),"")</f>
        <v/>
      </c>
      <c r="Q71" cm="1">
        <f t="array" aca="1" ref="Q71" ca="1">IF(K71&lt;&gt;"", SUMPRODUCT((OFFSET(K71,0,0,K$16,1)=$T$24) +0),"")</f>
        <v>1</v>
      </c>
      <c r="R71" t="str" cm="1">
        <f t="array" aca="1" ref="R71" ca="1">IF(E71&lt;&gt;"", SUMPRODUCT((OFFSET(E71,0,0,L$16,1)=$T$24) +0),"")</f>
        <v/>
      </c>
      <c r="AB71">
        <f t="shared" si="20"/>
        <v>3</v>
      </c>
      <c r="AC71">
        <f t="shared" si="21"/>
        <v>0</v>
      </c>
      <c r="AD71">
        <f t="shared" si="22"/>
        <v>1</v>
      </c>
      <c r="AE71">
        <f t="shared" si="23"/>
        <v>0</v>
      </c>
      <c r="AF71">
        <f t="shared" si="24"/>
        <v>0</v>
      </c>
      <c r="AG71">
        <f t="shared" si="25"/>
        <v>4</v>
      </c>
      <c r="AH71">
        <f t="shared" ca="1" si="27"/>
        <v>0</v>
      </c>
      <c r="AI71">
        <f>IF(ROW($AA71) - $AA$51 &lt; ($H$16+1)^5, IF(AG71 &gt;= FreeSpinsBonus!$C$16, AG71*FreeSpinsBonus!$E$31, 0), "")</f>
        <v>0</v>
      </c>
      <c r="AJ71">
        <f t="shared" ca="1" si="26"/>
        <v>0</v>
      </c>
      <c r="AM71" t="str">
        <f t="shared" si="28"/>
        <v/>
      </c>
    </row>
    <row r="72" spans="2:39" x14ac:dyDescent="0.3">
      <c r="B72" t="str">
        <v>CP</v>
      </c>
      <c r="D72" t="str">
        <v>BLANK</v>
      </c>
      <c r="H72" t="str" cm="1">
        <f t="array" aca="1" ref="H72" ca="1">IF(ROW(A72)-H$15 &lt; H$14,A72,IF(ROW(A72) - H$15 -H$16 + 1 &lt; H$14,INDIRECT(ADDRESS(MOD(ROW(A72) - H$15, H$14) + H$15, COLUMN(A72))),""))</f>
        <v/>
      </c>
      <c r="I72" t="str" cm="1">
        <f t="array" aca="1" ref="I72" ca="1">IF(ROW(B72)-I$15 &lt; I$14,B72,IF(ROW(B72) - I$15 -I$16 + 1 &lt; I$14,INDIRECT(ADDRESS(MOD(ROW(B72) - I$15, I$14) + I$15, COLUMN(B72))),""))</f>
        <v>CP</v>
      </c>
      <c r="J72" t="str" cm="1">
        <f t="array" aca="1" ref="J72" ca="1">IF(ROW(C72)-J$15 &lt; J$14,C72,IF(ROW(C72) - J$15 -J$16 + 1 &lt; J$14,INDIRECT(ADDRESS(MOD(ROW(C72) - J$15, J$14) + J$15, COLUMN(C72))),""))</f>
        <v/>
      </c>
      <c r="K72" t="str" cm="1">
        <f t="array" aca="1" ref="K72" ca="1">IF(ROW(D72)-K$15 &lt; K$14,D72,IF(ROW(D72) - K$15 -K$16 + 1 &lt; K$14,INDIRECT(ADDRESS(MOD(ROW(D72) - K$15, K$14) + K$15, COLUMN(D72))),""))</f>
        <v>BLANK</v>
      </c>
      <c r="L72" t="str" cm="1">
        <f t="array" aca="1" ref="L72" ca="1">IF(ROW(E72)-L$15 &lt; L$14,E72,IF(ROW(E72) - L$15 -L$16 + 1 &lt; L$14,INDIRECT(ADDRESS(MOD(ROW(E72) - L$15, L$14) + L$15, COLUMN(E72))),""))</f>
        <v/>
      </c>
      <c r="N72" t="str" cm="1">
        <f t="array" aca="1" ref="N72" ca="1">IF(A72&lt;&gt;"", SUMPRODUCT((OFFSET(A72,0,0,H$16,1)=$T$24) +0),"")</f>
        <v/>
      </c>
      <c r="O72" cm="1">
        <f t="array" aca="1" ref="O72" ca="1">IF(I72&lt;&gt;"", SUMPRODUCT((OFFSET(I72,0,0,I$16,1)=$T$24) +0),"")</f>
        <v>2</v>
      </c>
      <c r="P72" t="str" cm="1">
        <f t="array" aca="1" ref="P72" ca="1">IF(C72&lt;&gt;"", SUMPRODUCT((OFFSET(C72,0,0,J$16,1)=$T$24) +0),"")</f>
        <v/>
      </c>
      <c r="Q72" cm="1">
        <f t="array" aca="1" ref="Q72" ca="1">IF(K72&lt;&gt;"", SUMPRODUCT((OFFSET(K72,0,0,K$16,1)=$T$24) +0),"")</f>
        <v>2</v>
      </c>
      <c r="R72" t="str" cm="1">
        <f t="array" aca="1" ref="R72" ca="1">IF(E72&lt;&gt;"", SUMPRODUCT((OFFSET(E72,0,0,L$16,1)=$T$24) +0),"")</f>
        <v/>
      </c>
      <c r="AB72">
        <f t="shared" si="20"/>
        <v>0</v>
      </c>
      <c r="AC72">
        <f t="shared" si="21"/>
        <v>1</v>
      </c>
      <c r="AD72">
        <f t="shared" si="22"/>
        <v>1</v>
      </c>
      <c r="AE72">
        <f t="shared" si="23"/>
        <v>0</v>
      </c>
      <c r="AF72">
        <f t="shared" si="24"/>
        <v>0</v>
      </c>
      <c r="AG72">
        <f t="shared" si="25"/>
        <v>2</v>
      </c>
      <c r="AH72">
        <f t="shared" ca="1" si="27"/>
        <v>4.3789603832878263E-3</v>
      </c>
      <c r="AI72">
        <f>IF(ROW($AA72) - $AA$51 &lt; ($H$16+1)^5, IF(AG72 &gt;= FreeSpinsBonus!$C$16, AG72*FreeSpinsBonus!$E$31, 0), "")</f>
        <v>0</v>
      </c>
      <c r="AJ72">
        <f t="shared" ca="1" si="26"/>
        <v>0</v>
      </c>
      <c r="AK72" s="44"/>
      <c r="AM72" t="str">
        <f t="shared" si="28"/>
        <v/>
      </c>
    </row>
    <row r="73" spans="2:39" x14ac:dyDescent="0.3">
      <c r="B73" t="str">
        <v>BLANK</v>
      </c>
      <c r="D73" t="str">
        <v>CP</v>
      </c>
      <c r="H73" t="str" cm="1">
        <f t="array" aca="1" ref="H73" ca="1">IF(ROW(A73)-H$15 &lt; H$14,A73,IF(ROW(A73) - H$15 -H$16 + 1 &lt; H$14,INDIRECT(ADDRESS(MOD(ROW(A73) - H$15, H$14) + H$15, COLUMN(A73))),""))</f>
        <v/>
      </c>
      <c r="I73" t="str" cm="1">
        <f t="array" aca="1" ref="I73" ca="1">IF(ROW(B73)-I$15 &lt; I$14,B73,IF(ROW(B73) - I$15 -I$16 + 1 &lt; I$14,INDIRECT(ADDRESS(MOD(ROW(B73) - I$15, I$14) + I$15, COLUMN(B73))),""))</f>
        <v>BLANK</v>
      </c>
      <c r="J73" t="str" cm="1">
        <f t="array" aca="1" ref="J73" ca="1">IF(ROW(C73)-J$15 &lt; J$14,C73,IF(ROW(C73) - J$15 -J$16 + 1 &lt; J$14,INDIRECT(ADDRESS(MOD(ROW(C73) - J$15, J$14) + J$15, COLUMN(C73))),""))</f>
        <v/>
      </c>
      <c r="K73" t="str" cm="1">
        <f t="array" aca="1" ref="K73" ca="1">IF(ROW(D73)-K$15 &lt; K$14,D73,IF(ROW(D73) - K$15 -K$16 + 1 &lt; K$14,INDIRECT(ADDRESS(MOD(ROW(D73) - K$15, K$14) + K$15, COLUMN(D73))),""))</f>
        <v>CP</v>
      </c>
      <c r="L73" t="str" cm="1">
        <f t="array" aca="1" ref="L73" ca="1">IF(ROW(E73)-L$15 &lt; L$14,E73,IF(ROW(E73) - L$15 -L$16 + 1 &lt; L$14,INDIRECT(ADDRESS(MOD(ROW(E73) - L$15, L$14) + L$15, COLUMN(E73))),""))</f>
        <v/>
      </c>
      <c r="N73" t="str" cm="1">
        <f t="array" aca="1" ref="N73" ca="1">IF(A73&lt;&gt;"", SUMPRODUCT((OFFSET(A73,0,0,H$16,1)=$T$24) +0),"")</f>
        <v/>
      </c>
      <c r="O73" cm="1">
        <f t="array" aca="1" ref="O73" ca="1">IF(I73&lt;&gt;"", SUMPRODUCT((OFFSET(I73,0,0,I$16,1)=$T$24) +0),"")</f>
        <v>1</v>
      </c>
      <c r="P73" t="str" cm="1">
        <f t="array" aca="1" ref="P73" ca="1">IF(C73&lt;&gt;"", SUMPRODUCT((OFFSET(C73,0,0,J$16,1)=$T$24) +0),"")</f>
        <v/>
      </c>
      <c r="Q73" cm="1">
        <f t="array" aca="1" ref="Q73" ca="1">IF(K73&lt;&gt;"", SUMPRODUCT((OFFSET(K73,0,0,K$16,1)=$T$24) +0),"")</f>
        <v>2</v>
      </c>
      <c r="R73" t="str" cm="1">
        <f t="array" aca="1" ref="R73" ca="1">IF(E73&lt;&gt;"", SUMPRODUCT((OFFSET(E73,0,0,L$16,1)=$T$24) +0),"")</f>
        <v/>
      </c>
      <c r="AB73">
        <f t="shared" si="20"/>
        <v>1</v>
      </c>
      <c r="AC73">
        <f t="shared" si="21"/>
        <v>1</v>
      </c>
      <c r="AD73">
        <f t="shared" si="22"/>
        <v>1</v>
      </c>
      <c r="AE73">
        <f t="shared" si="23"/>
        <v>0</v>
      </c>
      <c r="AF73">
        <f t="shared" si="24"/>
        <v>0</v>
      </c>
      <c r="AG73">
        <f t="shared" si="25"/>
        <v>3</v>
      </c>
      <c r="AH73">
        <f t="shared" ca="1" si="27"/>
        <v>4.6222359601371501E-3</v>
      </c>
      <c r="AI73">
        <f>IF(ROW($AA73) - $AA$51 &lt; ($H$16+1)^5, IF(AG73 &gt;= FreeSpinsBonus!$C$16, AG73*FreeSpinsBonus!$E$31, 0), "")</f>
        <v>0</v>
      </c>
      <c r="AJ73">
        <f t="shared" ca="1" si="26"/>
        <v>0</v>
      </c>
      <c r="AK73" s="44"/>
    </row>
    <row r="74" spans="2:39" x14ac:dyDescent="0.3">
      <c r="B74" t="str">
        <v>CP</v>
      </c>
      <c r="D74" t="str">
        <v>CP</v>
      </c>
      <c r="H74" t="str" cm="1">
        <f t="array" aca="1" ref="H74" ca="1">IF(ROW(A74)-H$15 &lt; H$14,A74,IF(ROW(A74) - H$15 -H$16 + 1 &lt; H$14,INDIRECT(ADDRESS(MOD(ROW(A74) - H$15, H$14) + H$15, COLUMN(A74))),""))</f>
        <v/>
      </c>
      <c r="I74" t="str" cm="1">
        <f t="array" aca="1" ref="I74" ca="1">IF(ROW(B74)-I$15 &lt; I$14,B74,IF(ROW(B74) - I$15 -I$16 + 1 &lt; I$14,INDIRECT(ADDRESS(MOD(ROW(B74) - I$15, I$14) + I$15, COLUMN(B74))),""))</f>
        <v>CP</v>
      </c>
      <c r="J74" t="str" cm="1">
        <f t="array" aca="1" ref="J74" ca="1">IF(ROW(C74)-J$15 &lt; J$14,C74,IF(ROW(C74) - J$15 -J$16 + 1 &lt; J$14,INDIRECT(ADDRESS(MOD(ROW(C74) - J$15, J$14) + J$15, COLUMN(C74))),""))</f>
        <v/>
      </c>
      <c r="K74" t="str" cm="1">
        <f t="array" aca="1" ref="K74" ca="1">IF(ROW(D74)-K$15 &lt; K$14,D74,IF(ROW(D74) - K$15 -K$16 + 1 &lt; K$14,INDIRECT(ADDRESS(MOD(ROW(D74) - K$15, K$14) + K$15, COLUMN(D74))),""))</f>
        <v>CP</v>
      </c>
      <c r="L74" t="str" cm="1">
        <f t="array" aca="1" ref="L74" ca="1">IF(ROW(E74)-L$15 &lt; L$14,E74,IF(ROW(E74) - L$15 -L$16 + 1 &lt; L$14,INDIRECT(ADDRESS(MOD(ROW(E74) - L$15, L$14) + L$15, COLUMN(E74))),""))</f>
        <v/>
      </c>
      <c r="N74" t="str" cm="1">
        <f t="array" aca="1" ref="N74" ca="1">IF(A74&lt;&gt;"", SUMPRODUCT((OFFSET(A74,0,0,H$16,1)=$T$24) +0),"")</f>
        <v/>
      </c>
      <c r="O74" cm="1">
        <f t="array" aca="1" ref="O74" ca="1">IF(I74&lt;&gt;"", SUMPRODUCT((OFFSET(I74,0,0,I$16,1)=$T$24) +0),"")</f>
        <v>2</v>
      </c>
      <c r="P74" t="str" cm="1">
        <f t="array" aca="1" ref="P74" ca="1">IF(C74&lt;&gt;"", SUMPRODUCT((OFFSET(C74,0,0,J$16,1)=$T$24) +0),"")</f>
        <v/>
      </c>
      <c r="Q74" cm="1">
        <f t="array" aca="1" ref="Q74" ca="1">IF(K74&lt;&gt;"", SUMPRODUCT((OFFSET(K74,0,0,K$16,1)=$T$24) +0),"")</f>
        <v>2</v>
      </c>
      <c r="R74" t="str" cm="1">
        <f t="array" aca="1" ref="R74" ca="1">IF(E74&lt;&gt;"", SUMPRODUCT((OFFSET(E74,0,0,L$16,1)=$T$24) +0),"")</f>
        <v/>
      </c>
      <c r="AB74">
        <f t="shared" si="20"/>
        <v>2</v>
      </c>
      <c r="AC74">
        <f t="shared" si="21"/>
        <v>1</v>
      </c>
      <c r="AD74">
        <f t="shared" si="22"/>
        <v>1</v>
      </c>
      <c r="AE74">
        <f t="shared" si="23"/>
        <v>0</v>
      </c>
      <c r="AF74">
        <f t="shared" si="24"/>
        <v>0</v>
      </c>
      <c r="AG74">
        <f t="shared" si="25"/>
        <v>4</v>
      </c>
      <c r="AH74">
        <f t="shared" ca="1" si="27"/>
        <v>2.4327557684932369E-3</v>
      </c>
      <c r="AI74">
        <f>IF(ROW($AA74) - $AA$51 &lt; ($H$16+1)^5, IF(AG74 &gt;= FreeSpinsBonus!$C$16, AG74*FreeSpinsBonus!$E$31, 0), "")</f>
        <v>0</v>
      </c>
      <c r="AJ74">
        <f t="shared" ca="1" si="26"/>
        <v>0</v>
      </c>
      <c r="AK74" s="44"/>
    </row>
    <row r="75" spans="2:39" x14ac:dyDescent="0.3">
      <c r="D75" t="str">
        <v>BLANK</v>
      </c>
      <c r="H75" t="str" cm="1">
        <f t="array" aca="1" ref="H75" ca="1">IF(ROW(A75)-H$15 &lt; H$14,A75,IF(ROW(A75) - H$15 -H$16 + 1 &lt; H$14,INDIRECT(ADDRESS(MOD(ROW(A75) - H$15, H$14) + H$15, COLUMN(A75))),""))</f>
        <v/>
      </c>
      <c r="I75" t="str" cm="1">
        <f t="array" aca="1" ref="I75" ca="1">IF(ROW(B75)-I$15 &lt; I$14,B75,IF(ROW(B75) - I$15 -I$16 + 1 &lt; I$14,INDIRECT(ADDRESS(MOD(ROW(B75) - I$15, I$14) + I$15, COLUMN(B75))),""))</f>
        <v>BLANK</v>
      </c>
      <c r="J75" t="str" cm="1">
        <f t="array" aca="1" ref="J75" ca="1">IF(ROW(C75)-J$15 &lt; J$14,C75,IF(ROW(C75) - J$15 -J$16 + 1 &lt; J$14,INDIRECT(ADDRESS(MOD(ROW(C75) - J$15, J$14) + J$15, COLUMN(C75))),""))</f>
        <v/>
      </c>
      <c r="K75" t="str" cm="1">
        <f t="array" aca="1" ref="K75" ca="1">IF(ROW(D75)-K$15 &lt; K$14,D75,IF(ROW(D75) - K$15 -K$16 + 1 &lt; K$14,INDIRECT(ADDRESS(MOD(ROW(D75) - K$15, K$14) + K$15, COLUMN(D75))),""))</f>
        <v>BLANK</v>
      </c>
      <c r="L75" t="str" cm="1">
        <f t="array" aca="1" ref="L75" ca="1">IF(ROW(E75)-L$15 &lt; L$14,E75,IF(ROW(E75) - L$15 -L$16 + 1 &lt; L$14,INDIRECT(ADDRESS(MOD(ROW(E75) - L$15, L$14) + L$15, COLUMN(E75))),""))</f>
        <v/>
      </c>
      <c r="N75" t="str" cm="1">
        <f t="array" aca="1" ref="N75" ca="1">IF(A75&lt;&gt;"", SUMPRODUCT((OFFSET(A75,0,0,H$16,1)=$T$24) +0),"")</f>
        <v/>
      </c>
      <c r="O75" t="str" cm="1">
        <f t="array" aca="1" ref="O75" ca="1">IF(B75&lt;&gt;"", SUMPRODUCT((OFFSET(B75,0,0,I$16,1)=$T$24) +0),"")</f>
        <v/>
      </c>
      <c r="P75" t="str" cm="1">
        <f t="array" aca="1" ref="P75" ca="1">IF(C75&lt;&gt;"", SUMPRODUCT((OFFSET(C75,0,0,J$16,1)=$T$24) +0),"")</f>
        <v/>
      </c>
      <c r="Q75" cm="1">
        <f t="array" aca="1" ref="Q75" ca="1">IF(K75&lt;&gt;"", SUMPRODUCT((OFFSET(K75,0,0,K$16,1)=$T$24) +0),"")</f>
        <v>1</v>
      </c>
      <c r="R75" t="str" cm="1">
        <f t="array" aca="1" ref="R75" ca="1">IF(E75&lt;&gt;"", SUMPRODUCT((OFFSET(E75,0,0,L$16,1)=$T$24) +0),"")</f>
        <v/>
      </c>
      <c r="AB75">
        <f t="shared" si="20"/>
        <v>3</v>
      </c>
      <c r="AC75">
        <f t="shared" si="21"/>
        <v>1</v>
      </c>
      <c r="AD75">
        <f t="shared" si="22"/>
        <v>1</v>
      </c>
      <c r="AE75">
        <f t="shared" si="23"/>
        <v>0</v>
      </c>
      <c r="AF75">
        <f t="shared" si="24"/>
        <v>0</v>
      </c>
      <c r="AG75">
        <f t="shared" si="25"/>
        <v>5</v>
      </c>
      <c r="AH75">
        <f t="shared" ca="1" si="27"/>
        <v>0</v>
      </c>
      <c r="AI75">
        <f>IF(ROW($AA75) - $AA$51 &lt; ($H$16+1)^5, IF(AG75 &gt;= FreeSpinsBonus!$C$16, AG75*FreeSpinsBonus!$E$31, 0), "")</f>
        <v>7.2865053920139902</v>
      </c>
      <c r="AJ75">
        <f t="shared" ca="1" si="26"/>
        <v>0</v>
      </c>
      <c r="AK75" s="44"/>
    </row>
    <row r="76" spans="2:39" x14ac:dyDescent="0.3">
      <c r="D76" t="str">
        <v>CP</v>
      </c>
      <c r="H76" t="str" cm="1">
        <f t="array" aca="1" ref="H76" ca="1">IF(ROW(A76)-H$15 &lt; H$14,A76,IF(ROW(A76) - H$15 -H$16 + 1 &lt; H$14,INDIRECT(ADDRESS(MOD(ROW(A76) - H$15, H$14) + H$15, COLUMN(A76))),""))</f>
        <v/>
      </c>
      <c r="I76" t="str" cm="1">
        <f t="array" aca="1" ref="I76" ca="1">IF(ROW(B76)-I$15 &lt; I$14,B76,IF(ROW(B76) - I$15 -I$16 + 1 &lt; I$14,INDIRECT(ADDRESS(MOD(ROW(B76) - I$15, I$14) + I$15, COLUMN(B76))),""))</f>
        <v>CP</v>
      </c>
      <c r="J76" t="str" cm="1">
        <f t="array" aca="1" ref="J76" ca="1">IF(ROW(C76)-J$15 &lt; J$14,C76,IF(ROW(C76) - J$15 -J$16 + 1 &lt; J$14,INDIRECT(ADDRESS(MOD(ROW(C76) - J$15, J$14) + J$15, COLUMN(C76))),""))</f>
        <v/>
      </c>
      <c r="K76" t="str" cm="1">
        <f t="array" aca="1" ref="K76" ca="1">IF(ROW(D76)-K$15 &lt; K$14,D76,IF(ROW(D76) - K$15 -K$16 + 1 &lt; K$14,INDIRECT(ADDRESS(MOD(ROW(D76) - K$15, K$14) + K$15, COLUMN(D76))),""))</f>
        <v>CP</v>
      </c>
      <c r="L76" t="str" cm="1">
        <f t="array" aca="1" ref="L76" ca="1">IF(ROW(E76)-L$15 &lt; L$14,E76,IF(ROW(E76) - L$15 -L$16 + 1 &lt; L$14,INDIRECT(ADDRESS(MOD(ROW(E76) - L$15, L$14) + L$15, COLUMN(E76))),""))</f>
        <v/>
      </c>
      <c r="N76" t="str" cm="1">
        <f t="array" aca="1" ref="N76" ca="1">IF(A76&lt;&gt;"", SUMPRODUCT((OFFSET(A76,0,0,H$16,1)=$T$24) +0),"")</f>
        <v/>
      </c>
      <c r="O76" t="str" cm="1">
        <f t="array" aca="1" ref="O76" ca="1">IF(B76&lt;&gt;"", SUMPRODUCT((OFFSET(B76,0,0,I$16,1)=$T$24) +0),"")</f>
        <v/>
      </c>
      <c r="P76" t="str" cm="1">
        <f t="array" aca="1" ref="P76" ca="1">IF(C76&lt;&gt;"", SUMPRODUCT((OFFSET(C76,0,0,J$16,1)=$T$24) +0),"")</f>
        <v/>
      </c>
      <c r="Q76" cm="1">
        <f t="array" aca="1" ref="Q76" ca="1">IF(K76&lt;&gt;"", SUMPRODUCT((OFFSET(K76,0,0,K$16,1)=$T$24) +0),"")</f>
        <v>1</v>
      </c>
      <c r="R76" t="str" cm="1">
        <f t="array" aca="1" ref="R76" ca="1">IF(E76&lt;&gt;"", SUMPRODUCT((OFFSET(E76,0,0,L$16,1)=$T$24) +0),"")</f>
        <v/>
      </c>
      <c r="AB76">
        <f t="shared" si="20"/>
        <v>0</v>
      </c>
      <c r="AC76">
        <f t="shared" si="21"/>
        <v>2</v>
      </c>
      <c r="AD76">
        <f t="shared" si="22"/>
        <v>1</v>
      </c>
      <c r="AE76">
        <f t="shared" si="23"/>
        <v>0</v>
      </c>
      <c r="AF76">
        <f t="shared" si="24"/>
        <v>0</v>
      </c>
      <c r="AG76">
        <f t="shared" si="25"/>
        <v>3</v>
      </c>
      <c r="AH76">
        <f t="shared" ca="1" si="27"/>
        <v>4.3789603832878263E-3</v>
      </c>
      <c r="AI76">
        <f>IF(ROW($AA76) - $AA$51 &lt; ($H$16+1)^5, IF(AG76 &gt;= FreeSpinsBonus!$C$16, AG76*FreeSpinsBonus!$E$31, 0), "")</f>
        <v>0</v>
      </c>
      <c r="AJ76">
        <f t="shared" ca="1" si="26"/>
        <v>0</v>
      </c>
      <c r="AK76" s="44"/>
    </row>
    <row r="77" spans="2:39" x14ac:dyDescent="0.3">
      <c r="H77" t="str" cm="1">
        <f t="array" aca="1" ref="H77" ca="1">IF(ROW(A77)-H$15 &lt; H$14,A77,IF(ROW(A77) - H$15 -H$16 + 1 &lt; H$14,INDIRECT(ADDRESS(MOD(ROW(A77) - H$15, H$14) + H$15, COLUMN(A77))),""))</f>
        <v/>
      </c>
      <c r="I77" t="str" cm="1">
        <f t="array" aca="1" ref="I77" ca="1">IF(ROW(B77)-I$15 &lt; I$14,B77,IF(ROW(B77) - I$15 -I$16 + 1 &lt; I$14,INDIRECT(ADDRESS(MOD(ROW(B77) - I$15, I$14) + I$15, COLUMN(B77))),""))</f>
        <v/>
      </c>
      <c r="J77" t="str" cm="1">
        <f t="array" aca="1" ref="J77" ca="1">IF(ROW(C77)-J$15 &lt; J$14,C77,IF(ROW(C77) - J$15 -J$16 + 1 &lt; J$14,INDIRECT(ADDRESS(MOD(ROW(C77) - J$15, J$14) + J$15, COLUMN(C77))),""))</f>
        <v/>
      </c>
      <c r="K77" t="str" cm="1">
        <f t="array" aca="1" ref="K77" ca="1">IF(ROW(D77)-K$15 &lt; K$14,D77,IF(ROW(D77) - K$15 -K$16 + 1 &lt; K$14,INDIRECT(ADDRESS(MOD(ROW(D77) - K$15, K$14) + K$15, COLUMN(D77))),""))</f>
        <v>BLANK</v>
      </c>
      <c r="L77" t="str" cm="1">
        <f t="array" aca="1" ref="L77" ca="1">IF(ROW(E77)-L$15 &lt; L$14,E77,IF(ROW(E77) - L$15 -L$16 + 1 &lt; L$14,INDIRECT(ADDRESS(MOD(ROW(E77) - L$15, L$14) + L$15, COLUMN(E77))),""))</f>
        <v/>
      </c>
      <c r="N77" t="str" cm="1">
        <f t="array" aca="1" ref="N77" ca="1">IF(A77&lt;&gt;"", SUMPRODUCT((OFFSET(A77,0,0,H$16,1)=$T$24) +0),"")</f>
        <v/>
      </c>
      <c r="O77" t="str" cm="1">
        <f t="array" aca="1" ref="O77" ca="1">IF(B77&lt;&gt;"", SUMPRODUCT((OFFSET(B77,0,0,I$16,1)=$T$24) +0),"")</f>
        <v/>
      </c>
      <c r="P77" t="str" cm="1">
        <f t="array" aca="1" ref="P77" ca="1">IF(C77&lt;&gt;"", SUMPRODUCT((OFFSET(C77,0,0,J$16,1)=$T$24) +0),"")</f>
        <v/>
      </c>
      <c r="Q77" t="str" cm="1">
        <f t="array" aca="1" ref="Q77" ca="1">IF(D77&lt;&gt;"", SUMPRODUCT((OFFSET(D77,0,0,K$16,1)=$T$24) +0),"")</f>
        <v/>
      </c>
      <c r="R77" t="str" cm="1">
        <f t="array" aca="1" ref="R77" ca="1">IF(E77&lt;&gt;"", SUMPRODUCT((OFFSET(E77,0,0,L$16,1)=$T$24) +0),"")</f>
        <v/>
      </c>
      <c r="AB77">
        <f t="shared" si="20"/>
        <v>1</v>
      </c>
      <c r="AC77">
        <f t="shared" si="21"/>
        <v>2</v>
      </c>
      <c r="AD77">
        <f t="shared" si="22"/>
        <v>1</v>
      </c>
      <c r="AE77">
        <f t="shared" si="23"/>
        <v>0</v>
      </c>
      <c r="AF77">
        <f t="shared" si="24"/>
        <v>0</v>
      </c>
      <c r="AG77">
        <f t="shared" si="25"/>
        <v>4</v>
      </c>
      <c r="AH77">
        <f t="shared" ca="1" si="27"/>
        <v>4.6222359601371501E-3</v>
      </c>
      <c r="AI77">
        <f>IF(ROW($AA77) - $AA$51 &lt; ($H$16+1)^5, IF(AG77 &gt;= FreeSpinsBonus!$C$16, AG77*FreeSpinsBonus!$E$31, 0), "")</f>
        <v>0</v>
      </c>
      <c r="AJ77">
        <f t="shared" ca="1" si="26"/>
        <v>0</v>
      </c>
      <c r="AK77" s="44"/>
    </row>
    <row r="78" spans="2:39" x14ac:dyDescent="0.3">
      <c r="H78" t="str" cm="1">
        <f t="array" aca="1" ref="H78" ca="1">IF(ROW(A78)-H$15 &lt; H$14,A78,IF(ROW(A78) - H$15 -H$16 + 1 &lt; H$14,INDIRECT(ADDRESS(MOD(ROW(A78) - H$15, H$14) + H$15, COLUMN(A78))),""))</f>
        <v/>
      </c>
      <c r="I78" t="str" cm="1">
        <f t="array" aca="1" ref="I78" ca="1">IF(ROW(B78)-I$15 &lt; I$14,B78,IF(ROW(B78) - I$15 -I$16 + 1 &lt; I$14,INDIRECT(ADDRESS(MOD(ROW(B78) - I$15, I$14) + I$15, COLUMN(B78))),""))</f>
        <v/>
      </c>
      <c r="J78" t="str" cm="1">
        <f t="array" aca="1" ref="J78" ca="1">IF(ROW(C78)-J$15 &lt; J$14,C78,IF(ROW(C78) - J$15 -J$16 + 1 &lt; J$14,INDIRECT(ADDRESS(MOD(ROW(C78) - J$15, J$14) + J$15, COLUMN(C78))),""))</f>
        <v/>
      </c>
      <c r="K78" t="str" cm="1">
        <f t="array" aca="1" ref="K78" ca="1">IF(ROW(D78)-K$15 &lt; K$14,D78,IF(ROW(D78) - K$15 -K$16 + 1 &lt; K$14,INDIRECT(ADDRESS(MOD(ROW(D78) - K$15, K$14) + K$15, COLUMN(D78))),""))</f>
        <v>BLANK</v>
      </c>
      <c r="L78" t="str" cm="1">
        <f t="array" aca="1" ref="L78" ca="1">IF(ROW(E78)-L$15 &lt; L$14,E78,IF(ROW(E78) - L$15 -L$16 + 1 &lt; L$14,INDIRECT(ADDRESS(MOD(ROW(E78) - L$15, L$14) + L$15, COLUMN(E78))),""))</f>
        <v/>
      </c>
      <c r="N78" t="str" cm="1">
        <f t="array" aca="1" ref="N78" ca="1">IF(A78&lt;&gt;"", SUMPRODUCT((OFFSET(A78,0,0,H$16,1)=$T$24) +0),"")</f>
        <v/>
      </c>
      <c r="O78" t="str" cm="1">
        <f t="array" aca="1" ref="O78" ca="1">IF(B78&lt;&gt;"", SUMPRODUCT((OFFSET(B78,0,0,I$16,1)=$T$24) +0),"")</f>
        <v/>
      </c>
      <c r="P78" t="str" cm="1">
        <f t="array" aca="1" ref="P78" ca="1">IF(C78&lt;&gt;"", SUMPRODUCT((OFFSET(C78,0,0,J$16,1)=$T$24) +0),"")</f>
        <v/>
      </c>
      <c r="Q78" t="str" cm="1">
        <f t="array" aca="1" ref="Q78" ca="1">IF(D78&lt;&gt;"", SUMPRODUCT((OFFSET(D78,0,0,K$16,1)=$T$24) +0),"")</f>
        <v/>
      </c>
      <c r="R78" t="str" cm="1">
        <f t="array" aca="1" ref="R78" ca="1">IF(E78&lt;&gt;"", SUMPRODUCT((OFFSET(E78,0,0,L$16,1)=$T$24) +0),"")</f>
        <v/>
      </c>
      <c r="AB78">
        <f t="shared" si="20"/>
        <v>2</v>
      </c>
      <c r="AC78">
        <f t="shared" si="21"/>
        <v>2</v>
      </c>
      <c r="AD78">
        <f t="shared" si="22"/>
        <v>1</v>
      </c>
      <c r="AE78">
        <f t="shared" si="23"/>
        <v>0</v>
      </c>
      <c r="AF78">
        <f t="shared" si="24"/>
        <v>0</v>
      </c>
      <c r="AG78">
        <f t="shared" si="25"/>
        <v>5</v>
      </c>
      <c r="AH78">
        <f t="shared" ca="1" si="27"/>
        <v>2.4327557684932369E-3</v>
      </c>
      <c r="AI78">
        <f>IF(ROW($AA78) - $AA$51 &lt; ($H$16+1)^5, IF(AG78 &gt;= FreeSpinsBonus!$C$16, AG78*FreeSpinsBonus!$E$31, 0), "")</f>
        <v>7.2865053920139902</v>
      </c>
      <c r="AJ78">
        <f t="shared" ca="1" si="26"/>
        <v>1.7726288024579109E-2</v>
      </c>
      <c r="AK78" s="44"/>
    </row>
    <row r="79" spans="2:39" x14ac:dyDescent="0.3">
      <c r="H79" t="str" cm="1">
        <f t="array" aca="1" ref="H79" ca="1">IF(ROW(A79)-H$15 &lt; H$14,A79,IF(ROW(A79) - H$15 -H$16 + 1 &lt; H$14,INDIRECT(ADDRESS(MOD(ROW(A79) - H$15, H$14) + H$15, COLUMN(A79))),""))</f>
        <v/>
      </c>
      <c r="I79" t="str" cm="1">
        <f t="array" aca="1" ref="I79" ca="1">IF(ROW(B79)-I$15 &lt; I$14,B79,IF(ROW(B79) - I$15 -I$16 + 1 &lt; I$14,INDIRECT(ADDRESS(MOD(ROW(B79) - I$15, I$14) + I$15, COLUMN(B79))),""))</f>
        <v/>
      </c>
      <c r="J79" t="str" cm="1">
        <f t="array" aca="1" ref="J79" ca="1">IF(ROW(C79)-J$15 &lt; J$14,C79,IF(ROW(C79) - J$15 -J$16 + 1 &lt; J$14,INDIRECT(ADDRESS(MOD(ROW(C79) - J$15, J$14) + J$15, COLUMN(C79))),""))</f>
        <v/>
      </c>
      <c r="K79" t="str" cm="1">
        <f t="array" aca="1" ref="K79" ca="1">IF(ROW(D79)-K$15 &lt; K$14,D79,IF(ROW(D79) - K$15 -K$16 + 1 &lt; K$14,INDIRECT(ADDRESS(MOD(ROW(D79) - K$15, K$14) + K$15, COLUMN(D79))),""))</f>
        <v/>
      </c>
      <c r="L79" t="str" cm="1">
        <f t="array" aca="1" ref="L79" ca="1">IF(ROW(E79)-L$15 &lt; L$14,E79,IF(ROW(E79) - L$15 -L$16 + 1 &lt; L$14,INDIRECT(ADDRESS(MOD(ROW(E79) - L$15, L$14) + L$15, COLUMN(E79))),""))</f>
        <v/>
      </c>
      <c r="N79" t="str" cm="1">
        <f t="array" aca="1" ref="N79" ca="1">IF(A79&lt;&gt;"", SUMPRODUCT((OFFSET(A79,0,0,H$16,1)=$T$24) +0),"")</f>
        <v/>
      </c>
      <c r="O79" t="str" cm="1">
        <f t="array" aca="1" ref="O79" ca="1">IF(B79&lt;&gt;"", SUMPRODUCT((OFFSET(B79,0,0,I$16,1)=$T$24) +0),"")</f>
        <v/>
      </c>
      <c r="P79" t="str" cm="1">
        <f t="array" aca="1" ref="P79" ca="1">IF(C79&lt;&gt;"", SUMPRODUCT((OFFSET(C79,0,0,J$16,1)=$T$24) +0),"")</f>
        <v/>
      </c>
      <c r="Q79" t="str" cm="1">
        <f t="array" aca="1" ref="Q79" ca="1">IF(D79&lt;&gt;"", SUMPRODUCT((OFFSET(D79,0,0,K$16,1)=$T$24) +0),"")</f>
        <v/>
      </c>
      <c r="R79" t="str" cm="1">
        <f t="array" aca="1" ref="R79" ca="1">IF(E79&lt;&gt;"", SUMPRODUCT((OFFSET(E79,0,0,L$16,1)=$T$24) +0),"")</f>
        <v/>
      </c>
      <c r="AB79">
        <f t="shared" si="20"/>
        <v>3</v>
      </c>
      <c r="AC79">
        <f t="shared" si="21"/>
        <v>2</v>
      </c>
      <c r="AD79">
        <f t="shared" si="22"/>
        <v>1</v>
      </c>
      <c r="AE79">
        <f t="shared" si="23"/>
        <v>0</v>
      </c>
      <c r="AF79">
        <f t="shared" si="24"/>
        <v>0</v>
      </c>
      <c r="AG79">
        <f t="shared" si="25"/>
        <v>6</v>
      </c>
      <c r="AH79">
        <f t="shared" ca="1" si="27"/>
        <v>0</v>
      </c>
      <c r="AI79">
        <f>IF(ROW($AA79) - $AA$51 &lt; ($H$16+1)^5, IF(AG79 &gt;= FreeSpinsBonus!$C$16, AG79*FreeSpinsBonus!$E$31, 0), "")</f>
        <v>8.7438064704167875</v>
      </c>
      <c r="AJ79">
        <f t="shared" ca="1" si="26"/>
        <v>0</v>
      </c>
      <c r="AK79" s="44"/>
    </row>
    <row r="80" spans="2:39" x14ac:dyDescent="0.3">
      <c r="H80" t="str" cm="1">
        <f t="array" aca="1" ref="H80" ca="1">IF(ROW(A80)-H$15 &lt; H$14,A80,IF(ROW(A80) - H$15 -H$16 + 1 &lt; H$14,INDIRECT(ADDRESS(MOD(ROW(A80) - H$15, H$14) + H$15, COLUMN(A80))),""))</f>
        <v/>
      </c>
      <c r="I80" t="str" cm="1">
        <f t="array" aca="1" ref="I80" ca="1">IF(ROW(B80)-I$15 &lt; I$14,B80,IF(ROW(B80) - I$15 -I$16 + 1 &lt; I$14,INDIRECT(ADDRESS(MOD(ROW(B80) - I$15, I$14) + I$15, COLUMN(B80))),""))</f>
        <v/>
      </c>
      <c r="J80" t="str" cm="1">
        <f t="array" aca="1" ref="J80" ca="1">IF(ROW(C80)-J$15 &lt; J$14,C80,IF(ROW(C80) - J$15 -J$16 + 1 &lt; J$14,INDIRECT(ADDRESS(MOD(ROW(C80) - J$15, J$14) + J$15, COLUMN(C80))),""))</f>
        <v/>
      </c>
      <c r="K80" t="str" cm="1">
        <f t="array" aca="1" ref="K80" ca="1">IF(ROW(D80)-K$15 &lt; K$14,D80,IF(ROW(D80) - K$15 -K$16 + 1 &lt; K$14,INDIRECT(ADDRESS(MOD(ROW(D80) - K$15, K$14) + K$15, COLUMN(D80))),""))</f>
        <v/>
      </c>
      <c r="L80" t="str" cm="1">
        <f t="array" aca="1" ref="L80" ca="1">IF(ROW(E80)-L$15 &lt; L$14,E80,IF(ROW(E80) - L$15 -L$16 + 1 &lt; L$14,INDIRECT(ADDRESS(MOD(ROW(E80) - L$15, L$14) + L$15, COLUMN(E80))),""))</f>
        <v/>
      </c>
      <c r="N80" t="str" cm="1">
        <f t="array" aca="1" ref="N80" ca="1">IF(A80&lt;&gt;"", SUMPRODUCT((OFFSET(A80,0,0,H$16,1)=$T$24) +0),"")</f>
        <v/>
      </c>
      <c r="O80" t="str" cm="1">
        <f t="array" aca="1" ref="O80" ca="1">IF(B80&lt;&gt;"", SUMPRODUCT((OFFSET(B80,0,0,I$16,1)=$T$24) +0),"")</f>
        <v/>
      </c>
      <c r="P80" t="str" cm="1">
        <f t="array" aca="1" ref="P80" ca="1">IF(C80&lt;&gt;"", SUMPRODUCT((OFFSET(C80,0,0,J$16,1)=$T$24) +0),"")</f>
        <v/>
      </c>
      <c r="Q80" t="str" cm="1">
        <f t="array" aca="1" ref="Q80" ca="1">IF(D80&lt;&gt;"", SUMPRODUCT((OFFSET(D80,0,0,K$16,1)=$T$24) +0),"")</f>
        <v/>
      </c>
      <c r="R80" t="str" cm="1">
        <f t="array" aca="1" ref="R80" ca="1">IF(E80&lt;&gt;"", SUMPRODUCT((OFFSET(E80,0,0,L$16,1)=$T$24) +0),"")</f>
        <v/>
      </c>
      <c r="AB80">
        <f t="shared" si="20"/>
        <v>0</v>
      </c>
      <c r="AC80">
        <f t="shared" si="21"/>
        <v>3</v>
      </c>
      <c r="AD80">
        <f t="shared" si="22"/>
        <v>1</v>
      </c>
      <c r="AE80">
        <f t="shared" si="23"/>
        <v>0</v>
      </c>
      <c r="AF80">
        <f t="shared" si="24"/>
        <v>0</v>
      </c>
      <c r="AG80">
        <f t="shared" si="25"/>
        <v>4</v>
      </c>
      <c r="AH80">
        <f t="shared" ca="1" si="27"/>
        <v>1.5455154293957036E-3</v>
      </c>
      <c r="AI80">
        <f>IF(ROW($AA80) - $AA$51 &lt; ($H$16+1)^5, IF(AG80 &gt;= FreeSpinsBonus!$C$16, AG80*FreeSpinsBonus!$E$31, 0), "")</f>
        <v>0</v>
      </c>
      <c r="AJ80">
        <f t="shared" ca="1" si="26"/>
        <v>0</v>
      </c>
      <c r="AK80" s="44"/>
    </row>
    <row r="81" spans="8:37" x14ac:dyDescent="0.3">
      <c r="H81" t="str" cm="1">
        <f t="array" aca="1" ref="H81" ca="1">IF(ROW(A81)-H$15 &lt; H$14,A81,IF(ROW(A81) - H$15 -H$16 + 1 &lt; H$14,INDIRECT(ADDRESS(MOD(ROW(A81) - H$15, H$14) + H$15, COLUMN(A81))),""))</f>
        <v/>
      </c>
      <c r="I81" t="str" cm="1">
        <f t="array" aca="1" ref="I81" ca="1">IF(ROW(B81)-I$15 &lt; I$14,B81,IF(ROW(B81) - I$15 -I$16 + 1 &lt; I$14,INDIRECT(ADDRESS(MOD(ROW(B81) - I$15, I$14) + I$15, COLUMN(B81))),""))</f>
        <v/>
      </c>
      <c r="J81" t="str" cm="1">
        <f t="array" aca="1" ref="J81" ca="1">IF(ROW(C81)-J$15 &lt; J$14,C81,IF(ROW(C81) - J$15 -J$16 + 1 &lt; J$14,INDIRECT(ADDRESS(MOD(ROW(C81) - J$15, J$14) + J$15, COLUMN(C81))),""))</f>
        <v/>
      </c>
      <c r="K81" t="str" cm="1">
        <f t="array" aca="1" ref="K81" ca="1">IF(ROW(D81)-K$15 &lt; K$14,D81,IF(ROW(D81) - K$15 -K$16 + 1 &lt; K$14,INDIRECT(ADDRESS(MOD(ROW(D81) - K$15, K$14) + K$15, COLUMN(D81))),""))</f>
        <v/>
      </c>
      <c r="L81" t="str" cm="1">
        <f t="array" aca="1" ref="L81" ca="1">IF(ROW(E81)-L$15 &lt; L$14,E81,IF(ROW(E81) - L$15 -L$16 + 1 &lt; L$14,INDIRECT(ADDRESS(MOD(ROW(E81) - L$15, L$14) + L$15, COLUMN(E81))),""))</f>
        <v/>
      </c>
      <c r="N81" t="str" cm="1">
        <f t="array" aca="1" ref="N81" ca="1">IF(A81&lt;&gt;"", SUMPRODUCT((OFFSET(A81,0,0,H$16,1)=$T$24) +0),"")</f>
        <v/>
      </c>
      <c r="O81" t="str" cm="1">
        <f t="array" aca="1" ref="O81" ca="1">IF(B81&lt;&gt;"", SUMPRODUCT((OFFSET(B81,0,0,I$16,1)=$T$24) +0),"")</f>
        <v/>
      </c>
      <c r="P81" t="str" cm="1">
        <f t="array" aca="1" ref="P81" ca="1">IF(C81&lt;&gt;"", SUMPRODUCT((OFFSET(C81,0,0,J$16,1)=$T$24) +0),"")</f>
        <v/>
      </c>
      <c r="Q81" t="str" cm="1">
        <f t="array" aca="1" ref="Q81" ca="1">IF(D81&lt;&gt;"", SUMPRODUCT((OFFSET(D81,0,0,K$16,1)=$T$24) +0),"")</f>
        <v/>
      </c>
      <c r="R81" t="str" cm="1">
        <f t="array" aca="1" ref="R81" ca="1">IF(E81&lt;&gt;"", SUMPRODUCT((OFFSET(E81,0,0,L$16,1)=$T$24) +0),"")</f>
        <v/>
      </c>
      <c r="AB81">
        <f t="shared" si="20"/>
        <v>1</v>
      </c>
      <c r="AC81">
        <f t="shared" si="21"/>
        <v>3</v>
      </c>
      <c r="AD81">
        <f t="shared" si="22"/>
        <v>1</v>
      </c>
      <c r="AE81">
        <f t="shared" si="23"/>
        <v>0</v>
      </c>
      <c r="AF81">
        <f t="shared" si="24"/>
        <v>0</v>
      </c>
      <c r="AG81">
        <f t="shared" si="25"/>
        <v>5</v>
      </c>
      <c r="AH81">
        <f t="shared" ca="1" si="27"/>
        <v>1.6313773976954645E-3</v>
      </c>
      <c r="AI81">
        <f>IF(ROW($AA81) - $AA$51 &lt; ($H$16+1)^5, IF(AG81 &gt;= FreeSpinsBonus!$C$16, AG81*FreeSpinsBonus!$E$31, 0), "")</f>
        <v>7.2865053920139902</v>
      </c>
      <c r="AJ81">
        <f t="shared" ca="1" si="26"/>
        <v>1.1887040204717753E-2</v>
      </c>
      <c r="AK81" s="44"/>
    </row>
    <row r="82" spans="8:37" x14ac:dyDescent="0.3">
      <c r="H82" t="str" cm="1">
        <f t="array" aca="1" ref="H82" ca="1">IF(ROW(A82)-H$15 &lt; H$14,A82,IF(ROW(A82) - H$15 -H$16 + 1 &lt; H$14,INDIRECT(ADDRESS(MOD(ROW(A82) - H$15, H$14) + H$15, COLUMN(A82))),""))</f>
        <v/>
      </c>
      <c r="I82" t="str" cm="1">
        <f t="array" aca="1" ref="I82" ca="1">IF(ROW(B82)-I$15 &lt; I$14,B82,IF(ROW(B82) - I$15 -I$16 + 1 &lt; I$14,INDIRECT(ADDRESS(MOD(ROW(B82) - I$15, I$14) + I$15, COLUMN(B82))),""))</f>
        <v/>
      </c>
      <c r="J82" t="str" cm="1">
        <f t="array" aca="1" ref="J82" ca="1">IF(ROW(C82)-J$15 &lt; J$14,C82,IF(ROW(C82) - J$15 -J$16 + 1 &lt; J$14,INDIRECT(ADDRESS(MOD(ROW(C82) - J$15, J$14) + J$15, COLUMN(C82))),""))</f>
        <v/>
      </c>
      <c r="K82" t="str" cm="1">
        <f t="array" aca="1" ref="K82" ca="1">IF(ROW(D82)-K$15 &lt; K$14,D82,IF(ROW(D82) - K$15 -K$16 + 1 &lt; K$14,INDIRECT(ADDRESS(MOD(ROW(D82) - K$15, K$14) + K$15, COLUMN(D82))),""))</f>
        <v/>
      </c>
      <c r="L82" t="str" cm="1">
        <f t="array" aca="1" ref="L82" ca="1">IF(ROW(E82)-L$15 &lt; L$14,E82,IF(ROW(E82) - L$15 -L$16 + 1 &lt; L$14,INDIRECT(ADDRESS(MOD(ROW(E82) - L$15, L$14) + L$15, COLUMN(E82))),""))</f>
        <v/>
      </c>
      <c r="N82" t="str" cm="1">
        <f t="array" aca="1" ref="N82" ca="1">IF(A82&lt;&gt;"", SUMPRODUCT((OFFSET(A82,0,0,H$16,1)=$T$24) +0),"")</f>
        <v/>
      </c>
      <c r="O82" t="str" cm="1">
        <f t="array" aca="1" ref="O82" ca="1">IF(B82&lt;&gt;"", SUMPRODUCT((OFFSET(B82,0,0,I$16,1)=$T$24) +0),"")</f>
        <v/>
      </c>
      <c r="P82" t="str" cm="1">
        <f t="array" aca="1" ref="P82" ca="1">IF(C82&lt;&gt;"", SUMPRODUCT((OFFSET(C82,0,0,J$16,1)=$T$24) +0),"")</f>
        <v/>
      </c>
      <c r="Q82" t="str" cm="1">
        <f t="array" aca="1" ref="Q82" ca="1">IF(D82&lt;&gt;"", SUMPRODUCT((OFFSET(D82,0,0,K$16,1)=$T$24) +0),"")</f>
        <v/>
      </c>
      <c r="R82" t="str" cm="1">
        <f t="array" aca="1" ref="R82" ca="1">IF(E82&lt;&gt;"", SUMPRODUCT((OFFSET(E82,0,0,L$16,1)=$T$24) +0),"")</f>
        <v/>
      </c>
      <c r="AB82">
        <f t="shared" si="20"/>
        <v>2</v>
      </c>
      <c r="AC82">
        <f t="shared" si="21"/>
        <v>3</v>
      </c>
      <c r="AD82">
        <f t="shared" si="22"/>
        <v>1</v>
      </c>
      <c r="AE82">
        <f t="shared" si="23"/>
        <v>0</v>
      </c>
      <c r="AF82">
        <f t="shared" si="24"/>
        <v>0</v>
      </c>
      <c r="AG82">
        <f t="shared" si="25"/>
        <v>6</v>
      </c>
      <c r="AH82">
        <f t="shared" ca="1" si="27"/>
        <v>8.5861968299761303E-4</v>
      </c>
      <c r="AI82">
        <f>IF(ROW($AA82) - $AA$51 &lt; ($H$16+1)^5, IF(AG82 &gt;= FreeSpinsBonus!$C$16, AG82*FreeSpinsBonus!$E$31, 0), "")</f>
        <v>8.7438064704167875</v>
      </c>
      <c r="AJ82">
        <f t="shared" ca="1" si="26"/>
        <v>7.5076043398217395E-3</v>
      </c>
      <c r="AK82" s="44"/>
    </row>
    <row r="83" spans="8:37" x14ac:dyDescent="0.3">
      <c r="H83" t="str" cm="1">
        <f t="array" aca="1" ref="H83" ca="1">IF(ROW(A83)-H$15 &lt; H$14,A83,IF(ROW(A83) - H$15 -H$16 + 1 &lt; H$14,INDIRECT(ADDRESS(MOD(ROW(A83) - H$15, H$14) + H$15, COLUMN(A83))),""))</f>
        <v/>
      </c>
      <c r="I83" t="str" cm="1">
        <f t="array" aca="1" ref="I83" ca="1">IF(ROW(B83)-I$15 &lt; I$14,B83,IF(ROW(B83) - I$15 -I$16 + 1 &lt; I$14,INDIRECT(ADDRESS(MOD(ROW(B83) - I$15, I$14) + I$15, COLUMN(B83))),""))</f>
        <v/>
      </c>
      <c r="J83" t="str" cm="1">
        <f t="array" aca="1" ref="J83" ca="1">IF(ROW(C83)-J$15 &lt; J$14,C83,IF(ROW(C83) - J$15 -J$16 + 1 &lt; J$14,INDIRECT(ADDRESS(MOD(ROW(C83) - J$15, J$14) + J$15, COLUMN(C83))),""))</f>
        <v/>
      </c>
      <c r="K83" t="str" cm="1">
        <f t="array" aca="1" ref="K83" ca="1">IF(ROW(D83)-K$15 &lt; K$14,D83,IF(ROW(D83) - K$15 -K$16 + 1 &lt; K$14,INDIRECT(ADDRESS(MOD(ROW(D83) - K$15, K$14) + K$15, COLUMN(D83))),""))</f>
        <v/>
      </c>
      <c r="L83" t="str" cm="1">
        <f t="array" aca="1" ref="L83" ca="1">IF(ROW(E83)-L$15 &lt; L$14,E83,IF(ROW(E83) - L$15 -L$16 + 1 &lt; L$14,INDIRECT(ADDRESS(MOD(ROW(E83) - L$15, L$14) + L$15, COLUMN(E83))),""))</f>
        <v/>
      </c>
      <c r="N83" t="str" cm="1">
        <f t="array" aca="1" ref="N83" ca="1">IF(A83&lt;&gt;"", SUMPRODUCT((OFFSET(A83,0,0,H$16,1)=$T$24) +0),"")</f>
        <v/>
      </c>
      <c r="O83" t="str" cm="1">
        <f t="array" aca="1" ref="O83" ca="1">IF(B83&lt;&gt;"", SUMPRODUCT((OFFSET(B83,0,0,I$16,1)=$T$24) +0),"")</f>
        <v/>
      </c>
      <c r="P83" t="str" cm="1">
        <f t="array" aca="1" ref="P83" ca="1">IF(C83&lt;&gt;"", SUMPRODUCT((OFFSET(C83,0,0,J$16,1)=$T$24) +0),"")</f>
        <v/>
      </c>
      <c r="Q83" t="str" cm="1">
        <f t="array" aca="1" ref="Q83" ca="1">IF(D83&lt;&gt;"", SUMPRODUCT((OFFSET(D83,0,0,K$16,1)=$T$24) +0),"")</f>
        <v/>
      </c>
      <c r="R83" t="str" cm="1">
        <f t="array" aca="1" ref="R83" ca="1">IF(E83&lt;&gt;"", SUMPRODUCT((OFFSET(E83,0,0,L$16,1)=$T$24) +0),"")</f>
        <v/>
      </c>
      <c r="AB83">
        <f t="shared" si="20"/>
        <v>3</v>
      </c>
      <c r="AC83">
        <f t="shared" si="21"/>
        <v>3</v>
      </c>
      <c r="AD83">
        <f t="shared" si="22"/>
        <v>1</v>
      </c>
      <c r="AE83">
        <f t="shared" si="23"/>
        <v>0</v>
      </c>
      <c r="AF83">
        <f t="shared" si="24"/>
        <v>0</v>
      </c>
      <c r="AG83">
        <f t="shared" si="25"/>
        <v>7</v>
      </c>
      <c r="AH83">
        <f t="shared" ca="1" si="27"/>
        <v>0</v>
      </c>
      <c r="AI83">
        <f>IF(ROW($AA83) - $AA$51 &lt; ($H$16+1)^5, IF(AG83 &gt;= FreeSpinsBonus!$C$16, AG83*FreeSpinsBonus!$E$31, 0), "")</f>
        <v>10.201107548819586</v>
      </c>
      <c r="AJ83">
        <f t="shared" ca="1" si="26"/>
        <v>0</v>
      </c>
      <c r="AK83" s="44"/>
    </row>
    <row r="84" spans="8:37" x14ac:dyDescent="0.3">
      <c r="H84" t="str" cm="1">
        <f t="array" aca="1" ref="H84" ca="1">IF(ROW(A84)-H$15 &lt; H$14,A84,IF(ROW(A84) - H$15 -H$16 + 1 &lt; H$14,INDIRECT(ADDRESS(MOD(ROW(A84) - H$15, H$14) + H$15, COLUMN(A84))),""))</f>
        <v/>
      </c>
      <c r="I84" t="str" cm="1">
        <f t="array" aca="1" ref="I84" ca="1">IF(ROW(B84)-I$15 &lt; I$14,B84,IF(ROW(B84) - I$15 -I$16 + 1 &lt; I$14,INDIRECT(ADDRESS(MOD(ROW(B84) - I$15, I$14) + I$15, COLUMN(B84))),""))</f>
        <v/>
      </c>
      <c r="J84" t="str" cm="1">
        <f t="array" aca="1" ref="J84" ca="1">IF(ROW(C84)-J$15 &lt; J$14,C84,IF(ROW(C84) - J$15 -J$16 + 1 &lt; J$14,INDIRECT(ADDRESS(MOD(ROW(C84) - J$15, J$14) + J$15, COLUMN(C84))),""))</f>
        <v/>
      </c>
      <c r="K84" t="str" cm="1">
        <f t="array" aca="1" ref="K84" ca="1">IF(ROW(D84)-K$15 &lt; K$14,D84,IF(ROW(D84) - K$15 -K$16 + 1 &lt; K$14,INDIRECT(ADDRESS(MOD(ROW(D84) - K$15, K$14) + K$15, COLUMN(D84))),""))</f>
        <v/>
      </c>
      <c r="L84" t="str" cm="1">
        <f t="array" aca="1" ref="L84" ca="1">IF(ROW(E84)-L$15 &lt; L$14,E84,IF(ROW(E84) - L$15 -L$16 + 1 &lt; L$14,INDIRECT(ADDRESS(MOD(ROW(E84) - L$15, L$14) + L$15, COLUMN(E84))),""))</f>
        <v/>
      </c>
      <c r="N84" t="str" cm="1">
        <f t="array" aca="1" ref="N84" ca="1">IF(A84&lt;&gt;"", SUMPRODUCT((OFFSET(A84,0,0,H$16,1)=$T$24) +0),"")</f>
        <v/>
      </c>
      <c r="O84" t="str" cm="1">
        <f t="array" aca="1" ref="O84" ca="1">IF(B84&lt;&gt;"", SUMPRODUCT((OFFSET(B84,0,0,I$16,1)=$T$24) +0),"")</f>
        <v/>
      </c>
      <c r="P84" t="str" cm="1">
        <f t="array" aca="1" ref="P84" ca="1">IF(C84&lt;&gt;"", SUMPRODUCT((OFFSET(C84,0,0,J$16,1)=$T$24) +0),"")</f>
        <v/>
      </c>
      <c r="Q84" t="str" cm="1">
        <f t="array" aca="1" ref="Q84" ca="1">IF(D84&lt;&gt;"", SUMPRODUCT((OFFSET(D84,0,0,K$16,1)=$T$24) +0),"")</f>
        <v/>
      </c>
      <c r="R84" t="str" cm="1">
        <f t="array" aca="1" ref="R84" ca="1">IF(E84&lt;&gt;"", SUMPRODUCT((OFFSET(E84,0,0,L$16,1)=$T$24) +0),"")</f>
        <v/>
      </c>
      <c r="AB84">
        <f t="shared" si="20"/>
        <v>0</v>
      </c>
      <c r="AC84">
        <f t="shared" si="21"/>
        <v>0</v>
      </c>
      <c r="AD84">
        <f t="shared" si="22"/>
        <v>2</v>
      </c>
      <c r="AE84">
        <f t="shared" si="23"/>
        <v>0</v>
      </c>
      <c r="AF84">
        <f t="shared" si="24"/>
        <v>0</v>
      </c>
      <c r="AG84">
        <f t="shared" si="25"/>
        <v>2</v>
      </c>
      <c r="AH84">
        <f t="shared" ca="1" si="27"/>
        <v>2.4084282108083042E-3</v>
      </c>
      <c r="AI84">
        <f>IF(ROW($AA84) - $AA$51 &lt; ($H$16+1)^5, IF(AG84 &gt;= FreeSpinsBonus!$C$16, AG84*FreeSpinsBonus!$E$31, 0), "")</f>
        <v>0</v>
      </c>
      <c r="AJ84">
        <f t="shared" ca="1" si="26"/>
        <v>0</v>
      </c>
      <c r="AK84" s="44"/>
    </row>
    <row r="85" spans="8:37" x14ac:dyDescent="0.3">
      <c r="H85" t="str" cm="1">
        <f t="array" aca="1" ref="H85" ca="1">IF(ROW(A85)-H$15 &lt; H$14,A85,IF(ROW(A85) - H$15 -H$16 + 1 &lt; H$14,INDIRECT(ADDRESS(MOD(ROW(A85) - H$15, H$14) + H$15, COLUMN(A85))),""))</f>
        <v/>
      </c>
      <c r="I85" t="str" cm="1">
        <f t="array" aca="1" ref="I85" ca="1">IF(ROW(B85)-I$15 &lt; I$14,B85,IF(ROW(B85) - I$15 -I$16 + 1 &lt; I$14,INDIRECT(ADDRESS(MOD(ROW(B85) - I$15, I$14) + I$15, COLUMN(B85))),""))</f>
        <v/>
      </c>
      <c r="J85" t="str" cm="1">
        <f t="array" aca="1" ref="J85" ca="1">IF(ROW(C85)-J$15 &lt; J$14,C85,IF(ROW(C85) - J$15 -J$16 + 1 &lt; J$14,INDIRECT(ADDRESS(MOD(ROW(C85) - J$15, J$14) + J$15, COLUMN(C85))),""))</f>
        <v/>
      </c>
      <c r="K85" t="str" cm="1">
        <f t="array" aca="1" ref="K85" ca="1">IF(ROW(D85)-K$15 &lt; K$14,D85,IF(ROW(D85) - K$15 -K$16 + 1 &lt; K$14,INDIRECT(ADDRESS(MOD(ROW(D85) - K$15, K$14) + K$15, COLUMN(D85))),""))</f>
        <v/>
      </c>
      <c r="L85" t="str" cm="1">
        <f t="array" aca="1" ref="L85" ca="1">IF(ROW(E85)-L$15 &lt; L$14,E85,IF(ROW(E85) - L$15 -L$16 + 1 &lt; L$14,INDIRECT(ADDRESS(MOD(ROW(E85) - L$15, L$14) + L$15, COLUMN(E85))),""))</f>
        <v/>
      </c>
      <c r="N85" t="str" cm="1">
        <f t="array" aca="1" ref="N85" ca="1">IF(A85&lt;&gt;"", SUMPRODUCT((OFFSET(A85,0,0,H$16,1)=$T$24) +0),"")</f>
        <v/>
      </c>
      <c r="O85" t="str" cm="1">
        <f t="array" aca="1" ref="O85" ca="1">IF(B85&lt;&gt;"", SUMPRODUCT((OFFSET(B85,0,0,I$16,1)=$T$24) +0),"")</f>
        <v/>
      </c>
      <c r="P85" t="str" cm="1">
        <f t="array" aca="1" ref="P85" ca="1">IF(C85&lt;&gt;"", SUMPRODUCT((OFFSET(C85,0,0,J$16,1)=$T$24) +0),"")</f>
        <v/>
      </c>
      <c r="Q85" t="str" cm="1">
        <f t="array" aca="1" ref="Q85" ca="1">IF(D85&lt;&gt;"", SUMPRODUCT((OFFSET(D85,0,0,K$16,1)=$T$24) +0),"")</f>
        <v/>
      </c>
      <c r="R85" t="str" cm="1">
        <f t="array" aca="1" ref="R85" ca="1">IF(E85&lt;&gt;"", SUMPRODUCT((OFFSET(E85,0,0,L$16,1)=$T$24) +0),"")</f>
        <v/>
      </c>
      <c r="AB85">
        <f t="shared" si="20"/>
        <v>1</v>
      </c>
      <c r="AC85">
        <f t="shared" si="21"/>
        <v>0</v>
      </c>
      <c r="AD85">
        <f t="shared" si="22"/>
        <v>2</v>
      </c>
      <c r="AE85">
        <f t="shared" si="23"/>
        <v>0</v>
      </c>
      <c r="AF85">
        <f t="shared" si="24"/>
        <v>0</v>
      </c>
      <c r="AG85">
        <f t="shared" si="25"/>
        <v>3</v>
      </c>
      <c r="AH85">
        <f t="shared" ca="1" si="27"/>
        <v>2.5422297780754322E-3</v>
      </c>
      <c r="AI85">
        <f>IF(ROW($AA85) - $AA$51 &lt; ($H$16+1)^5, IF(AG85 &gt;= FreeSpinsBonus!$C$16, AG85*FreeSpinsBonus!$E$31, 0), "")</f>
        <v>0</v>
      </c>
      <c r="AJ85">
        <f t="shared" ca="1" si="26"/>
        <v>0</v>
      </c>
      <c r="AK85" s="44"/>
    </row>
    <row r="86" spans="8:37" x14ac:dyDescent="0.3">
      <c r="H86" t="str" cm="1">
        <f t="array" aca="1" ref="H86" ca="1">IF(ROW(A86)-H$15 &lt; H$14,A86,IF(ROW(A86) - H$15 -H$16 + 1 &lt; H$14,INDIRECT(ADDRESS(MOD(ROW(A86) - H$15, H$14) + H$15, COLUMN(A86))),""))</f>
        <v/>
      </c>
      <c r="I86" t="str" cm="1">
        <f t="array" aca="1" ref="I86" ca="1">IF(ROW(B86)-I$15 &lt; I$14,B86,IF(ROW(B86) - I$15 -I$16 + 1 &lt; I$14,INDIRECT(ADDRESS(MOD(ROW(B86) - I$15, I$14) + I$15, COLUMN(B86))),""))</f>
        <v/>
      </c>
      <c r="J86" t="str" cm="1">
        <f t="array" aca="1" ref="J86" ca="1">IF(ROW(C86)-J$15 &lt; J$14,C86,IF(ROW(C86) - J$15 -J$16 + 1 &lt; J$14,INDIRECT(ADDRESS(MOD(ROW(C86) - J$15, J$14) + J$15, COLUMN(C86))),""))</f>
        <v/>
      </c>
      <c r="K86" t="str" cm="1">
        <f t="array" aca="1" ref="K86" ca="1">IF(ROW(D86)-K$15 &lt; K$14,D86,IF(ROW(D86) - K$15 -K$16 + 1 &lt; K$14,INDIRECT(ADDRESS(MOD(ROW(D86) - K$15, K$14) + K$15, COLUMN(D86))),""))</f>
        <v/>
      </c>
      <c r="L86" t="str" cm="1">
        <f t="array" aca="1" ref="L86" ca="1">IF(ROW(E86)-L$15 &lt; L$14,E86,IF(ROW(E86) - L$15 -L$16 + 1 &lt; L$14,INDIRECT(ADDRESS(MOD(ROW(E86) - L$15, L$14) + L$15, COLUMN(E86))),""))</f>
        <v/>
      </c>
      <c r="N86" t="str" cm="1">
        <f t="array" aca="1" ref="N86" ca="1">IF(A86&lt;&gt;"", SUMPRODUCT((OFFSET(A86,0,0,H$16,1)=$T$24) +0),"")</f>
        <v/>
      </c>
      <c r="O86" t="str" cm="1">
        <f t="array" aca="1" ref="O86" ca="1">IF(B86&lt;&gt;"", SUMPRODUCT((OFFSET(B86,0,0,I$16,1)=$T$24) +0),"")</f>
        <v/>
      </c>
      <c r="P86" t="str" cm="1">
        <f t="array" aca="1" ref="P86" ca="1">IF(C86&lt;&gt;"", SUMPRODUCT((OFFSET(C86,0,0,J$16,1)=$T$24) +0),"")</f>
        <v/>
      </c>
      <c r="Q86" t="str" cm="1">
        <f t="array" aca="1" ref="Q86" ca="1">IF(D86&lt;&gt;"", SUMPRODUCT((OFFSET(D86,0,0,K$16,1)=$T$24) +0),"")</f>
        <v/>
      </c>
      <c r="R86" t="str" cm="1">
        <f t="array" aca="1" ref="R86" ca="1">IF(E86&lt;&gt;"", SUMPRODUCT((OFFSET(E86,0,0,L$16,1)=$T$24) +0),"")</f>
        <v/>
      </c>
      <c r="AB86">
        <f t="shared" si="20"/>
        <v>2</v>
      </c>
      <c r="AC86">
        <f t="shared" si="21"/>
        <v>0</v>
      </c>
      <c r="AD86">
        <f t="shared" si="22"/>
        <v>2</v>
      </c>
      <c r="AE86">
        <f t="shared" si="23"/>
        <v>0</v>
      </c>
      <c r="AF86">
        <f t="shared" si="24"/>
        <v>0</v>
      </c>
      <c r="AG86">
        <f t="shared" si="25"/>
        <v>4</v>
      </c>
      <c r="AH86">
        <f t="shared" ca="1" si="27"/>
        <v>1.3380156726712801E-3</v>
      </c>
      <c r="AI86">
        <f>IF(ROW($AA86) - $AA$51 &lt; ($H$16+1)^5, IF(AG86 &gt;= FreeSpinsBonus!$C$16, AG86*FreeSpinsBonus!$E$31, 0), "")</f>
        <v>0</v>
      </c>
      <c r="AJ86">
        <f t="shared" ca="1" si="26"/>
        <v>0</v>
      </c>
      <c r="AK86" s="44"/>
    </row>
    <row r="87" spans="8:37" x14ac:dyDescent="0.3">
      <c r="H87" t="str" cm="1">
        <f t="array" aca="1" ref="H87" ca="1">IF(ROW(A87)-H$15 &lt; H$14,A87,IF(ROW(A87) - H$15 -H$16 + 1 &lt; H$14,INDIRECT(ADDRESS(MOD(ROW(A87) - H$15, H$14) + H$15, COLUMN(A87))),""))</f>
        <v/>
      </c>
      <c r="I87" t="str" cm="1">
        <f t="array" aca="1" ref="I87" ca="1">IF(ROW(B87)-I$15 &lt; I$14,B87,IF(ROW(B87) - I$15 -I$16 + 1 &lt; I$14,INDIRECT(ADDRESS(MOD(ROW(B87) - I$15, I$14) + I$15, COLUMN(B87))),""))</f>
        <v/>
      </c>
      <c r="J87" t="str" cm="1">
        <f t="array" aca="1" ref="J87" ca="1">IF(ROW(C87)-J$15 &lt; J$14,C87,IF(ROW(C87) - J$15 -J$16 + 1 &lt; J$14,INDIRECT(ADDRESS(MOD(ROW(C87) - J$15, J$14) + J$15, COLUMN(C87))),""))</f>
        <v/>
      </c>
      <c r="K87" t="str" cm="1">
        <f t="array" aca="1" ref="K87" ca="1">IF(ROW(D87)-K$15 &lt; K$14,D87,IF(ROW(D87) - K$15 -K$16 + 1 &lt; K$14,INDIRECT(ADDRESS(MOD(ROW(D87) - K$15, K$14) + K$15, COLUMN(D87))),""))</f>
        <v/>
      </c>
      <c r="L87" t="str" cm="1">
        <f t="array" aca="1" ref="L87" ca="1">IF(ROW(E87)-L$15 &lt; L$14,E87,IF(ROW(E87) - L$15 -L$16 + 1 &lt; L$14,INDIRECT(ADDRESS(MOD(ROW(E87) - L$15, L$14) + L$15, COLUMN(E87))),""))</f>
        <v/>
      </c>
      <c r="N87" t="str" cm="1">
        <f t="array" aca="1" ref="N87" ca="1">IF(A87&lt;&gt;"", SUMPRODUCT((OFFSET(A87,0,0,H$16,1)=$T$24) +0),"")</f>
        <v/>
      </c>
      <c r="O87" t="str" cm="1">
        <f t="array" aca="1" ref="O87" ca="1">IF(B87&lt;&gt;"", SUMPRODUCT((OFFSET(B87,0,0,I$16,1)=$T$24) +0),"")</f>
        <v/>
      </c>
      <c r="P87" t="str" cm="1">
        <f t="array" aca="1" ref="P87" ca="1">IF(C87&lt;&gt;"", SUMPRODUCT((OFFSET(C87,0,0,J$16,1)=$T$24) +0),"")</f>
        <v/>
      </c>
      <c r="Q87" t="str" cm="1">
        <f t="array" aca="1" ref="Q87" ca="1">IF(D87&lt;&gt;"", SUMPRODUCT((OFFSET(D87,0,0,K$16,1)=$T$24) +0),"")</f>
        <v/>
      </c>
      <c r="R87" t="str" cm="1">
        <f t="array" aca="1" ref="R87" ca="1">IF(E87&lt;&gt;"", SUMPRODUCT((OFFSET(E87,0,0,L$16,1)=$T$24) +0),"")</f>
        <v/>
      </c>
      <c r="AB87">
        <f t="shared" si="20"/>
        <v>3</v>
      </c>
      <c r="AC87">
        <f t="shared" si="21"/>
        <v>0</v>
      </c>
      <c r="AD87">
        <f t="shared" si="22"/>
        <v>2</v>
      </c>
      <c r="AE87">
        <f t="shared" si="23"/>
        <v>0</v>
      </c>
      <c r="AF87">
        <f t="shared" si="24"/>
        <v>0</v>
      </c>
      <c r="AG87">
        <f t="shared" si="25"/>
        <v>5</v>
      </c>
      <c r="AH87">
        <f t="shared" ca="1" si="27"/>
        <v>0</v>
      </c>
      <c r="AI87">
        <f>IF(ROW($AA87) - $AA$51 &lt; ($H$16+1)^5, IF(AG87 &gt;= FreeSpinsBonus!$C$16, AG87*FreeSpinsBonus!$E$31, 0), "")</f>
        <v>7.2865053920139902</v>
      </c>
      <c r="AJ87">
        <f t="shared" ca="1" si="26"/>
        <v>0</v>
      </c>
      <c r="AK87" s="44"/>
    </row>
    <row r="88" spans="8:37" x14ac:dyDescent="0.3">
      <c r="H88" t="str" cm="1">
        <f t="array" aca="1" ref="H88" ca="1">IF(ROW(A88)-H$15 &lt; H$14,A88,IF(ROW(A88) - H$15 -H$16 + 1 &lt; H$14,INDIRECT(ADDRESS(MOD(ROW(A88) - H$15, H$14) + H$15, COLUMN(A88))),""))</f>
        <v/>
      </c>
      <c r="I88" t="str" cm="1">
        <f t="array" aca="1" ref="I88" ca="1">IF(ROW(B88)-I$15 &lt; I$14,B88,IF(ROW(B88) - I$15 -I$16 + 1 &lt; I$14,INDIRECT(ADDRESS(MOD(ROW(B88) - I$15, I$14) + I$15, COLUMN(B88))),""))</f>
        <v/>
      </c>
      <c r="J88" t="str" cm="1">
        <f t="array" aca="1" ref="J88" ca="1">IF(ROW(C88)-J$15 &lt; J$14,C88,IF(ROW(C88) - J$15 -J$16 + 1 &lt; J$14,INDIRECT(ADDRESS(MOD(ROW(C88) - J$15, J$14) + J$15, COLUMN(C88))),""))</f>
        <v/>
      </c>
      <c r="K88" t="str" cm="1">
        <f t="array" aca="1" ref="K88" ca="1">IF(ROW(D88)-K$15 &lt; K$14,D88,IF(ROW(D88) - K$15 -K$16 + 1 &lt; K$14,INDIRECT(ADDRESS(MOD(ROW(D88) - K$15, K$14) + K$15, COLUMN(D88))),""))</f>
        <v/>
      </c>
      <c r="L88" t="str" cm="1">
        <f t="array" aca="1" ref="L88" ca="1">IF(ROW(E88)-L$15 &lt; L$14,E88,IF(ROW(E88) - L$15 -L$16 + 1 &lt; L$14,INDIRECT(ADDRESS(MOD(ROW(E88) - L$15, L$14) + L$15, COLUMN(E88))),""))</f>
        <v/>
      </c>
      <c r="N88" t="str" cm="1">
        <f t="array" aca="1" ref="N88" ca="1">IF(A88&lt;&gt;"", SUMPRODUCT((OFFSET(A88,0,0,H$16,1)=$T$24) +0),"")</f>
        <v/>
      </c>
      <c r="O88" t="str" cm="1">
        <f t="array" aca="1" ref="O88" ca="1">IF(B88&lt;&gt;"", SUMPRODUCT((OFFSET(B88,0,0,I$16,1)=$T$24) +0),"")</f>
        <v/>
      </c>
      <c r="P88" t="str" cm="1">
        <f t="array" aca="1" ref="P88" ca="1">IF(C88&lt;&gt;"", SUMPRODUCT((OFFSET(C88,0,0,J$16,1)=$T$24) +0),"")</f>
        <v/>
      </c>
      <c r="Q88" t="str" cm="1">
        <f t="array" aca="1" ref="Q88" ca="1">IF(D88&lt;&gt;"", SUMPRODUCT((OFFSET(D88,0,0,K$16,1)=$T$24) +0),"")</f>
        <v/>
      </c>
      <c r="R88" t="str" cm="1">
        <f t="array" aca="1" ref="R88" ca="1">IF(E88&lt;&gt;"", SUMPRODUCT((OFFSET(E88,0,0,L$16,1)=$T$24) +0),"")</f>
        <v/>
      </c>
      <c r="AB88">
        <f t="shared" si="20"/>
        <v>0</v>
      </c>
      <c r="AC88">
        <f t="shared" si="21"/>
        <v>1</v>
      </c>
      <c r="AD88">
        <f t="shared" si="22"/>
        <v>2</v>
      </c>
      <c r="AE88">
        <f t="shared" si="23"/>
        <v>0</v>
      </c>
      <c r="AF88">
        <f t="shared" si="24"/>
        <v>0</v>
      </c>
      <c r="AG88">
        <f t="shared" si="25"/>
        <v>3</v>
      </c>
      <c r="AH88">
        <f t="shared" ca="1" si="27"/>
        <v>2.4084282108083042E-3</v>
      </c>
      <c r="AI88">
        <f>IF(ROW($AA88) - $AA$51 &lt; ($H$16+1)^5, IF(AG88 &gt;= FreeSpinsBonus!$C$16, AG88*FreeSpinsBonus!$E$31, 0), "")</f>
        <v>0</v>
      </c>
      <c r="AJ88">
        <f t="shared" ca="1" si="26"/>
        <v>0</v>
      </c>
      <c r="AK88" s="44"/>
    </row>
    <row r="89" spans="8:37" x14ac:dyDescent="0.3">
      <c r="H89" t="str" cm="1">
        <f t="array" aca="1" ref="H89" ca="1">IF(ROW(A89)-H$15 &lt; H$14,A89,IF(ROW(A89) - H$15 -H$16 + 1 &lt; H$14,INDIRECT(ADDRESS(MOD(ROW(A89) - H$15, H$14) + H$15, COLUMN(A89))),""))</f>
        <v/>
      </c>
      <c r="I89" t="str" cm="1">
        <f t="array" aca="1" ref="I89" ca="1">IF(ROW(B89)-I$15 &lt; I$14,B89,IF(ROW(B89) - I$15 -I$16 + 1 &lt; I$14,INDIRECT(ADDRESS(MOD(ROW(B89) - I$15, I$14) + I$15, COLUMN(B89))),""))</f>
        <v/>
      </c>
      <c r="J89" t="str" cm="1">
        <f t="array" aca="1" ref="J89" ca="1">IF(ROW(C89)-J$15 &lt; J$14,C89,IF(ROW(C89) - J$15 -J$16 + 1 &lt; J$14,INDIRECT(ADDRESS(MOD(ROW(C89) - J$15, J$14) + J$15, COLUMN(C89))),""))</f>
        <v/>
      </c>
      <c r="K89" t="str" cm="1">
        <f t="array" aca="1" ref="K89" ca="1">IF(ROW(D89)-K$15 &lt; K$14,D89,IF(ROW(D89) - K$15 -K$16 + 1 &lt; K$14,INDIRECT(ADDRESS(MOD(ROW(D89) - K$15, K$14) + K$15, COLUMN(D89))),""))</f>
        <v/>
      </c>
      <c r="L89" t="str" cm="1">
        <f t="array" aca="1" ref="L89" ca="1">IF(ROW(E89)-L$15 &lt; L$14,E89,IF(ROW(E89) - L$15 -L$16 + 1 &lt; L$14,INDIRECT(ADDRESS(MOD(ROW(E89) - L$15, L$14) + L$15, COLUMN(E89))),""))</f>
        <v/>
      </c>
      <c r="N89" t="str" cm="1">
        <f t="array" aca="1" ref="N89" ca="1">IF(A89&lt;&gt;"", SUMPRODUCT((OFFSET(A89,0,0,H$16,1)=$T$24) +0),"")</f>
        <v/>
      </c>
      <c r="O89" t="str" cm="1">
        <f t="array" aca="1" ref="O89" ca="1">IF(B89&lt;&gt;"", SUMPRODUCT((OFFSET(B89,0,0,I$16,1)=$T$24) +0),"")</f>
        <v/>
      </c>
      <c r="P89" t="str" cm="1">
        <f t="array" aca="1" ref="P89" ca="1">IF(C89&lt;&gt;"", SUMPRODUCT((OFFSET(C89,0,0,J$16,1)=$T$24) +0),"")</f>
        <v/>
      </c>
      <c r="Q89" t="str" cm="1">
        <f t="array" aca="1" ref="Q89" ca="1">IF(D89&lt;&gt;"", SUMPRODUCT((OFFSET(D89,0,0,K$16,1)=$T$24) +0),"")</f>
        <v/>
      </c>
      <c r="R89" t="str" cm="1">
        <f t="array" aca="1" ref="R89" ca="1">IF(E89&lt;&gt;"", SUMPRODUCT((OFFSET(E89,0,0,L$16,1)=$T$24) +0),"")</f>
        <v/>
      </c>
      <c r="AB89">
        <f t="shared" si="20"/>
        <v>1</v>
      </c>
      <c r="AC89">
        <f t="shared" si="21"/>
        <v>1</v>
      </c>
      <c r="AD89">
        <f t="shared" si="22"/>
        <v>2</v>
      </c>
      <c r="AE89">
        <f t="shared" si="23"/>
        <v>0</v>
      </c>
      <c r="AF89">
        <f t="shared" si="24"/>
        <v>0</v>
      </c>
      <c r="AG89">
        <f t="shared" si="25"/>
        <v>4</v>
      </c>
      <c r="AH89">
        <f t="shared" ca="1" si="27"/>
        <v>2.5422297780754322E-3</v>
      </c>
      <c r="AI89">
        <f>IF(ROW($AA89) - $AA$51 &lt; ($H$16+1)^5, IF(AG89 &gt;= FreeSpinsBonus!$C$16, AG89*FreeSpinsBonus!$E$31, 0), "")</f>
        <v>0</v>
      </c>
      <c r="AJ89">
        <f t="shared" ca="1" si="26"/>
        <v>0</v>
      </c>
      <c r="AK89" s="44"/>
    </row>
    <row r="90" spans="8:37" x14ac:dyDescent="0.3">
      <c r="H90" t="str" cm="1">
        <f t="array" aca="1" ref="H90" ca="1">IF(ROW(A90)-H$15 &lt; H$14,A90,IF(ROW(A90) - H$15 -H$16 + 1 &lt; H$14,INDIRECT(ADDRESS(MOD(ROW(A90) - H$15, H$14) + H$15, COLUMN(A90))),""))</f>
        <v/>
      </c>
      <c r="I90" t="str" cm="1">
        <f t="array" aca="1" ref="I90" ca="1">IF(ROW(B90)-I$15 &lt; I$14,B90,IF(ROW(B90) - I$15 -I$16 + 1 &lt; I$14,INDIRECT(ADDRESS(MOD(ROW(B90) - I$15, I$14) + I$15, COLUMN(B90))),""))</f>
        <v/>
      </c>
      <c r="J90" t="str" cm="1">
        <f t="array" aca="1" ref="J90" ca="1">IF(ROW(C90)-J$15 &lt; J$14,C90,IF(ROW(C90) - J$15 -J$16 + 1 &lt; J$14,INDIRECT(ADDRESS(MOD(ROW(C90) - J$15, J$14) + J$15, COLUMN(C90))),""))</f>
        <v/>
      </c>
      <c r="K90" t="str" cm="1">
        <f t="array" aca="1" ref="K90" ca="1">IF(ROW(D90)-K$15 &lt; K$14,D90,IF(ROW(D90) - K$15 -K$16 + 1 &lt; K$14,INDIRECT(ADDRESS(MOD(ROW(D90) - K$15, K$14) + K$15, COLUMN(D90))),""))</f>
        <v/>
      </c>
      <c r="L90" t="str" cm="1">
        <f t="array" aca="1" ref="L90" ca="1">IF(ROW(E90)-L$15 &lt; L$14,E90,IF(ROW(E90) - L$15 -L$16 + 1 &lt; L$14,INDIRECT(ADDRESS(MOD(ROW(E90) - L$15, L$14) + L$15, COLUMN(E90))),""))</f>
        <v/>
      </c>
      <c r="N90" t="str" cm="1">
        <f t="array" aca="1" ref="N90" ca="1">IF(A90&lt;&gt;"", SUMPRODUCT((OFFSET(A90,0,0,H$16,1)=$T$24) +0),"")</f>
        <v/>
      </c>
      <c r="O90" t="str" cm="1">
        <f t="array" aca="1" ref="O90" ca="1">IF(B90&lt;&gt;"", SUMPRODUCT((OFFSET(B90,0,0,I$16,1)=$T$24) +0),"")</f>
        <v/>
      </c>
      <c r="P90" t="str" cm="1">
        <f t="array" aca="1" ref="P90" ca="1">IF(C90&lt;&gt;"", SUMPRODUCT((OFFSET(C90,0,0,J$16,1)=$T$24) +0),"")</f>
        <v/>
      </c>
      <c r="Q90" t="str" cm="1">
        <f t="array" aca="1" ref="Q90" ca="1">IF(D90&lt;&gt;"", SUMPRODUCT((OFFSET(D90,0,0,K$16,1)=$T$24) +0),"")</f>
        <v/>
      </c>
      <c r="R90" t="str" cm="1">
        <f t="array" aca="1" ref="R90" ca="1">IF(E90&lt;&gt;"", SUMPRODUCT((OFFSET(E90,0,0,L$16,1)=$T$24) +0),"")</f>
        <v/>
      </c>
      <c r="AB90">
        <f t="shared" si="20"/>
        <v>2</v>
      </c>
      <c r="AC90">
        <f t="shared" si="21"/>
        <v>1</v>
      </c>
      <c r="AD90">
        <f t="shared" si="22"/>
        <v>2</v>
      </c>
      <c r="AE90">
        <f t="shared" si="23"/>
        <v>0</v>
      </c>
      <c r="AF90">
        <f t="shared" si="24"/>
        <v>0</v>
      </c>
      <c r="AG90">
        <f t="shared" si="25"/>
        <v>5</v>
      </c>
      <c r="AH90">
        <f t="shared" ca="1" si="27"/>
        <v>1.3380156726712801E-3</v>
      </c>
      <c r="AI90">
        <f>IF(ROW($AA90) - $AA$51 &lt; ($H$16+1)^5, IF(AG90 &gt;= FreeSpinsBonus!$C$16, AG90*FreeSpinsBonus!$E$31, 0), "")</f>
        <v>7.2865053920139902</v>
      </c>
      <c r="AJ90">
        <f t="shared" ca="1" si="26"/>
        <v>9.7494584135185084E-3</v>
      </c>
      <c r="AK90" s="44"/>
    </row>
    <row r="91" spans="8:37" x14ac:dyDescent="0.3">
      <c r="H91" t="str" cm="1">
        <f t="array" aca="1" ref="H91" ca="1">IF(ROW(A91)-H$15 &lt; H$14,A91,IF(ROW(A91) - H$15 -H$16 + 1 &lt; H$14,INDIRECT(ADDRESS(MOD(ROW(A91) - H$15, H$14) + H$15, COLUMN(A91))),""))</f>
        <v/>
      </c>
      <c r="I91" t="str" cm="1">
        <f t="array" aca="1" ref="I91" ca="1">IF(ROW(B91)-I$15 &lt; I$14,B91,IF(ROW(B91) - I$15 -I$16 + 1 &lt; I$14,INDIRECT(ADDRESS(MOD(ROW(B91) - I$15, I$14) + I$15, COLUMN(B91))),""))</f>
        <v/>
      </c>
      <c r="J91" t="str" cm="1">
        <f t="array" aca="1" ref="J91" ca="1">IF(ROW(C91)-J$15 &lt; J$14,C91,IF(ROW(C91) - J$15 -J$16 + 1 &lt; J$14,INDIRECT(ADDRESS(MOD(ROW(C91) - J$15, J$14) + J$15, COLUMN(C91))),""))</f>
        <v/>
      </c>
      <c r="K91" t="str" cm="1">
        <f t="array" aca="1" ref="K91" ca="1">IF(ROW(D91)-K$15 &lt; K$14,D91,IF(ROW(D91) - K$15 -K$16 + 1 &lt; K$14,INDIRECT(ADDRESS(MOD(ROW(D91) - K$15, K$14) + K$15, COLUMN(D91))),""))</f>
        <v/>
      </c>
      <c r="L91" t="str" cm="1">
        <f t="array" aca="1" ref="L91" ca="1">IF(ROW(E91)-L$15 &lt; L$14,E91,IF(ROW(E91) - L$15 -L$16 + 1 &lt; L$14,INDIRECT(ADDRESS(MOD(ROW(E91) - L$15, L$14) + L$15, COLUMN(E91))),""))</f>
        <v/>
      </c>
      <c r="N91" t="str" cm="1">
        <f t="array" aca="1" ref="N91" ca="1">IF(A91&lt;&gt;"", SUMPRODUCT((OFFSET(A91,0,0,H$16,1)=$T$24) +0),"")</f>
        <v/>
      </c>
      <c r="O91" t="str" cm="1">
        <f t="array" aca="1" ref="O91" ca="1">IF(B91&lt;&gt;"", SUMPRODUCT((OFFSET(B91,0,0,I$16,1)=$T$24) +0),"")</f>
        <v/>
      </c>
      <c r="P91" t="str" cm="1">
        <f t="array" aca="1" ref="P91" ca="1">IF(C91&lt;&gt;"", SUMPRODUCT((OFFSET(C91,0,0,J$16,1)=$T$24) +0),"")</f>
        <v/>
      </c>
      <c r="Q91" t="str" cm="1">
        <f t="array" aca="1" ref="Q91" ca="1">IF(D91&lt;&gt;"", SUMPRODUCT((OFFSET(D91,0,0,K$16,1)=$T$24) +0),"")</f>
        <v/>
      </c>
      <c r="R91" t="str" cm="1">
        <f t="array" aca="1" ref="R91" ca="1">IF(E91&lt;&gt;"", SUMPRODUCT((OFFSET(E91,0,0,L$16,1)=$T$24) +0),"")</f>
        <v/>
      </c>
      <c r="AB91">
        <f t="shared" si="20"/>
        <v>3</v>
      </c>
      <c r="AC91">
        <f t="shared" si="21"/>
        <v>1</v>
      </c>
      <c r="AD91">
        <f t="shared" si="22"/>
        <v>2</v>
      </c>
      <c r="AE91">
        <f t="shared" si="23"/>
        <v>0</v>
      </c>
      <c r="AF91">
        <f t="shared" si="24"/>
        <v>0</v>
      </c>
      <c r="AG91">
        <f t="shared" si="25"/>
        <v>6</v>
      </c>
      <c r="AH91">
        <f t="shared" ca="1" si="27"/>
        <v>0</v>
      </c>
      <c r="AI91">
        <f>IF(ROW($AA91) - $AA$51 &lt; ($H$16+1)^5, IF(AG91 &gt;= FreeSpinsBonus!$C$16, AG91*FreeSpinsBonus!$E$31, 0), "")</f>
        <v>8.7438064704167875</v>
      </c>
      <c r="AJ91">
        <f t="shared" ca="1" si="26"/>
        <v>0</v>
      </c>
      <c r="AK91" s="44"/>
    </row>
    <row r="92" spans="8:37" x14ac:dyDescent="0.3">
      <c r="H92" t="str" cm="1">
        <f t="array" aca="1" ref="H92" ca="1">IF(ROW(A92)-H$15 &lt; H$14,A92,IF(ROW(A92) - H$15 -H$16 + 1 &lt; H$14,INDIRECT(ADDRESS(MOD(ROW(A92) - H$15, H$14) + H$15, COLUMN(A92))),""))</f>
        <v/>
      </c>
      <c r="I92" t="str" cm="1">
        <f t="array" aca="1" ref="I92" ca="1">IF(ROW(B92)-I$15 &lt; I$14,B92,IF(ROW(B92) - I$15 -I$16 + 1 &lt; I$14,INDIRECT(ADDRESS(MOD(ROW(B92) - I$15, I$14) + I$15, COLUMN(B92))),""))</f>
        <v/>
      </c>
      <c r="J92" t="str" cm="1">
        <f t="array" aca="1" ref="J92" ca="1">IF(ROW(C92)-J$15 &lt; J$14,C92,IF(ROW(C92) - J$15 -J$16 + 1 &lt; J$14,INDIRECT(ADDRESS(MOD(ROW(C92) - J$15, J$14) + J$15, COLUMN(C92))),""))</f>
        <v/>
      </c>
      <c r="K92" t="str" cm="1">
        <f t="array" aca="1" ref="K92" ca="1">IF(ROW(D92)-K$15 &lt; K$14,D92,IF(ROW(D92) - K$15 -K$16 + 1 &lt; K$14,INDIRECT(ADDRESS(MOD(ROW(D92) - K$15, K$14) + K$15, COLUMN(D92))),""))</f>
        <v/>
      </c>
      <c r="L92" t="str" cm="1">
        <f t="array" aca="1" ref="L92" ca="1">IF(ROW(E92)-L$15 &lt; L$14,E92,IF(ROW(E92) - L$15 -L$16 + 1 &lt; L$14,INDIRECT(ADDRESS(MOD(ROW(E92) - L$15, L$14) + L$15, COLUMN(E92))),""))</f>
        <v/>
      </c>
      <c r="N92" t="str" cm="1">
        <f t="array" aca="1" ref="N92" ca="1">IF(A92&lt;&gt;"", SUMPRODUCT((OFFSET(A92,0,0,H$16,1)=$T$24) +0),"")</f>
        <v/>
      </c>
      <c r="O92" t="str" cm="1">
        <f t="array" aca="1" ref="O92" ca="1">IF(B92&lt;&gt;"", SUMPRODUCT((OFFSET(B92,0,0,I$16,1)=$T$24) +0),"")</f>
        <v/>
      </c>
      <c r="P92" t="str" cm="1">
        <f t="array" aca="1" ref="P92" ca="1">IF(C92&lt;&gt;"", SUMPRODUCT((OFFSET(C92,0,0,J$16,1)=$T$24) +0),"")</f>
        <v/>
      </c>
      <c r="Q92" t="str" cm="1">
        <f t="array" aca="1" ref="Q92" ca="1">IF(D92&lt;&gt;"", SUMPRODUCT((OFFSET(D92,0,0,K$16,1)=$T$24) +0),"")</f>
        <v/>
      </c>
      <c r="R92" t="str" cm="1">
        <f t="array" aca="1" ref="R92" ca="1">IF(E92&lt;&gt;"", SUMPRODUCT((OFFSET(E92,0,0,L$16,1)=$T$24) +0),"")</f>
        <v/>
      </c>
      <c r="AB92">
        <f t="shared" si="20"/>
        <v>0</v>
      </c>
      <c r="AC92">
        <f t="shared" si="21"/>
        <v>2</v>
      </c>
      <c r="AD92">
        <f t="shared" si="22"/>
        <v>2</v>
      </c>
      <c r="AE92">
        <f t="shared" si="23"/>
        <v>0</v>
      </c>
      <c r="AF92">
        <f t="shared" si="24"/>
        <v>0</v>
      </c>
      <c r="AG92">
        <f t="shared" si="25"/>
        <v>4</v>
      </c>
      <c r="AH92">
        <f t="shared" ca="1" si="27"/>
        <v>2.4084282108083042E-3</v>
      </c>
      <c r="AI92">
        <f>IF(ROW($AA92) - $AA$51 &lt; ($H$16+1)^5, IF(AG92 &gt;= FreeSpinsBonus!$C$16, AG92*FreeSpinsBonus!$E$31, 0), "")</f>
        <v>0</v>
      </c>
      <c r="AJ92">
        <f t="shared" ca="1" si="26"/>
        <v>0</v>
      </c>
      <c r="AK92" s="44"/>
    </row>
    <row r="93" spans="8:37" x14ac:dyDescent="0.3">
      <c r="H93" t="str" cm="1">
        <f t="array" aca="1" ref="H93" ca="1">IF(ROW(A93)-H$15 &lt; H$14,A93,IF(ROW(A93) - H$15 -H$16 + 1 &lt; H$14,INDIRECT(ADDRESS(MOD(ROW(A93) - H$15, H$14) + H$15, COLUMN(A93))),""))</f>
        <v/>
      </c>
      <c r="I93" t="str" cm="1">
        <f t="array" aca="1" ref="I93" ca="1">IF(ROW(B93)-I$15 &lt; I$14,B93,IF(ROW(B93) - I$15 -I$16 + 1 &lt; I$14,INDIRECT(ADDRESS(MOD(ROW(B93) - I$15, I$14) + I$15, COLUMN(B93))),""))</f>
        <v/>
      </c>
      <c r="J93" t="str" cm="1">
        <f t="array" aca="1" ref="J93" ca="1">IF(ROW(C93)-J$15 &lt; J$14,C93,IF(ROW(C93) - J$15 -J$16 + 1 &lt; J$14,INDIRECT(ADDRESS(MOD(ROW(C93) - J$15, J$14) + J$15, COLUMN(C93))),""))</f>
        <v/>
      </c>
      <c r="K93" t="str" cm="1">
        <f t="array" aca="1" ref="K93" ca="1">IF(ROW(D93)-K$15 &lt; K$14,D93,IF(ROW(D93) - K$15 -K$16 + 1 &lt; K$14,INDIRECT(ADDRESS(MOD(ROW(D93) - K$15, K$14) + K$15, COLUMN(D93))),""))</f>
        <v/>
      </c>
      <c r="L93" t="str" cm="1">
        <f t="array" aca="1" ref="L93" ca="1">IF(ROW(E93)-L$15 &lt; L$14,E93,IF(ROW(E93) - L$15 -L$16 + 1 &lt; L$14,INDIRECT(ADDRESS(MOD(ROW(E93) - L$15, L$14) + L$15, COLUMN(E93))),""))</f>
        <v/>
      </c>
      <c r="N93" t="str" cm="1">
        <f t="array" aca="1" ref="N93" ca="1">IF(A93&lt;&gt;"", SUMPRODUCT((OFFSET(A93,0,0,H$16,1)=$T$24) +0),"")</f>
        <v/>
      </c>
      <c r="O93" t="str" cm="1">
        <f t="array" aca="1" ref="O93" ca="1">IF(B93&lt;&gt;"", SUMPRODUCT((OFFSET(B93,0,0,I$16,1)=$T$24) +0),"")</f>
        <v/>
      </c>
      <c r="P93" t="str" cm="1">
        <f t="array" aca="1" ref="P93" ca="1">IF(C93&lt;&gt;"", SUMPRODUCT((OFFSET(C93,0,0,J$16,1)=$T$24) +0),"")</f>
        <v/>
      </c>
      <c r="Q93" t="str" cm="1">
        <f t="array" aca="1" ref="Q93" ca="1">IF(D93&lt;&gt;"", SUMPRODUCT((OFFSET(D93,0,0,K$16,1)=$T$24) +0),"")</f>
        <v/>
      </c>
      <c r="R93" t="str" cm="1">
        <f t="array" aca="1" ref="R93" ca="1">IF(E93&lt;&gt;"", SUMPRODUCT((OFFSET(E93,0,0,L$16,1)=$T$24) +0),"")</f>
        <v/>
      </c>
      <c r="AB93">
        <f t="shared" si="20"/>
        <v>1</v>
      </c>
      <c r="AC93">
        <f t="shared" si="21"/>
        <v>2</v>
      </c>
      <c r="AD93">
        <f t="shared" si="22"/>
        <v>2</v>
      </c>
      <c r="AE93">
        <f t="shared" si="23"/>
        <v>0</v>
      </c>
      <c r="AF93">
        <f t="shared" si="24"/>
        <v>0</v>
      </c>
      <c r="AG93">
        <f t="shared" si="25"/>
        <v>5</v>
      </c>
      <c r="AH93">
        <f t="shared" ca="1" si="27"/>
        <v>2.5422297780754322E-3</v>
      </c>
      <c r="AI93">
        <f>IF(ROW($AA93) - $AA$51 &lt; ($H$16+1)^5, IF(AG93 &gt;= FreeSpinsBonus!$C$16, AG93*FreeSpinsBonus!$E$31, 0), "")</f>
        <v>7.2865053920139902</v>
      </c>
      <c r="AJ93">
        <f t="shared" ca="1" si="26"/>
        <v>1.8523970985685166E-2</v>
      </c>
      <c r="AK93" s="44"/>
    </row>
    <row r="94" spans="8:37" x14ac:dyDescent="0.3">
      <c r="H94" t="str" cm="1">
        <f t="array" aca="1" ref="H94" ca="1">IF(ROW(A94)-H$15 &lt; H$14,A94,IF(ROW(A94) - H$15 -H$16 + 1 &lt; H$14,INDIRECT(ADDRESS(MOD(ROW(A94) - H$15, H$14) + H$15, COLUMN(A94))),""))</f>
        <v/>
      </c>
      <c r="I94" t="str" cm="1">
        <f t="array" aca="1" ref="I94" ca="1">IF(ROW(B94)-I$15 &lt; I$14,B94,IF(ROW(B94) - I$15 -I$16 + 1 &lt; I$14,INDIRECT(ADDRESS(MOD(ROW(B94) - I$15, I$14) + I$15, COLUMN(B94))),""))</f>
        <v/>
      </c>
      <c r="J94" t="str" cm="1">
        <f t="array" aca="1" ref="J94" ca="1">IF(ROW(C94)-J$15 &lt; J$14,C94,IF(ROW(C94) - J$15 -J$16 + 1 &lt; J$14,INDIRECT(ADDRESS(MOD(ROW(C94) - J$15, J$14) + J$15, COLUMN(C94))),""))</f>
        <v/>
      </c>
      <c r="K94" t="str" cm="1">
        <f t="array" aca="1" ref="K94" ca="1">IF(ROW(D94)-K$15 &lt; K$14,D94,IF(ROW(D94) - K$15 -K$16 + 1 &lt; K$14,INDIRECT(ADDRESS(MOD(ROW(D94) - K$15, K$14) + K$15, COLUMN(D94))),""))</f>
        <v/>
      </c>
      <c r="L94" t="str" cm="1">
        <f t="array" aca="1" ref="L94" ca="1">IF(ROW(E94)-L$15 &lt; L$14,E94,IF(ROW(E94) - L$15 -L$16 + 1 &lt; L$14,INDIRECT(ADDRESS(MOD(ROW(E94) - L$15, L$14) + L$15, COLUMN(E94))),""))</f>
        <v/>
      </c>
      <c r="N94" t="str" cm="1">
        <f t="array" aca="1" ref="N94" ca="1">IF(A94&lt;&gt;"", SUMPRODUCT((OFFSET(A94,0,0,H$16,1)=$T$24) +0),"")</f>
        <v/>
      </c>
      <c r="O94" t="str" cm="1">
        <f t="array" aca="1" ref="O94" ca="1">IF(B94&lt;&gt;"", SUMPRODUCT((OFFSET(B94,0,0,I$16,1)=$T$24) +0),"")</f>
        <v/>
      </c>
      <c r="P94" t="str" cm="1">
        <f t="array" aca="1" ref="P94" ca="1">IF(C94&lt;&gt;"", SUMPRODUCT((OFFSET(C94,0,0,J$16,1)=$T$24) +0),"")</f>
        <v/>
      </c>
      <c r="Q94" t="str" cm="1">
        <f t="array" aca="1" ref="Q94" ca="1">IF(D94&lt;&gt;"", SUMPRODUCT((OFFSET(D94,0,0,K$16,1)=$T$24) +0),"")</f>
        <v/>
      </c>
      <c r="R94" t="str" cm="1">
        <f t="array" aca="1" ref="R94" ca="1">IF(E94&lt;&gt;"", SUMPRODUCT((OFFSET(E94,0,0,L$16,1)=$T$24) +0),"")</f>
        <v/>
      </c>
      <c r="AB94">
        <f t="shared" si="20"/>
        <v>2</v>
      </c>
      <c r="AC94">
        <f t="shared" si="21"/>
        <v>2</v>
      </c>
      <c r="AD94">
        <f t="shared" si="22"/>
        <v>2</v>
      </c>
      <c r="AE94">
        <f t="shared" si="23"/>
        <v>0</v>
      </c>
      <c r="AF94">
        <f t="shared" si="24"/>
        <v>0</v>
      </c>
      <c r="AG94">
        <f t="shared" si="25"/>
        <v>6</v>
      </c>
      <c r="AH94">
        <f t="shared" ca="1" si="27"/>
        <v>1.3380156726712801E-3</v>
      </c>
      <c r="AI94">
        <f>IF(ROW($AA94) - $AA$51 &lt; ($H$16+1)^5, IF(AG94 &gt;= FreeSpinsBonus!$C$16, AG94*FreeSpinsBonus!$E$31, 0), "")</f>
        <v>8.7438064704167875</v>
      </c>
      <c r="AJ94">
        <f t="shared" ca="1" si="26"/>
        <v>1.169935009622221E-2</v>
      </c>
      <c r="AK94" s="44"/>
    </row>
    <row r="95" spans="8:37" x14ac:dyDescent="0.3">
      <c r="H95" t="str" cm="1">
        <f t="array" aca="1" ref="H95" ca="1">IF(ROW(A95)-H$15 &lt; H$14,A95,IF(ROW(A95) - H$15 -H$16 + 1 &lt; H$14,INDIRECT(ADDRESS(MOD(ROW(A95) - H$15, H$14) + H$15, COLUMN(A95))),""))</f>
        <v/>
      </c>
      <c r="I95" t="str" cm="1">
        <f t="array" aca="1" ref="I95" ca="1">IF(ROW(B95)-I$15 &lt; I$14,B95,IF(ROW(B95) - I$15 -I$16 + 1 &lt; I$14,INDIRECT(ADDRESS(MOD(ROW(B95) - I$15, I$14) + I$15, COLUMN(B95))),""))</f>
        <v/>
      </c>
      <c r="J95" t="str" cm="1">
        <f t="array" aca="1" ref="J95" ca="1">IF(ROW(C95)-J$15 &lt; J$14,C95,IF(ROW(C95) - J$15 -J$16 + 1 &lt; J$14,INDIRECT(ADDRESS(MOD(ROW(C95) - J$15, J$14) + J$15, COLUMN(C95))),""))</f>
        <v/>
      </c>
      <c r="K95" t="str" cm="1">
        <f t="array" aca="1" ref="K95" ca="1">IF(ROW(D95)-K$15 &lt; K$14,D95,IF(ROW(D95) - K$15 -K$16 + 1 &lt; K$14,INDIRECT(ADDRESS(MOD(ROW(D95) - K$15, K$14) + K$15, COLUMN(D95))),""))</f>
        <v/>
      </c>
      <c r="L95" t="str" cm="1">
        <f t="array" aca="1" ref="L95" ca="1">IF(ROW(E95)-L$15 &lt; L$14,E95,IF(ROW(E95) - L$15 -L$16 + 1 &lt; L$14,INDIRECT(ADDRESS(MOD(ROW(E95) - L$15, L$14) + L$15, COLUMN(E95))),""))</f>
        <v/>
      </c>
      <c r="N95" t="str" cm="1">
        <f t="array" aca="1" ref="N95" ca="1">IF(A95&lt;&gt;"", SUMPRODUCT((OFFSET(A95,0,0,H$16,1)=$T$24) +0),"")</f>
        <v/>
      </c>
      <c r="O95" t="str" cm="1">
        <f t="array" aca="1" ref="O95" ca="1">IF(B95&lt;&gt;"", SUMPRODUCT((OFFSET(B95,0,0,I$16,1)=$T$24) +0),"")</f>
        <v/>
      </c>
      <c r="P95" t="str" cm="1">
        <f t="array" aca="1" ref="P95" ca="1">IF(C95&lt;&gt;"", SUMPRODUCT((OFFSET(C95,0,0,J$16,1)=$T$24) +0),"")</f>
        <v/>
      </c>
      <c r="Q95" t="str" cm="1">
        <f t="array" aca="1" ref="Q95" ca="1">IF(D95&lt;&gt;"", SUMPRODUCT((OFFSET(D95,0,0,K$16,1)=$T$24) +0),"")</f>
        <v/>
      </c>
      <c r="R95" t="str" cm="1">
        <f t="array" aca="1" ref="R95" ca="1">IF(E95&lt;&gt;"", SUMPRODUCT((OFFSET(E95,0,0,L$16,1)=$T$24) +0),"")</f>
        <v/>
      </c>
      <c r="AB95">
        <f t="shared" si="20"/>
        <v>3</v>
      </c>
      <c r="AC95">
        <f t="shared" si="21"/>
        <v>2</v>
      </c>
      <c r="AD95">
        <f t="shared" si="22"/>
        <v>2</v>
      </c>
      <c r="AE95">
        <f t="shared" si="23"/>
        <v>0</v>
      </c>
      <c r="AF95">
        <f t="shared" si="24"/>
        <v>0</v>
      </c>
      <c r="AG95">
        <f t="shared" si="25"/>
        <v>7</v>
      </c>
      <c r="AH95">
        <f t="shared" ca="1" si="27"/>
        <v>0</v>
      </c>
      <c r="AI95">
        <f>IF(ROW($AA95) - $AA$51 &lt; ($H$16+1)^5, IF(AG95 &gt;= FreeSpinsBonus!$C$16, AG95*FreeSpinsBonus!$E$31, 0), "")</f>
        <v>10.201107548819586</v>
      </c>
      <c r="AJ95">
        <f t="shared" ca="1" si="26"/>
        <v>0</v>
      </c>
      <c r="AK95" s="44"/>
    </row>
    <row r="96" spans="8:37" x14ac:dyDescent="0.3">
      <c r="H96" t="str" cm="1">
        <f t="array" aca="1" ref="H96" ca="1">IF(ROW(A96)-H$15 &lt; H$14,A96,IF(ROW(A96) - H$15 -H$16 + 1 &lt; H$14,INDIRECT(ADDRESS(MOD(ROW(A96) - H$15, H$14) + H$15, COLUMN(A96))),""))</f>
        <v/>
      </c>
      <c r="I96" t="str" cm="1">
        <f t="array" aca="1" ref="I96" ca="1">IF(ROW(B96)-I$15 &lt; I$14,B96,IF(ROW(B96) - I$15 -I$16 + 1 &lt; I$14,INDIRECT(ADDRESS(MOD(ROW(B96) - I$15, I$14) + I$15, COLUMN(B96))),""))</f>
        <v/>
      </c>
      <c r="J96" t="str" cm="1">
        <f t="array" aca="1" ref="J96" ca="1">IF(ROW(C96)-J$15 &lt; J$14,C96,IF(ROW(C96) - J$15 -J$16 + 1 &lt; J$14,INDIRECT(ADDRESS(MOD(ROW(C96) - J$15, J$14) + J$15, COLUMN(C96))),""))</f>
        <v/>
      </c>
      <c r="K96" t="str" cm="1">
        <f t="array" aca="1" ref="K96" ca="1">IF(ROW(D96)-K$15 &lt; K$14,D96,IF(ROW(D96) - K$15 -K$16 + 1 &lt; K$14,INDIRECT(ADDRESS(MOD(ROW(D96) - K$15, K$14) + K$15, COLUMN(D96))),""))</f>
        <v/>
      </c>
      <c r="L96" t="str" cm="1">
        <f t="array" aca="1" ref="L96" ca="1">IF(ROW(E96)-L$15 &lt; L$14,E96,IF(ROW(E96) - L$15 -L$16 + 1 &lt; L$14,INDIRECT(ADDRESS(MOD(ROW(E96) - L$15, L$14) + L$15, COLUMN(E96))),""))</f>
        <v/>
      </c>
      <c r="N96" t="str" cm="1">
        <f t="array" aca="1" ref="N96" ca="1">IF(A96&lt;&gt;"", SUMPRODUCT((OFFSET(A96,0,0,H$16,1)=$T$24) +0),"")</f>
        <v/>
      </c>
      <c r="O96" t="str" cm="1">
        <f t="array" aca="1" ref="O96" ca="1">IF(B96&lt;&gt;"", SUMPRODUCT((OFFSET(B96,0,0,I$16,1)=$T$24) +0),"")</f>
        <v/>
      </c>
      <c r="P96" t="str" cm="1">
        <f t="array" aca="1" ref="P96" ca="1">IF(C96&lt;&gt;"", SUMPRODUCT((OFFSET(C96,0,0,J$16,1)=$T$24) +0),"")</f>
        <v/>
      </c>
      <c r="Q96" t="str" cm="1">
        <f t="array" aca="1" ref="Q96" ca="1">IF(D96&lt;&gt;"", SUMPRODUCT((OFFSET(D96,0,0,K$16,1)=$T$24) +0),"")</f>
        <v/>
      </c>
      <c r="R96" t="str" cm="1">
        <f t="array" aca="1" ref="R96" ca="1">IF(E96&lt;&gt;"", SUMPRODUCT((OFFSET(E96,0,0,L$16,1)=$T$24) +0),"")</f>
        <v/>
      </c>
      <c r="AB96">
        <f t="shared" si="20"/>
        <v>0</v>
      </c>
      <c r="AC96">
        <f t="shared" si="21"/>
        <v>3</v>
      </c>
      <c r="AD96">
        <f t="shared" si="22"/>
        <v>2</v>
      </c>
      <c r="AE96">
        <f t="shared" si="23"/>
        <v>0</v>
      </c>
      <c r="AF96">
        <f t="shared" si="24"/>
        <v>0</v>
      </c>
      <c r="AG96">
        <f t="shared" si="25"/>
        <v>5</v>
      </c>
      <c r="AH96">
        <f t="shared" ca="1" si="27"/>
        <v>8.5003348616763689E-4</v>
      </c>
      <c r="AI96">
        <f>IF(ROW($AA96) - $AA$51 &lt; ($H$16+1)^5, IF(AG96 &gt;= FreeSpinsBonus!$C$16, AG96*FreeSpinsBonus!$E$31, 0), "")</f>
        <v>7.2865053920139902</v>
      </c>
      <c r="AJ96">
        <f t="shared" ca="1" si="26"/>
        <v>6.1937735803529355E-3</v>
      </c>
      <c r="AK96" s="44"/>
    </row>
    <row r="97" spans="8:37" x14ac:dyDescent="0.3">
      <c r="H97" t="str" cm="1">
        <f t="array" aca="1" ref="H97" ca="1">IF(ROW(A97)-H$15 &lt; H$14,A97,IF(ROW(A97) - H$15 -H$16 + 1 &lt; H$14,INDIRECT(ADDRESS(MOD(ROW(A97) - H$15, H$14) + H$15, COLUMN(A97))),""))</f>
        <v/>
      </c>
      <c r="I97" t="str" cm="1">
        <f t="array" aca="1" ref="I97" ca="1">IF(ROW(B97)-I$15 &lt; I$14,B97,IF(ROW(B97) - I$15 -I$16 + 1 &lt; I$14,INDIRECT(ADDRESS(MOD(ROW(B97) - I$15, I$14) + I$15, COLUMN(B97))),""))</f>
        <v/>
      </c>
      <c r="J97" t="str" cm="1">
        <f t="array" aca="1" ref="J97" ca="1">IF(ROW(C97)-J$15 &lt; J$14,C97,IF(ROW(C97) - J$15 -J$16 + 1 &lt; J$14,INDIRECT(ADDRESS(MOD(ROW(C97) - J$15, J$14) + J$15, COLUMN(C97))),""))</f>
        <v/>
      </c>
      <c r="K97" t="str" cm="1">
        <f t="array" aca="1" ref="K97" ca="1">IF(ROW(D97)-K$15 &lt; K$14,D97,IF(ROW(D97) - K$15 -K$16 + 1 &lt; K$14,INDIRECT(ADDRESS(MOD(ROW(D97) - K$15, K$14) + K$15, COLUMN(D97))),""))</f>
        <v/>
      </c>
      <c r="L97" t="str" cm="1">
        <f t="array" aca="1" ref="L97" ca="1">IF(ROW(E97)-L$15 &lt; L$14,E97,IF(ROW(E97) - L$15 -L$16 + 1 &lt; L$14,INDIRECT(ADDRESS(MOD(ROW(E97) - L$15, L$14) + L$15, COLUMN(E97))),""))</f>
        <v/>
      </c>
      <c r="N97" t="str" cm="1">
        <f t="array" aca="1" ref="N97" ca="1">IF(A97&lt;&gt;"", SUMPRODUCT((OFFSET(A97,0,0,H$16,1)=$T$24) +0),"")</f>
        <v/>
      </c>
      <c r="O97" t="str" cm="1">
        <f t="array" aca="1" ref="O97" ca="1">IF(B97&lt;&gt;"", SUMPRODUCT((OFFSET(B97,0,0,I$16,1)=$T$24) +0),"")</f>
        <v/>
      </c>
      <c r="P97" t="str" cm="1">
        <f t="array" aca="1" ref="P97" ca="1">IF(C97&lt;&gt;"", SUMPRODUCT((OFFSET(C97,0,0,J$16,1)=$T$24) +0),"")</f>
        <v/>
      </c>
      <c r="Q97" t="str" cm="1">
        <f t="array" aca="1" ref="Q97" ca="1">IF(D97&lt;&gt;"", SUMPRODUCT((OFFSET(D97,0,0,K$16,1)=$T$24) +0),"")</f>
        <v/>
      </c>
      <c r="R97" t="str" cm="1">
        <f t="array" aca="1" ref="R97" ca="1">IF(E97&lt;&gt;"", SUMPRODUCT((OFFSET(E97,0,0,L$16,1)=$T$24) +0),"")</f>
        <v/>
      </c>
      <c r="AB97">
        <f t="shared" si="20"/>
        <v>1</v>
      </c>
      <c r="AC97">
        <f t="shared" si="21"/>
        <v>3</v>
      </c>
      <c r="AD97">
        <f t="shared" si="22"/>
        <v>2</v>
      </c>
      <c r="AE97">
        <f t="shared" si="23"/>
        <v>0</v>
      </c>
      <c r="AF97">
        <f t="shared" si="24"/>
        <v>0</v>
      </c>
      <c r="AG97">
        <f t="shared" si="25"/>
        <v>6</v>
      </c>
      <c r="AH97">
        <f t="shared" ca="1" si="27"/>
        <v>8.9725756873250558E-4</v>
      </c>
      <c r="AI97">
        <f>IF(ROW($AA97) - $AA$51 &lt; ($H$16+1)^5, IF(AG97 &gt;= FreeSpinsBonus!$C$16, AG97*FreeSpinsBonus!$E$31, 0), "")</f>
        <v>8.7438064704167875</v>
      </c>
      <c r="AJ97">
        <f t="shared" ca="1" si="26"/>
        <v>7.8454465351137179E-3</v>
      </c>
      <c r="AK97" s="44"/>
    </row>
    <row r="98" spans="8:37" x14ac:dyDescent="0.3">
      <c r="H98" t="str" cm="1">
        <f t="array" aca="1" ref="H98" ca="1">IF(ROW(A98)-H$15 &lt; H$14,A98,IF(ROW(A98) - H$15 -H$16 + 1 &lt; H$14,INDIRECT(ADDRESS(MOD(ROW(A98) - H$15, H$14) + H$15, COLUMN(A98))),""))</f>
        <v/>
      </c>
      <c r="I98" t="str" cm="1">
        <f t="array" aca="1" ref="I98" ca="1">IF(ROW(B98)-I$15 &lt; I$14,B98,IF(ROW(B98) - I$15 -I$16 + 1 &lt; I$14,INDIRECT(ADDRESS(MOD(ROW(B98) - I$15, I$14) + I$15, COLUMN(B98))),""))</f>
        <v/>
      </c>
      <c r="J98" t="str" cm="1">
        <f t="array" aca="1" ref="J98" ca="1">IF(ROW(C98)-J$15 &lt; J$14,C98,IF(ROW(C98) - J$15 -J$16 + 1 &lt; J$14,INDIRECT(ADDRESS(MOD(ROW(C98) - J$15, J$14) + J$15, COLUMN(C98))),""))</f>
        <v/>
      </c>
      <c r="K98" t="str" cm="1">
        <f t="array" aca="1" ref="K98" ca="1">IF(ROW(D98)-K$15 &lt; K$14,D98,IF(ROW(D98) - K$15 -K$16 + 1 &lt; K$14,INDIRECT(ADDRESS(MOD(ROW(D98) - K$15, K$14) + K$15, COLUMN(D98))),""))</f>
        <v/>
      </c>
      <c r="L98" t="str" cm="1">
        <f t="array" aca="1" ref="L98" ca="1">IF(ROW(E98)-L$15 &lt; L$14,E98,IF(ROW(E98) - L$15 -L$16 + 1 &lt; L$14,INDIRECT(ADDRESS(MOD(ROW(E98) - L$15, L$14) + L$15, COLUMN(E98))),""))</f>
        <v/>
      </c>
      <c r="N98" t="str" cm="1">
        <f t="array" aca="1" ref="N98" ca="1">IF(A98&lt;&gt;"", SUMPRODUCT((OFFSET(A98,0,0,H$16,1)=$T$24) +0),"")</f>
        <v/>
      </c>
      <c r="O98" t="str" cm="1">
        <f t="array" aca="1" ref="O98" ca="1">IF(B98&lt;&gt;"", SUMPRODUCT((OFFSET(B98,0,0,I$16,1)=$T$24) +0),"")</f>
        <v/>
      </c>
      <c r="P98" t="str" cm="1">
        <f t="array" aca="1" ref="P98" ca="1">IF(C98&lt;&gt;"", SUMPRODUCT((OFFSET(C98,0,0,J$16,1)=$T$24) +0),"")</f>
        <v/>
      </c>
      <c r="Q98" t="str" cm="1">
        <f t="array" aca="1" ref="Q98" ca="1">IF(D98&lt;&gt;"", SUMPRODUCT((OFFSET(D98,0,0,K$16,1)=$T$24) +0),"")</f>
        <v/>
      </c>
      <c r="R98" t="str" cm="1">
        <f t="array" aca="1" ref="R98" ca="1">IF(E98&lt;&gt;"", SUMPRODUCT((OFFSET(E98,0,0,L$16,1)=$T$24) +0),"")</f>
        <v/>
      </c>
      <c r="AB98">
        <f t="shared" si="20"/>
        <v>2</v>
      </c>
      <c r="AC98">
        <f t="shared" si="21"/>
        <v>3</v>
      </c>
      <c r="AD98">
        <f t="shared" si="22"/>
        <v>2</v>
      </c>
      <c r="AE98">
        <f t="shared" si="23"/>
        <v>0</v>
      </c>
      <c r="AF98">
        <f t="shared" si="24"/>
        <v>0</v>
      </c>
      <c r="AG98">
        <f t="shared" si="25"/>
        <v>7</v>
      </c>
      <c r="AH98">
        <f t="shared" ca="1" si="27"/>
        <v>4.7224082564868708E-4</v>
      </c>
      <c r="AI98">
        <f>IF(ROW($AA98) - $AA$51 &lt; ($H$16+1)^5, IF(AG98 &gt;= FreeSpinsBonus!$C$16, AG98*FreeSpinsBonus!$E$31, 0), "")</f>
        <v>10.201107548819586</v>
      </c>
      <c r="AJ98">
        <f t="shared" ca="1" si="26"/>
        <v>4.8173794513856156E-3</v>
      </c>
      <c r="AK98" s="44"/>
    </row>
    <row r="99" spans="8:37" x14ac:dyDescent="0.3">
      <c r="H99" t="str" cm="1">
        <f t="array" aca="1" ref="H99" ca="1">IF(ROW(A99)-H$15 &lt; H$14,A99,IF(ROW(A99) - H$15 -H$16 + 1 &lt; H$14,INDIRECT(ADDRESS(MOD(ROW(A99) - H$15, H$14) + H$15, COLUMN(A99))),""))</f>
        <v/>
      </c>
      <c r="I99" t="str" cm="1">
        <f t="array" aca="1" ref="I99" ca="1">IF(ROW(B99)-I$15 &lt; I$14,B99,IF(ROW(B99) - I$15 -I$16 + 1 &lt; I$14,INDIRECT(ADDRESS(MOD(ROW(B99) - I$15, I$14) + I$15, COLUMN(B99))),""))</f>
        <v/>
      </c>
      <c r="J99" t="str" cm="1">
        <f t="array" aca="1" ref="J99" ca="1">IF(ROW(C99)-J$15 &lt; J$14,C99,IF(ROW(C99) - J$15 -J$16 + 1 &lt; J$14,INDIRECT(ADDRESS(MOD(ROW(C99) - J$15, J$14) + J$15, COLUMN(C99))),""))</f>
        <v/>
      </c>
      <c r="K99" t="str" cm="1">
        <f t="array" aca="1" ref="K99" ca="1">IF(ROW(D99)-K$15 &lt; K$14,D99,IF(ROW(D99) - K$15 -K$16 + 1 &lt; K$14,INDIRECT(ADDRESS(MOD(ROW(D99) - K$15, K$14) + K$15, COLUMN(D99))),""))</f>
        <v/>
      </c>
      <c r="L99" t="str" cm="1">
        <f t="array" aca="1" ref="L99" ca="1">IF(ROW(E99)-L$15 &lt; L$14,E99,IF(ROW(E99) - L$15 -L$16 + 1 &lt; L$14,INDIRECT(ADDRESS(MOD(ROW(E99) - L$15, L$14) + L$15, COLUMN(E99))),""))</f>
        <v/>
      </c>
      <c r="N99" t="str" cm="1">
        <f t="array" aca="1" ref="N99" ca="1">IF(A99&lt;&gt;"", SUMPRODUCT((OFFSET(A99,0,0,H$16,1)=$T$24) +0),"")</f>
        <v/>
      </c>
      <c r="O99" t="str" cm="1">
        <f t="array" aca="1" ref="O99" ca="1">IF(B99&lt;&gt;"", SUMPRODUCT((OFFSET(B99,0,0,I$16,1)=$T$24) +0),"")</f>
        <v/>
      </c>
      <c r="P99" t="str" cm="1">
        <f t="array" aca="1" ref="P99" ca="1">IF(C99&lt;&gt;"", SUMPRODUCT((OFFSET(C99,0,0,J$16,1)=$T$24) +0),"")</f>
        <v/>
      </c>
      <c r="Q99" t="str" cm="1">
        <f t="array" aca="1" ref="Q99" ca="1">IF(D99&lt;&gt;"", SUMPRODUCT((OFFSET(D99,0,0,K$16,1)=$T$24) +0),"")</f>
        <v/>
      </c>
      <c r="R99" t="str" cm="1">
        <f t="array" aca="1" ref="R99" ca="1">IF(E99&lt;&gt;"", SUMPRODUCT((OFFSET(E99,0,0,L$16,1)=$T$24) +0),"")</f>
        <v/>
      </c>
      <c r="AB99">
        <f t="shared" si="20"/>
        <v>3</v>
      </c>
      <c r="AC99">
        <f t="shared" si="21"/>
        <v>3</v>
      </c>
      <c r="AD99">
        <f t="shared" si="22"/>
        <v>2</v>
      </c>
      <c r="AE99">
        <f t="shared" si="23"/>
        <v>0</v>
      </c>
      <c r="AF99">
        <f t="shared" si="24"/>
        <v>0</v>
      </c>
      <c r="AG99">
        <f t="shared" si="25"/>
        <v>8</v>
      </c>
      <c r="AH99">
        <f t="shared" ca="1" si="27"/>
        <v>0</v>
      </c>
      <c r="AI99">
        <f>IF(ROW($AA99) - $AA$51 &lt; ($H$16+1)^5, IF(AG99 &gt;= FreeSpinsBonus!$C$16, AG99*FreeSpinsBonus!$E$31, 0), "")</f>
        <v>11.658408627222384</v>
      </c>
      <c r="AJ99">
        <f t="shared" ca="1" si="26"/>
        <v>0</v>
      </c>
      <c r="AK99" s="44"/>
    </row>
    <row r="100" spans="8:37" x14ac:dyDescent="0.3">
      <c r="H100" t="str" cm="1">
        <f t="array" aca="1" ref="H100" ca="1">IF(ROW(A100)-H$15 &lt; H$14,A100,IF(ROW(A100) - H$15 -H$16 + 1 &lt; H$14,INDIRECT(ADDRESS(MOD(ROW(A100) - H$15, H$14) + H$15, COLUMN(A100))),""))</f>
        <v/>
      </c>
      <c r="I100" t="str" cm="1">
        <f t="array" aca="1" ref="I100" ca="1">IF(ROW(B100)-I$15 &lt; I$14,B100,IF(ROW(B100) - I$15 -I$16 + 1 &lt; I$14,INDIRECT(ADDRESS(MOD(ROW(B100) - I$15, I$14) + I$15, COLUMN(B100))),""))</f>
        <v/>
      </c>
      <c r="J100" t="str" cm="1">
        <f t="array" aca="1" ref="J100" ca="1">IF(ROW(C100)-J$15 &lt; J$14,C100,IF(ROW(C100) - J$15 -J$16 + 1 &lt; J$14,INDIRECT(ADDRESS(MOD(ROW(C100) - J$15, J$14) + J$15, COLUMN(C100))),""))</f>
        <v/>
      </c>
      <c r="K100" t="str" cm="1">
        <f t="array" aca="1" ref="K100" ca="1">IF(ROW(D100)-K$15 &lt; K$14,D100,IF(ROW(D100) - K$15 -K$16 + 1 &lt; K$14,INDIRECT(ADDRESS(MOD(ROW(D100) - K$15, K$14) + K$15, COLUMN(D100))),""))</f>
        <v/>
      </c>
      <c r="L100" t="str" cm="1">
        <f t="array" aca="1" ref="L100" ca="1">IF(ROW(E100)-L$15 &lt; L$14,E100,IF(ROW(E100) - L$15 -L$16 + 1 &lt; L$14,INDIRECT(ADDRESS(MOD(ROW(E100) - L$15, L$14) + L$15, COLUMN(E100))),""))</f>
        <v/>
      </c>
      <c r="N100" t="str" cm="1">
        <f t="array" aca="1" ref="N100" ca="1">IF(A100&lt;&gt;"", SUMPRODUCT((OFFSET(A100,0,0,H$16,1)=$T$24) +0),"")</f>
        <v/>
      </c>
      <c r="O100" t="str" cm="1">
        <f t="array" aca="1" ref="O100" ca="1">IF(B100&lt;&gt;"", SUMPRODUCT((OFFSET(B100,0,0,I$16,1)=$T$24) +0),"")</f>
        <v/>
      </c>
      <c r="P100" t="str" cm="1">
        <f t="array" aca="1" ref="P100" ca="1">IF(C100&lt;&gt;"", SUMPRODUCT((OFFSET(C100,0,0,J$16,1)=$T$24) +0),"")</f>
        <v/>
      </c>
      <c r="Q100" t="str" cm="1">
        <f t="array" aca="1" ref="Q100" ca="1">IF(D100&lt;&gt;"", SUMPRODUCT((OFFSET(D100,0,0,K$16,1)=$T$24) +0),"")</f>
        <v/>
      </c>
      <c r="R100" t="str" cm="1">
        <f t="array" aca="1" ref="R100" ca="1">IF(E100&lt;&gt;"", SUMPRODUCT((OFFSET(E100,0,0,L$16,1)=$T$24) +0),"")</f>
        <v/>
      </c>
      <c r="AB100">
        <f t="shared" si="20"/>
        <v>0</v>
      </c>
      <c r="AC100">
        <f t="shared" si="21"/>
        <v>0</v>
      </c>
      <c r="AD100">
        <f t="shared" si="22"/>
        <v>3</v>
      </c>
      <c r="AE100">
        <f t="shared" si="23"/>
        <v>0</v>
      </c>
      <c r="AF100">
        <f t="shared" si="24"/>
        <v>0</v>
      </c>
      <c r="AG100">
        <f t="shared" si="25"/>
        <v>3</v>
      </c>
      <c r="AH100">
        <f t="shared" ca="1" si="27"/>
        <v>2.1894801916439127E-4</v>
      </c>
      <c r="AI100">
        <f>IF(ROW($AA100) - $AA$51 &lt; ($H$16+1)^5, IF(AG100 &gt;= FreeSpinsBonus!$C$16, AG100*FreeSpinsBonus!$E$31, 0), "")</f>
        <v>0</v>
      </c>
      <c r="AJ100">
        <f t="shared" ca="1" si="26"/>
        <v>0</v>
      </c>
      <c r="AK100" s="44"/>
    </row>
    <row r="101" spans="8:37" x14ac:dyDescent="0.3">
      <c r="H101" t="str" cm="1">
        <f t="array" aca="1" ref="H101" ca="1">IF(ROW(A101)-H$15 &lt; H$14,A101,IF(ROW(A101) - H$15 -H$16 + 1 &lt; H$14,INDIRECT(ADDRESS(MOD(ROW(A101) - H$15, H$14) + H$15, COLUMN(A101))),""))</f>
        <v/>
      </c>
      <c r="I101" t="str" cm="1">
        <f t="array" aca="1" ref="I101" ca="1">IF(ROW(B101)-I$15 &lt; I$14,B101,IF(ROW(B101) - I$15 -I$16 + 1 &lt; I$14,INDIRECT(ADDRESS(MOD(ROW(B101) - I$15, I$14) + I$15, COLUMN(B101))),""))</f>
        <v/>
      </c>
      <c r="J101" t="str" cm="1">
        <f t="array" aca="1" ref="J101" ca="1">IF(ROW(C101)-J$15 &lt; J$14,C101,IF(ROW(C101) - J$15 -J$16 + 1 &lt; J$14,INDIRECT(ADDRESS(MOD(ROW(C101) - J$15, J$14) + J$15, COLUMN(C101))),""))</f>
        <v/>
      </c>
      <c r="K101" t="str" cm="1">
        <f t="array" aca="1" ref="K101" ca="1">IF(ROW(D101)-K$15 &lt; K$14,D101,IF(ROW(D101) - K$15 -K$16 + 1 &lt; K$14,INDIRECT(ADDRESS(MOD(ROW(D101) - K$15, K$14) + K$15, COLUMN(D101))),""))</f>
        <v/>
      </c>
      <c r="L101" t="str" cm="1">
        <f t="array" aca="1" ref="L101" ca="1">IF(ROW(E101)-L$15 &lt; L$14,E101,IF(ROW(E101) - L$15 -L$16 + 1 &lt; L$14,INDIRECT(ADDRESS(MOD(ROW(E101) - L$15, L$14) + L$15, COLUMN(E101))),""))</f>
        <v/>
      </c>
      <c r="N101" t="str" cm="1">
        <f t="array" aca="1" ref="N101" ca="1">IF(A101&lt;&gt;"", SUMPRODUCT((OFFSET(A101,0,0,H$16,1)=$T$24) +0),"")</f>
        <v/>
      </c>
      <c r="O101" t="str" cm="1">
        <f t="array" aca="1" ref="O101" ca="1">IF(B101&lt;&gt;"", SUMPRODUCT((OFFSET(B101,0,0,I$16,1)=$T$24) +0),"")</f>
        <v/>
      </c>
      <c r="P101" t="str" cm="1">
        <f t="array" aca="1" ref="P101" ca="1">IF(C101&lt;&gt;"", SUMPRODUCT((OFFSET(C101,0,0,J$16,1)=$T$24) +0),"")</f>
        <v/>
      </c>
      <c r="Q101" t="str" cm="1">
        <f t="array" aca="1" ref="Q101" ca="1">IF(D101&lt;&gt;"", SUMPRODUCT((OFFSET(D101,0,0,K$16,1)=$T$24) +0),"")</f>
        <v/>
      </c>
      <c r="R101" t="str" cm="1">
        <f t="array" aca="1" ref="R101" ca="1">IF(E101&lt;&gt;"", SUMPRODUCT((OFFSET(E101,0,0,L$16,1)=$T$24) +0),"")</f>
        <v/>
      </c>
      <c r="AB101">
        <f t="shared" si="20"/>
        <v>1</v>
      </c>
      <c r="AC101">
        <f t="shared" si="21"/>
        <v>0</v>
      </c>
      <c r="AD101">
        <f t="shared" si="22"/>
        <v>3</v>
      </c>
      <c r="AE101">
        <f t="shared" si="23"/>
        <v>0</v>
      </c>
      <c r="AF101">
        <f t="shared" si="24"/>
        <v>0</v>
      </c>
      <c r="AG101">
        <f t="shared" si="25"/>
        <v>4</v>
      </c>
      <c r="AH101">
        <f t="shared" ca="1" si="27"/>
        <v>2.3111179800685744E-4</v>
      </c>
      <c r="AI101">
        <f>IF(ROW($AA101) - $AA$51 &lt; ($H$16+1)^5, IF(AG101 &gt;= FreeSpinsBonus!$C$16, AG101*FreeSpinsBonus!$E$31, 0), "")</f>
        <v>0</v>
      </c>
      <c r="AJ101">
        <f t="shared" ca="1" si="26"/>
        <v>0</v>
      </c>
      <c r="AK101" s="44"/>
    </row>
    <row r="102" spans="8:37" x14ac:dyDescent="0.3">
      <c r="H102" t="str" cm="1">
        <f t="array" aca="1" ref="H102" ca="1">IF(ROW(A102)-H$15 &lt; H$14,A102,IF(ROW(A102) - H$15 -H$16 + 1 &lt; H$14,INDIRECT(ADDRESS(MOD(ROW(A102) - H$15, H$14) + H$15, COLUMN(A102))),""))</f>
        <v/>
      </c>
      <c r="I102" t="str" cm="1">
        <f t="array" aca="1" ref="I102" ca="1">IF(ROW(B102)-I$15 &lt; I$14,B102,IF(ROW(B102) - I$15 -I$16 + 1 &lt; I$14,INDIRECT(ADDRESS(MOD(ROW(B102) - I$15, I$14) + I$15, COLUMN(B102))),""))</f>
        <v/>
      </c>
      <c r="J102" t="str" cm="1">
        <f t="array" aca="1" ref="J102" ca="1">IF(ROW(C102)-J$15 &lt; J$14,C102,IF(ROW(C102) - J$15 -J$16 + 1 &lt; J$14,INDIRECT(ADDRESS(MOD(ROW(C102) - J$15, J$14) + J$15, COLUMN(C102))),""))</f>
        <v/>
      </c>
      <c r="K102" t="str" cm="1">
        <f t="array" aca="1" ref="K102" ca="1">IF(ROW(D102)-K$15 &lt; K$14,D102,IF(ROW(D102) - K$15 -K$16 + 1 &lt; K$14,INDIRECT(ADDRESS(MOD(ROW(D102) - K$15, K$14) + K$15, COLUMN(D102))),""))</f>
        <v/>
      </c>
      <c r="L102" t="str" cm="1">
        <f t="array" aca="1" ref="L102" ca="1">IF(ROW(E102)-L$15 &lt; L$14,E102,IF(ROW(E102) - L$15 -L$16 + 1 &lt; L$14,INDIRECT(ADDRESS(MOD(ROW(E102) - L$15, L$14) + L$15, COLUMN(E102))),""))</f>
        <v/>
      </c>
      <c r="N102" t="str" cm="1">
        <f t="array" aca="1" ref="N102" ca="1">IF(A102&lt;&gt;"", SUMPRODUCT((OFFSET(A102,0,0,H$16,1)=$T$24) +0),"")</f>
        <v/>
      </c>
      <c r="O102" t="str" cm="1">
        <f t="array" aca="1" ref="O102" ca="1">IF(B102&lt;&gt;"", SUMPRODUCT((OFFSET(B102,0,0,I$16,1)=$T$24) +0),"")</f>
        <v/>
      </c>
      <c r="P102" t="str" cm="1">
        <f t="array" aca="1" ref="P102" ca="1">IF(C102&lt;&gt;"", SUMPRODUCT((OFFSET(C102,0,0,J$16,1)=$T$24) +0),"")</f>
        <v/>
      </c>
      <c r="Q102" t="str" cm="1">
        <f t="array" aca="1" ref="Q102" ca="1">IF(D102&lt;&gt;"", SUMPRODUCT((OFFSET(D102,0,0,K$16,1)=$T$24) +0),"")</f>
        <v/>
      </c>
      <c r="R102" t="str" cm="1">
        <f t="array" aca="1" ref="R102" ca="1">IF(E102&lt;&gt;"", SUMPRODUCT((OFFSET(E102,0,0,L$16,1)=$T$24) +0),"")</f>
        <v/>
      </c>
      <c r="AB102">
        <f t="shared" si="20"/>
        <v>2</v>
      </c>
      <c r="AC102">
        <f t="shared" si="21"/>
        <v>0</v>
      </c>
      <c r="AD102">
        <f t="shared" si="22"/>
        <v>3</v>
      </c>
      <c r="AE102">
        <f t="shared" si="23"/>
        <v>0</v>
      </c>
      <c r="AF102">
        <f t="shared" si="24"/>
        <v>0</v>
      </c>
      <c r="AG102">
        <f t="shared" si="25"/>
        <v>5</v>
      </c>
      <c r="AH102">
        <f t="shared" ca="1" si="27"/>
        <v>1.2163778842466183E-4</v>
      </c>
      <c r="AI102">
        <f>IF(ROW($AA102) - $AA$51 &lt; ($H$16+1)^5, IF(AG102 &gt;= FreeSpinsBonus!$C$16, AG102*FreeSpinsBonus!$E$31, 0), "")</f>
        <v>7.2865053920139902</v>
      </c>
      <c r="AJ102">
        <f t="shared" ca="1" si="26"/>
        <v>8.8631440122895536E-4</v>
      </c>
      <c r="AK102" s="44"/>
    </row>
    <row r="103" spans="8:37" x14ac:dyDescent="0.3">
      <c r="H103" t="str" cm="1">
        <f t="array" aca="1" ref="H103" ca="1">IF(ROW(A103)-H$15 &lt; H$14,A103,IF(ROW(A103) - H$15 -H$16 + 1 &lt; H$14,INDIRECT(ADDRESS(MOD(ROW(A103) - H$15, H$14) + H$15, COLUMN(A103))),""))</f>
        <v/>
      </c>
      <c r="I103" t="str" cm="1">
        <f t="array" aca="1" ref="I103" ca="1">IF(ROW(B103)-I$15 &lt; I$14,B103,IF(ROW(B103) - I$15 -I$16 + 1 &lt; I$14,INDIRECT(ADDRESS(MOD(ROW(B103) - I$15, I$14) + I$15, COLUMN(B103))),""))</f>
        <v/>
      </c>
      <c r="J103" t="str" cm="1">
        <f t="array" aca="1" ref="J103" ca="1">IF(ROW(C103)-J$15 &lt; J$14,C103,IF(ROW(C103) - J$15 -J$16 + 1 &lt; J$14,INDIRECT(ADDRESS(MOD(ROW(C103) - J$15, J$14) + J$15, COLUMN(C103))),""))</f>
        <v/>
      </c>
      <c r="K103" t="str" cm="1">
        <f t="array" aca="1" ref="K103" ca="1">IF(ROW(D103)-K$15 &lt; K$14,D103,IF(ROW(D103) - K$15 -K$16 + 1 &lt; K$14,INDIRECT(ADDRESS(MOD(ROW(D103) - K$15, K$14) + K$15, COLUMN(D103))),""))</f>
        <v/>
      </c>
      <c r="L103" t="str" cm="1">
        <f t="array" aca="1" ref="L103" ca="1">IF(ROW(E103)-L$15 &lt; L$14,E103,IF(ROW(E103) - L$15 -L$16 + 1 &lt; L$14,INDIRECT(ADDRESS(MOD(ROW(E103) - L$15, L$14) + L$15, COLUMN(E103))),""))</f>
        <v/>
      </c>
      <c r="N103" t="str" cm="1">
        <f t="array" aca="1" ref="N103" ca="1">IF(A103&lt;&gt;"", SUMPRODUCT((OFFSET(A103,0,0,H$16,1)=$T$24) +0),"")</f>
        <v/>
      </c>
      <c r="O103" t="str" cm="1">
        <f t="array" aca="1" ref="O103" ca="1">IF(B103&lt;&gt;"", SUMPRODUCT((OFFSET(B103,0,0,I$16,1)=$T$24) +0),"")</f>
        <v/>
      </c>
      <c r="P103" t="str" cm="1">
        <f t="array" aca="1" ref="P103" ca="1">IF(C103&lt;&gt;"", SUMPRODUCT((OFFSET(C103,0,0,J$16,1)=$T$24) +0),"")</f>
        <v/>
      </c>
      <c r="Q103" t="str" cm="1">
        <f t="array" aca="1" ref="Q103" ca="1">IF(D103&lt;&gt;"", SUMPRODUCT((OFFSET(D103,0,0,K$16,1)=$T$24) +0),"")</f>
        <v/>
      </c>
      <c r="R103" t="str" cm="1">
        <f t="array" aca="1" ref="R103" ca="1">IF(E103&lt;&gt;"", SUMPRODUCT((OFFSET(E103,0,0,L$16,1)=$T$24) +0),"")</f>
        <v/>
      </c>
      <c r="AB103">
        <f t="shared" si="20"/>
        <v>3</v>
      </c>
      <c r="AC103">
        <f t="shared" si="21"/>
        <v>0</v>
      </c>
      <c r="AD103">
        <f t="shared" si="22"/>
        <v>3</v>
      </c>
      <c r="AE103">
        <f t="shared" si="23"/>
        <v>0</v>
      </c>
      <c r="AF103">
        <f t="shared" si="24"/>
        <v>0</v>
      </c>
      <c r="AG103">
        <f t="shared" si="25"/>
        <v>6</v>
      </c>
      <c r="AH103">
        <f t="shared" ca="1" si="27"/>
        <v>0</v>
      </c>
      <c r="AI103">
        <f>IF(ROW($AA103) - $AA$51 &lt; ($H$16+1)^5, IF(AG103 &gt;= FreeSpinsBonus!$C$16, AG103*FreeSpinsBonus!$E$31, 0), "")</f>
        <v>8.7438064704167875</v>
      </c>
      <c r="AJ103">
        <f t="shared" ca="1" si="26"/>
        <v>0</v>
      </c>
      <c r="AK103" s="44"/>
    </row>
    <row r="104" spans="8:37" x14ac:dyDescent="0.3">
      <c r="H104" t="str" cm="1">
        <f t="array" aca="1" ref="H104" ca="1">IF(ROW(A104)-H$15 &lt; H$14,A104,IF(ROW(A104) - H$15 -H$16 + 1 &lt; H$14,INDIRECT(ADDRESS(MOD(ROW(A104) - H$15, H$14) + H$15, COLUMN(A104))),""))</f>
        <v/>
      </c>
      <c r="I104" t="str" cm="1">
        <f t="array" aca="1" ref="I104" ca="1">IF(ROW(B104)-I$15 &lt; I$14,B104,IF(ROW(B104) - I$15 -I$16 + 1 &lt; I$14,INDIRECT(ADDRESS(MOD(ROW(B104) - I$15, I$14) + I$15, COLUMN(B104))),""))</f>
        <v/>
      </c>
      <c r="J104" t="str" cm="1">
        <f t="array" aca="1" ref="J104" ca="1">IF(ROW(C104)-J$15 &lt; J$14,C104,IF(ROW(C104) - J$15 -J$16 + 1 &lt; J$14,INDIRECT(ADDRESS(MOD(ROW(C104) - J$15, J$14) + J$15, COLUMN(C104))),""))</f>
        <v/>
      </c>
      <c r="K104" t="str" cm="1">
        <f t="array" aca="1" ref="K104" ca="1">IF(ROW(D104)-K$15 &lt; K$14,D104,IF(ROW(D104) - K$15 -K$16 + 1 &lt; K$14,INDIRECT(ADDRESS(MOD(ROW(D104) - K$15, K$14) + K$15, COLUMN(D104))),""))</f>
        <v/>
      </c>
      <c r="L104" t="str" cm="1">
        <f t="array" aca="1" ref="L104" ca="1">IF(ROW(E104)-L$15 &lt; L$14,E104,IF(ROW(E104) - L$15 -L$16 + 1 &lt; L$14,INDIRECT(ADDRESS(MOD(ROW(E104) - L$15, L$14) + L$15, COLUMN(E104))),""))</f>
        <v/>
      </c>
      <c r="N104" t="str" cm="1">
        <f t="array" aca="1" ref="N104" ca="1">IF(A104&lt;&gt;"", SUMPRODUCT((OFFSET(A104,0,0,H$16,1)=$T$24) +0),"")</f>
        <v/>
      </c>
      <c r="O104" t="str" cm="1">
        <f t="array" aca="1" ref="O104" ca="1">IF(B104&lt;&gt;"", SUMPRODUCT((OFFSET(B104,0,0,I$16,1)=$T$24) +0),"")</f>
        <v/>
      </c>
      <c r="P104" t="str" cm="1">
        <f t="array" aca="1" ref="P104" ca="1">IF(C104&lt;&gt;"", SUMPRODUCT((OFFSET(C104,0,0,J$16,1)=$T$24) +0),"")</f>
        <v/>
      </c>
      <c r="Q104" t="str" cm="1">
        <f t="array" aca="1" ref="Q104" ca="1">IF(D104&lt;&gt;"", SUMPRODUCT((OFFSET(D104,0,0,K$16,1)=$T$24) +0),"")</f>
        <v/>
      </c>
      <c r="R104" t="str" cm="1">
        <f t="array" aca="1" ref="R104" ca="1">IF(E104&lt;&gt;"", SUMPRODUCT((OFFSET(E104,0,0,L$16,1)=$T$24) +0),"")</f>
        <v/>
      </c>
      <c r="AB104">
        <f t="shared" si="20"/>
        <v>0</v>
      </c>
      <c r="AC104">
        <f t="shared" si="21"/>
        <v>1</v>
      </c>
      <c r="AD104">
        <f t="shared" si="22"/>
        <v>3</v>
      </c>
      <c r="AE104">
        <f t="shared" si="23"/>
        <v>0</v>
      </c>
      <c r="AF104">
        <f t="shared" si="24"/>
        <v>0</v>
      </c>
      <c r="AG104">
        <f t="shared" si="25"/>
        <v>4</v>
      </c>
      <c r="AH104">
        <f t="shared" ca="1" si="27"/>
        <v>2.1894801916439127E-4</v>
      </c>
      <c r="AI104">
        <f>IF(ROW($AA104) - $AA$51 &lt; ($H$16+1)^5, IF(AG104 &gt;= FreeSpinsBonus!$C$16, AG104*FreeSpinsBonus!$E$31, 0), "")</f>
        <v>0</v>
      </c>
      <c r="AJ104">
        <f t="shared" ca="1" si="26"/>
        <v>0</v>
      </c>
      <c r="AK104" s="44"/>
    </row>
    <row r="105" spans="8:37" x14ac:dyDescent="0.3">
      <c r="H105" t="str" cm="1">
        <f t="array" aca="1" ref="H105" ca="1">IF(ROW(A105)-H$15 &lt; H$14,A105,IF(ROW(A105) - H$15 -H$16 + 1 &lt; H$14,INDIRECT(ADDRESS(MOD(ROW(A105) - H$15, H$14) + H$15, COLUMN(A105))),""))</f>
        <v/>
      </c>
      <c r="I105" t="str" cm="1">
        <f t="array" aca="1" ref="I105" ca="1">IF(ROW(B105)-I$15 &lt; I$14,B105,IF(ROW(B105) - I$15 -I$16 + 1 &lt; I$14,INDIRECT(ADDRESS(MOD(ROW(B105) - I$15, I$14) + I$15, COLUMN(B105))),""))</f>
        <v/>
      </c>
      <c r="J105" t="str" cm="1">
        <f t="array" aca="1" ref="J105" ca="1">IF(ROW(C105)-J$15 &lt; J$14,C105,IF(ROW(C105) - J$15 -J$16 + 1 &lt; J$14,INDIRECT(ADDRESS(MOD(ROW(C105) - J$15, J$14) + J$15, COLUMN(C105))),""))</f>
        <v/>
      </c>
      <c r="K105" t="str" cm="1">
        <f t="array" aca="1" ref="K105" ca="1">IF(ROW(D105)-K$15 &lt; K$14,D105,IF(ROW(D105) - K$15 -K$16 + 1 &lt; K$14,INDIRECT(ADDRESS(MOD(ROW(D105) - K$15, K$14) + K$15, COLUMN(D105))),""))</f>
        <v/>
      </c>
      <c r="L105" t="str" cm="1">
        <f t="array" aca="1" ref="L105" ca="1">IF(ROW(E105)-L$15 &lt; L$14,E105,IF(ROW(E105) - L$15 -L$16 + 1 &lt; L$14,INDIRECT(ADDRESS(MOD(ROW(E105) - L$15, L$14) + L$15, COLUMN(E105))),""))</f>
        <v/>
      </c>
      <c r="N105" t="str" cm="1">
        <f t="array" aca="1" ref="N105" ca="1">IF(A105&lt;&gt;"", SUMPRODUCT((OFFSET(A105,0,0,H$16,1)=$T$24) +0),"")</f>
        <v/>
      </c>
      <c r="O105" t="str" cm="1">
        <f t="array" aca="1" ref="O105" ca="1">IF(B105&lt;&gt;"", SUMPRODUCT((OFFSET(B105,0,0,I$16,1)=$T$24) +0),"")</f>
        <v/>
      </c>
      <c r="P105" t="str" cm="1">
        <f t="array" aca="1" ref="P105" ca="1">IF(C105&lt;&gt;"", SUMPRODUCT((OFFSET(C105,0,0,J$16,1)=$T$24) +0),"")</f>
        <v/>
      </c>
      <c r="Q105" t="str" cm="1">
        <f t="array" aca="1" ref="Q105" ca="1">IF(D105&lt;&gt;"", SUMPRODUCT((OFFSET(D105,0,0,K$16,1)=$T$24) +0),"")</f>
        <v/>
      </c>
      <c r="R105" t="str" cm="1">
        <f t="array" aca="1" ref="R105" ca="1">IF(E105&lt;&gt;"", SUMPRODUCT((OFFSET(E105,0,0,L$16,1)=$T$24) +0),"")</f>
        <v/>
      </c>
      <c r="AB105">
        <f t="shared" si="20"/>
        <v>1</v>
      </c>
      <c r="AC105">
        <f t="shared" si="21"/>
        <v>1</v>
      </c>
      <c r="AD105">
        <f t="shared" si="22"/>
        <v>3</v>
      </c>
      <c r="AE105">
        <f t="shared" si="23"/>
        <v>0</v>
      </c>
      <c r="AF105">
        <f t="shared" si="24"/>
        <v>0</v>
      </c>
      <c r="AG105">
        <f t="shared" si="25"/>
        <v>5</v>
      </c>
      <c r="AH105">
        <f t="shared" ca="1" si="27"/>
        <v>2.3111179800685744E-4</v>
      </c>
      <c r="AI105">
        <f>IF(ROW($AA105) - $AA$51 &lt; ($H$16+1)^5, IF(AG105 &gt;= FreeSpinsBonus!$C$16, AG105*FreeSpinsBonus!$E$31, 0), "")</f>
        <v>7.2865053920139902</v>
      </c>
      <c r="AJ105">
        <f t="shared" ca="1" si="26"/>
        <v>1.6839973623350149E-3</v>
      </c>
      <c r="AK105" s="44"/>
    </row>
    <row r="106" spans="8:37" x14ac:dyDescent="0.3">
      <c r="H106" t="str" cm="1">
        <f t="array" aca="1" ref="H106" ca="1">IF(ROW(A106)-H$15 &lt; H$14,A106,IF(ROW(A106) - H$15 -H$16 + 1 &lt; H$14,INDIRECT(ADDRESS(MOD(ROW(A106) - H$15, H$14) + H$15, COLUMN(A106))),""))</f>
        <v/>
      </c>
      <c r="I106" t="str" cm="1">
        <f t="array" aca="1" ref="I106" ca="1">IF(ROW(B106)-I$15 &lt; I$14,B106,IF(ROW(B106) - I$15 -I$16 + 1 &lt; I$14,INDIRECT(ADDRESS(MOD(ROW(B106) - I$15, I$14) + I$15, COLUMN(B106))),""))</f>
        <v/>
      </c>
      <c r="J106" t="str" cm="1">
        <f t="array" aca="1" ref="J106" ca="1">IF(ROW(C106)-J$15 &lt; J$14,C106,IF(ROW(C106) - J$15 -J$16 + 1 &lt; J$14,INDIRECT(ADDRESS(MOD(ROW(C106) - J$15, J$14) + J$15, COLUMN(C106))),""))</f>
        <v/>
      </c>
      <c r="K106" t="str" cm="1">
        <f t="array" aca="1" ref="K106" ca="1">IF(ROW(D106)-K$15 &lt; K$14,D106,IF(ROW(D106) - K$15 -K$16 + 1 &lt; K$14,INDIRECT(ADDRESS(MOD(ROW(D106) - K$15, K$14) + K$15, COLUMN(D106))),""))</f>
        <v/>
      </c>
      <c r="L106" t="str" cm="1">
        <f t="array" aca="1" ref="L106" ca="1">IF(ROW(E106)-L$15 &lt; L$14,E106,IF(ROW(E106) - L$15 -L$16 + 1 &lt; L$14,INDIRECT(ADDRESS(MOD(ROW(E106) - L$15, L$14) + L$15, COLUMN(E106))),""))</f>
        <v/>
      </c>
      <c r="N106" t="str" cm="1">
        <f t="array" aca="1" ref="N106" ca="1">IF(A106&lt;&gt;"", SUMPRODUCT((OFFSET(A106,0,0,H$16,1)=$T$24) +0),"")</f>
        <v/>
      </c>
      <c r="O106" t="str" cm="1">
        <f t="array" aca="1" ref="O106" ca="1">IF(B106&lt;&gt;"", SUMPRODUCT((OFFSET(B106,0,0,I$16,1)=$T$24) +0),"")</f>
        <v/>
      </c>
      <c r="P106" t="str" cm="1">
        <f t="array" aca="1" ref="P106" ca="1">IF(C106&lt;&gt;"", SUMPRODUCT((OFFSET(C106,0,0,J$16,1)=$T$24) +0),"")</f>
        <v/>
      </c>
      <c r="Q106" t="str" cm="1">
        <f t="array" aca="1" ref="Q106" ca="1">IF(D106&lt;&gt;"", SUMPRODUCT((OFFSET(D106,0,0,K$16,1)=$T$24) +0),"")</f>
        <v/>
      </c>
      <c r="R106" t="str" cm="1">
        <f t="array" aca="1" ref="R106" ca="1">IF(E106&lt;&gt;"", SUMPRODUCT((OFFSET(E106,0,0,L$16,1)=$T$24) +0),"")</f>
        <v/>
      </c>
      <c r="AB106">
        <f t="shared" si="20"/>
        <v>2</v>
      </c>
      <c r="AC106">
        <f t="shared" si="21"/>
        <v>1</v>
      </c>
      <c r="AD106">
        <f t="shared" si="22"/>
        <v>3</v>
      </c>
      <c r="AE106">
        <f t="shared" si="23"/>
        <v>0</v>
      </c>
      <c r="AF106">
        <f t="shared" si="24"/>
        <v>0</v>
      </c>
      <c r="AG106">
        <f t="shared" si="25"/>
        <v>6</v>
      </c>
      <c r="AH106">
        <f t="shared" ca="1" si="27"/>
        <v>1.2163778842466183E-4</v>
      </c>
      <c r="AI106">
        <f>IF(ROW($AA106) - $AA$51 &lt; ($H$16+1)^5, IF(AG106 &gt;= FreeSpinsBonus!$C$16, AG106*FreeSpinsBonus!$E$31, 0), "")</f>
        <v>8.7438064704167875</v>
      </c>
      <c r="AJ106">
        <f t="shared" ca="1" si="26"/>
        <v>1.0635772814747463E-3</v>
      </c>
      <c r="AK106" s="44"/>
    </row>
    <row r="107" spans="8:37" x14ac:dyDescent="0.3">
      <c r="H107" t="str" cm="1">
        <f t="array" aca="1" ref="H107" ca="1">IF(ROW(A107)-H$15 &lt; H$14,A107,IF(ROW(A107) - H$15 -H$16 + 1 &lt; H$14,INDIRECT(ADDRESS(MOD(ROW(A107) - H$15, H$14) + H$15, COLUMN(A107))),""))</f>
        <v/>
      </c>
      <c r="I107" t="str" cm="1">
        <f t="array" aca="1" ref="I107" ca="1">IF(ROW(B107)-I$15 &lt; I$14,B107,IF(ROW(B107) - I$15 -I$16 + 1 &lt; I$14,INDIRECT(ADDRESS(MOD(ROW(B107) - I$15, I$14) + I$15, COLUMN(B107))),""))</f>
        <v/>
      </c>
      <c r="J107" t="str" cm="1">
        <f t="array" aca="1" ref="J107" ca="1">IF(ROW(C107)-J$15 &lt; J$14,C107,IF(ROW(C107) - J$15 -J$16 + 1 &lt; J$14,INDIRECT(ADDRESS(MOD(ROW(C107) - J$15, J$14) + J$15, COLUMN(C107))),""))</f>
        <v/>
      </c>
      <c r="K107" t="str" cm="1">
        <f t="array" aca="1" ref="K107" ca="1">IF(ROW(D107)-K$15 &lt; K$14,D107,IF(ROW(D107) - K$15 -K$16 + 1 &lt; K$14,INDIRECT(ADDRESS(MOD(ROW(D107) - K$15, K$14) + K$15, COLUMN(D107))),""))</f>
        <v/>
      </c>
      <c r="L107" t="str" cm="1">
        <f t="array" aca="1" ref="L107" ca="1">IF(ROW(E107)-L$15 &lt; L$14,E107,IF(ROW(E107) - L$15 -L$16 + 1 &lt; L$14,INDIRECT(ADDRESS(MOD(ROW(E107) - L$15, L$14) + L$15, COLUMN(E107))),""))</f>
        <v/>
      </c>
      <c r="N107" t="str" cm="1">
        <f t="array" aca="1" ref="N107" ca="1">IF(A107&lt;&gt;"", SUMPRODUCT((OFFSET(A107,0,0,H$16,1)=$T$24) +0),"")</f>
        <v/>
      </c>
      <c r="O107" t="str" cm="1">
        <f t="array" aca="1" ref="O107" ca="1">IF(B107&lt;&gt;"", SUMPRODUCT((OFFSET(B107,0,0,I$16,1)=$T$24) +0),"")</f>
        <v/>
      </c>
      <c r="P107" t="str" cm="1">
        <f t="array" aca="1" ref="P107" ca="1">IF(C107&lt;&gt;"", SUMPRODUCT((OFFSET(C107,0,0,J$16,1)=$T$24) +0),"")</f>
        <v/>
      </c>
      <c r="Q107" t="str" cm="1">
        <f t="array" aca="1" ref="Q107" ca="1">IF(D107&lt;&gt;"", SUMPRODUCT((OFFSET(D107,0,0,K$16,1)=$T$24) +0),"")</f>
        <v/>
      </c>
      <c r="R107" t="str" cm="1">
        <f t="array" aca="1" ref="R107" ca="1">IF(E107&lt;&gt;"", SUMPRODUCT((OFFSET(E107,0,0,L$16,1)=$T$24) +0),"")</f>
        <v/>
      </c>
      <c r="AB107">
        <f t="shared" si="20"/>
        <v>3</v>
      </c>
      <c r="AC107">
        <f t="shared" si="21"/>
        <v>1</v>
      </c>
      <c r="AD107">
        <f t="shared" si="22"/>
        <v>3</v>
      </c>
      <c r="AE107">
        <f t="shared" si="23"/>
        <v>0</v>
      </c>
      <c r="AF107">
        <f t="shared" si="24"/>
        <v>0</v>
      </c>
      <c r="AG107">
        <f t="shared" si="25"/>
        <v>7</v>
      </c>
      <c r="AH107">
        <f t="shared" ca="1" si="27"/>
        <v>0</v>
      </c>
      <c r="AI107">
        <f>IF(ROW($AA107) - $AA$51 &lt; ($H$16+1)^5, IF(AG107 &gt;= FreeSpinsBonus!$C$16, AG107*FreeSpinsBonus!$E$31, 0), "")</f>
        <v>10.201107548819586</v>
      </c>
      <c r="AJ107">
        <f t="shared" ca="1" si="26"/>
        <v>0</v>
      </c>
      <c r="AK107" s="44"/>
    </row>
    <row r="108" spans="8:37" x14ac:dyDescent="0.3">
      <c r="H108" t="str" cm="1">
        <f t="array" aca="1" ref="H108" ca="1">IF(ROW(A108)-H$15 &lt; H$14,A108,IF(ROW(A108) - H$15 -H$16 + 1 &lt; H$14,INDIRECT(ADDRESS(MOD(ROW(A108) - H$15, H$14) + H$15, COLUMN(A108))),""))</f>
        <v/>
      </c>
      <c r="I108" t="str" cm="1">
        <f t="array" aca="1" ref="I108" ca="1">IF(ROW(B108)-I$15 &lt; I$14,B108,IF(ROW(B108) - I$15 -I$16 + 1 &lt; I$14,INDIRECT(ADDRESS(MOD(ROW(B108) - I$15, I$14) + I$15, COLUMN(B108))),""))</f>
        <v/>
      </c>
      <c r="J108" t="str" cm="1">
        <f t="array" aca="1" ref="J108" ca="1">IF(ROW(C108)-J$15 &lt; J$14,C108,IF(ROW(C108) - J$15 -J$16 + 1 &lt; J$14,INDIRECT(ADDRESS(MOD(ROW(C108) - J$15, J$14) + J$15, COLUMN(C108))),""))</f>
        <v/>
      </c>
      <c r="K108" t="str" cm="1">
        <f t="array" aca="1" ref="K108" ca="1">IF(ROW(D108)-K$15 &lt; K$14,D108,IF(ROW(D108) - K$15 -K$16 + 1 &lt; K$14,INDIRECT(ADDRESS(MOD(ROW(D108) - K$15, K$14) + K$15, COLUMN(D108))),""))</f>
        <v/>
      </c>
      <c r="L108" t="str" cm="1">
        <f t="array" aca="1" ref="L108" ca="1">IF(ROW(E108)-L$15 &lt; L$14,E108,IF(ROW(E108) - L$15 -L$16 + 1 &lt; L$14,INDIRECT(ADDRESS(MOD(ROW(E108) - L$15, L$14) + L$15, COLUMN(E108))),""))</f>
        <v/>
      </c>
      <c r="N108" t="str" cm="1">
        <f t="array" aca="1" ref="N108" ca="1">IF(A108&lt;&gt;"", SUMPRODUCT((OFFSET(A108,0,0,H$16,1)=$T$24) +0),"")</f>
        <v/>
      </c>
      <c r="O108" t="str" cm="1">
        <f t="array" aca="1" ref="O108" ca="1">IF(B108&lt;&gt;"", SUMPRODUCT((OFFSET(B108,0,0,I$16,1)=$T$24) +0),"")</f>
        <v/>
      </c>
      <c r="P108" t="str" cm="1">
        <f t="array" aca="1" ref="P108" ca="1">IF(C108&lt;&gt;"", SUMPRODUCT((OFFSET(C108,0,0,J$16,1)=$T$24) +0),"")</f>
        <v/>
      </c>
      <c r="Q108" t="str" cm="1">
        <f t="array" aca="1" ref="Q108" ca="1">IF(D108&lt;&gt;"", SUMPRODUCT((OFFSET(D108,0,0,K$16,1)=$T$24) +0),"")</f>
        <v/>
      </c>
      <c r="R108" t="str" cm="1">
        <f t="array" aca="1" ref="R108" ca="1">IF(E108&lt;&gt;"", SUMPRODUCT((OFFSET(E108,0,0,L$16,1)=$T$24) +0),"")</f>
        <v/>
      </c>
      <c r="AB108">
        <f t="shared" si="20"/>
        <v>0</v>
      </c>
      <c r="AC108">
        <f t="shared" si="21"/>
        <v>2</v>
      </c>
      <c r="AD108">
        <f t="shared" si="22"/>
        <v>3</v>
      </c>
      <c r="AE108">
        <f t="shared" si="23"/>
        <v>0</v>
      </c>
      <c r="AF108">
        <f t="shared" si="24"/>
        <v>0</v>
      </c>
      <c r="AG108">
        <f t="shared" si="25"/>
        <v>5</v>
      </c>
      <c r="AH108">
        <f t="shared" ca="1" si="27"/>
        <v>2.1894801916439127E-4</v>
      </c>
      <c r="AI108">
        <f>IF(ROW($AA108) - $AA$51 &lt; ($H$16+1)^5, IF(AG108 &gt;= FreeSpinsBonus!$C$16, AG108*FreeSpinsBonus!$E$31, 0), "")</f>
        <v>7.2865053920139902</v>
      </c>
      <c r="AJ108">
        <f t="shared" ca="1" si="26"/>
        <v>1.5953659222121195E-3</v>
      </c>
      <c r="AK108" s="44"/>
    </row>
    <row r="109" spans="8:37" x14ac:dyDescent="0.3">
      <c r="H109" t="str" cm="1">
        <f t="array" aca="1" ref="H109" ca="1">IF(ROW(A109)-H$15 &lt; H$14,A109,IF(ROW(A109) - H$15 -H$16 + 1 &lt; H$14,INDIRECT(ADDRESS(MOD(ROW(A109) - H$15, H$14) + H$15, COLUMN(A109))),""))</f>
        <v/>
      </c>
      <c r="I109" t="str" cm="1">
        <f t="array" aca="1" ref="I109" ca="1">IF(ROW(B109)-I$15 &lt; I$14,B109,IF(ROW(B109) - I$15 -I$16 + 1 &lt; I$14,INDIRECT(ADDRESS(MOD(ROW(B109) - I$15, I$14) + I$15, COLUMN(B109))),""))</f>
        <v/>
      </c>
      <c r="J109" t="str" cm="1">
        <f t="array" aca="1" ref="J109" ca="1">IF(ROW(C109)-J$15 &lt; J$14,C109,IF(ROW(C109) - J$15 -J$16 + 1 &lt; J$14,INDIRECT(ADDRESS(MOD(ROW(C109) - J$15, J$14) + J$15, COLUMN(C109))),""))</f>
        <v/>
      </c>
      <c r="K109" t="str" cm="1">
        <f t="array" aca="1" ref="K109" ca="1">IF(ROW(D109)-K$15 &lt; K$14,D109,IF(ROW(D109) - K$15 -K$16 + 1 &lt; K$14,INDIRECT(ADDRESS(MOD(ROW(D109) - K$15, K$14) + K$15, COLUMN(D109))),""))</f>
        <v/>
      </c>
      <c r="L109" t="str" cm="1">
        <f t="array" aca="1" ref="L109" ca="1">IF(ROW(E109)-L$15 &lt; L$14,E109,IF(ROW(E109) - L$15 -L$16 + 1 &lt; L$14,INDIRECT(ADDRESS(MOD(ROW(E109) - L$15, L$14) + L$15, COLUMN(E109))),""))</f>
        <v/>
      </c>
      <c r="N109" t="str" cm="1">
        <f t="array" aca="1" ref="N109" ca="1">IF(A109&lt;&gt;"", SUMPRODUCT((OFFSET(A109,0,0,H$16,1)=$T$24) +0),"")</f>
        <v/>
      </c>
      <c r="O109" t="str" cm="1">
        <f t="array" aca="1" ref="O109" ca="1">IF(B109&lt;&gt;"", SUMPRODUCT((OFFSET(B109,0,0,I$16,1)=$T$24) +0),"")</f>
        <v/>
      </c>
      <c r="P109" t="str" cm="1">
        <f t="array" aca="1" ref="P109" ca="1">IF(C109&lt;&gt;"", SUMPRODUCT((OFFSET(C109,0,0,J$16,1)=$T$24) +0),"")</f>
        <v/>
      </c>
      <c r="Q109" t="str" cm="1">
        <f t="array" aca="1" ref="Q109" ca="1">IF(D109&lt;&gt;"", SUMPRODUCT((OFFSET(D109,0,0,K$16,1)=$T$24) +0),"")</f>
        <v/>
      </c>
      <c r="R109" t="str" cm="1">
        <f t="array" aca="1" ref="R109" ca="1">IF(E109&lt;&gt;"", SUMPRODUCT((OFFSET(E109,0,0,L$16,1)=$T$24) +0),"")</f>
        <v/>
      </c>
      <c r="AB109">
        <f t="shared" si="20"/>
        <v>1</v>
      </c>
      <c r="AC109">
        <f t="shared" si="21"/>
        <v>2</v>
      </c>
      <c r="AD109">
        <f t="shared" si="22"/>
        <v>3</v>
      </c>
      <c r="AE109">
        <f t="shared" si="23"/>
        <v>0</v>
      </c>
      <c r="AF109">
        <f t="shared" si="24"/>
        <v>0</v>
      </c>
      <c r="AG109">
        <f t="shared" si="25"/>
        <v>6</v>
      </c>
      <c r="AH109">
        <f t="shared" ca="1" si="27"/>
        <v>2.3111179800685744E-4</v>
      </c>
      <c r="AI109">
        <f>IF(ROW($AA109) - $AA$51 &lt; ($H$16+1)^5, IF(AG109 &gt;= FreeSpinsBonus!$C$16, AG109*FreeSpinsBonus!$E$31, 0), "")</f>
        <v>8.7438064704167875</v>
      </c>
      <c r="AJ109">
        <f t="shared" ca="1" si="26"/>
        <v>2.0207968348020179E-3</v>
      </c>
      <c r="AK109" s="44"/>
    </row>
    <row r="110" spans="8:37" x14ac:dyDescent="0.3">
      <c r="H110" t="str" cm="1">
        <f t="array" aca="1" ref="H110" ca="1">IF(ROW(A110)-H$15 &lt; H$14,A110,IF(ROW(A110) - H$15 -H$16 + 1 &lt; H$14,INDIRECT(ADDRESS(MOD(ROW(A110) - H$15, H$14) + H$15, COLUMN(A110))),""))</f>
        <v/>
      </c>
      <c r="I110" t="str" cm="1">
        <f t="array" aca="1" ref="I110" ca="1">IF(ROW(B110)-I$15 &lt; I$14,B110,IF(ROW(B110) - I$15 -I$16 + 1 &lt; I$14,INDIRECT(ADDRESS(MOD(ROW(B110) - I$15, I$14) + I$15, COLUMN(B110))),""))</f>
        <v/>
      </c>
      <c r="J110" t="str" cm="1">
        <f t="array" aca="1" ref="J110" ca="1">IF(ROW(C110)-J$15 &lt; J$14,C110,IF(ROW(C110) - J$15 -J$16 + 1 &lt; J$14,INDIRECT(ADDRESS(MOD(ROW(C110) - J$15, J$14) + J$15, COLUMN(C110))),""))</f>
        <v/>
      </c>
      <c r="K110" t="str" cm="1">
        <f t="array" aca="1" ref="K110" ca="1">IF(ROW(D110)-K$15 &lt; K$14,D110,IF(ROW(D110) - K$15 -K$16 + 1 &lt; K$14,INDIRECT(ADDRESS(MOD(ROW(D110) - K$15, K$14) + K$15, COLUMN(D110))),""))</f>
        <v/>
      </c>
      <c r="L110" t="str" cm="1">
        <f t="array" aca="1" ref="L110" ca="1">IF(ROW(E110)-L$15 &lt; L$14,E110,IF(ROW(E110) - L$15 -L$16 + 1 &lt; L$14,INDIRECT(ADDRESS(MOD(ROW(E110) - L$15, L$14) + L$15, COLUMN(E110))),""))</f>
        <v/>
      </c>
      <c r="N110" t="str" cm="1">
        <f t="array" aca="1" ref="N110" ca="1">IF(A110&lt;&gt;"", SUMPRODUCT((OFFSET(A110,0,0,H$16,1)=$T$24) +0),"")</f>
        <v/>
      </c>
      <c r="O110" t="str" cm="1">
        <f t="array" aca="1" ref="O110" ca="1">IF(B110&lt;&gt;"", SUMPRODUCT((OFFSET(B110,0,0,I$16,1)=$T$24) +0),"")</f>
        <v/>
      </c>
      <c r="P110" t="str" cm="1">
        <f t="array" aca="1" ref="P110" ca="1">IF(C110&lt;&gt;"", SUMPRODUCT((OFFSET(C110,0,0,J$16,1)=$T$24) +0),"")</f>
        <v/>
      </c>
      <c r="Q110" t="str" cm="1">
        <f t="array" aca="1" ref="Q110" ca="1">IF(D110&lt;&gt;"", SUMPRODUCT((OFFSET(D110,0,0,K$16,1)=$T$24) +0),"")</f>
        <v/>
      </c>
      <c r="R110" t="str" cm="1">
        <f t="array" aca="1" ref="R110" ca="1">IF(E110&lt;&gt;"", SUMPRODUCT((OFFSET(E110,0,0,L$16,1)=$T$24) +0),"")</f>
        <v/>
      </c>
      <c r="AB110">
        <f t="shared" si="20"/>
        <v>2</v>
      </c>
      <c r="AC110">
        <f t="shared" si="21"/>
        <v>2</v>
      </c>
      <c r="AD110">
        <f t="shared" si="22"/>
        <v>3</v>
      </c>
      <c r="AE110">
        <f t="shared" si="23"/>
        <v>0</v>
      </c>
      <c r="AF110">
        <f t="shared" si="24"/>
        <v>0</v>
      </c>
      <c r="AG110">
        <f t="shared" si="25"/>
        <v>7</v>
      </c>
      <c r="AH110">
        <f t="shared" ca="1" si="27"/>
        <v>1.2163778842466183E-4</v>
      </c>
      <c r="AI110">
        <f>IF(ROW($AA110) - $AA$51 &lt; ($H$16+1)^5, IF(AG110 &gt;= FreeSpinsBonus!$C$16, AG110*FreeSpinsBonus!$E$31, 0), "")</f>
        <v>10.201107548819586</v>
      </c>
      <c r="AJ110">
        <f t="shared" ca="1" si="26"/>
        <v>1.2408401617205376E-3</v>
      </c>
      <c r="AK110" s="44"/>
    </row>
    <row r="111" spans="8:37" x14ac:dyDescent="0.3">
      <c r="H111" t="str" cm="1">
        <f t="array" aca="1" ref="H111" ca="1">IF(ROW(A111)-H$15 &lt; H$14,A111,IF(ROW(A111) - H$15 -H$16 + 1 &lt; H$14,INDIRECT(ADDRESS(MOD(ROW(A111) - H$15, H$14) + H$15, COLUMN(A111))),""))</f>
        <v/>
      </c>
      <c r="I111" t="str" cm="1">
        <f t="array" aca="1" ref="I111" ca="1">IF(ROW(B111)-I$15 &lt; I$14,B111,IF(ROW(B111) - I$15 -I$16 + 1 &lt; I$14,INDIRECT(ADDRESS(MOD(ROW(B111) - I$15, I$14) + I$15, COLUMN(B111))),""))</f>
        <v/>
      </c>
      <c r="J111" t="str" cm="1">
        <f t="array" aca="1" ref="J111" ca="1">IF(ROW(C111)-J$15 &lt; J$14,C111,IF(ROW(C111) - J$15 -J$16 + 1 &lt; J$14,INDIRECT(ADDRESS(MOD(ROW(C111) - J$15, J$14) + J$15, COLUMN(C111))),""))</f>
        <v/>
      </c>
      <c r="K111" t="str" cm="1">
        <f t="array" aca="1" ref="K111" ca="1">IF(ROW(D111)-K$15 &lt; K$14,D111,IF(ROW(D111) - K$15 -K$16 + 1 &lt; K$14,INDIRECT(ADDRESS(MOD(ROW(D111) - K$15, K$14) + K$15, COLUMN(D111))),""))</f>
        <v/>
      </c>
      <c r="L111" t="str" cm="1">
        <f t="array" aca="1" ref="L111" ca="1">IF(ROW(E111)-L$15 &lt; L$14,E111,IF(ROW(E111) - L$15 -L$16 + 1 &lt; L$14,INDIRECT(ADDRESS(MOD(ROW(E111) - L$15, L$14) + L$15, COLUMN(E111))),""))</f>
        <v/>
      </c>
      <c r="N111" t="str" cm="1">
        <f t="array" aca="1" ref="N111" ca="1">IF(A111&lt;&gt;"", SUMPRODUCT((OFFSET(A111,0,0,H$16,1)=$T$24) +0),"")</f>
        <v/>
      </c>
      <c r="O111" t="str" cm="1">
        <f t="array" aca="1" ref="O111" ca="1">IF(B111&lt;&gt;"", SUMPRODUCT((OFFSET(B111,0,0,I$16,1)=$T$24) +0),"")</f>
        <v/>
      </c>
      <c r="P111" t="str" cm="1">
        <f t="array" aca="1" ref="P111" ca="1">IF(C111&lt;&gt;"", SUMPRODUCT((OFFSET(C111,0,0,J$16,1)=$T$24) +0),"")</f>
        <v/>
      </c>
      <c r="Q111" t="str" cm="1">
        <f t="array" aca="1" ref="Q111" ca="1">IF(D111&lt;&gt;"", SUMPRODUCT((OFFSET(D111,0,0,K$16,1)=$T$24) +0),"")</f>
        <v/>
      </c>
      <c r="R111" t="str" cm="1">
        <f t="array" aca="1" ref="R111" ca="1">IF(E111&lt;&gt;"", SUMPRODUCT((OFFSET(E111,0,0,L$16,1)=$T$24) +0),"")</f>
        <v/>
      </c>
      <c r="AB111">
        <f t="shared" si="20"/>
        <v>3</v>
      </c>
      <c r="AC111">
        <f t="shared" si="21"/>
        <v>2</v>
      </c>
      <c r="AD111">
        <f t="shared" si="22"/>
        <v>3</v>
      </c>
      <c r="AE111">
        <f t="shared" si="23"/>
        <v>0</v>
      </c>
      <c r="AF111">
        <f t="shared" si="24"/>
        <v>0</v>
      </c>
      <c r="AG111">
        <f t="shared" si="25"/>
        <v>8</v>
      </c>
      <c r="AH111">
        <f t="shared" ca="1" si="27"/>
        <v>0</v>
      </c>
      <c r="AI111">
        <f>IF(ROW($AA111) - $AA$51 &lt; ($H$16+1)^5, IF(AG111 &gt;= FreeSpinsBonus!$C$16, AG111*FreeSpinsBonus!$E$31, 0), "")</f>
        <v>11.658408627222384</v>
      </c>
      <c r="AJ111">
        <f t="shared" ca="1" si="26"/>
        <v>0</v>
      </c>
      <c r="AK111" s="44"/>
    </row>
    <row r="112" spans="8:37" x14ac:dyDescent="0.3">
      <c r="H112" t="str" cm="1">
        <f t="array" aca="1" ref="H112" ca="1">IF(ROW(A112)-H$15 &lt; H$14,A112,IF(ROW(A112) - H$15 -H$16 + 1 &lt; H$14,INDIRECT(ADDRESS(MOD(ROW(A112) - H$15, H$14) + H$15, COLUMN(A112))),""))</f>
        <v/>
      </c>
      <c r="I112" t="str" cm="1">
        <f t="array" aca="1" ref="I112" ca="1">IF(ROW(B112)-I$15 &lt; I$14,B112,IF(ROW(B112) - I$15 -I$16 + 1 &lt; I$14,INDIRECT(ADDRESS(MOD(ROW(B112) - I$15, I$14) + I$15, COLUMN(B112))),""))</f>
        <v/>
      </c>
      <c r="J112" t="str" cm="1">
        <f t="array" aca="1" ref="J112" ca="1">IF(ROW(C112)-J$15 &lt; J$14,C112,IF(ROW(C112) - J$15 -J$16 + 1 &lt; J$14,INDIRECT(ADDRESS(MOD(ROW(C112) - J$15, J$14) + J$15, COLUMN(C112))),""))</f>
        <v/>
      </c>
      <c r="K112" t="str" cm="1">
        <f t="array" aca="1" ref="K112" ca="1">IF(ROW(D112)-K$15 &lt; K$14,D112,IF(ROW(D112) - K$15 -K$16 + 1 &lt; K$14,INDIRECT(ADDRESS(MOD(ROW(D112) - K$15, K$14) + K$15, COLUMN(D112))),""))</f>
        <v/>
      </c>
      <c r="L112" t="str" cm="1">
        <f t="array" aca="1" ref="L112" ca="1">IF(ROW(E112)-L$15 &lt; L$14,E112,IF(ROW(E112) - L$15 -L$16 + 1 &lt; L$14,INDIRECT(ADDRESS(MOD(ROW(E112) - L$15, L$14) + L$15, COLUMN(E112))),""))</f>
        <v/>
      </c>
      <c r="N112" t="str" cm="1">
        <f t="array" aca="1" ref="N112" ca="1">IF(A112&lt;&gt;"", SUMPRODUCT((OFFSET(A112,0,0,H$16,1)=$T$24) +0),"")</f>
        <v/>
      </c>
      <c r="O112" t="str" cm="1">
        <f t="array" aca="1" ref="O112" ca="1">IF(B112&lt;&gt;"", SUMPRODUCT((OFFSET(B112,0,0,I$16,1)=$T$24) +0),"")</f>
        <v/>
      </c>
      <c r="P112" t="str" cm="1">
        <f t="array" aca="1" ref="P112" ca="1">IF(C112&lt;&gt;"", SUMPRODUCT((OFFSET(C112,0,0,J$16,1)=$T$24) +0),"")</f>
        <v/>
      </c>
      <c r="Q112" t="str" cm="1">
        <f t="array" aca="1" ref="Q112" ca="1">IF(D112&lt;&gt;"", SUMPRODUCT((OFFSET(D112,0,0,K$16,1)=$T$24) +0),"")</f>
        <v/>
      </c>
      <c r="R112" t="str" cm="1">
        <f t="array" aca="1" ref="R112" ca="1">IF(E112&lt;&gt;"", SUMPRODUCT((OFFSET(E112,0,0,L$16,1)=$T$24) +0),"")</f>
        <v/>
      </c>
      <c r="AB112">
        <f t="shared" si="20"/>
        <v>0</v>
      </c>
      <c r="AC112">
        <f t="shared" si="21"/>
        <v>3</v>
      </c>
      <c r="AD112">
        <f t="shared" si="22"/>
        <v>3</v>
      </c>
      <c r="AE112">
        <f t="shared" si="23"/>
        <v>0</v>
      </c>
      <c r="AF112">
        <f t="shared" si="24"/>
        <v>0</v>
      </c>
      <c r="AG112">
        <f t="shared" si="25"/>
        <v>6</v>
      </c>
      <c r="AH112">
        <f t="shared" ca="1" si="27"/>
        <v>7.7275771469785171E-5</v>
      </c>
      <c r="AI112">
        <f>IF(ROW($AA112) - $AA$51 &lt; ($H$16+1)^5, IF(AG112 &gt;= FreeSpinsBonus!$C$16, AG112*FreeSpinsBonus!$E$31, 0), "")</f>
        <v>8.7438064704167875</v>
      </c>
      <c r="AJ112">
        <f t="shared" ca="1" si="26"/>
        <v>6.7568439058395653E-4</v>
      </c>
      <c r="AK112" s="44"/>
    </row>
    <row r="113" spans="8:37" x14ac:dyDescent="0.3">
      <c r="H113" t="str" cm="1">
        <f t="array" aca="1" ref="H113" ca="1">IF(ROW(A113)-H$15 &lt; H$14,A113,IF(ROW(A113) - H$15 -H$16 + 1 &lt; H$14,INDIRECT(ADDRESS(MOD(ROW(A113) - H$15, H$14) + H$15, COLUMN(A113))),""))</f>
        <v/>
      </c>
      <c r="I113" t="str" cm="1">
        <f t="array" aca="1" ref="I113" ca="1">IF(ROW(B113)-I$15 &lt; I$14,B113,IF(ROW(B113) - I$15 -I$16 + 1 &lt; I$14,INDIRECT(ADDRESS(MOD(ROW(B113) - I$15, I$14) + I$15, COLUMN(B113))),""))</f>
        <v/>
      </c>
      <c r="J113" t="str" cm="1">
        <f t="array" aca="1" ref="J113" ca="1">IF(ROW(C113)-J$15 &lt; J$14,C113,IF(ROW(C113) - J$15 -J$16 + 1 &lt; J$14,INDIRECT(ADDRESS(MOD(ROW(C113) - J$15, J$14) + J$15, COLUMN(C113))),""))</f>
        <v/>
      </c>
      <c r="K113" t="str" cm="1">
        <f t="array" aca="1" ref="K113" ca="1">IF(ROW(D113)-K$15 &lt; K$14,D113,IF(ROW(D113) - K$15 -K$16 + 1 &lt; K$14,INDIRECT(ADDRESS(MOD(ROW(D113) - K$15, K$14) + K$15, COLUMN(D113))),""))</f>
        <v/>
      </c>
      <c r="L113" t="str" cm="1">
        <f t="array" aca="1" ref="L113" ca="1">IF(ROW(E113)-L$15 &lt; L$14,E113,IF(ROW(E113) - L$15 -L$16 + 1 &lt; L$14,INDIRECT(ADDRESS(MOD(ROW(E113) - L$15, L$14) + L$15, COLUMN(E113))),""))</f>
        <v/>
      </c>
      <c r="N113" t="str" cm="1">
        <f t="array" aca="1" ref="N113" ca="1">IF(A113&lt;&gt;"", SUMPRODUCT((OFFSET(A113,0,0,H$16,1)=$T$24) +0),"")</f>
        <v/>
      </c>
      <c r="O113" t="str" cm="1">
        <f t="array" aca="1" ref="O113" ca="1">IF(B113&lt;&gt;"", SUMPRODUCT((OFFSET(B113,0,0,I$16,1)=$T$24) +0),"")</f>
        <v/>
      </c>
      <c r="P113" t="str" cm="1">
        <f t="array" aca="1" ref="P113" ca="1">IF(C113&lt;&gt;"", SUMPRODUCT((OFFSET(C113,0,0,J$16,1)=$T$24) +0),"")</f>
        <v/>
      </c>
      <c r="Q113" t="str" cm="1">
        <f t="array" aca="1" ref="Q113" ca="1">IF(D113&lt;&gt;"", SUMPRODUCT((OFFSET(D113,0,0,K$16,1)=$T$24) +0),"")</f>
        <v/>
      </c>
      <c r="R113" t="str" cm="1">
        <f t="array" aca="1" ref="R113" ca="1">IF(E113&lt;&gt;"", SUMPRODUCT((OFFSET(E113,0,0,L$16,1)=$T$24) +0),"")</f>
        <v/>
      </c>
      <c r="AB113">
        <f t="shared" si="20"/>
        <v>1</v>
      </c>
      <c r="AC113">
        <f t="shared" si="21"/>
        <v>3</v>
      </c>
      <c r="AD113">
        <f t="shared" si="22"/>
        <v>3</v>
      </c>
      <c r="AE113">
        <f t="shared" si="23"/>
        <v>0</v>
      </c>
      <c r="AF113">
        <f t="shared" si="24"/>
        <v>0</v>
      </c>
      <c r="AG113">
        <f t="shared" si="25"/>
        <v>7</v>
      </c>
      <c r="AH113">
        <f t="shared" ca="1" si="27"/>
        <v>8.1568869884773211E-5</v>
      </c>
      <c r="AI113">
        <f>IF(ROW($AA113) - $AA$51 &lt; ($H$16+1)^5, IF(AG113 &gt;= FreeSpinsBonus!$C$16, AG113*FreeSpinsBonus!$E$31, 0), "")</f>
        <v>10.201107548819586</v>
      </c>
      <c r="AJ113">
        <f t="shared" ca="1" si="26"/>
        <v>8.3209281433024255E-4</v>
      </c>
      <c r="AK113" s="44"/>
    </row>
    <row r="114" spans="8:37" x14ac:dyDescent="0.3">
      <c r="H114" t="str" cm="1">
        <f t="array" aca="1" ref="H114" ca="1">IF(ROW(A114)-H$15 &lt; H$14,A114,IF(ROW(A114) - H$15 -H$16 + 1 &lt; H$14,INDIRECT(ADDRESS(MOD(ROW(A114) - H$15, H$14) + H$15, COLUMN(A114))),""))</f>
        <v/>
      </c>
      <c r="I114" t="str" cm="1">
        <f t="array" aca="1" ref="I114" ca="1">IF(ROW(B114)-I$15 &lt; I$14,B114,IF(ROW(B114) - I$15 -I$16 + 1 &lt; I$14,INDIRECT(ADDRESS(MOD(ROW(B114) - I$15, I$14) + I$15, COLUMN(B114))),""))</f>
        <v/>
      </c>
      <c r="J114" t="str" cm="1">
        <f t="array" aca="1" ref="J114" ca="1">IF(ROW(C114)-J$15 &lt; J$14,C114,IF(ROW(C114) - J$15 -J$16 + 1 &lt; J$14,INDIRECT(ADDRESS(MOD(ROW(C114) - J$15, J$14) + J$15, COLUMN(C114))),""))</f>
        <v/>
      </c>
      <c r="K114" t="str" cm="1">
        <f t="array" aca="1" ref="K114" ca="1">IF(ROW(D114)-K$15 &lt; K$14,D114,IF(ROW(D114) - K$15 -K$16 + 1 &lt; K$14,INDIRECT(ADDRESS(MOD(ROW(D114) - K$15, K$14) + K$15, COLUMN(D114))),""))</f>
        <v/>
      </c>
      <c r="L114" t="str" cm="1">
        <f t="array" aca="1" ref="L114" ca="1">IF(ROW(E114)-L$15 &lt; L$14,E114,IF(ROW(E114) - L$15 -L$16 + 1 &lt; L$14,INDIRECT(ADDRESS(MOD(ROW(E114) - L$15, L$14) + L$15, COLUMN(E114))),""))</f>
        <v/>
      </c>
      <c r="N114" t="str" cm="1">
        <f t="array" aca="1" ref="N114" ca="1">IF(A114&lt;&gt;"", SUMPRODUCT((OFFSET(A114,0,0,H$16,1)=$T$24) +0),"")</f>
        <v/>
      </c>
      <c r="O114" t="str" cm="1">
        <f t="array" aca="1" ref="O114" ca="1">IF(B114&lt;&gt;"", SUMPRODUCT((OFFSET(B114,0,0,I$16,1)=$T$24) +0),"")</f>
        <v/>
      </c>
      <c r="P114" t="str" cm="1">
        <f t="array" aca="1" ref="P114" ca="1">IF(C114&lt;&gt;"", SUMPRODUCT((OFFSET(C114,0,0,J$16,1)=$T$24) +0),"")</f>
        <v/>
      </c>
      <c r="Q114" t="str" cm="1">
        <f t="array" aca="1" ref="Q114" ca="1">IF(D114&lt;&gt;"", SUMPRODUCT((OFFSET(D114,0,0,K$16,1)=$T$24) +0),"")</f>
        <v/>
      </c>
      <c r="R114" t="str" cm="1">
        <f t="array" aca="1" ref="R114" ca="1">IF(E114&lt;&gt;"", SUMPRODUCT((OFFSET(E114,0,0,L$16,1)=$T$24) +0),"")</f>
        <v/>
      </c>
      <c r="AB114">
        <f t="shared" si="20"/>
        <v>2</v>
      </c>
      <c r="AC114">
        <f t="shared" si="21"/>
        <v>3</v>
      </c>
      <c r="AD114">
        <f t="shared" si="22"/>
        <v>3</v>
      </c>
      <c r="AE114">
        <f t="shared" si="23"/>
        <v>0</v>
      </c>
      <c r="AF114">
        <f t="shared" si="24"/>
        <v>0</v>
      </c>
      <c r="AG114">
        <f t="shared" si="25"/>
        <v>8</v>
      </c>
      <c r="AH114">
        <f t="shared" ca="1" si="27"/>
        <v>4.2930984149880646E-5</v>
      </c>
      <c r="AI114">
        <f>IF(ROW($AA114) - $AA$51 &lt; ($H$16+1)^5, IF(AG114 &gt;= FreeSpinsBonus!$C$16, AG114*FreeSpinsBonus!$E$31, 0), "")</f>
        <v>11.658408627222384</v>
      </c>
      <c r="AJ114">
        <f t="shared" ca="1" si="26"/>
        <v>5.0050695598811599E-4</v>
      </c>
      <c r="AK114" s="44"/>
    </row>
    <row r="115" spans="8:37" x14ac:dyDescent="0.3">
      <c r="H115" t="str" cm="1">
        <f t="array" aca="1" ref="H115" ca="1">IF(ROW(A115)-H$15 &lt; H$14,A115,IF(ROW(A115) - H$15 -H$16 + 1 &lt; H$14,INDIRECT(ADDRESS(MOD(ROW(A115) - H$15, H$14) + H$15, COLUMN(A115))),""))</f>
        <v/>
      </c>
      <c r="I115" t="str" cm="1">
        <f t="array" aca="1" ref="I115" ca="1">IF(ROW(B115)-I$15 &lt; I$14,B115,IF(ROW(B115) - I$15 -I$16 + 1 &lt; I$14,INDIRECT(ADDRESS(MOD(ROW(B115) - I$15, I$14) + I$15, COLUMN(B115))),""))</f>
        <v/>
      </c>
      <c r="J115" t="str" cm="1">
        <f t="array" aca="1" ref="J115" ca="1">IF(ROW(C115)-J$15 &lt; J$14,C115,IF(ROW(C115) - J$15 -J$16 + 1 &lt; J$14,INDIRECT(ADDRESS(MOD(ROW(C115) - J$15, J$14) + J$15, COLUMN(C115))),""))</f>
        <v/>
      </c>
      <c r="K115" t="str" cm="1">
        <f t="array" aca="1" ref="K115" ca="1">IF(ROW(D115)-K$15 &lt; K$14,D115,IF(ROW(D115) - K$15 -K$16 + 1 &lt; K$14,INDIRECT(ADDRESS(MOD(ROW(D115) - K$15, K$14) + K$15, COLUMN(D115))),""))</f>
        <v/>
      </c>
      <c r="L115" t="str" cm="1">
        <f t="array" aca="1" ref="L115" ca="1">IF(ROW(E115)-L$15 &lt; L$14,E115,IF(ROW(E115) - L$15 -L$16 + 1 &lt; L$14,INDIRECT(ADDRESS(MOD(ROW(E115) - L$15, L$14) + L$15, COLUMN(E115))),""))</f>
        <v/>
      </c>
      <c r="N115" t="str" cm="1">
        <f t="array" aca="1" ref="N115" ca="1">IF(A115&lt;&gt;"", SUMPRODUCT((OFFSET(A115,0,0,H$16,1)=$T$24) +0),"")</f>
        <v/>
      </c>
      <c r="O115" t="str" cm="1">
        <f t="array" aca="1" ref="O115" ca="1">IF(B115&lt;&gt;"", SUMPRODUCT((OFFSET(B115,0,0,I$16,1)=$T$24) +0),"")</f>
        <v/>
      </c>
      <c r="P115" t="str" cm="1">
        <f t="array" aca="1" ref="P115" ca="1">IF(C115&lt;&gt;"", SUMPRODUCT((OFFSET(C115,0,0,J$16,1)=$T$24) +0),"")</f>
        <v/>
      </c>
      <c r="Q115" t="str" cm="1">
        <f t="array" aca="1" ref="Q115" ca="1">IF(D115&lt;&gt;"", SUMPRODUCT((OFFSET(D115,0,0,K$16,1)=$T$24) +0),"")</f>
        <v/>
      </c>
      <c r="R115" t="str" cm="1">
        <f t="array" aca="1" ref="R115" ca="1">IF(E115&lt;&gt;"", SUMPRODUCT((OFFSET(E115,0,0,L$16,1)=$T$24) +0),"")</f>
        <v/>
      </c>
      <c r="AB115">
        <f t="shared" si="20"/>
        <v>3</v>
      </c>
      <c r="AC115">
        <f t="shared" si="21"/>
        <v>3</v>
      </c>
      <c r="AD115">
        <f t="shared" si="22"/>
        <v>3</v>
      </c>
      <c r="AE115">
        <f t="shared" si="23"/>
        <v>0</v>
      </c>
      <c r="AF115">
        <f t="shared" si="24"/>
        <v>0</v>
      </c>
      <c r="AG115">
        <f t="shared" si="25"/>
        <v>9</v>
      </c>
      <c r="AH115">
        <f t="shared" ca="1" si="27"/>
        <v>0</v>
      </c>
      <c r="AI115">
        <f>IF(ROW($AA115) - $AA$51 &lt; ($H$16+1)^5, IF(AG115 &gt;= FreeSpinsBonus!$C$16, AG115*FreeSpinsBonus!$E$31, 0), "")</f>
        <v>13.115709705625182</v>
      </c>
      <c r="AJ115">
        <f t="shared" ca="1" si="26"/>
        <v>0</v>
      </c>
      <c r="AK115" s="44"/>
    </row>
    <row r="116" spans="8:37" x14ac:dyDescent="0.3">
      <c r="H116" t="str" cm="1">
        <f t="array" aca="1" ref="H116" ca="1">IF(ROW(A116)-H$15 &lt; H$14,A116,IF(ROW(A116) - H$15 -H$16 + 1 &lt; H$14,INDIRECT(ADDRESS(MOD(ROW(A116) - H$15, H$14) + H$15, COLUMN(A116))),""))</f>
        <v/>
      </c>
      <c r="I116" t="str" cm="1">
        <f t="array" aca="1" ref="I116" ca="1">IF(ROW(B116)-I$15 &lt; I$14,B116,IF(ROW(B116) - I$15 -I$16 + 1 &lt; I$14,INDIRECT(ADDRESS(MOD(ROW(B116) - I$15, I$14) + I$15, COLUMN(B116))),""))</f>
        <v/>
      </c>
      <c r="J116" t="str" cm="1">
        <f t="array" aca="1" ref="J116" ca="1">IF(ROW(C116)-J$15 &lt; J$14,C116,IF(ROW(C116) - J$15 -J$16 + 1 &lt; J$14,INDIRECT(ADDRESS(MOD(ROW(C116) - J$15, J$14) + J$15, COLUMN(C116))),""))</f>
        <v/>
      </c>
      <c r="K116" t="str" cm="1">
        <f t="array" aca="1" ref="K116" ca="1">IF(ROW(D116)-K$15 &lt; K$14,D116,IF(ROW(D116) - K$15 -K$16 + 1 &lt; K$14,INDIRECT(ADDRESS(MOD(ROW(D116) - K$15, K$14) + K$15, COLUMN(D116))),""))</f>
        <v/>
      </c>
      <c r="L116" t="str" cm="1">
        <f t="array" aca="1" ref="L116" ca="1">IF(ROW(E116)-L$15 &lt; L$14,E116,IF(ROW(E116) - L$15 -L$16 + 1 &lt; L$14,INDIRECT(ADDRESS(MOD(ROW(E116) - L$15, L$14) + L$15, COLUMN(E116))),""))</f>
        <v/>
      </c>
      <c r="N116" t="str" cm="1">
        <f t="array" aca="1" ref="N116" ca="1">IF(A116&lt;&gt;"", SUMPRODUCT((OFFSET(A116,0,0,H$16,1)=$T$24) +0),"")</f>
        <v/>
      </c>
      <c r="O116" t="str" cm="1">
        <f t="array" aca="1" ref="O116" ca="1">IF(B116&lt;&gt;"", SUMPRODUCT((OFFSET(B116,0,0,I$16,1)=$T$24) +0),"")</f>
        <v/>
      </c>
      <c r="P116" t="str" cm="1">
        <f t="array" aca="1" ref="P116" ca="1">IF(C116&lt;&gt;"", SUMPRODUCT((OFFSET(C116,0,0,J$16,1)=$T$24) +0),"")</f>
        <v/>
      </c>
      <c r="Q116" t="str" cm="1">
        <f t="array" aca="1" ref="Q116" ca="1">IF(D116&lt;&gt;"", SUMPRODUCT((OFFSET(D116,0,0,K$16,1)=$T$24) +0),"")</f>
        <v/>
      </c>
      <c r="R116" t="str" cm="1">
        <f t="array" aca="1" ref="R116" ca="1">IF(E116&lt;&gt;"", SUMPRODUCT((OFFSET(E116,0,0,L$16,1)=$T$24) +0),"")</f>
        <v/>
      </c>
      <c r="AB116">
        <f t="shared" ref="AB116:AB179" si="29">IF(ROW()-$AA$51 &lt; (H$16+1)^5, MOD(_xlfn.FLOOR.MATH((ROW()-$AA$51)/AB$50), H$16+1), "")</f>
        <v>0</v>
      </c>
      <c r="AC116">
        <f t="shared" ref="AC116:AC179" si="30">IF(ROW()-$AA$51 &lt; (I$16+1)^5, MOD(_xlfn.FLOOR.MATH((ROW()-$AA$51)/AC$50), I$16+1), "")</f>
        <v>0</v>
      </c>
      <c r="AD116">
        <f t="shared" ref="AD116:AD179" si="31">IF(ROW()-$AA$51 &lt; (J$16+1)^5, MOD(_xlfn.FLOOR.MATH((ROW()-$AA$51)/AD$50), J$16+1), "")</f>
        <v>0</v>
      </c>
      <c r="AE116">
        <f t="shared" ref="AE116:AE179" si="32">IF(ROW()-$AA$51 &lt; (K$16+1)^5, MOD(_xlfn.FLOOR.MATH((ROW()-$AA$51)/AE$50), K$16+1), "")</f>
        <v>1</v>
      </c>
      <c r="AF116">
        <f t="shared" ref="AF116:AF179" si="33">IF(ROW()-$AA$51 &lt; (L$16+1)^5, MOD(_xlfn.FLOOR.MATH((ROW()-$AA$51)/AF$50), L$16+1), "")</f>
        <v>0</v>
      </c>
      <c r="AG116">
        <f t="shared" ref="AG116:AG179" si="34">IF(ROW($AA116) - $AA$51 &lt; ($H$16+1)^5, SUM(AB116:AF116), "")</f>
        <v>1</v>
      </c>
      <c r="AH116">
        <f t="shared" ca="1" si="27"/>
        <v>5.5049787675618377E-3</v>
      </c>
      <c r="AI116">
        <f>IF(ROW($AA116) - $AA$51 &lt; ($H$16+1)^5, IF(AG116 &gt;= FreeSpinsBonus!$C$16, AG116*FreeSpinsBonus!$E$31, 0), "")</f>
        <v>0</v>
      </c>
      <c r="AJ116">
        <f t="shared" ref="AJ116:AJ179" ca="1" si="35">IF(ROW($AA116) - $AA$51 &lt; ($H$16+1)^5, AH116*AI116, "")</f>
        <v>0</v>
      </c>
      <c r="AK116" s="44"/>
    </row>
    <row r="117" spans="8:37" x14ac:dyDescent="0.3">
      <c r="H117" t="str" cm="1">
        <f t="array" aca="1" ref="H117" ca="1">IF(ROW(A117)-H$15 &lt; H$14,A117,IF(ROW(A117) - H$15 -H$16 + 1 &lt; H$14,INDIRECT(ADDRESS(MOD(ROW(A117) - H$15, H$14) + H$15, COLUMN(A117))),""))</f>
        <v/>
      </c>
      <c r="I117" t="str" cm="1">
        <f t="array" aca="1" ref="I117" ca="1">IF(ROW(B117)-I$15 &lt; I$14,B117,IF(ROW(B117) - I$15 -I$16 + 1 &lt; I$14,INDIRECT(ADDRESS(MOD(ROW(B117) - I$15, I$14) + I$15, COLUMN(B117))),""))</f>
        <v/>
      </c>
      <c r="J117" t="str" cm="1">
        <f t="array" aca="1" ref="J117" ca="1">IF(ROW(C117)-J$15 &lt; J$14,C117,IF(ROW(C117) - J$15 -J$16 + 1 &lt; J$14,INDIRECT(ADDRESS(MOD(ROW(C117) - J$15, J$14) + J$15, COLUMN(C117))),""))</f>
        <v/>
      </c>
      <c r="K117" t="str" cm="1">
        <f t="array" aca="1" ref="K117" ca="1">IF(ROW(D117)-K$15 &lt; K$14,D117,IF(ROW(D117) - K$15 -K$16 + 1 &lt; K$14,INDIRECT(ADDRESS(MOD(ROW(D117) - K$15, K$14) + K$15, COLUMN(D117))),""))</f>
        <v/>
      </c>
      <c r="L117" t="str" cm="1">
        <f t="array" aca="1" ref="L117" ca="1">IF(ROW(E117)-L$15 &lt; L$14,E117,IF(ROW(E117) - L$15 -L$16 + 1 &lt; L$14,INDIRECT(ADDRESS(MOD(ROW(E117) - L$15, L$14) + L$15, COLUMN(E117))),""))</f>
        <v/>
      </c>
      <c r="N117" t="str" cm="1">
        <f t="array" aca="1" ref="N117" ca="1">IF(A117&lt;&gt;"", SUMPRODUCT((OFFSET(A117,0,0,H$16,1)=$T$24) +0),"")</f>
        <v/>
      </c>
      <c r="O117" t="str" cm="1">
        <f t="array" aca="1" ref="O117" ca="1">IF(B117&lt;&gt;"", SUMPRODUCT((OFFSET(B117,0,0,I$16,1)=$T$24) +0),"")</f>
        <v/>
      </c>
      <c r="P117" t="str" cm="1">
        <f t="array" aca="1" ref="P117" ca="1">IF(C117&lt;&gt;"", SUMPRODUCT((OFFSET(C117,0,0,J$16,1)=$T$24) +0),"")</f>
        <v/>
      </c>
      <c r="Q117" t="str" cm="1">
        <f t="array" aca="1" ref="Q117" ca="1">IF(D117&lt;&gt;"", SUMPRODUCT((OFFSET(D117,0,0,K$16,1)=$T$24) +0),"")</f>
        <v/>
      </c>
      <c r="R117" t="str" cm="1">
        <f t="array" aca="1" ref="R117" ca="1">IF(E117&lt;&gt;"", SUMPRODUCT((OFFSET(E117,0,0,L$16,1)=$T$24) +0),"")</f>
        <v/>
      </c>
      <c r="AB117">
        <f t="shared" si="29"/>
        <v>1</v>
      </c>
      <c r="AC117">
        <f t="shared" si="30"/>
        <v>0</v>
      </c>
      <c r="AD117">
        <f t="shared" si="31"/>
        <v>0</v>
      </c>
      <c r="AE117">
        <f t="shared" si="32"/>
        <v>1</v>
      </c>
      <c r="AF117">
        <f t="shared" si="33"/>
        <v>0</v>
      </c>
      <c r="AG117">
        <f t="shared" si="34"/>
        <v>2</v>
      </c>
      <c r="AH117">
        <f t="shared" ref="AH117:AH180" ca="1" si="36">IF(ROW($AA117) - $AA$51 &lt; (4)^5,
    (_xlfn.XLOOKUP(AB117,$T$51:$T$55,U$51:U$55,0)/U$28) * (_xlfn.XLOOKUP(AC117,$T$51:$T$55,V$51:V$55,0)/V$28) * (_xlfn.XLOOKUP(AD117,$T$51:$T$55,W$51:W$55,0)/W$28) * (_xlfn.XLOOKUP(AE117,$T$51:$T$55,X$51:X$55,0)/X$28) * (_xlfn.XLOOKUP(AF117,$T$51:$T$55,Y$51:Y$55,0)/Y$28),
"")</f>
        <v>5.8108109213152728E-3</v>
      </c>
      <c r="AI117">
        <f>IF(ROW($AA117) - $AA$51 &lt; ($H$16+1)^5, IF(AG117 &gt;= FreeSpinsBonus!$C$16, AG117*FreeSpinsBonus!$E$31, 0), "")</f>
        <v>0</v>
      </c>
      <c r="AJ117">
        <f t="shared" ca="1" si="35"/>
        <v>0</v>
      </c>
      <c r="AK117" s="44"/>
    </row>
    <row r="118" spans="8:37" x14ac:dyDescent="0.3">
      <c r="H118" t="str" cm="1">
        <f t="array" aca="1" ref="H118" ca="1">IF(ROW(A118)-H$15 &lt; H$14,A118,IF(ROW(A118) - H$15 -H$16 + 1 &lt; H$14,INDIRECT(ADDRESS(MOD(ROW(A118) - H$15, H$14) + H$15, COLUMN(A118))),""))</f>
        <v/>
      </c>
      <c r="I118" t="str" cm="1">
        <f t="array" aca="1" ref="I118" ca="1">IF(ROW(B118)-I$15 &lt; I$14,B118,IF(ROW(B118) - I$15 -I$16 + 1 &lt; I$14,INDIRECT(ADDRESS(MOD(ROW(B118) - I$15, I$14) + I$15, COLUMN(B118))),""))</f>
        <v/>
      </c>
      <c r="J118" t="str" cm="1">
        <f t="array" aca="1" ref="J118" ca="1">IF(ROW(C118)-J$15 &lt; J$14,C118,IF(ROW(C118) - J$15 -J$16 + 1 &lt; J$14,INDIRECT(ADDRESS(MOD(ROW(C118) - J$15, J$14) + J$15, COLUMN(C118))),""))</f>
        <v/>
      </c>
      <c r="K118" t="str" cm="1">
        <f t="array" aca="1" ref="K118" ca="1">IF(ROW(D118)-K$15 &lt; K$14,D118,IF(ROW(D118) - K$15 -K$16 + 1 &lt; K$14,INDIRECT(ADDRESS(MOD(ROW(D118) - K$15, K$14) + K$15, COLUMN(D118))),""))</f>
        <v/>
      </c>
      <c r="L118" t="str" cm="1">
        <f t="array" aca="1" ref="L118" ca="1">IF(ROW(E118)-L$15 &lt; L$14,E118,IF(ROW(E118) - L$15 -L$16 + 1 &lt; L$14,INDIRECT(ADDRESS(MOD(ROW(E118) - L$15, L$14) + L$15, COLUMN(E118))),""))</f>
        <v/>
      </c>
      <c r="N118" t="str" cm="1">
        <f t="array" aca="1" ref="N118" ca="1">IF(A118&lt;&gt;"", SUMPRODUCT((OFFSET(A118,0,0,H$16,1)=$T$24) +0),"")</f>
        <v/>
      </c>
      <c r="O118" t="str" cm="1">
        <f t="array" aca="1" ref="O118" ca="1">IF(B118&lt;&gt;"", SUMPRODUCT((OFFSET(B118,0,0,I$16,1)=$T$24) +0),"")</f>
        <v/>
      </c>
      <c r="P118" t="str" cm="1">
        <f t="array" aca="1" ref="P118" ca="1">IF(C118&lt;&gt;"", SUMPRODUCT((OFFSET(C118,0,0,J$16,1)=$T$24) +0),"")</f>
        <v/>
      </c>
      <c r="Q118" t="str" cm="1">
        <f t="array" aca="1" ref="Q118" ca="1">IF(D118&lt;&gt;"", SUMPRODUCT((OFFSET(D118,0,0,K$16,1)=$T$24) +0),"")</f>
        <v/>
      </c>
      <c r="R118" t="str" cm="1">
        <f t="array" aca="1" ref="R118" ca="1">IF(E118&lt;&gt;"", SUMPRODUCT((OFFSET(E118,0,0,L$16,1)=$T$24) +0),"")</f>
        <v/>
      </c>
      <c r="AB118">
        <f t="shared" si="29"/>
        <v>2</v>
      </c>
      <c r="AC118">
        <f t="shared" si="30"/>
        <v>0</v>
      </c>
      <c r="AD118">
        <f t="shared" si="31"/>
        <v>0</v>
      </c>
      <c r="AE118">
        <f t="shared" si="32"/>
        <v>1</v>
      </c>
      <c r="AF118">
        <f t="shared" si="33"/>
        <v>0</v>
      </c>
      <c r="AG118">
        <f t="shared" si="34"/>
        <v>3</v>
      </c>
      <c r="AH118">
        <f t="shared" ca="1" si="36"/>
        <v>3.0583215375343544E-3</v>
      </c>
      <c r="AI118">
        <f>IF(ROW($AA118) - $AA$51 &lt; ($H$16+1)^5, IF(AG118 &gt;= FreeSpinsBonus!$C$16, AG118*FreeSpinsBonus!$E$31, 0), "")</f>
        <v>0</v>
      </c>
      <c r="AJ118">
        <f t="shared" ca="1" si="35"/>
        <v>0</v>
      </c>
      <c r="AK118" s="44"/>
    </row>
    <row r="119" spans="8:37" x14ac:dyDescent="0.3">
      <c r="H119" t="str" cm="1">
        <f t="array" aca="1" ref="H119" ca="1">IF(ROW(A119)-H$15 &lt; H$14,A119,IF(ROW(A119) - H$15 -H$16 + 1 &lt; H$14,INDIRECT(ADDRESS(MOD(ROW(A119) - H$15, H$14) + H$15, COLUMN(A119))),""))</f>
        <v/>
      </c>
      <c r="I119" t="str" cm="1">
        <f t="array" aca="1" ref="I119" ca="1">IF(ROW(B119)-I$15 &lt; I$14,B119,IF(ROW(B119) - I$15 -I$16 + 1 &lt; I$14,INDIRECT(ADDRESS(MOD(ROW(B119) - I$15, I$14) + I$15, COLUMN(B119))),""))</f>
        <v/>
      </c>
      <c r="J119" t="str" cm="1">
        <f t="array" aca="1" ref="J119" ca="1">IF(ROW(C119)-J$15 &lt; J$14,C119,IF(ROW(C119) - J$15 -J$16 + 1 &lt; J$14,INDIRECT(ADDRESS(MOD(ROW(C119) - J$15, J$14) + J$15, COLUMN(C119))),""))</f>
        <v/>
      </c>
      <c r="K119" t="str" cm="1">
        <f t="array" aca="1" ref="K119" ca="1">IF(ROW(D119)-K$15 &lt; K$14,D119,IF(ROW(D119) - K$15 -K$16 + 1 &lt; K$14,INDIRECT(ADDRESS(MOD(ROW(D119) - K$15, K$14) + K$15, COLUMN(D119))),""))</f>
        <v/>
      </c>
      <c r="L119" t="str" cm="1">
        <f t="array" aca="1" ref="L119" ca="1">IF(ROW(E119)-L$15 &lt; L$14,E119,IF(ROW(E119) - L$15 -L$16 + 1 &lt; L$14,INDIRECT(ADDRESS(MOD(ROW(E119) - L$15, L$14) + L$15, COLUMN(E119))),""))</f>
        <v/>
      </c>
      <c r="N119" t="str" cm="1">
        <f t="array" aca="1" ref="N119" ca="1">IF(A119&lt;&gt;"", SUMPRODUCT((OFFSET(A119,0,0,H$16,1)=$T$24) +0),"")</f>
        <v/>
      </c>
      <c r="O119" t="str" cm="1">
        <f t="array" aca="1" ref="O119" ca="1">IF(B119&lt;&gt;"", SUMPRODUCT((OFFSET(B119,0,0,I$16,1)=$T$24) +0),"")</f>
        <v/>
      </c>
      <c r="P119" t="str" cm="1">
        <f t="array" aca="1" ref="P119" ca="1">IF(C119&lt;&gt;"", SUMPRODUCT((OFFSET(C119,0,0,J$16,1)=$T$24) +0),"")</f>
        <v/>
      </c>
      <c r="Q119" t="str" cm="1">
        <f t="array" aca="1" ref="Q119" ca="1">IF(D119&lt;&gt;"", SUMPRODUCT((OFFSET(D119,0,0,K$16,1)=$T$24) +0),"")</f>
        <v/>
      </c>
      <c r="R119" t="str" cm="1">
        <f t="array" aca="1" ref="R119" ca="1">IF(E119&lt;&gt;"", SUMPRODUCT((OFFSET(E119,0,0,L$16,1)=$T$24) +0),"")</f>
        <v/>
      </c>
      <c r="AB119">
        <f t="shared" si="29"/>
        <v>3</v>
      </c>
      <c r="AC119">
        <f t="shared" si="30"/>
        <v>0</v>
      </c>
      <c r="AD119">
        <f t="shared" si="31"/>
        <v>0</v>
      </c>
      <c r="AE119">
        <f t="shared" si="32"/>
        <v>1</v>
      </c>
      <c r="AF119">
        <f t="shared" si="33"/>
        <v>0</v>
      </c>
      <c r="AG119">
        <f t="shared" si="34"/>
        <v>4</v>
      </c>
      <c r="AH119">
        <f t="shared" ca="1" si="36"/>
        <v>0</v>
      </c>
      <c r="AI119">
        <f>IF(ROW($AA119) - $AA$51 &lt; ($H$16+1)^5, IF(AG119 &gt;= FreeSpinsBonus!$C$16, AG119*FreeSpinsBonus!$E$31, 0), "")</f>
        <v>0</v>
      </c>
      <c r="AJ119">
        <f t="shared" ca="1" si="35"/>
        <v>0</v>
      </c>
      <c r="AK119" s="44"/>
    </row>
    <row r="120" spans="8:37" x14ac:dyDescent="0.3">
      <c r="H120" t="str" cm="1">
        <f t="array" aca="1" ref="H120" ca="1">IF(ROW(A120)-H$15 &lt; H$14,A120,IF(ROW(A120) - H$15 -H$16 + 1 &lt; H$14,INDIRECT(ADDRESS(MOD(ROW(A120) - H$15, H$14) + H$15, COLUMN(A120))),""))</f>
        <v/>
      </c>
      <c r="I120" t="str" cm="1">
        <f t="array" aca="1" ref="I120" ca="1">IF(ROW(B120)-I$15 &lt; I$14,B120,IF(ROW(B120) - I$15 -I$16 + 1 &lt; I$14,INDIRECT(ADDRESS(MOD(ROW(B120) - I$15, I$14) + I$15, COLUMN(B120))),""))</f>
        <v/>
      </c>
      <c r="J120" t="str" cm="1">
        <f t="array" aca="1" ref="J120" ca="1">IF(ROW(C120)-J$15 &lt; J$14,C120,IF(ROW(C120) - J$15 -J$16 + 1 &lt; J$14,INDIRECT(ADDRESS(MOD(ROW(C120) - J$15, J$14) + J$15, COLUMN(C120))),""))</f>
        <v/>
      </c>
      <c r="K120" t="str" cm="1">
        <f t="array" aca="1" ref="K120" ca="1">IF(ROW(D120)-K$15 &lt; K$14,D120,IF(ROW(D120) - K$15 -K$16 + 1 &lt; K$14,INDIRECT(ADDRESS(MOD(ROW(D120) - K$15, K$14) + K$15, COLUMN(D120))),""))</f>
        <v/>
      </c>
      <c r="L120" t="str" cm="1">
        <f t="array" aca="1" ref="L120" ca="1">IF(ROW(E120)-L$15 &lt; L$14,E120,IF(ROW(E120) - L$15 -L$16 + 1 &lt; L$14,INDIRECT(ADDRESS(MOD(ROW(E120) - L$15, L$14) + L$15, COLUMN(E120))),""))</f>
        <v/>
      </c>
      <c r="N120" t="str" cm="1">
        <f t="array" aca="1" ref="N120" ca="1">IF(A120&lt;&gt;"", SUMPRODUCT((OFFSET(A120,0,0,H$16,1)=$T$24) +0),"")</f>
        <v/>
      </c>
      <c r="O120" t="str" cm="1">
        <f t="array" aca="1" ref="O120" ca="1">IF(B120&lt;&gt;"", SUMPRODUCT((OFFSET(B120,0,0,I$16,1)=$T$24) +0),"")</f>
        <v/>
      </c>
      <c r="P120" t="str" cm="1">
        <f t="array" aca="1" ref="P120" ca="1">IF(C120&lt;&gt;"", SUMPRODUCT((OFFSET(C120,0,0,J$16,1)=$T$24) +0),"")</f>
        <v/>
      </c>
      <c r="Q120" t="str" cm="1">
        <f t="array" aca="1" ref="Q120" ca="1">IF(D120&lt;&gt;"", SUMPRODUCT((OFFSET(D120,0,0,K$16,1)=$T$24) +0),"")</f>
        <v/>
      </c>
      <c r="R120" t="str" cm="1">
        <f t="array" aca="1" ref="R120" ca="1">IF(E120&lt;&gt;"", SUMPRODUCT((OFFSET(E120,0,0,L$16,1)=$T$24) +0),"")</f>
        <v/>
      </c>
      <c r="AB120">
        <f t="shared" si="29"/>
        <v>0</v>
      </c>
      <c r="AC120">
        <f t="shared" si="30"/>
        <v>1</v>
      </c>
      <c r="AD120">
        <f t="shared" si="31"/>
        <v>0</v>
      </c>
      <c r="AE120">
        <f t="shared" si="32"/>
        <v>1</v>
      </c>
      <c r="AF120">
        <f t="shared" si="33"/>
        <v>0</v>
      </c>
      <c r="AG120">
        <f t="shared" si="34"/>
        <v>2</v>
      </c>
      <c r="AH120">
        <f t="shared" ca="1" si="36"/>
        <v>5.5049787675618377E-3</v>
      </c>
      <c r="AI120">
        <f>IF(ROW($AA120) - $AA$51 &lt; ($H$16+1)^5, IF(AG120 &gt;= FreeSpinsBonus!$C$16, AG120*FreeSpinsBonus!$E$31, 0), "")</f>
        <v>0</v>
      </c>
      <c r="AJ120">
        <f t="shared" ca="1" si="35"/>
        <v>0</v>
      </c>
      <c r="AK120" s="44"/>
    </row>
    <row r="121" spans="8:37" x14ac:dyDescent="0.3">
      <c r="H121" t="str" cm="1">
        <f t="array" aca="1" ref="H121" ca="1">IF(ROW(A121)-H$15 &lt; H$14,A121,IF(ROW(A121) - H$15 -H$16 + 1 &lt; H$14,INDIRECT(ADDRESS(MOD(ROW(A121) - H$15, H$14) + H$15, COLUMN(A121))),""))</f>
        <v/>
      </c>
      <c r="I121" t="str" cm="1">
        <f t="array" aca="1" ref="I121" ca="1">IF(ROW(B121)-I$15 &lt; I$14,B121,IF(ROW(B121) - I$15 -I$16 + 1 &lt; I$14,INDIRECT(ADDRESS(MOD(ROW(B121) - I$15, I$14) + I$15, COLUMN(B121))),""))</f>
        <v/>
      </c>
      <c r="J121" t="str" cm="1">
        <f t="array" aca="1" ref="J121" ca="1">IF(ROW(C121)-J$15 &lt; J$14,C121,IF(ROW(C121) - J$15 -J$16 + 1 &lt; J$14,INDIRECT(ADDRESS(MOD(ROW(C121) - J$15, J$14) + J$15, COLUMN(C121))),""))</f>
        <v/>
      </c>
      <c r="K121" t="str" cm="1">
        <f t="array" aca="1" ref="K121" ca="1">IF(ROW(D121)-K$15 &lt; K$14,D121,IF(ROW(D121) - K$15 -K$16 + 1 &lt; K$14,INDIRECT(ADDRESS(MOD(ROW(D121) - K$15, K$14) + K$15, COLUMN(D121))),""))</f>
        <v/>
      </c>
      <c r="L121" t="str" cm="1">
        <f t="array" aca="1" ref="L121" ca="1">IF(ROW(E121)-L$15 &lt; L$14,E121,IF(ROW(E121) - L$15 -L$16 + 1 &lt; L$14,INDIRECT(ADDRESS(MOD(ROW(E121) - L$15, L$14) + L$15, COLUMN(E121))),""))</f>
        <v/>
      </c>
      <c r="N121" t="str" cm="1">
        <f t="array" aca="1" ref="N121" ca="1">IF(A121&lt;&gt;"", SUMPRODUCT((OFFSET(A121,0,0,H$16,1)=$T$24) +0),"")</f>
        <v/>
      </c>
      <c r="O121" t="str" cm="1">
        <f t="array" aca="1" ref="O121" ca="1">IF(B121&lt;&gt;"", SUMPRODUCT((OFFSET(B121,0,0,I$16,1)=$T$24) +0),"")</f>
        <v/>
      </c>
      <c r="P121" t="str" cm="1">
        <f t="array" aca="1" ref="P121" ca="1">IF(C121&lt;&gt;"", SUMPRODUCT((OFFSET(C121,0,0,J$16,1)=$T$24) +0),"")</f>
        <v/>
      </c>
      <c r="Q121" t="str" cm="1">
        <f t="array" aca="1" ref="Q121" ca="1">IF(D121&lt;&gt;"", SUMPRODUCT((OFFSET(D121,0,0,K$16,1)=$T$24) +0),"")</f>
        <v/>
      </c>
      <c r="R121" t="str" cm="1">
        <f t="array" aca="1" ref="R121" ca="1">IF(E121&lt;&gt;"", SUMPRODUCT((OFFSET(E121,0,0,L$16,1)=$T$24) +0),"")</f>
        <v/>
      </c>
      <c r="AB121">
        <f t="shared" si="29"/>
        <v>1</v>
      </c>
      <c r="AC121">
        <f t="shared" si="30"/>
        <v>1</v>
      </c>
      <c r="AD121">
        <f t="shared" si="31"/>
        <v>0</v>
      </c>
      <c r="AE121">
        <f t="shared" si="32"/>
        <v>1</v>
      </c>
      <c r="AF121">
        <f t="shared" si="33"/>
        <v>0</v>
      </c>
      <c r="AG121">
        <f t="shared" si="34"/>
        <v>3</v>
      </c>
      <c r="AH121">
        <f t="shared" ca="1" si="36"/>
        <v>5.8108109213152728E-3</v>
      </c>
      <c r="AI121">
        <f>IF(ROW($AA121) - $AA$51 &lt; ($H$16+1)^5, IF(AG121 &gt;= FreeSpinsBonus!$C$16, AG121*FreeSpinsBonus!$E$31, 0), "")</f>
        <v>0</v>
      </c>
      <c r="AJ121">
        <f t="shared" ca="1" si="35"/>
        <v>0</v>
      </c>
      <c r="AK121" s="44"/>
    </row>
    <row r="122" spans="8:37" x14ac:dyDescent="0.3">
      <c r="H122" t="str" cm="1">
        <f t="array" aca="1" ref="H122" ca="1">IF(ROW(A122)-H$15 &lt; H$14,A122,IF(ROW(A122) - H$15 -H$16 + 1 &lt; H$14,INDIRECT(ADDRESS(MOD(ROW(A122) - H$15, H$14) + H$15, COLUMN(A122))),""))</f>
        <v/>
      </c>
      <c r="I122" t="str" cm="1">
        <f t="array" aca="1" ref="I122" ca="1">IF(ROW(B122)-I$15 &lt; I$14,B122,IF(ROW(B122) - I$15 -I$16 + 1 &lt; I$14,INDIRECT(ADDRESS(MOD(ROW(B122) - I$15, I$14) + I$15, COLUMN(B122))),""))</f>
        <v/>
      </c>
      <c r="J122" t="str" cm="1">
        <f t="array" aca="1" ref="J122" ca="1">IF(ROW(C122)-J$15 &lt; J$14,C122,IF(ROW(C122) - J$15 -J$16 + 1 &lt; J$14,INDIRECT(ADDRESS(MOD(ROW(C122) - J$15, J$14) + J$15, COLUMN(C122))),""))</f>
        <v/>
      </c>
      <c r="K122" t="str" cm="1">
        <f t="array" aca="1" ref="K122" ca="1">IF(ROW(D122)-K$15 &lt; K$14,D122,IF(ROW(D122) - K$15 -K$16 + 1 &lt; K$14,INDIRECT(ADDRESS(MOD(ROW(D122) - K$15, K$14) + K$15, COLUMN(D122))),""))</f>
        <v/>
      </c>
      <c r="L122" t="str" cm="1">
        <f t="array" aca="1" ref="L122" ca="1">IF(ROW(E122)-L$15 &lt; L$14,E122,IF(ROW(E122) - L$15 -L$16 + 1 &lt; L$14,INDIRECT(ADDRESS(MOD(ROW(E122) - L$15, L$14) + L$15, COLUMN(E122))),""))</f>
        <v/>
      </c>
      <c r="N122" t="str" cm="1">
        <f t="array" aca="1" ref="N122" ca="1">IF(A122&lt;&gt;"", SUMPRODUCT((OFFSET(A122,0,0,H$16,1)=$T$24) +0),"")</f>
        <v/>
      </c>
      <c r="O122" t="str" cm="1">
        <f t="array" aca="1" ref="O122" ca="1">IF(B122&lt;&gt;"", SUMPRODUCT((OFFSET(B122,0,0,I$16,1)=$T$24) +0),"")</f>
        <v/>
      </c>
      <c r="P122" t="str" cm="1">
        <f t="array" aca="1" ref="P122" ca="1">IF(C122&lt;&gt;"", SUMPRODUCT((OFFSET(C122,0,0,J$16,1)=$T$24) +0),"")</f>
        <v/>
      </c>
      <c r="Q122" t="str" cm="1">
        <f t="array" aca="1" ref="Q122" ca="1">IF(D122&lt;&gt;"", SUMPRODUCT((OFFSET(D122,0,0,K$16,1)=$T$24) +0),"")</f>
        <v/>
      </c>
      <c r="R122" t="str" cm="1">
        <f t="array" aca="1" ref="R122" ca="1">IF(E122&lt;&gt;"", SUMPRODUCT((OFFSET(E122,0,0,L$16,1)=$T$24) +0),"")</f>
        <v/>
      </c>
      <c r="AB122">
        <f t="shared" si="29"/>
        <v>2</v>
      </c>
      <c r="AC122">
        <f t="shared" si="30"/>
        <v>1</v>
      </c>
      <c r="AD122">
        <f t="shared" si="31"/>
        <v>0</v>
      </c>
      <c r="AE122">
        <f t="shared" si="32"/>
        <v>1</v>
      </c>
      <c r="AF122">
        <f t="shared" si="33"/>
        <v>0</v>
      </c>
      <c r="AG122">
        <f t="shared" si="34"/>
        <v>4</v>
      </c>
      <c r="AH122">
        <f t="shared" ca="1" si="36"/>
        <v>3.0583215375343544E-3</v>
      </c>
      <c r="AI122">
        <f>IF(ROW($AA122) - $AA$51 &lt; ($H$16+1)^5, IF(AG122 &gt;= FreeSpinsBonus!$C$16, AG122*FreeSpinsBonus!$E$31, 0), "")</f>
        <v>0</v>
      </c>
      <c r="AJ122">
        <f t="shared" ca="1" si="35"/>
        <v>0</v>
      </c>
      <c r="AK122" s="44"/>
    </row>
    <row r="123" spans="8:37" x14ac:dyDescent="0.3">
      <c r="H123" t="str" cm="1">
        <f t="array" aca="1" ref="H123" ca="1">IF(ROW(A123)-H$15 &lt; H$14,A123,IF(ROW(A123) - H$15 -H$16 + 1 &lt; H$14,INDIRECT(ADDRESS(MOD(ROW(A123) - H$15, H$14) + H$15, COLUMN(A123))),""))</f>
        <v/>
      </c>
      <c r="I123" t="str" cm="1">
        <f t="array" aca="1" ref="I123" ca="1">IF(ROW(B123)-I$15 &lt; I$14,B123,IF(ROW(B123) - I$15 -I$16 + 1 &lt; I$14,INDIRECT(ADDRESS(MOD(ROW(B123) - I$15, I$14) + I$15, COLUMN(B123))),""))</f>
        <v/>
      </c>
      <c r="J123" t="str" cm="1">
        <f t="array" aca="1" ref="J123" ca="1">IF(ROW(C123)-J$15 &lt; J$14,C123,IF(ROW(C123) - J$15 -J$16 + 1 &lt; J$14,INDIRECT(ADDRESS(MOD(ROW(C123) - J$15, J$14) + J$15, COLUMN(C123))),""))</f>
        <v/>
      </c>
      <c r="K123" t="str" cm="1">
        <f t="array" aca="1" ref="K123" ca="1">IF(ROW(D123)-K$15 &lt; K$14,D123,IF(ROW(D123) - K$15 -K$16 + 1 &lt; K$14,INDIRECT(ADDRESS(MOD(ROW(D123) - K$15, K$14) + K$15, COLUMN(D123))),""))</f>
        <v/>
      </c>
      <c r="L123" t="str" cm="1">
        <f t="array" aca="1" ref="L123" ca="1">IF(ROW(E123)-L$15 &lt; L$14,E123,IF(ROW(E123) - L$15 -L$16 + 1 &lt; L$14,INDIRECT(ADDRESS(MOD(ROW(E123) - L$15, L$14) + L$15, COLUMN(E123))),""))</f>
        <v/>
      </c>
      <c r="N123" t="str" cm="1">
        <f t="array" aca="1" ref="N123" ca="1">IF(A123&lt;&gt;"", SUMPRODUCT((OFFSET(A123,0,0,H$16,1)=$T$24) +0),"")</f>
        <v/>
      </c>
      <c r="O123" t="str" cm="1">
        <f t="array" aca="1" ref="O123" ca="1">IF(B123&lt;&gt;"", SUMPRODUCT((OFFSET(B123,0,0,I$16,1)=$T$24) +0),"")</f>
        <v/>
      </c>
      <c r="P123" t="str" cm="1">
        <f t="array" aca="1" ref="P123" ca="1">IF(C123&lt;&gt;"", SUMPRODUCT((OFFSET(C123,0,0,J$16,1)=$T$24) +0),"")</f>
        <v/>
      </c>
      <c r="Q123" t="str" cm="1">
        <f t="array" aca="1" ref="Q123" ca="1">IF(D123&lt;&gt;"", SUMPRODUCT((OFFSET(D123,0,0,K$16,1)=$T$24) +0),"")</f>
        <v/>
      </c>
      <c r="R123" t="str" cm="1">
        <f t="array" aca="1" ref="R123" ca="1">IF(E123&lt;&gt;"", SUMPRODUCT((OFFSET(E123,0,0,L$16,1)=$T$24) +0),"")</f>
        <v/>
      </c>
      <c r="AB123">
        <f t="shared" si="29"/>
        <v>3</v>
      </c>
      <c r="AC123">
        <f t="shared" si="30"/>
        <v>1</v>
      </c>
      <c r="AD123">
        <f t="shared" si="31"/>
        <v>0</v>
      </c>
      <c r="AE123">
        <f t="shared" si="32"/>
        <v>1</v>
      </c>
      <c r="AF123">
        <f t="shared" si="33"/>
        <v>0</v>
      </c>
      <c r="AG123">
        <f t="shared" si="34"/>
        <v>5</v>
      </c>
      <c r="AH123">
        <f t="shared" ca="1" si="36"/>
        <v>0</v>
      </c>
      <c r="AI123">
        <f>IF(ROW($AA123) - $AA$51 &lt; ($H$16+1)^5, IF(AG123 &gt;= FreeSpinsBonus!$C$16, AG123*FreeSpinsBonus!$E$31, 0), "")</f>
        <v>7.2865053920139902</v>
      </c>
      <c r="AJ123">
        <f t="shared" ca="1" si="35"/>
        <v>0</v>
      </c>
      <c r="AK123" s="44"/>
    </row>
    <row r="124" spans="8:37" x14ac:dyDescent="0.3">
      <c r="H124" t="str" cm="1">
        <f t="array" aca="1" ref="H124" ca="1">IF(ROW(A124)-H$15 &lt; H$14,A124,IF(ROW(A124) - H$15 -H$16 + 1 &lt; H$14,INDIRECT(ADDRESS(MOD(ROW(A124) - H$15, H$14) + H$15, COLUMN(A124))),""))</f>
        <v/>
      </c>
      <c r="I124" t="str" cm="1">
        <f t="array" aca="1" ref="I124" ca="1">IF(ROW(B124)-I$15 &lt; I$14,B124,IF(ROW(B124) - I$15 -I$16 + 1 &lt; I$14,INDIRECT(ADDRESS(MOD(ROW(B124) - I$15, I$14) + I$15, COLUMN(B124))),""))</f>
        <v/>
      </c>
      <c r="J124" t="str" cm="1">
        <f t="array" aca="1" ref="J124" ca="1">IF(ROW(C124)-J$15 &lt; J$14,C124,IF(ROW(C124) - J$15 -J$16 + 1 &lt; J$14,INDIRECT(ADDRESS(MOD(ROW(C124) - J$15, J$14) + J$15, COLUMN(C124))),""))</f>
        <v/>
      </c>
      <c r="K124" t="str" cm="1">
        <f t="array" aca="1" ref="K124" ca="1">IF(ROW(D124)-K$15 &lt; K$14,D124,IF(ROW(D124) - K$15 -K$16 + 1 &lt; K$14,INDIRECT(ADDRESS(MOD(ROW(D124) - K$15, K$14) + K$15, COLUMN(D124))),""))</f>
        <v/>
      </c>
      <c r="L124" t="str" cm="1">
        <f t="array" aca="1" ref="L124" ca="1">IF(ROW(E124)-L$15 &lt; L$14,E124,IF(ROW(E124) - L$15 -L$16 + 1 &lt; L$14,INDIRECT(ADDRESS(MOD(ROW(E124) - L$15, L$14) + L$15, COLUMN(E124))),""))</f>
        <v/>
      </c>
      <c r="N124" t="str" cm="1">
        <f t="array" aca="1" ref="N124" ca="1">IF(A124&lt;&gt;"", SUMPRODUCT((OFFSET(A124,0,0,H$16,1)=$T$24) +0),"")</f>
        <v/>
      </c>
      <c r="O124" t="str" cm="1">
        <f t="array" aca="1" ref="O124" ca="1">IF(B124&lt;&gt;"", SUMPRODUCT((OFFSET(B124,0,0,I$16,1)=$T$24) +0),"")</f>
        <v/>
      </c>
      <c r="P124" t="str" cm="1">
        <f t="array" aca="1" ref="P124" ca="1">IF(C124&lt;&gt;"", SUMPRODUCT((OFFSET(C124,0,0,J$16,1)=$T$24) +0),"")</f>
        <v/>
      </c>
      <c r="Q124" t="str" cm="1">
        <f t="array" aca="1" ref="Q124" ca="1">IF(D124&lt;&gt;"", SUMPRODUCT((OFFSET(D124,0,0,K$16,1)=$T$24) +0),"")</f>
        <v/>
      </c>
      <c r="R124" t="str" cm="1">
        <f t="array" aca="1" ref="R124" ca="1">IF(E124&lt;&gt;"", SUMPRODUCT((OFFSET(E124,0,0,L$16,1)=$T$24) +0),"")</f>
        <v/>
      </c>
      <c r="AB124">
        <f t="shared" si="29"/>
        <v>0</v>
      </c>
      <c r="AC124">
        <f t="shared" si="30"/>
        <v>2</v>
      </c>
      <c r="AD124">
        <f t="shared" si="31"/>
        <v>0</v>
      </c>
      <c r="AE124">
        <f t="shared" si="32"/>
        <v>1</v>
      </c>
      <c r="AF124">
        <f t="shared" si="33"/>
        <v>0</v>
      </c>
      <c r="AG124">
        <f t="shared" si="34"/>
        <v>3</v>
      </c>
      <c r="AH124">
        <f t="shared" ca="1" si="36"/>
        <v>5.5049787675618377E-3</v>
      </c>
      <c r="AI124">
        <f>IF(ROW($AA124) - $AA$51 &lt; ($H$16+1)^5, IF(AG124 &gt;= FreeSpinsBonus!$C$16, AG124*FreeSpinsBonus!$E$31, 0), "")</f>
        <v>0</v>
      </c>
      <c r="AJ124">
        <f t="shared" ca="1" si="35"/>
        <v>0</v>
      </c>
      <c r="AK124" s="44"/>
    </row>
    <row r="125" spans="8:37" x14ac:dyDescent="0.3">
      <c r="H125" t="str" cm="1">
        <f t="array" aca="1" ref="H125" ca="1">IF(ROW(A125)-H$15 &lt; H$14,A125,IF(ROW(A125) - H$15 -H$16 + 1 &lt; H$14,INDIRECT(ADDRESS(MOD(ROW(A125) - H$15, H$14) + H$15, COLUMN(A125))),""))</f>
        <v/>
      </c>
      <c r="I125" t="str" cm="1">
        <f t="array" aca="1" ref="I125" ca="1">IF(ROW(B125)-I$15 &lt; I$14,B125,IF(ROW(B125) - I$15 -I$16 + 1 &lt; I$14,INDIRECT(ADDRESS(MOD(ROW(B125) - I$15, I$14) + I$15, COLUMN(B125))),""))</f>
        <v/>
      </c>
      <c r="J125" t="str" cm="1">
        <f t="array" aca="1" ref="J125" ca="1">IF(ROW(C125)-J$15 &lt; J$14,C125,IF(ROW(C125) - J$15 -J$16 + 1 &lt; J$14,INDIRECT(ADDRESS(MOD(ROW(C125) - J$15, J$14) + J$15, COLUMN(C125))),""))</f>
        <v/>
      </c>
      <c r="K125" t="str" cm="1">
        <f t="array" aca="1" ref="K125" ca="1">IF(ROW(D125)-K$15 &lt; K$14,D125,IF(ROW(D125) - K$15 -K$16 + 1 &lt; K$14,INDIRECT(ADDRESS(MOD(ROW(D125) - K$15, K$14) + K$15, COLUMN(D125))),""))</f>
        <v/>
      </c>
      <c r="L125" t="str" cm="1">
        <f t="array" aca="1" ref="L125" ca="1">IF(ROW(E125)-L$15 &lt; L$14,E125,IF(ROW(E125) - L$15 -L$16 + 1 &lt; L$14,INDIRECT(ADDRESS(MOD(ROW(E125) - L$15, L$14) + L$15, COLUMN(E125))),""))</f>
        <v/>
      </c>
      <c r="N125" t="str" cm="1">
        <f t="array" aca="1" ref="N125" ca="1">IF(A125&lt;&gt;"", SUMPRODUCT((OFFSET(A125,0,0,H$16,1)=$T$24) +0),"")</f>
        <v/>
      </c>
      <c r="O125" t="str" cm="1">
        <f t="array" aca="1" ref="O125" ca="1">IF(B125&lt;&gt;"", SUMPRODUCT((OFFSET(B125,0,0,I$16,1)=$T$24) +0),"")</f>
        <v/>
      </c>
      <c r="P125" t="str" cm="1">
        <f t="array" aca="1" ref="P125" ca="1">IF(C125&lt;&gt;"", SUMPRODUCT((OFFSET(C125,0,0,J$16,1)=$T$24) +0),"")</f>
        <v/>
      </c>
      <c r="Q125" t="str" cm="1">
        <f t="array" aca="1" ref="Q125" ca="1">IF(D125&lt;&gt;"", SUMPRODUCT((OFFSET(D125,0,0,K$16,1)=$T$24) +0),"")</f>
        <v/>
      </c>
      <c r="R125" t="str" cm="1">
        <f t="array" aca="1" ref="R125" ca="1">IF(E125&lt;&gt;"", SUMPRODUCT((OFFSET(E125,0,0,L$16,1)=$T$24) +0),"")</f>
        <v/>
      </c>
      <c r="AB125">
        <f t="shared" si="29"/>
        <v>1</v>
      </c>
      <c r="AC125">
        <f t="shared" si="30"/>
        <v>2</v>
      </c>
      <c r="AD125">
        <f t="shared" si="31"/>
        <v>0</v>
      </c>
      <c r="AE125">
        <f t="shared" si="32"/>
        <v>1</v>
      </c>
      <c r="AF125">
        <f t="shared" si="33"/>
        <v>0</v>
      </c>
      <c r="AG125">
        <f t="shared" si="34"/>
        <v>4</v>
      </c>
      <c r="AH125">
        <f t="shared" ca="1" si="36"/>
        <v>5.8108109213152728E-3</v>
      </c>
      <c r="AI125">
        <f>IF(ROW($AA125) - $AA$51 &lt; ($H$16+1)^5, IF(AG125 &gt;= FreeSpinsBonus!$C$16, AG125*FreeSpinsBonus!$E$31, 0), "")</f>
        <v>0</v>
      </c>
      <c r="AJ125">
        <f t="shared" ca="1" si="35"/>
        <v>0</v>
      </c>
      <c r="AK125" s="44"/>
    </row>
    <row r="126" spans="8:37" x14ac:dyDescent="0.3">
      <c r="H126" t="str" cm="1">
        <f t="array" aca="1" ref="H126" ca="1">IF(ROW(A126)-H$15 &lt; H$14,A126,IF(ROW(A126) - H$15 -H$16 + 1 &lt; H$14,INDIRECT(ADDRESS(MOD(ROW(A126) - H$15, H$14) + H$15, COLUMN(A126))),""))</f>
        <v/>
      </c>
      <c r="I126" t="str" cm="1">
        <f t="array" aca="1" ref="I126" ca="1">IF(ROW(B126)-I$15 &lt; I$14,B126,IF(ROW(B126) - I$15 -I$16 + 1 &lt; I$14,INDIRECT(ADDRESS(MOD(ROW(B126) - I$15, I$14) + I$15, COLUMN(B126))),""))</f>
        <v/>
      </c>
      <c r="J126" t="str" cm="1">
        <f t="array" aca="1" ref="J126" ca="1">IF(ROW(C126)-J$15 &lt; J$14,C126,IF(ROW(C126) - J$15 -J$16 + 1 &lt; J$14,INDIRECT(ADDRESS(MOD(ROW(C126) - J$15, J$14) + J$15, COLUMN(C126))),""))</f>
        <v/>
      </c>
      <c r="K126" t="str" cm="1">
        <f t="array" aca="1" ref="K126" ca="1">IF(ROW(D126)-K$15 &lt; K$14,D126,IF(ROW(D126) - K$15 -K$16 + 1 &lt; K$14,INDIRECT(ADDRESS(MOD(ROW(D126) - K$15, K$14) + K$15, COLUMN(D126))),""))</f>
        <v/>
      </c>
      <c r="L126" t="str" cm="1">
        <f t="array" aca="1" ref="L126" ca="1">IF(ROW(E126)-L$15 &lt; L$14,E126,IF(ROW(E126) - L$15 -L$16 + 1 &lt; L$14,INDIRECT(ADDRESS(MOD(ROW(E126) - L$15, L$14) + L$15, COLUMN(E126))),""))</f>
        <v/>
      </c>
      <c r="N126" t="str" cm="1">
        <f t="array" aca="1" ref="N126" ca="1">IF(A126&lt;&gt;"", SUMPRODUCT((OFFSET(A126,0,0,H$16,1)=$T$24) +0),"")</f>
        <v/>
      </c>
      <c r="O126" t="str" cm="1">
        <f t="array" aca="1" ref="O126" ca="1">IF(B126&lt;&gt;"", SUMPRODUCT((OFFSET(B126,0,0,I$16,1)=$T$24) +0),"")</f>
        <v/>
      </c>
      <c r="P126" t="str" cm="1">
        <f t="array" aca="1" ref="P126" ca="1">IF(C126&lt;&gt;"", SUMPRODUCT((OFFSET(C126,0,0,J$16,1)=$T$24) +0),"")</f>
        <v/>
      </c>
      <c r="Q126" t="str" cm="1">
        <f t="array" aca="1" ref="Q126" ca="1">IF(D126&lt;&gt;"", SUMPRODUCT((OFFSET(D126,0,0,K$16,1)=$T$24) +0),"")</f>
        <v/>
      </c>
      <c r="R126" t="str" cm="1">
        <f t="array" aca="1" ref="R126" ca="1">IF(E126&lt;&gt;"", SUMPRODUCT((OFFSET(E126,0,0,L$16,1)=$T$24) +0),"")</f>
        <v/>
      </c>
      <c r="AB126">
        <f t="shared" si="29"/>
        <v>2</v>
      </c>
      <c r="AC126">
        <f t="shared" si="30"/>
        <v>2</v>
      </c>
      <c r="AD126">
        <f t="shared" si="31"/>
        <v>0</v>
      </c>
      <c r="AE126">
        <f t="shared" si="32"/>
        <v>1</v>
      </c>
      <c r="AF126">
        <f t="shared" si="33"/>
        <v>0</v>
      </c>
      <c r="AG126">
        <f t="shared" si="34"/>
        <v>5</v>
      </c>
      <c r="AH126">
        <f t="shared" ca="1" si="36"/>
        <v>3.0583215375343544E-3</v>
      </c>
      <c r="AI126">
        <f>IF(ROW($AA126) - $AA$51 &lt; ($H$16+1)^5, IF(AG126 &gt;= FreeSpinsBonus!$C$16, AG126*FreeSpinsBonus!$E$31, 0), "")</f>
        <v>7.2865053920139902</v>
      </c>
      <c r="AJ126">
        <f t="shared" ca="1" si="35"/>
        <v>2.2284476373756589E-2</v>
      </c>
      <c r="AK126" s="44"/>
    </row>
    <row r="127" spans="8:37" x14ac:dyDescent="0.3">
      <c r="H127" t="str" cm="1">
        <f t="array" aca="1" ref="H127" ca="1">IF(ROW(A127)-H$15 &lt; H$14,A127,IF(ROW(A127) - H$15 -H$16 + 1 &lt; H$14,INDIRECT(ADDRESS(MOD(ROW(A127) - H$15, H$14) + H$15, COLUMN(A127))),""))</f>
        <v/>
      </c>
      <c r="I127" t="str" cm="1">
        <f t="array" aca="1" ref="I127" ca="1">IF(ROW(B127)-I$15 &lt; I$14,B127,IF(ROW(B127) - I$15 -I$16 + 1 &lt; I$14,INDIRECT(ADDRESS(MOD(ROW(B127) - I$15, I$14) + I$15, COLUMN(B127))),""))</f>
        <v/>
      </c>
      <c r="J127" t="str" cm="1">
        <f t="array" aca="1" ref="J127" ca="1">IF(ROW(C127)-J$15 &lt; J$14,C127,IF(ROW(C127) - J$15 -J$16 + 1 &lt; J$14,INDIRECT(ADDRESS(MOD(ROW(C127) - J$15, J$14) + J$15, COLUMN(C127))),""))</f>
        <v/>
      </c>
      <c r="K127" t="str" cm="1">
        <f t="array" aca="1" ref="K127" ca="1">IF(ROW(D127)-K$15 &lt; K$14,D127,IF(ROW(D127) - K$15 -K$16 + 1 &lt; K$14,INDIRECT(ADDRESS(MOD(ROW(D127) - K$15, K$14) + K$15, COLUMN(D127))),""))</f>
        <v/>
      </c>
      <c r="L127" t="str" cm="1">
        <f t="array" aca="1" ref="L127" ca="1">IF(ROW(E127)-L$15 &lt; L$14,E127,IF(ROW(E127) - L$15 -L$16 + 1 &lt; L$14,INDIRECT(ADDRESS(MOD(ROW(E127) - L$15, L$14) + L$15, COLUMN(E127))),""))</f>
        <v/>
      </c>
      <c r="N127" t="str" cm="1">
        <f t="array" aca="1" ref="N127" ca="1">IF(A127&lt;&gt;"", SUMPRODUCT((OFFSET(A127,0,0,H$16,1)=$T$24) +0),"")</f>
        <v/>
      </c>
      <c r="O127" t="str" cm="1">
        <f t="array" aca="1" ref="O127" ca="1">IF(B127&lt;&gt;"", SUMPRODUCT((OFFSET(B127,0,0,I$16,1)=$T$24) +0),"")</f>
        <v/>
      </c>
      <c r="P127" t="str" cm="1">
        <f t="array" aca="1" ref="P127" ca="1">IF(C127&lt;&gt;"", SUMPRODUCT((OFFSET(C127,0,0,J$16,1)=$T$24) +0),"")</f>
        <v/>
      </c>
      <c r="Q127" t="str" cm="1">
        <f t="array" aca="1" ref="Q127" ca="1">IF(D127&lt;&gt;"", SUMPRODUCT((OFFSET(D127,0,0,K$16,1)=$T$24) +0),"")</f>
        <v/>
      </c>
      <c r="R127" t="str" cm="1">
        <f t="array" aca="1" ref="R127" ca="1">IF(E127&lt;&gt;"", SUMPRODUCT((OFFSET(E127,0,0,L$16,1)=$T$24) +0),"")</f>
        <v/>
      </c>
      <c r="AB127">
        <f t="shared" si="29"/>
        <v>3</v>
      </c>
      <c r="AC127">
        <f t="shared" si="30"/>
        <v>2</v>
      </c>
      <c r="AD127">
        <f t="shared" si="31"/>
        <v>0</v>
      </c>
      <c r="AE127">
        <f t="shared" si="32"/>
        <v>1</v>
      </c>
      <c r="AF127">
        <f t="shared" si="33"/>
        <v>0</v>
      </c>
      <c r="AG127">
        <f t="shared" si="34"/>
        <v>6</v>
      </c>
      <c r="AH127">
        <f t="shared" ca="1" si="36"/>
        <v>0</v>
      </c>
      <c r="AI127">
        <f>IF(ROW($AA127) - $AA$51 &lt; ($H$16+1)^5, IF(AG127 &gt;= FreeSpinsBonus!$C$16, AG127*FreeSpinsBonus!$E$31, 0), "")</f>
        <v>8.7438064704167875</v>
      </c>
      <c r="AJ127">
        <f t="shared" ca="1" si="35"/>
        <v>0</v>
      </c>
      <c r="AK127" s="44"/>
    </row>
    <row r="128" spans="8:37" x14ac:dyDescent="0.3">
      <c r="H128" t="str" cm="1">
        <f t="array" aca="1" ref="H128" ca="1">IF(ROW(A128)-H$15 &lt; H$14,A128,IF(ROW(A128) - H$15 -H$16 + 1 &lt; H$14,INDIRECT(ADDRESS(MOD(ROW(A128) - H$15, H$14) + H$15, COLUMN(A128))),""))</f>
        <v/>
      </c>
      <c r="I128" t="str" cm="1">
        <f t="array" aca="1" ref="I128" ca="1">IF(ROW(B128)-I$15 &lt; I$14,B128,IF(ROW(B128) - I$15 -I$16 + 1 &lt; I$14,INDIRECT(ADDRESS(MOD(ROW(B128) - I$15, I$14) + I$15, COLUMN(B128))),""))</f>
        <v/>
      </c>
      <c r="J128" t="str" cm="1">
        <f t="array" aca="1" ref="J128" ca="1">IF(ROW(C128)-J$15 &lt; J$14,C128,IF(ROW(C128) - J$15 -J$16 + 1 &lt; J$14,INDIRECT(ADDRESS(MOD(ROW(C128) - J$15, J$14) + J$15, COLUMN(C128))),""))</f>
        <v/>
      </c>
      <c r="K128" t="str" cm="1">
        <f t="array" aca="1" ref="K128" ca="1">IF(ROW(D128)-K$15 &lt; K$14,D128,IF(ROW(D128) - K$15 -K$16 + 1 &lt; K$14,INDIRECT(ADDRESS(MOD(ROW(D128) - K$15, K$14) + K$15, COLUMN(D128))),""))</f>
        <v/>
      </c>
      <c r="L128" t="str" cm="1">
        <f t="array" aca="1" ref="L128" ca="1">IF(ROW(E128)-L$15 &lt; L$14,E128,IF(ROW(E128) - L$15 -L$16 + 1 &lt; L$14,INDIRECT(ADDRESS(MOD(ROW(E128) - L$15, L$14) + L$15, COLUMN(E128))),""))</f>
        <v/>
      </c>
      <c r="N128" t="str" cm="1">
        <f t="array" aca="1" ref="N128" ca="1">IF(A128&lt;&gt;"", SUMPRODUCT((OFFSET(A128,0,0,H$16,1)=$T$24) +0),"")</f>
        <v/>
      </c>
      <c r="O128" t="str" cm="1">
        <f t="array" aca="1" ref="O128" ca="1">IF(B128&lt;&gt;"", SUMPRODUCT((OFFSET(B128,0,0,I$16,1)=$T$24) +0),"")</f>
        <v/>
      </c>
      <c r="P128" t="str" cm="1">
        <f t="array" aca="1" ref="P128" ca="1">IF(C128&lt;&gt;"", SUMPRODUCT((OFFSET(C128,0,0,J$16,1)=$T$24) +0),"")</f>
        <v/>
      </c>
      <c r="Q128" t="str" cm="1">
        <f t="array" aca="1" ref="Q128" ca="1">IF(D128&lt;&gt;"", SUMPRODUCT((OFFSET(D128,0,0,K$16,1)=$T$24) +0),"")</f>
        <v/>
      </c>
      <c r="R128" t="str" cm="1">
        <f t="array" aca="1" ref="R128" ca="1">IF(E128&lt;&gt;"", SUMPRODUCT((OFFSET(E128,0,0,L$16,1)=$T$24) +0),"")</f>
        <v/>
      </c>
      <c r="AB128">
        <f t="shared" si="29"/>
        <v>0</v>
      </c>
      <c r="AC128">
        <f t="shared" si="30"/>
        <v>3</v>
      </c>
      <c r="AD128">
        <f t="shared" si="31"/>
        <v>0</v>
      </c>
      <c r="AE128">
        <f t="shared" si="32"/>
        <v>1</v>
      </c>
      <c r="AF128">
        <f t="shared" si="33"/>
        <v>0</v>
      </c>
      <c r="AG128">
        <f t="shared" si="34"/>
        <v>4</v>
      </c>
      <c r="AH128">
        <f t="shared" ca="1" si="36"/>
        <v>1.9429336826688841E-3</v>
      </c>
      <c r="AI128">
        <f>IF(ROW($AA128) - $AA$51 &lt; ($H$16+1)^5, IF(AG128 &gt;= FreeSpinsBonus!$C$16, AG128*FreeSpinsBonus!$E$31, 0), "")</f>
        <v>0</v>
      </c>
      <c r="AJ128">
        <f t="shared" ca="1" si="35"/>
        <v>0</v>
      </c>
      <c r="AK128" s="44"/>
    </row>
    <row r="129" spans="8:37" x14ac:dyDescent="0.3">
      <c r="H129" t="str" cm="1">
        <f t="array" aca="1" ref="H129" ca="1">IF(ROW(A129)-H$15 &lt; H$14,A129,IF(ROW(A129) - H$15 -H$16 + 1 &lt; H$14,INDIRECT(ADDRESS(MOD(ROW(A129) - H$15, H$14) + H$15, COLUMN(A129))),""))</f>
        <v/>
      </c>
      <c r="I129" t="str" cm="1">
        <f t="array" aca="1" ref="I129" ca="1">IF(ROW(B129)-I$15 &lt; I$14,B129,IF(ROW(B129) - I$15 -I$16 + 1 &lt; I$14,INDIRECT(ADDRESS(MOD(ROW(B129) - I$15, I$14) + I$15, COLUMN(B129))),""))</f>
        <v/>
      </c>
      <c r="J129" t="str" cm="1">
        <f t="array" aca="1" ref="J129" ca="1">IF(ROW(C129)-J$15 &lt; J$14,C129,IF(ROW(C129) - J$15 -J$16 + 1 &lt; J$14,INDIRECT(ADDRESS(MOD(ROW(C129) - J$15, J$14) + J$15, COLUMN(C129))),""))</f>
        <v/>
      </c>
      <c r="K129" t="str" cm="1">
        <f t="array" aca="1" ref="K129" ca="1">IF(ROW(D129)-K$15 &lt; K$14,D129,IF(ROW(D129) - K$15 -K$16 + 1 &lt; K$14,INDIRECT(ADDRESS(MOD(ROW(D129) - K$15, K$14) + K$15, COLUMN(D129))),""))</f>
        <v/>
      </c>
      <c r="L129" t="str" cm="1">
        <f t="array" aca="1" ref="L129" ca="1">IF(ROW(E129)-L$15 &lt; L$14,E129,IF(ROW(E129) - L$15 -L$16 + 1 &lt; L$14,INDIRECT(ADDRESS(MOD(ROW(E129) - L$15, L$14) + L$15, COLUMN(E129))),""))</f>
        <v/>
      </c>
      <c r="N129" t="str" cm="1">
        <f t="array" aca="1" ref="N129" ca="1">IF(A129&lt;&gt;"", SUMPRODUCT((OFFSET(A129,0,0,H$16,1)=$T$24) +0),"")</f>
        <v/>
      </c>
      <c r="O129" t="str" cm="1">
        <f t="array" aca="1" ref="O129" ca="1">IF(B129&lt;&gt;"", SUMPRODUCT((OFFSET(B129,0,0,I$16,1)=$T$24) +0),"")</f>
        <v/>
      </c>
      <c r="P129" t="str" cm="1">
        <f t="array" aca="1" ref="P129" ca="1">IF(C129&lt;&gt;"", SUMPRODUCT((OFFSET(C129,0,0,J$16,1)=$T$24) +0),"")</f>
        <v/>
      </c>
      <c r="Q129" t="str" cm="1">
        <f t="array" aca="1" ref="Q129" ca="1">IF(D129&lt;&gt;"", SUMPRODUCT((OFFSET(D129,0,0,K$16,1)=$T$24) +0),"")</f>
        <v/>
      </c>
      <c r="R129" t="str" cm="1">
        <f t="array" aca="1" ref="R129" ca="1">IF(E129&lt;&gt;"", SUMPRODUCT((OFFSET(E129,0,0,L$16,1)=$T$24) +0),"")</f>
        <v/>
      </c>
      <c r="AB129">
        <f t="shared" si="29"/>
        <v>1</v>
      </c>
      <c r="AC129">
        <f t="shared" si="30"/>
        <v>3</v>
      </c>
      <c r="AD129">
        <f t="shared" si="31"/>
        <v>0</v>
      </c>
      <c r="AE129">
        <f t="shared" si="32"/>
        <v>1</v>
      </c>
      <c r="AF129">
        <f t="shared" si="33"/>
        <v>0</v>
      </c>
      <c r="AG129">
        <f t="shared" si="34"/>
        <v>5</v>
      </c>
      <c r="AH129">
        <f t="shared" ca="1" si="36"/>
        <v>2.0508744428171552E-3</v>
      </c>
      <c r="AI129">
        <f>IF(ROW($AA129) - $AA$51 &lt; ($H$16+1)^5, IF(AG129 &gt;= FreeSpinsBonus!$C$16, AG129*FreeSpinsBonus!$E$31, 0), "")</f>
        <v>7.2865053920139902</v>
      </c>
      <c r="AJ129">
        <f t="shared" ca="1" si="35"/>
        <v>1.4943707685930889E-2</v>
      </c>
      <c r="AK129" s="44"/>
    </row>
    <row r="130" spans="8:37" x14ac:dyDescent="0.3">
      <c r="H130" t="str" cm="1">
        <f t="array" aca="1" ref="H130" ca="1">IF(ROW(A130)-H$15 &lt; H$14,A130,IF(ROW(A130) - H$15 -H$16 + 1 &lt; H$14,INDIRECT(ADDRESS(MOD(ROW(A130) - H$15, H$14) + H$15, COLUMN(A130))),""))</f>
        <v/>
      </c>
      <c r="I130" t="str" cm="1">
        <f t="array" aca="1" ref="I130" ca="1">IF(ROW(B130)-I$15 &lt; I$14,B130,IF(ROW(B130) - I$15 -I$16 + 1 &lt; I$14,INDIRECT(ADDRESS(MOD(ROW(B130) - I$15, I$14) + I$15, COLUMN(B130))),""))</f>
        <v/>
      </c>
      <c r="J130" t="str" cm="1">
        <f t="array" aca="1" ref="J130" ca="1">IF(ROW(C130)-J$15 &lt; J$14,C130,IF(ROW(C130) - J$15 -J$16 + 1 &lt; J$14,INDIRECT(ADDRESS(MOD(ROW(C130) - J$15, J$14) + J$15, COLUMN(C130))),""))</f>
        <v/>
      </c>
      <c r="K130" t="str" cm="1">
        <f t="array" aca="1" ref="K130" ca="1">IF(ROW(D130)-K$15 &lt; K$14,D130,IF(ROW(D130) - K$15 -K$16 + 1 &lt; K$14,INDIRECT(ADDRESS(MOD(ROW(D130) - K$15, K$14) + K$15, COLUMN(D130))),""))</f>
        <v/>
      </c>
      <c r="L130" t="str" cm="1">
        <f t="array" aca="1" ref="L130" ca="1">IF(ROW(E130)-L$15 &lt; L$14,E130,IF(ROW(E130) - L$15 -L$16 + 1 &lt; L$14,INDIRECT(ADDRESS(MOD(ROW(E130) - L$15, L$14) + L$15, COLUMN(E130))),""))</f>
        <v/>
      </c>
      <c r="N130" t="str" cm="1">
        <f t="array" aca="1" ref="N130" ca="1">IF(A130&lt;&gt;"", SUMPRODUCT((OFFSET(A130,0,0,H$16,1)=$T$24) +0),"")</f>
        <v/>
      </c>
      <c r="O130" t="str" cm="1">
        <f t="array" aca="1" ref="O130" ca="1">IF(B130&lt;&gt;"", SUMPRODUCT((OFFSET(B130,0,0,I$16,1)=$T$24) +0),"")</f>
        <v/>
      </c>
      <c r="P130" t="str" cm="1">
        <f t="array" aca="1" ref="P130" ca="1">IF(C130&lt;&gt;"", SUMPRODUCT((OFFSET(C130,0,0,J$16,1)=$T$24) +0),"")</f>
        <v/>
      </c>
      <c r="Q130" t="str" cm="1">
        <f t="array" aca="1" ref="Q130" ca="1">IF(D130&lt;&gt;"", SUMPRODUCT((OFFSET(D130,0,0,K$16,1)=$T$24) +0),"")</f>
        <v/>
      </c>
      <c r="R130" t="str" cm="1">
        <f t="array" aca="1" ref="R130" ca="1">IF(E130&lt;&gt;"", SUMPRODUCT((OFFSET(E130,0,0,L$16,1)=$T$24) +0),"")</f>
        <v/>
      </c>
      <c r="AB130">
        <f t="shared" si="29"/>
        <v>2</v>
      </c>
      <c r="AC130">
        <f t="shared" si="30"/>
        <v>3</v>
      </c>
      <c r="AD130">
        <f t="shared" si="31"/>
        <v>0</v>
      </c>
      <c r="AE130">
        <f t="shared" si="32"/>
        <v>1</v>
      </c>
      <c r="AF130">
        <f t="shared" si="33"/>
        <v>0</v>
      </c>
      <c r="AG130">
        <f t="shared" si="34"/>
        <v>6</v>
      </c>
      <c r="AH130">
        <f t="shared" ca="1" si="36"/>
        <v>1.0794076014827134E-3</v>
      </c>
      <c r="AI130">
        <f>IF(ROW($AA130) - $AA$51 &lt; ($H$16+1)^5, IF(AG130 &gt;= FreeSpinsBonus!$C$16, AG130*FreeSpinsBonus!$E$31, 0), "")</f>
        <v>8.7438064704167875</v>
      </c>
      <c r="AJ130">
        <f t="shared" ca="1" si="35"/>
        <v>9.4381311700616147E-3</v>
      </c>
      <c r="AK130" s="44"/>
    </row>
    <row r="131" spans="8:37" x14ac:dyDescent="0.3">
      <c r="H131" t="str" cm="1">
        <f t="array" aca="1" ref="H131" ca="1">IF(ROW(A131)-H$15 &lt; H$14,A131,IF(ROW(A131) - H$15 -H$16 + 1 &lt; H$14,INDIRECT(ADDRESS(MOD(ROW(A131) - H$15, H$14) + H$15, COLUMN(A131))),""))</f>
        <v/>
      </c>
      <c r="I131" t="str" cm="1">
        <f t="array" aca="1" ref="I131" ca="1">IF(ROW(B131)-I$15 &lt; I$14,B131,IF(ROW(B131) - I$15 -I$16 + 1 &lt; I$14,INDIRECT(ADDRESS(MOD(ROW(B131) - I$15, I$14) + I$15, COLUMN(B131))),""))</f>
        <v/>
      </c>
      <c r="J131" t="str" cm="1">
        <f t="array" aca="1" ref="J131" ca="1">IF(ROW(C131)-J$15 &lt; J$14,C131,IF(ROW(C131) - J$15 -J$16 + 1 &lt; J$14,INDIRECT(ADDRESS(MOD(ROW(C131) - J$15, J$14) + J$15, COLUMN(C131))),""))</f>
        <v/>
      </c>
      <c r="K131" t="str" cm="1">
        <f t="array" aca="1" ref="K131" ca="1">IF(ROW(D131)-K$15 &lt; K$14,D131,IF(ROW(D131) - K$15 -K$16 + 1 &lt; K$14,INDIRECT(ADDRESS(MOD(ROW(D131) - K$15, K$14) + K$15, COLUMN(D131))),""))</f>
        <v/>
      </c>
      <c r="L131" t="str" cm="1">
        <f t="array" aca="1" ref="L131" ca="1">IF(ROW(E131)-L$15 &lt; L$14,E131,IF(ROW(E131) - L$15 -L$16 + 1 &lt; L$14,INDIRECT(ADDRESS(MOD(ROW(E131) - L$15, L$14) + L$15, COLUMN(E131))),""))</f>
        <v/>
      </c>
      <c r="N131" t="str" cm="1">
        <f t="array" aca="1" ref="N131" ca="1">IF(A131&lt;&gt;"", SUMPRODUCT((OFFSET(A131,0,0,H$16,1)=$T$24) +0),"")</f>
        <v/>
      </c>
      <c r="O131" t="str" cm="1">
        <f t="array" aca="1" ref="O131" ca="1">IF(B131&lt;&gt;"", SUMPRODUCT((OFFSET(B131,0,0,I$16,1)=$T$24) +0),"")</f>
        <v/>
      </c>
      <c r="P131" t="str" cm="1">
        <f t="array" aca="1" ref="P131" ca="1">IF(C131&lt;&gt;"", SUMPRODUCT((OFFSET(C131,0,0,J$16,1)=$T$24) +0),"")</f>
        <v/>
      </c>
      <c r="Q131" t="str" cm="1">
        <f t="array" aca="1" ref="Q131" ca="1">IF(D131&lt;&gt;"", SUMPRODUCT((OFFSET(D131,0,0,K$16,1)=$T$24) +0),"")</f>
        <v/>
      </c>
      <c r="R131" t="str" cm="1">
        <f t="array" aca="1" ref="R131" ca="1">IF(E131&lt;&gt;"", SUMPRODUCT((OFFSET(E131,0,0,L$16,1)=$T$24) +0),"")</f>
        <v/>
      </c>
      <c r="AB131">
        <f t="shared" si="29"/>
        <v>3</v>
      </c>
      <c r="AC131">
        <f t="shared" si="30"/>
        <v>3</v>
      </c>
      <c r="AD131">
        <f t="shared" si="31"/>
        <v>0</v>
      </c>
      <c r="AE131">
        <f t="shared" si="32"/>
        <v>1</v>
      </c>
      <c r="AF131">
        <f t="shared" si="33"/>
        <v>0</v>
      </c>
      <c r="AG131">
        <f t="shared" si="34"/>
        <v>7</v>
      </c>
      <c r="AH131">
        <f t="shared" ca="1" si="36"/>
        <v>0</v>
      </c>
      <c r="AI131">
        <f>IF(ROW($AA131) - $AA$51 &lt; ($H$16+1)^5, IF(AG131 &gt;= FreeSpinsBonus!$C$16, AG131*FreeSpinsBonus!$E$31, 0), "")</f>
        <v>10.201107548819586</v>
      </c>
      <c r="AJ131">
        <f t="shared" ca="1" si="35"/>
        <v>0</v>
      </c>
      <c r="AK131" s="44"/>
    </row>
    <row r="132" spans="8:37" x14ac:dyDescent="0.3">
      <c r="H132" t="str" cm="1">
        <f t="array" aca="1" ref="H132" ca="1">IF(ROW(A132)-H$15 &lt; H$14,A132,IF(ROW(A132) - H$15 -H$16 + 1 &lt; H$14,INDIRECT(ADDRESS(MOD(ROW(A132) - H$15, H$14) + H$15, COLUMN(A132))),""))</f>
        <v/>
      </c>
      <c r="I132" t="str" cm="1">
        <f t="array" aca="1" ref="I132" ca="1">IF(ROW(B132)-I$15 &lt; I$14,B132,IF(ROW(B132) - I$15 -I$16 + 1 &lt; I$14,INDIRECT(ADDRESS(MOD(ROW(B132) - I$15, I$14) + I$15, COLUMN(B132))),""))</f>
        <v/>
      </c>
      <c r="J132" t="str" cm="1">
        <f t="array" aca="1" ref="J132" ca="1">IF(ROW(C132)-J$15 &lt; J$14,C132,IF(ROW(C132) - J$15 -J$16 + 1 &lt; J$14,INDIRECT(ADDRESS(MOD(ROW(C132) - J$15, J$14) + J$15, COLUMN(C132))),""))</f>
        <v/>
      </c>
      <c r="K132" t="str" cm="1">
        <f t="array" aca="1" ref="K132" ca="1">IF(ROW(D132)-K$15 &lt; K$14,D132,IF(ROW(D132) - K$15 -K$16 + 1 &lt; K$14,INDIRECT(ADDRESS(MOD(ROW(D132) - K$15, K$14) + K$15, COLUMN(D132))),""))</f>
        <v/>
      </c>
      <c r="L132" t="str" cm="1">
        <f t="array" aca="1" ref="L132" ca="1">IF(ROW(E132)-L$15 &lt; L$14,E132,IF(ROW(E132) - L$15 -L$16 + 1 &lt; L$14,INDIRECT(ADDRESS(MOD(ROW(E132) - L$15, L$14) + L$15, COLUMN(E132))),""))</f>
        <v/>
      </c>
      <c r="N132" t="str" cm="1">
        <f t="array" aca="1" ref="N132" ca="1">IF(A132&lt;&gt;"", SUMPRODUCT((OFFSET(A132,0,0,H$16,1)=$T$24) +0),"")</f>
        <v/>
      </c>
      <c r="O132" t="str" cm="1">
        <f t="array" aca="1" ref="O132" ca="1">IF(B132&lt;&gt;"", SUMPRODUCT((OFFSET(B132,0,0,I$16,1)=$T$24) +0),"")</f>
        <v/>
      </c>
      <c r="P132" t="str" cm="1">
        <f t="array" aca="1" ref="P132" ca="1">IF(C132&lt;&gt;"", SUMPRODUCT((OFFSET(C132,0,0,J$16,1)=$T$24) +0),"")</f>
        <v/>
      </c>
      <c r="Q132" t="str" cm="1">
        <f t="array" aca="1" ref="Q132" ca="1">IF(D132&lt;&gt;"", SUMPRODUCT((OFFSET(D132,0,0,K$16,1)=$T$24) +0),"")</f>
        <v/>
      </c>
      <c r="R132" t="str" cm="1">
        <f t="array" aca="1" ref="R132" ca="1">IF(E132&lt;&gt;"", SUMPRODUCT((OFFSET(E132,0,0,L$16,1)=$T$24) +0),"")</f>
        <v/>
      </c>
      <c r="AB132">
        <f t="shared" si="29"/>
        <v>0</v>
      </c>
      <c r="AC132">
        <f t="shared" si="30"/>
        <v>0</v>
      </c>
      <c r="AD132">
        <f t="shared" si="31"/>
        <v>1</v>
      </c>
      <c r="AE132">
        <f t="shared" si="32"/>
        <v>1</v>
      </c>
      <c r="AF132">
        <f t="shared" si="33"/>
        <v>0</v>
      </c>
      <c r="AG132">
        <f t="shared" si="34"/>
        <v>2</v>
      </c>
      <c r="AH132">
        <f t="shared" ca="1" si="36"/>
        <v>6.8812234594522988E-3</v>
      </c>
      <c r="AI132">
        <f>IF(ROW($AA132) - $AA$51 &lt; ($H$16+1)^5, IF(AG132 &gt;= FreeSpinsBonus!$C$16, AG132*FreeSpinsBonus!$E$31, 0), "")</f>
        <v>0</v>
      </c>
      <c r="AJ132">
        <f t="shared" ca="1" si="35"/>
        <v>0</v>
      </c>
      <c r="AK132" s="44"/>
    </row>
    <row r="133" spans="8:37" x14ac:dyDescent="0.3">
      <c r="H133" t="str" cm="1">
        <f t="array" aca="1" ref="H133" ca="1">IF(ROW(A133)-H$15 &lt; H$14,A133,IF(ROW(A133) - H$15 -H$16 + 1 &lt; H$14,INDIRECT(ADDRESS(MOD(ROW(A133) - H$15, H$14) + H$15, COLUMN(A133))),""))</f>
        <v/>
      </c>
      <c r="I133" t="str" cm="1">
        <f t="array" aca="1" ref="I133" ca="1">IF(ROW(B133)-I$15 &lt; I$14,B133,IF(ROW(B133) - I$15 -I$16 + 1 &lt; I$14,INDIRECT(ADDRESS(MOD(ROW(B133) - I$15, I$14) + I$15, COLUMN(B133))),""))</f>
        <v/>
      </c>
      <c r="J133" t="str" cm="1">
        <f t="array" aca="1" ref="J133" ca="1">IF(ROW(C133)-J$15 &lt; J$14,C133,IF(ROW(C133) - J$15 -J$16 + 1 &lt; J$14,INDIRECT(ADDRESS(MOD(ROW(C133) - J$15, J$14) + J$15, COLUMN(C133))),""))</f>
        <v/>
      </c>
      <c r="K133" t="str" cm="1">
        <f t="array" aca="1" ref="K133" ca="1">IF(ROW(D133)-K$15 &lt; K$14,D133,IF(ROW(D133) - K$15 -K$16 + 1 &lt; K$14,INDIRECT(ADDRESS(MOD(ROW(D133) - K$15, K$14) + K$15, COLUMN(D133))),""))</f>
        <v/>
      </c>
      <c r="L133" t="str" cm="1">
        <f t="array" aca="1" ref="L133" ca="1">IF(ROW(E133)-L$15 &lt; L$14,E133,IF(ROW(E133) - L$15 -L$16 + 1 &lt; L$14,INDIRECT(ADDRESS(MOD(ROW(E133) - L$15, L$14) + L$15, COLUMN(E133))),""))</f>
        <v/>
      </c>
      <c r="N133" t="str" cm="1">
        <f t="array" aca="1" ref="N133" ca="1">IF(A133&lt;&gt;"", SUMPRODUCT((OFFSET(A133,0,0,H$16,1)=$T$24) +0),"")</f>
        <v/>
      </c>
      <c r="O133" t="str" cm="1">
        <f t="array" aca="1" ref="O133" ca="1">IF(B133&lt;&gt;"", SUMPRODUCT((OFFSET(B133,0,0,I$16,1)=$T$24) +0),"")</f>
        <v/>
      </c>
      <c r="P133" t="str" cm="1">
        <f t="array" aca="1" ref="P133" ca="1">IF(C133&lt;&gt;"", SUMPRODUCT((OFFSET(C133,0,0,J$16,1)=$T$24) +0),"")</f>
        <v/>
      </c>
      <c r="Q133" t="str" cm="1">
        <f t="array" aca="1" ref="Q133" ca="1">IF(D133&lt;&gt;"", SUMPRODUCT((OFFSET(D133,0,0,K$16,1)=$T$24) +0),"")</f>
        <v/>
      </c>
      <c r="R133" t="str" cm="1">
        <f t="array" aca="1" ref="R133" ca="1">IF(E133&lt;&gt;"", SUMPRODUCT((OFFSET(E133,0,0,L$16,1)=$T$24) +0),"")</f>
        <v/>
      </c>
      <c r="AB133">
        <f t="shared" si="29"/>
        <v>1</v>
      </c>
      <c r="AC133">
        <f t="shared" si="30"/>
        <v>0</v>
      </c>
      <c r="AD133">
        <f t="shared" si="31"/>
        <v>1</v>
      </c>
      <c r="AE133">
        <f t="shared" si="32"/>
        <v>1</v>
      </c>
      <c r="AF133">
        <f t="shared" si="33"/>
        <v>0</v>
      </c>
      <c r="AG133">
        <f t="shared" si="34"/>
        <v>3</v>
      </c>
      <c r="AH133">
        <f t="shared" ca="1" si="36"/>
        <v>7.2635136516440921E-3</v>
      </c>
      <c r="AI133">
        <f>IF(ROW($AA133) - $AA$51 &lt; ($H$16+1)^5, IF(AG133 &gt;= FreeSpinsBonus!$C$16, AG133*FreeSpinsBonus!$E$31, 0), "")</f>
        <v>0</v>
      </c>
      <c r="AJ133">
        <f t="shared" ca="1" si="35"/>
        <v>0</v>
      </c>
      <c r="AK133" s="44"/>
    </row>
    <row r="134" spans="8:37" x14ac:dyDescent="0.3">
      <c r="H134" t="str" cm="1">
        <f t="array" aca="1" ref="H134" ca="1">IF(ROW(A134)-H$15 &lt; H$14,A134,IF(ROW(A134) - H$15 -H$16 + 1 &lt; H$14,INDIRECT(ADDRESS(MOD(ROW(A134) - H$15, H$14) + H$15, COLUMN(A134))),""))</f>
        <v/>
      </c>
      <c r="I134" t="str" cm="1">
        <f t="array" aca="1" ref="I134" ca="1">IF(ROW(B134)-I$15 &lt; I$14,B134,IF(ROW(B134) - I$15 -I$16 + 1 &lt; I$14,INDIRECT(ADDRESS(MOD(ROW(B134) - I$15, I$14) + I$15, COLUMN(B134))),""))</f>
        <v/>
      </c>
      <c r="J134" t="str" cm="1">
        <f t="array" aca="1" ref="J134" ca="1">IF(ROW(C134)-J$15 &lt; J$14,C134,IF(ROW(C134) - J$15 -J$16 + 1 &lt; J$14,INDIRECT(ADDRESS(MOD(ROW(C134) - J$15, J$14) + J$15, COLUMN(C134))),""))</f>
        <v/>
      </c>
      <c r="K134" t="str" cm="1">
        <f t="array" aca="1" ref="K134" ca="1">IF(ROW(D134)-K$15 &lt; K$14,D134,IF(ROW(D134) - K$15 -K$16 + 1 &lt; K$14,INDIRECT(ADDRESS(MOD(ROW(D134) - K$15, K$14) + K$15, COLUMN(D134))),""))</f>
        <v/>
      </c>
      <c r="L134" t="str" cm="1">
        <f t="array" aca="1" ref="L134" ca="1">IF(ROW(E134)-L$15 &lt; L$14,E134,IF(ROW(E134) - L$15 -L$16 + 1 &lt; L$14,INDIRECT(ADDRESS(MOD(ROW(E134) - L$15, L$14) + L$15, COLUMN(E134))),""))</f>
        <v/>
      </c>
      <c r="N134" t="str" cm="1">
        <f t="array" aca="1" ref="N134" ca="1">IF(A134&lt;&gt;"", SUMPRODUCT((OFFSET(A134,0,0,H$16,1)=$T$24) +0),"")</f>
        <v/>
      </c>
      <c r="O134" t="str" cm="1">
        <f t="array" aca="1" ref="O134" ca="1">IF(B134&lt;&gt;"", SUMPRODUCT((OFFSET(B134,0,0,I$16,1)=$T$24) +0),"")</f>
        <v/>
      </c>
      <c r="P134" t="str" cm="1">
        <f t="array" aca="1" ref="P134" ca="1">IF(C134&lt;&gt;"", SUMPRODUCT((OFFSET(C134,0,0,J$16,1)=$T$24) +0),"")</f>
        <v/>
      </c>
      <c r="Q134" t="str" cm="1">
        <f t="array" aca="1" ref="Q134" ca="1">IF(D134&lt;&gt;"", SUMPRODUCT((OFFSET(D134,0,0,K$16,1)=$T$24) +0),"")</f>
        <v/>
      </c>
      <c r="R134" t="str" cm="1">
        <f t="array" aca="1" ref="R134" ca="1">IF(E134&lt;&gt;"", SUMPRODUCT((OFFSET(E134,0,0,L$16,1)=$T$24) +0),"")</f>
        <v/>
      </c>
      <c r="AB134">
        <f t="shared" si="29"/>
        <v>2</v>
      </c>
      <c r="AC134">
        <f t="shared" si="30"/>
        <v>0</v>
      </c>
      <c r="AD134">
        <f t="shared" si="31"/>
        <v>1</v>
      </c>
      <c r="AE134">
        <f t="shared" si="32"/>
        <v>1</v>
      </c>
      <c r="AF134">
        <f t="shared" si="33"/>
        <v>0</v>
      </c>
      <c r="AG134">
        <f t="shared" si="34"/>
        <v>4</v>
      </c>
      <c r="AH134">
        <f t="shared" ca="1" si="36"/>
        <v>3.822901921917944E-3</v>
      </c>
      <c r="AI134">
        <f>IF(ROW($AA134) - $AA$51 &lt; ($H$16+1)^5, IF(AG134 &gt;= FreeSpinsBonus!$C$16, AG134*FreeSpinsBonus!$E$31, 0), "")</f>
        <v>0</v>
      </c>
      <c r="AJ134">
        <f t="shared" ca="1" si="35"/>
        <v>0</v>
      </c>
      <c r="AK134" s="44"/>
    </row>
    <row r="135" spans="8:37" x14ac:dyDescent="0.3">
      <c r="H135" t="str" cm="1">
        <f t="array" aca="1" ref="H135" ca="1">IF(ROW(A135)-H$15 &lt; H$14,A135,IF(ROW(A135) - H$15 -H$16 + 1 &lt; H$14,INDIRECT(ADDRESS(MOD(ROW(A135) - H$15, H$14) + H$15, COLUMN(A135))),""))</f>
        <v/>
      </c>
      <c r="I135" t="str" cm="1">
        <f t="array" aca="1" ref="I135" ca="1">IF(ROW(B135)-I$15 &lt; I$14,B135,IF(ROW(B135) - I$15 -I$16 + 1 &lt; I$14,INDIRECT(ADDRESS(MOD(ROW(B135) - I$15, I$14) + I$15, COLUMN(B135))),""))</f>
        <v/>
      </c>
      <c r="J135" t="str" cm="1">
        <f t="array" aca="1" ref="J135" ca="1">IF(ROW(C135)-J$15 &lt; J$14,C135,IF(ROW(C135) - J$15 -J$16 + 1 &lt; J$14,INDIRECT(ADDRESS(MOD(ROW(C135) - J$15, J$14) + J$15, COLUMN(C135))),""))</f>
        <v/>
      </c>
      <c r="K135" t="str" cm="1">
        <f t="array" aca="1" ref="K135" ca="1">IF(ROW(D135)-K$15 &lt; K$14,D135,IF(ROW(D135) - K$15 -K$16 + 1 &lt; K$14,INDIRECT(ADDRESS(MOD(ROW(D135) - K$15, K$14) + K$15, COLUMN(D135))),""))</f>
        <v/>
      </c>
      <c r="L135" t="str" cm="1">
        <f t="array" aca="1" ref="L135" ca="1">IF(ROW(E135)-L$15 &lt; L$14,E135,IF(ROW(E135) - L$15 -L$16 + 1 &lt; L$14,INDIRECT(ADDRESS(MOD(ROW(E135) - L$15, L$14) + L$15, COLUMN(E135))),""))</f>
        <v/>
      </c>
      <c r="N135" t="str" cm="1">
        <f t="array" aca="1" ref="N135" ca="1">IF(A135&lt;&gt;"", SUMPRODUCT((OFFSET(A135,0,0,H$16,1)=$T$24) +0),"")</f>
        <v/>
      </c>
      <c r="O135" t="str" cm="1">
        <f t="array" aca="1" ref="O135" ca="1">IF(B135&lt;&gt;"", SUMPRODUCT((OFFSET(B135,0,0,I$16,1)=$T$24) +0),"")</f>
        <v/>
      </c>
      <c r="P135" t="str" cm="1">
        <f t="array" aca="1" ref="P135" ca="1">IF(C135&lt;&gt;"", SUMPRODUCT((OFFSET(C135,0,0,J$16,1)=$T$24) +0),"")</f>
        <v/>
      </c>
      <c r="Q135" t="str" cm="1">
        <f t="array" aca="1" ref="Q135" ca="1">IF(D135&lt;&gt;"", SUMPRODUCT((OFFSET(D135,0,0,K$16,1)=$T$24) +0),"")</f>
        <v/>
      </c>
      <c r="R135" t="str" cm="1">
        <f t="array" aca="1" ref="R135" ca="1">IF(E135&lt;&gt;"", SUMPRODUCT((OFFSET(E135,0,0,L$16,1)=$T$24) +0),"")</f>
        <v/>
      </c>
      <c r="AB135">
        <f t="shared" si="29"/>
        <v>3</v>
      </c>
      <c r="AC135">
        <f t="shared" si="30"/>
        <v>0</v>
      </c>
      <c r="AD135">
        <f t="shared" si="31"/>
        <v>1</v>
      </c>
      <c r="AE135">
        <f t="shared" si="32"/>
        <v>1</v>
      </c>
      <c r="AF135">
        <f t="shared" si="33"/>
        <v>0</v>
      </c>
      <c r="AG135">
        <f t="shared" si="34"/>
        <v>5</v>
      </c>
      <c r="AH135">
        <f t="shared" ca="1" si="36"/>
        <v>0</v>
      </c>
      <c r="AI135">
        <f>IF(ROW($AA135) - $AA$51 &lt; ($H$16+1)^5, IF(AG135 &gt;= FreeSpinsBonus!$C$16, AG135*FreeSpinsBonus!$E$31, 0), "")</f>
        <v>7.2865053920139902</v>
      </c>
      <c r="AJ135">
        <f t="shared" ca="1" si="35"/>
        <v>0</v>
      </c>
      <c r="AK135" s="44"/>
    </row>
    <row r="136" spans="8:37" x14ac:dyDescent="0.3">
      <c r="H136" t="str" cm="1">
        <f t="array" aca="1" ref="H136" ca="1">IF(ROW(A136)-H$15 &lt; H$14,A136,IF(ROW(A136) - H$15 -H$16 + 1 &lt; H$14,INDIRECT(ADDRESS(MOD(ROW(A136) - H$15, H$14) + H$15, COLUMN(A136))),""))</f>
        <v/>
      </c>
      <c r="I136" t="str" cm="1">
        <f t="array" aca="1" ref="I136" ca="1">IF(ROW(B136)-I$15 &lt; I$14,B136,IF(ROW(B136) - I$15 -I$16 + 1 &lt; I$14,INDIRECT(ADDRESS(MOD(ROW(B136) - I$15, I$14) + I$15, COLUMN(B136))),""))</f>
        <v/>
      </c>
      <c r="J136" t="str" cm="1">
        <f t="array" aca="1" ref="J136" ca="1">IF(ROW(C136)-J$15 &lt; J$14,C136,IF(ROW(C136) - J$15 -J$16 + 1 &lt; J$14,INDIRECT(ADDRESS(MOD(ROW(C136) - J$15, J$14) + J$15, COLUMN(C136))),""))</f>
        <v/>
      </c>
      <c r="K136" t="str" cm="1">
        <f t="array" aca="1" ref="K136" ca="1">IF(ROW(D136)-K$15 &lt; K$14,D136,IF(ROW(D136) - K$15 -K$16 + 1 &lt; K$14,INDIRECT(ADDRESS(MOD(ROW(D136) - K$15, K$14) + K$15, COLUMN(D136))),""))</f>
        <v/>
      </c>
      <c r="L136" t="str" cm="1">
        <f t="array" aca="1" ref="L136" ca="1">IF(ROW(E136)-L$15 &lt; L$14,E136,IF(ROW(E136) - L$15 -L$16 + 1 &lt; L$14,INDIRECT(ADDRESS(MOD(ROW(E136) - L$15, L$14) + L$15, COLUMN(E136))),""))</f>
        <v/>
      </c>
      <c r="N136" t="str" cm="1">
        <f t="array" aca="1" ref="N136" ca="1">IF(A136&lt;&gt;"", SUMPRODUCT((OFFSET(A136,0,0,H$16,1)=$T$24) +0),"")</f>
        <v/>
      </c>
      <c r="O136" t="str" cm="1">
        <f t="array" aca="1" ref="O136" ca="1">IF(B136&lt;&gt;"", SUMPRODUCT((OFFSET(B136,0,0,I$16,1)=$T$24) +0),"")</f>
        <v/>
      </c>
      <c r="P136" t="str" cm="1">
        <f t="array" aca="1" ref="P136" ca="1">IF(C136&lt;&gt;"", SUMPRODUCT((OFFSET(C136,0,0,J$16,1)=$T$24) +0),"")</f>
        <v/>
      </c>
      <c r="Q136" t="str" cm="1">
        <f t="array" aca="1" ref="Q136" ca="1">IF(D136&lt;&gt;"", SUMPRODUCT((OFFSET(D136,0,0,K$16,1)=$T$24) +0),"")</f>
        <v/>
      </c>
      <c r="R136" t="str" cm="1">
        <f t="array" aca="1" ref="R136" ca="1">IF(E136&lt;&gt;"", SUMPRODUCT((OFFSET(E136,0,0,L$16,1)=$T$24) +0),"")</f>
        <v/>
      </c>
      <c r="AB136">
        <f t="shared" si="29"/>
        <v>0</v>
      </c>
      <c r="AC136">
        <f t="shared" si="30"/>
        <v>1</v>
      </c>
      <c r="AD136">
        <f t="shared" si="31"/>
        <v>1</v>
      </c>
      <c r="AE136">
        <f t="shared" si="32"/>
        <v>1</v>
      </c>
      <c r="AF136">
        <f t="shared" si="33"/>
        <v>0</v>
      </c>
      <c r="AG136">
        <f t="shared" si="34"/>
        <v>3</v>
      </c>
      <c r="AH136">
        <f t="shared" ca="1" si="36"/>
        <v>6.8812234594522988E-3</v>
      </c>
      <c r="AI136">
        <f>IF(ROW($AA136) - $AA$51 &lt; ($H$16+1)^5, IF(AG136 &gt;= FreeSpinsBonus!$C$16, AG136*FreeSpinsBonus!$E$31, 0), "")</f>
        <v>0</v>
      </c>
      <c r="AJ136">
        <f t="shared" ca="1" si="35"/>
        <v>0</v>
      </c>
      <c r="AK136" s="44"/>
    </row>
    <row r="137" spans="8:37" x14ac:dyDescent="0.3">
      <c r="H137" t="str" cm="1">
        <f t="array" aca="1" ref="H137" ca="1">IF(ROW(A137)-H$15 &lt; H$14,A137,IF(ROW(A137) - H$15 -H$16 + 1 &lt; H$14,INDIRECT(ADDRESS(MOD(ROW(A137) - H$15, H$14) + H$15, COLUMN(A137))),""))</f>
        <v/>
      </c>
      <c r="I137" t="str" cm="1">
        <f t="array" aca="1" ref="I137" ca="1">IF(ROW(B137)-I$15 &lt; I$14,B137,IF(ROW(B137) - I$15 -I$16 + 1 &lt; I$14,INDIRECT(ADDRESS(MOD(ROW(B137) - I$15, I$14) + I$15, COLUMN(B137))),""))</f>
        <v/>
      </c>
      <c r="J137" t="str" cm="1">
        <f t="array" aca="1" ref="J137" ca="1">IF(ROW(C137)-J$15 &lt; J$14,C137,IF(ROW(C137) - J$15 -J$16 + 1 &lt; J$14,INDIRECT(ADDRESS(MOD(ROW(C137) - J$15, J$14) + J$15, COLUMN(C137))),""))</f>
        <v/>
      </c>
      <c r="K137" t="str" cm="1">
        <f t="array" aca="1" ref="K137" ca="1">IF(ROW(D137)-K$15 &lt; K$14,D137,IF(ROW(D137) - K$15 -K$16 + 1 &lt; K$14,INDIRECT(ADDRESS(MOD(ROW(D137) - K$15, K$14) + K$15, COLUMN(D137))),""))</f>
        <v/>
      </c>
      <c r="L137" t="str" cm="1">
        <f t="array" aca="1" ref="L137" ca="1">IF(ROW(E137)-L$15 &lt; L$14,E137,IF(ROW(E137) - L$15 -L$16 + 1 &lt; L$14,INDIRECT(ADDRESS(MOD(ROW(E137) - L$15, L$14) + L$15, COLUMN(E137))),""))</f>
        <v/>
      </c>
      <c r="N137" t="str" cm="1">
        <f t="array" aca="1" ref="N137" ca="1">IF(A137&lt;&gt;"", SUMPRODUCT((OFFSET(A137,0,0,H$16,1)=$T$24) +0),"")</f>
        <v/>
      </c>
      <c r="O137" t="str" cm="1">
        <f t="array" aca="1" ref="O137" ca="1">IF(B137&lt;&gt;"", SUMPRODUCT((OFFSET(B137,0,0,I$16,1)=$T$24) +0),"")</f>
        <v/>
      </c>
      <c r="P137" t="str" cm="1">
        <f t="array" aca="1" ref="P137" ca="1">IF(C137&lt;&gt;"", SUMPRODUCT((OFFSET(C137,0,0,J$16,1)=$T$24) +0),"")</f>
        <v/>
      </c>
      <c r="Q137" t="str" cm="1">
        <f t="array" aca="1" ref="Q137" ca="1">IF(D137&lt;&gt;"", SUMPRODUCT((OFFSET(D137,0,0,K$16,1)=$T$24) +0),"")</f>
        <v/>
      </c>
      <c r="R137" t="str" cm="1">
        <f t="array" aca="1" ref="R137" ca="1">IF(E137&lt;&gt;"", SUMPRODUCT((OFFSET(E137,0,0,L$16,1)=$T$24) +0),"")</f>
        <v/>
      </c>
      <c r="AB137">
        <f t="shared" si="29"/>
        <v>1</v>
      </c>
      <c r="AC137">
        <f t="shared" si="30"/>
        <v>1</v>
      </c>
      <c r="AD137">
        <f t="shared" si="31"/>
        <v>1</v>
      </c>
      <c r="AE137">
        <f t="shared" si="32"/>
        <v>1</v>
      </c>
      <c r="AF137">
        <f t="shared" si="33"/>
        <v>0</v>
      </c>
      <c r="AG137">
        <f t="shared" si="34"/>
        <v>4</v>
      </c>
      <c r="AH137">
        <f t="shared" ca="1" si="36"/>
        <v>7.2635136516440921E-3</v>
      </c>
      <c r="AI137">
        <f>IF(ROW($AA137) - $AA$51 &lt; ($H$16+1)^5, IF(AG137 &gt;= FreeSpinsBonus!$C$16, AG137*FreeSpinsBonus!$E$31, 0), "")</f>
        <v>0</v>
      </c>
      <c r="AJ137">
        <f t="shared" ca="1" si="35"/>
        <v>0</v>
      </c>
      <c r="AK137" s="44"/>
    </row>
    <row r="138" spans="8:37" x14ac:dyDescent="0.3">
      <c r="H138" t="str" cm="1">
        <f t="array" aca="1" ref="H138" ca="1">IF(ROW(A138)-H$15 &lt; H$14,A138,IF(ROW(A138) - H$15 -H$16 + 1 &lt; H$14,INDIRECT(ADDRESS(MOD(ROW(A138) - H$15, H$14) + H$15, COLUMN(A138))),""))</f>
        <v/>
      </c>
      <c r="I138" t="str" cm="1">
        <f t="array" aca="1" ref="I138" ca="1">IF(ROW(B138)-I$15 &lt; I$14,B138,IF(ROW(B138) - I$15 -I$16 + 1 &lt; I$14,INDIRECT(ADDRESS(MOD(ROW(B138) - I$15, I$14) + I$15, COLUMN(B138))),""))</f>
        <v/>
      </c>
      <c r="J138" t="str" cm="1">
        <f t="array" aca="1" ref="J138" ca="1">IF(ROW(C138)-J$15 &lt; J$14,C138,IF(ROW(C138) - J$15 -J$16 + 1 &lt; J$14,INDIRECT(ADDRESS(MOD(ROW(C138) - J$15, J$14) + J$15, COLUMN(C138))),""))</f>
        <v/>
      </c>
      <c r="K138" t="str" cm="1">
        <f t="array" aca="1" ref="K138" ca="1">IF(ROW(D138)-K$15 &lt; K$14,D138,IF(ROW(D138) - K$15 -K$16 + 1 &lt; K$14,INDIRECT(ADDRESS(MOD(ROW(D138) - K$15, K$14) + K$15, COLUMN(D138))),""))</f>
        <v/>
      </c>
      <c r="L138" t="str" cm="1">
        <f t="array" aca="1" ref="L138" ca="1">IF(ROW(E138)-L$15 &lt; L$14,E138,IF(ROW(E138) - L$15 -L$16 + 1 &lt; L$14,INDIRECT(ADDRESS(MOD(ROW(E138) - L$15, L$14) + L$15, COLUMN(E138))),""))</f>
        <v/>
      </c>
      <c r="N138" t="str" cm="1">
        <f t="array" aca="1" ref="N138" ca="1">IF(A138&lt;&gt;"", SUMPRODUCT((OFFSET(A138,0,0,H$16,1)=$T$24) +0),"")</f>
        <v/>
      </c>
      <c r="O138" t="str" cm="1">
        <f t="array" aca="1" ref="O138" ca="1">IF(B138&lt;&gt;"", SUMPRODUCT((OFFSET(B138,0,0,I$16,1)=$T$24) +0),"")</f>
        <v/>
      </c>
      <c r="P138" t="str" cm="1">
        <f t="array" aca="1" ref="P138" ca="1">IF(C138&lt;&gt;"", SUMPRODUCT((OFFSET(C138,0,0,J$16,1)=$T$24) +0),"")</f>
        <v/>
      </c>
      <c r="Q138" t="str" cm="1">
        <f t="array" aca="1" ref="Q138" ca="1">IF(D138&lt;&gt;"", SUMPRODUCT((OFFSET(D138,0,0,K$16,1)=$T$24) +0),"")</f>
        <v/>
      </c>
      <c r="R138" t="str" cm="1">
        <f t="array" aca="1" ref="R138" ca="1">IF(E138&lt;&gt;"", SUMPRODUCT((OFFSET(E138,0,0,L$16,1)=$T$24) +0),"")</f>
        <v/>
      </c>
      <c r="AB138">
        <f t="shared" si="29"/>
        <v>2</v>
      </c>
      <c r="AC138">
        <f t="shared" si="30"/>
        <v>1</v>
      </c>
      <c r="AD138">
        <f t="shared" si="31"/>
        <v>1</v>
      </c>
      <c r="AE138">
        <f t="shared" si="32"/>
        <v>1</v>
      </c>
      <c r="AF138">
        <f t="shared" si="33"/>
        <v>0</v>
      </c>
      <c r="AG138">
        <f t="shared" si="34"/>
        <v>5</v>
      </c>
      <c r="AH138">
        <f t="shared" ca="1" si="36"/>
        <v>3.822901921917944E-3</v>
      </c>
      <c r="AI138">
        <f>IF(ROW($AA138) - $AA$51 &lt; ($H$16+1)^5, IF(AG138 &gt;= FreeSpinsBonus!$C$16, AG138*FreeSpinsBonus!$E$31, 0), "")</f>
        <v>7.2865053920139902</v>
      </c>
      <c r="AJ138">
        <f t="shared" ca="1" si="35"/>
        <v>2.7855595467195744E-2</v>
      </c>
      <c r="AK138" s="44"/>
    </row>
    <row r="139" spans="8:37" x14ac:dyDescent="0.3">
      <c r="H139" t="str" cm="1">
        <f t="array" aca="1" ref="H139" ca="1">IF(ROW(A139)-H$15 &lt; H$14,A139,IF(ROW(A139) - H$15 -H$16 + 1 &lt; H$14,INDIRECT(ADDRESS(MOD(ROW(A139) - H$15, H$14) + H$15, COLUMN(A139))),""))</f>
        <v/>
      </c>
      <c r="I139" t="str" cm="1">
        <f t="array" aca="1" ref="I139" ca="1">IF(ROW(B139)-I$15 &lt; I$14,B139,IF(ROW(B139) - I$15 -I$16 + 1 &lt; I$14,INDIRECT(ADDRESS(MOD(ROW(B139) - I$15, I$14) + I$15, COLUMN(B139))),""))</f>
        <v/>
      </c>
      <c r="J139" t="str" cm="1">
        <f t="array" aca="1" ref="J139" ca="1">IF(ROW(C139)-J$15 &lt; J$14,C139,IF(ROW(C139) - J$15 -J$16 + 1 &lt; J$14,INDIRECT(ADDRESS(MOD(ROW(C139) - J$15, J$14) + J$15, COLUMN(C139))),""))</f>
        <v/>
      </c>
      <c r="K139" t="str" cm="1">
        <f t="array" aca="1" ref="K139" ca="1">IF(ROW(D139)-K$15 &lt; K$14,D139,IF(ROW(D139) - K$15 -K$16 + 1 &lt; K$14,INDIRECT(ADDRESS(MOD(ROW(D139) - K$15, K$14) + K$15, COLUMN(D139))),""))</f>
        <v/>
      </c>
      <c r="L139" t="str" cm="1">
        <f t="array" aca="1" ref="L139" ca="1">IF(ROW(E139)-L$15 &lt; L$14,E139,IF(ROW(E139) - L$15 -L$16 + 1 &lt; L$14,INDIRECT(ADDRESS(MOD(ROW(E139) - L$15, L$14) + L$15, COLUMN(E139))),""))</f>
        <v/>
      </c>
      <c r="N139" t="str" cm="1">
        <f t="array" aca="1" ref="N139" ca="1">IF(A139&lt;&gt;"", SUMPRODUCT((OFFSET(A139,0,0,H$16,1)=$T$24) +0),"")</f>
        <v/>
      </c>
      <c r="O139" t="str" cm="1">
        <f t="array" aca="1" ref="O139" ca="1">IF(B139&lt;&gt;"", SUMPRODUCT((OFFSET(B139,0,0,I$16,1)=$T$24) +0),"")</f>
        <v/>
      </c>
      <c r="P139" t="str" cm="1">
        <f t="array" aca="1" ref="P139" ca="1">IF(C139&lt;&gt;"", SUMPRODUCT((OFFSET(C139,0,0,J$16,1)=$T$24) +0),"")</f>
        <v/>
      </c>
      <c r="Q139" t="str" cm="1">
        <f t="array" aca="1" ref="Q139" ca="1">IF(D139&lt;&gt;"", SUMPRODUCT((OFFSET(D139,0,0,K$16,1)=$T$24) +0),"")</f>
        <v/>
      </c>
      <c r="R139" t="str" cm="1">
        <f t="array" aca="1" ref="R139" ca="1">IF(E139&lt;&gt;"", SUMPRODUCT((OFFSET(E139,0,0,L$16,1)=$T$24) +0),"")</f>
        <v/>
      </c>
      <c r="AB139">
        <f t="shared" si="29"/>
        <v>3</v>
      </c>
      <c r="AC139">
        <f t="shared" si="30"/>
        <v>1</v>
      </c>
      <c r="AD139">
        <f t="shared" si="31"/>
        <v>1</v>
      </c>
      <c r="AE139">
        <f t="shared" si="32"/>
        <v>1</v>
      </c>
      <c r="AF139">
        <f t="shared" si="33"/>
        <v>0</v>
      </c>
      <c r="AG139">
        <f t="shared" si="34"/>
        <v>6</v>
      </c>
      <c r="AH139">
        <f t="shared" ca="1" si="36"/>
        <v>0</v>
      </c>
      <c r="AI139">
        <f>IF(ROW($AA139) - $AA$51 &lt; ($H$16+1)^5, IF(AG139 &gt;= FreeSpinsBonus!$C$16, AG139*FreeSpinsBonus!$E$31, 0), "")</f>
        <v>8.7438064704167875</v>
      </c>
      <c r="AJ139">
        <f t="shared" ca="1" si="35"/>
        <v>0</v>
      </c>
      <c r="AK139" s="44"/>
    </row>
    <row r="140" spans="8:37" x14ac:dyDescent="0.3">
      <c r="H140" t="str" cm="1">
        <f t="array" aca="1" ref="H140" ca="1">IF(ROW(A140)-H$15 &lt; H$14,A140,IF(ROW(A140) - H$15 -H$16 + 1 &lt; H$14,INDIRECT(ADDRESS(MOD(ROW(A140) - H$15, H$14) + H$15, COLUMN(A140))),""))</f>
        <v/>
      </c>
      <c r="I140" t="str" cm="1">
        <f t="array" aca="1" ref="I140" ca="1">IF(ROW(B140)-I$15 &lt; I$14,B140,IF(ROW(B140) - I$15 -I$16 + 1 &lt; I$14,INDIRECT(ADDRESS(MOD(ROW(B140) - I$15, I$14) + I$15, COLUMN(B140))),""))</f>
        <v/>
      </c>
      <c r="J140" t="str" cm="1">
        <f t="array" aca="1" ref="J140" ca="1">IF(ROW(C140)-J$15 &lt; J$14,C140,IF(ROW(C140) - J$15 -J$16 + 1 &lt; J$14,INDIRECT(ADDRESS(MOD(ROW(C140) - J$15, J$14) + J$15, COLUMN(C140))),""))</f>
        <v/>
      </c>
      <c r="K140" t="str" cm="1">
        <f t="array" aca="1" ref="K140" ca="1">IF(ROW(D140)-K$15 &lt; K$14,D140,IF(ROW(D140) - K$15 -K$16 + 1 &lt; K$14,INDIRECT(ADDRESS(MOD(ROW(D140) - K$15, K$14) + K$15, COLUMN(D140))),""))</f>
        <v/>
      </c>
      <c r="L140" t="str" cm="1">
        <f t="array" aca="1" ref="L140" ca="1">IF(ROW(E140)-L$15 &lt; L$14,E140,IF(ROW(E140) - L$15 -L$16 + 1 &lt; L$14,INDIRECT(ADDRESS(MOD(ROW(E140) - L$15, L$14) + L$15, COLUMN(E140))),""))</f>
        <v/>
      </c>
      <c r="N140" t="str" cm="1">
        <f t="array" aca="1" ref="N140" ca="1">IF(A140&lt;&gt;"", SUMPRODUCT((OFFSET(A140,0,0,H$16,1)=$T$24) +0),"")</f>
        <v/>
      </c>
      <c r="O140" t="str" cm="1">
        <f t="array" aca="1" ref="O140" ca="1">IF(B140&lt;&gt;"", SUMPRODUCT((OFFSET(B140,0,0,I$16,1)=$T$24) +0),"")</f>
        <v/>
      </c>
      <c r="P140" t="str" cm="1">
        <f t="array" aca="1" ref="P140" ca="1">IF(C140&lt;&gt;"", SUMPRODUCT((OFFSET(C140,0,0,J$16,1)=$T$24) +0),"")</f>
        <v/>
      </c>
      <c r="Q140" t="str" cm="1">
        <f t="array" aca="1" ref="Q140" ca="1">IF(D140&lt;&gt;"", SUMPRODUCT((OFFSET(D140,0,0,K$16,1)=$T$24) +0),"")</f>
        <v/>
      </c>
      <c r="R140" t="str" cm="1">
        <f t="array" aca="1" ref="R140" ca="1">IF(E140&lt;&gt;"", SUMPRODUCT((OFFSET(E140,0,0,L$16,1)=$T$24) +0),"")</f>
        <v/>
      </c>
      <c r="AB140">
        <f t="shared" si="29"/>
        <v>0</v>
      </c>
      <c r="AC140">
        <f t="shared" si="30"/>
        <v>2</v>
      </c>
      <c r="AD140">
        <f t="shared" si="31"/>
        <v>1</v>
      </c>
      <c r="AE140">
        <f t="shared" si="32"/>
        <v>1</v>
      </c>
      <c r="AF140">
        <f t="shared" si="33"/>
        <v>0</v>
      </c>
      <c r="AG140">
        <f t="shared" si="34"/>
        <v>4</v>
      </c>
      <c r="AH140">
        <f t="shared" ca="1" si="36"/>
        <v>6.8812234594522988E-3</v>
      </c>
      <c r="AI140">
        <f>IF(ROW($AA140) - $AA$51 &lt; ($H$16+1)^5, IF(AG140 &gt;= FreeSpinsBonus!$C$16, AG140*FreeSpinsBonus!$E$31, 0), "")</f>
        <v>0</v>
      </c>
      <c r="AJ140">
        <f t="shared" ca="1" si="35"/>
        <v>0</v>
      </c>
      <c r="AK140" s="44"/>
    </row>
    <row r="141" spans="8:37" x14ac:dyDescent="0.3">
      <c r="H141" t="str" cm="1">
        <f t="array" aca="1" ref="H141" ca="1">IF(ROW(A141)-H$15 &lt; H$14,A141,IF(ROW(A141) - H$15 -H$16 + 1 &lt; H$14,INDIRECT(ADDRESS(MOD(ROW(A141) - H$15, H$14) + H$15, COLUMN(A141))),""))</f>
        <v/>
      </c>
      <c r="I141" t="str" cm="1">
        <f t="array" aca="1" ref="I141" ca="1">IF(ROW(B141)-I$15 &lt; I$14,B141,IF(ROW(B141) - I$15 -I$16 + 1 &lt; I$14,INDIRECT(ADDRESS(MOD(ROW(B141) - I$15, I$14) + I$15, COLUMN(B141))),""))</f>
        <v/>
      </c>
      <c r="J141" t="str" cm="1">
        <f t="array" aca="1" ref="J141" ca="1">IF(ROW(C141)-J$15 &lt; J$14,C141,IF(ROW(C141) - J$15 -J$16 + 1 &lt; J$14,INDIRECT(ADDRESS(MOD(ROW(C141) - J$15, J$14) + J$15, COLUMN(C141))),""))</f>
        <v/>
      </c>
      <c r="K141" t="str" cm="1">
        <f t="array" aca="1" ref="K141" ca="1">IF(ROW(D141)-K$15 &lt; K$14,D141,IF(ROW(D141) - K$15 -K$16 + 1 &lt; K$14,INDIRECT(ADDRESS(MOD(ROW(D141) - K$15, K$14) + K$15, COLUMN(D141))),""))</f>
        <v/>
      </c>
      <c r="L141" t="str" cm="1">
        <f t="array" aca="1" ref="L141" ca="1">IF(ROW(E141)-L$15 &lt; L$14,E141,IF(ROW(E141) - L$15 -L$16 + 1 &lt; L$14,INDIRECT(ADDRESS(MOD(ROW(E141) - L$15, L$14) + L$15, COLUMN(E141))),""))</f>
        <v/>
      </c>
      <c r="N141" t="str" cm="1">
        <f t="array" aca="1" ref="N141" ca="1">IF(A141&lt;&gt;"", SUMPRODUCT((OFFSET(A141,0,0,H$16,1)=$T$24) +0),"")</f>
        <v/>
      </c>
      <c r="O141" t="str" cm="1">
        <f t="array" aca="1" ref="O141" ca="1">IF(B141&lt;&gt;"", SUMPRODUCT((OFFSET(B141,0,0,I$16,1)=$T$24) +0),"")</f>
        <v/>
      </c>
      <c r="P141" t="str" cm="1">
        <f t="array" aca="1" ref="P141" ca="1">IF(C141&lt;&gt;"", SUMPRODUCT((OFFSET(C141,0,0,J$16,1)=$T$24) +0),"")</f>
        <v/>
      </c>
      <c r="Q141" t="str" cm="1">
        <f t="array" aca="1" ref="Q141" ca="1">IF(D141&lt;&gt;"", SUMPRODUCT((OFFSET(D141,0,0,K$16,1)=$T$24) +0),"")</f>
        <v/>
      </c>
      <c r="R141" t="str" cm="1">
        <f t="array" aca="1" ref="R141" ca="1">IF(E141&lt;&gt;"", SUMPRODUCT((OFFSET(E141,0,0,L$16,1)=$T$24) +0),"")</f>
        <v/>
      </c>
      <c r="AB141">
        <f t="shared" si="29"/>
        <v>1</v>
      </c>
      <c r="AC141">
        <f t="shared" si="30"/>
        <v>2</v>
      </c>
      <c r="AD141">
        <f t="shared" si="31"/>
        <v>1</v>
      </c>
      <c r="AE141">
        <f t="shared" si="32"/>
        <v>1</v>
      </c>
      <c r="AF141">
        <f t="shared" si="33"/>
        <v>0</v>
      </c>
      <c r="AG141">
        <f t="shared" si="34"/>
        <v>5</v>
      </c>
      <c r="AH141">
        <f t="shared" ca="1" si="36"/>
        <v>7.2635136516440921E-3</v>
      </c>
      <c r="AI141">
        <f>IF(ROW($AA141) - $AA$51 &lt; ($H$16+1)^5, IF(AG141 &gt;= FreeSpinsBonus!$C$16, AG141*FreeSpinsBonus!$E$31, 0), "")</f>
        <v>7.2865053920139902</v>
      </c>
      <c r="AJ141">
        <f t="shared" ca="1" si="35"/>
        <v>5.2925631387671902E-2</v>
      </c>
      <c r="AK141" s="44"/>
    </row>
    <row r="142" spans="8:37" x14ac:dyDescent="0.3">
      <c r="H142" t="str" cm="1">
        <f t="array" aca="1" ref="H142" ca="1">IF(ROW(A142)-H$15 &lt; H$14,A142,IF(ROW(A142) - H$15 -H$16 + 1 &lt; H$14,INDIRECT(ADDRESS(MOD(ROW(A142) - H$15, H$14) + H$15, COLUMN(A142))),""))</f>
        <v/>
      </c>
      <c r="I142" t="str" cm="1">
        <f t="array" aca="1" ref="I142" ca="1">IF(ROW(B142)-I$15 &lt; I$14,B142,IF(ROW(B142) - I$15 -I$16 + 1 &lt; I$14,INDIRECT(ADDRESS(MOD(ROW(B142) - I$15, I$14) + I$15, COLUMN(B142))),""))</f>
        <v/>
      </c>
      <c r="J142" t="str" cm="1">
        <f t="array" aca="1" ref="J142" ca="1">IF(ROW(C142)-J$15 &lt; J$14,C142,IF(ROW(C142) - J$15 -J$16 + 1 &lt; J$14,INDIRECT(ADDRESS(MOD(ROW(C142) - J$15, J$14) + J$15, COLUMN(C142))),""))</f>
        <v/>
      </c>
      <c r="K142" t="str" cm="1">
        <f t="array" aca="1" ref="K142" ca="1">IF(ROW(D142)-K$15 &lt; K$14,D142,IF(ROW(D142) - K$15 -K$16 + 1 &lt; K$14,INDIRECT(ADDRESS(MOD(ROW(D142) - K$15, K$14) + K$15, COLUMN(D142))),""))</f>
        <v/>
      </c>
      <c r="L142" t="str" cm="1">
        <f t="array" aca="1" ref="L142" ca="1">IF(ROW(E142)-L$15 &lt; L$14,E142,IF(ROW(E142) - L$15 -L$16 + 1 &lt; L$14,INDIRECT(ADDRESS(MOD(ROW(E142) - L$15, L$14) + L$15, COLUMN(E142))),""))</f>
        <v/>
      </c>
      <c r="N142" t="str" cm="1">
        <f t="array" aca="1" ref="N142" ca="1">IF(A142&lt;&gt;"", SUMPRODUCT((OFFSET(A142,0,0,H$16,1)=$T$24) +0),"")</f>
        <v/>
      </c>
      <c r="O142" t="str" cm="1">
        <f t="array" aca="1" ref="O142" ca="1">IF(B142&lt;&gt;"", SUMPRODUCT((OFFSET(B142,0,0,I$16,1)=$T$24) +0),"")</f>
        <v/>
      </c>
      <c r="P142" t="str" cm="1">
        <f t="array" aca="1" ref="P142" ca="1">IF(C142&lt;&gt;"", SUMPRODUCT((OFFSET(C142,0,0,J$16,1)=$T$24) +0),"")</f>
        <v/>
      </c>
      <c r="Q142" t="str" cm="1">
        <f t="array" aca="1" ref="Q142" ca="1">IF(D142&lt;&gt;"", SUMPRODUCT((OFFSET(D142,0,0,K$16,1)=$T$24) +0),"")</f>
        <v/>
      </c>
      <c r="R142" t="str" cm="1">
        <f t="array" aca="1" ref="R142" ca="1">IF(E142&lt;&gt;"", SUMPRODUCT((OFFSET(E142,0,0,L$16,1)=$T$24) +0),"")</f>
        <v/>
      </c>
      <c r="AB142">
        <f t="shared" si="29"/>
        <v>2</v>
      </c>
      <c r="AC142">
        <f t="shared" si="30"/>
        <v>2</v>
      </c>
      <c r="AD142">
        <f t="shared" si="31"/>
        <v>1</v>
      </c>
      <c r="AE142">
        <f t="shared" si="32"/>
        <v>1</v>
      </c>
      <c r="AF142">
        <f t="shared" si="33"/>
        <v>0</v>
      </c>
      <c r="AG142">
        <f t="shared" si="34"/>
        <v>6</v>
      </c>
      <c r="AH142">
        <f t="shared" ca="1" si="36"/>
        <v>3.822901921917944E-3</v>
      </c>
      <c r="AI142">
        <f>IF(ROW($AA142) - $AA$51 &lt; ($H$16+1)^5, IF(AG142 &gt;= FreeSpinsBonus!$C$16, AG142*FreeSpinsBonus!$E$31, 0), "")</f>
        <v>8.7438064704167875</v>
      </c>
      <c r="AJ142">
        <f t="shared" ca="1" si="35"/>
        <v>3.3426714560634889E-2</v>
      </c>
      <c r="AK142" s="44"/>
    </row>
    <row r="143" spans="8:37" x14ac:dyDescent="0.3">
      <c r="H143" t="str" cm="1">
        <f t="array" aca="1" ref="H143" ca="1">IF(ROW(A143)-H$15 &lt; H$14,A143,IF(ROW(A143) - H$15 -H$16 + 1 &lt; H$14,INDIRECT(ADDRESS(MOD(ROW(A143) - H$15, H$14) + H$15, COLUMN(A143))),""))</f>
        <v/>
      </c>
      <c r="I143" t="str" cm="1">
        <f t="array" aca="1" ref="I143" ca="1">IF(ROW(B143)-I$15 &lt; I$14,B143,IF(ROW(B143) - I$15 -I$16 + 1 &lt; I$14,INDIRECT(ADDRESS(MOD(ROW(B143) - I$15, I$14) + I$15, COLUMN(B143))),""))</f>
        <v/>
      </c>
      <c r="J143" t="str" cm="1">
        <f t="array" aca="1" ref="J143" ca="1">IF(ROW(C143)-J$15 &lt; J$14,C143,IF(ROW(C143) - J$15 -J$16 + 1 &lt; J$14,INDIRECT(ADDRESS(MOD(ROW(C143) - J$15, J$14) + J$15, COLUMN(C143))),""))</f>
        <v/>
      </c>
      <c r="K143" t="str" cm="1">
        <f t="array" aca="1" ref="K143" ca="1">IF(ROW(D143)-K$15 &lt; K$14,D143,IF(ROW(D143) - K$15 -K$16 + 1 &lt; K$14,INDIRECT(ADDRESS(MOD(ROW(D143) - K$15, K$14) + K$15, COLUMN(D143))),""))</f>
        <v/>
      </c>
      <c r="L143" t="str" cm="1">
        <f t="array" aca="1" ref="L143" ca="1">IF(ROW(E143)-L$15 &lt; L$14,E143,IF(ROW(E143) - L$15 -L$16 + 1 &lt; L$14,INDIRECT(ADDRESS(MOD(ROW(E143) - L$15, L$14) + L$15, COLUMN(E143))),""))</f>
        <v/>
      </c>
      <c r="N143" t="str" cm="1">
        <f t="array" aca="1" ref="N143" ca="1">IF(A143&lt;&gt;"", SUMPRODUCT((OFFSET(A143,0,0,H$16,1)=$T$24) +0),"")</f>
        <v/>
      </c>
      <c r="O143" t="str" cm="1">
        <f t="array" aca="1" ref="O143" ca="1">IF(B143&lt;&gt;"", SUMPRODUCT((OFFSET(B143,0,0,I$16,1)=$T$24) +0),"")</f>
        <v/>
      </c>
      <c r="P143" t="str" cm="1">
        <f t="array" aca="1" ref="P143" ca="1">IF(C143&lt;&gt;"", SUMPRODUCT((OFFSET(C143,0,0,J$16,1)=$T$24) +0),"")</f>
        <v/>
      </c>
      <c r="Q143" t="str" cm="1">
        <f t="array" aca="1" ref="Q143" ca="1">IF(D143&lt;&gt;"", SUMPRODUCT((OFFSET(D143,0,0,K$16,1)=$T$24) +0),"")</f>
        <v/>
      </c>
      <c r="R143" t="str" cm="1">
        <f t="array" aca="1" ref="R143" ca="1">IF(E143&lt;&gt;"", SUMPRODUCT((OFFSET(E143,0,0,L$16,1)=$T$24) +0),"")</f>
        <v/>
      </c>
      <c r="AB143">
        <f t="shared" si="29"/>
        <v>3</v>
      </c>
      <c r="AC143">
        <f t="shared" si="30"/>
        <v>2</v>
      </c>
      <c r="AD143">
        <f t="shared" si="31"/>
        <v>1</v>
      </c>
      <c r="AE143">
        <f t="shared" si="32"/>
        <v>1</v>
      </c>
      <c r="AF143">
        <f t="shared" si="33"/>
        <v>0</v>
      </c>
      <c r="AG143">
        <f t="shared" si="34"/>
        <v>7</v>
      </c>
      <c r="AH143">
        <f t="shared" ca="1" si="36"/>
        <v>0</v>
      </c>
      <c r="AI143">
        <f>IF(ROW($AA143) - $AA$51 &lt; ($H$16+1)^5, IF(AG143 &gt;= FreeSpinsBonus!$C$16, AG143*FreeSpinsBonus!$E$31, 0), "")</f>
        <v>10.201107548819586</v>
      </c>
      <c r="AJ143">
        <f t="shared" ca="1" si="35"/>
        <v>0</v>
      </c>
      <c r="AK143" s="44"/>
    </row>
    <row r="144" spans="8:37" x14ac:dyDescent="0.3">
      <c r="H144" t="str" cm="1">
        <f t="array" aca="1" ref="H144" ca="1">IF(ROW(A144)-H$15 &lt; H$14,A144,IF(ROW(A144) - H$15 -H$16 + 1 &lt; H$14,INDIRECT(ADDRESS(MOD(ROW(A144) - H$15, H$14) + H$15, COLUMN(A144))),""))</f>
        <v/>
      </c>
      <c r="I144" t="str" cm="1">
        <f t="array" aca="1" ref="I144" ca="1">IF(ROW(B144)-I$15 &lt; I$14,B144,IF(ROW(B144) - I$15 -I$16 + 1 &lt; I$14,INDIRECT(ADDRESS(MOD(ROW(B144) - I$15, I$14) + I$15, COLUMN(B144))),""))</f>
        <v/>
      </c>
      <c r="J144" t="str" cm="1">
        <f t="array" aca="1" ref="J144" ca="1">IF(ROW(C144)-J$15 &lt; J$14,C144,IF(ROW(C144) - J$15 -J$16 + 1 &lt; J$14,INDIRECT(ADDRESS(MOD(ROW(C144) - J$15, J$14) + J$15, COLUMN(C144))),""))</f>
        <v/>
      </c>
      <c r="K144" t="str" cm="1">
        <f t="array" aca="1" ref="K144" ca="1">IF(ROW(D144)-K$15 &lt; K$14,D144,IF(ROW(D144) - K$15 -K$16 + 1 &lt; K$14,INDIRECT(ADDRESS(MOD(ROW(D144) - K$15, K$14) + K$15, COLUMN(D144))),""))</f>
        <v/>
      </c>
      <c r="L144" t="str" cm="1">
        <f t="array" aca="1" ref="L144" ca="1">IF(ROW(E144)-L$15 &lt; L$14,E144,IF(ROW(E144) - L$15 -L$16 + 1 &lt; L$14,INDIRECT(ADDRESS(MOD(ROW(E144) - L$15, L$14) + L$15, COLUMN(E144))),""))</f>
        <v/>
      </c>
      <c r="N144" t="str" cm="1">
        <f t="array" aca="1" ref="N144" ca="1">IF(A144&lt;&gt;"", SUMPRODUCT((OFFSET(A144,0,0,H$16,1)=$T$24) +0),"")</f>
        <v/>
      </c>
      <c r="O144" t="str" cm="1">
        <f t="array" aca="1" ref="O144" ca="1">IF(B144&lt;&gt;"", SUMPRODUCT((OFFSET(B144,0,0,I$16,1)=$T$24) +0),"")</f>
        <v/>
      </c>
      <c r="P144" t="str" cm="1">
        <f t="array" aca="1" ref="P144" ca="1">IF(C144&lt;&gt;"", SUMPRODUCT((OFFSET(C144,0,0,J$16,1)=$T$24) +0),"")</f>
        <v/>
      </c>
      <c r="Q144" t="str" cm="1">
        <f t="array" aca="1" ref="Q144" ca="1">IF(D144&lt;&gt;"", SUMPRODUCT((OFFSET(D144,0,0,K$16,1)=$T$24) +0),"")</f>
        <v/>
      </c>
      <c r="R144" t="str" cm="1">
        <f t="array" aca="1" ref="R144" ca="1">IF(E144&lt;&gt;"", SUMPRODUCT((OFFSET(E144,0,0,L$16,1)=$T$24) +0),"")</f>
        <v/>
      </c>
      <c r="AB144">
        <f t="shared" si="29"/>
        <v>0</v>
      </c>
      <c r="AC144">
        <f t="shared" si="30"/>
        <v>3</v>
      </c>
      <c r="AD144">
        <f t="shared" si="31"/>
        <v>1</v>
      </c>
      <c r="AE144">
        <f t="shared" si="32"/>
        <v>1</v>
      </c>
      <c r="AF144">
        <f t="shared" si="33"/>
        <v>0</v>
      </c>
      <c r="AG144">
        <f t="shared" si="34"/>
        <v>5</v>
      </c>
      <c r="AH144">
        <f t="shared" ca="1" si="36"/>
        <v>2.4286671033361051E-3</v>
      </c>
      <c r="AI144">
        <f>IF(ROW($AA144) - $AA$51 &lt; ($H$16+1)^5, IF(AG144 &gt;= FreeSpinsBonus!$C$16, AG144*FreeSpinsBonus!$E$31, 0), "")</f>
        <v>7.2865053920139902</v>
      </c>
      <c r="AJ144">
        <f t="shared" ca="1" si="35"/>
        <v>1.7696495943865527E-2</v>
      </c>
      <c r="AK144" s="44"/>
    </row>
    <row r="145" spans="8:37" x14ac:dyDescent="0.3">
      <c r="H145" t="str" cm="1">
        <f t="array" aca="1" ref="H145" ca="1">IF(ROW(A145)-H$15 &lt; H$14,A145,IF(ROW(A145) - H$15 -H$16 + 1 &lt; H$14,INDIRECT(ADDRESS(MOD(ROW(A145) - H$15, H$14) + H$15, COLUMN(A145))),""))</f>
        <v/>
      </c>
      <c r="I145" t="str" cm="1">
        <f t="array" aca="1" ref="I145" ca="1">IF(ROW(B145)-I$15 &lt; I$14,B145,IF(ROW(B145) - I$15 -I$16 + 1 &lt; I$14,INDIRECT(ADDRESS(MOD(ROW(B145) - I$15, I$14) + I$15, COLUMN(B145))),""))</f>
        <v/>
      </c>
      <c r="J145" t="str" cm="1">
        <f t="array" aca="1" ref="J145" ca="1">IF(ROW(C145)-J$15 &lt; J$14,C145,IF(ROW(C145) - J$15 -J$16 + 1 &lt; J$14,INDIRECT(ADDRESS(MOD(ROW(C145) - J$15, J$14) + J$15, COLUMN(C145))),""))</f>
        <v/>
      </c>
      <c r="K145" t="str" cm="1">
        <f t="array" aca="1" ref="K145" ca="1">IF(ROW(D145)-K$15 &lt; K$14,D145,IF(ROW(D145) - K$15 -K$16 + 1 &lt; K$14,INDIRECT(ADDRESS(MOD(ROW(D145) - K$15, K$14) + K$15, COLUMN(D145))),""))</f>
        <v/>
      </c>
      <c r="L145" t="str" cm="1">
        <f t="array" aca="1" ref="L145" ca="1">IF(ROW(E145)-L$15 &lt; L$14,E145,IF(ROW(E145) - L$15 -L$16 + 1 &lt; L$14,INDIRECT(ADDRESS(MOD(ROW(E145) - L$15, L$14) + L$15, COLUMN(E145))),""))</f>
        <v/>
      </c>
      <c r="N145" t="str" cm="1">
        <f t="array" aca="1" ref="N145" ca="1">IF(A145&lt;&gt;"", SUMPRODUCT((OFFSET(A145,0,0,H$16,1)=$T$24) +0),"")</f>
        <v/>
      </c>
      <c r="O145" t="str" cm="1">
        <f t="array" aca="1" ref="O145" ca="1">IF(B145&lt;&gt;"", SUMPRODUCT((OFFSET(B145,0,0,I$16,1)=$T$24) +0),"")</f>
        <v/>
      </c>
      <c r="P145" t="str" cm="1">
        <f t="array" aca="1" ref="P145" ca="1">IF(C145&lt;&gt;"", SUMPRODUCT((OFFSET(C145,0,0,J$16,1)=$T$24) +0),"")</f>
        <v/>
      </c>
      <c r="Q145" t="str" cm="1">
        <f t="array" aca="1" ref="Q145" ca="1">IF(D145&lt;&gt;"", SUMPRODUCT((OFFSET(D145,0,0,K$16,1)=$T$24) +0),"")</f>
        <v/>
      </c>
      <c r="R145" t="str" cm="1">
        <f t="array" aca="1" ref="R145" ca="1">IF(E145&lt;&gt;"", SUMPRODUCT((OFFSET(E145,0,0,L$16,1)=$T$24) +0),"")</f>
        <v/>
      </c>
      <c r="AB145">
        <f t="shared" si="29"/>
        <v>1</v>
      </c>
      <c r="AC145">
        <f t="shared" si="30"/>
        <v>3</v>
      </c>
      <c r="AD145">
        <f t="shared" si="31"/>
        <v>1</v>
      </c>
      <c r="AE145">
        <f t="shared" si="32"/>
        <v>1</v>
      </c>
      <c r="AF145">
        <f t="shared" si="33"/>
        <v>0</v>
      </c>
      <c r="AG145">
        <f t="shared" si="34"/>
        <v>6</v>
      </c>
      <c r="AH145">
        <f t="shared" ca="1" si="36"/>
        <v>2.5635930535214445E-3</v>
      </c>
      <c r="AI145">
        <f>IF(ROW($AA145) - $AA$51 &lt; ($H$16+1)^5, IF(AG145 &gt;= FreeSpinsBonus!$C$16, AG145*FreeSpinsBonus!$E$31, 0), "")</f>
        <v>8.7438064704167875</v>
      </c>
      <c r="AJ145">
        <f t="shared" ca="1" si="35"/>
        <v>2.2415561528896337E-2</v>
      </c>
      <c r="AK145" s="44"/>
    </row>
    <row r="146" spans="8:37" x14ac:dyDescent="0.3">
      <c r="H146" t="str" cm="1">
        <f t="array" aca="1" ref="H146" ca="1">IF(ROW(A146)-H$15 &lt; H$14,A146,IF(ROW(A146) - H$15 -H$16 + 1 &lt; H$14,INDIRECT(ADDRESS(MOD(ROW(A146) - H$15, H$14) + H$15, COLUMN(A146))),""))</f>
        <v/>
      </c>
      <c r="I146" t="str" cm="1">
        <f t="array" aca="1" ref="I146" ca="1">IF(ROW(B146)-I$15 &lt; I$14,B146,IF(ROW(B146) - I$15 -I$16 + 1 &lt; I$14,INDIRECT(ADDRESS(MOD(ROW(B146) - I$15, I$14) + I$15, COLUMN(B146))),""))</f>
        <v/>
      </c>
      <c r="J146" t="str" cm="1">
        <f t="array" aca="1" ref="J146" ca="1">IF(ROW(C146)-J$15 &lt; J$14,C146,IF(ROW(C146) - J$15 -J$16 + 1 &lt; J$14,INDIRECT(ADDRESS(MOD(ROW(C146) - J$15, J$14) + J$15, COLUMN(C146))),""))</f>
        <v/>
      </c>
      <c r="K146" t="str" cm="1">
        <f t="array" aca="1" ref="K146" ca="1">IF(ROW(D146)-K$15 &lt; K$14,D146,IF(ROW(D146) - K$15 -K$16 + 1 &lt; K$14,INDIRECT(ADDRESS(MOD(ROW(D146) - K$15, K$14) + K$15, COLUMN(D146))),""))</f>
        <v/>
      </c>
      <c r="L146" t="str" cm="1">
        <f t="array" aca="1" ref="L146" ca="1">IF(ROW(E146)-L$15 &lt; L$14,E146,IF(ROW(E146) - L$15 -L$16 + 1 &lt; L$14,INDIRECT(ADDRESS(MOD(ROW(E146) - L$15, L$14) + L$15, COLUMN(E146))),""))</f>
        <v/>
      </c>
      <c r="N146" t="str" cm="1">
        <f t="array" aca="1" ref="N146" ca="1">IF(A146&lt;&gt;"", SUMPRODUCT((OFFSET(A146,0,0,H$16,1)=$T$24) +0),"")</f>
        <v/>
      </c>
      <c r="O146" t="str" cm="1">
        <f t="array" aca="1" ref="O146" ca="1">IF(B146&lt;&gt;"", SUMPRODUCT((OFFSET(B146,0,0,I$16,1)=$T$24) +0),"")</f>
        <v/>
      </c>
      <c r="P146" t="str" cm="1">
        <f t="array" aca="1" ref="P146" ca="1">IF(C146&lt;&gt;"", SUMPRODUCT((OFFSET(C146,0,0,J$16,1)=$T$24) +0),"")</f>
        <v/>
      </c>
      <c r="Q146" t="str" cm="1">
        <f t="array" aca="1" ref="Q146" ca="1">IF(D146&lt;&gt;"", SUMPRODUCT((OFFSET(D146,0,0,K$16,1)=$T$24) +0),"")</f>
        <v/>
      </c>
      <c r="R146" t="str" cm="1">
        <f t="array" aca="1" ref="R146" ca="1">IF(E146&lt;&gt;"", SUMPRODUCT((OFFSET(E146,0,0,L$16,1)=$T$24) +0),"")</f>
        <v/>
      </c>
      <c r="AB146">
        <f t="shared" si="29"/>
        <v>2</v>
      </c>
      <c r="AC146">
        <f t="shared" si="30"/>
        <v>3</v>
      </c>
      <c r="AD146">
        <f t="shared" si="31"/>
        <v>1</v>
      </c>
      <c r="AE146">
        <f t="shared" si="32"/>
        <v>1</v>
      </c>
      <c r="AF146">
        <f t="shared" si="33"/>
        <v>0</v>
      </c>
      <c r="AG146">
        <f t="shared" si="34"/>
        <v>7</v>
      </c>
      <c r="AH146">
        <f t="shared" ca="1" si="36"/>
        <v>1.3492595018533917E-3</v>
      </c>
      <c r="AI146">
        <f>IF(ROW($AA146) - $AA$51 &lt; ($H$16+1)^5, IF(AG146 &gt;= FreeSpinsBonus!$C$16, AG146*FreeSpinsBonus!$E$31, 0), "")</f>
        <v>10.201107548819586</v>
      </c>
      <c r="AJ146">
        <f t="shared" ca="1" si="35"/>
        <v>1.3763941289673188E-2</v>
      </c>
      <c r="AK146" s="44"/>
    </row>
    <row r="147" spans="8:37" x14ac:dyDescent="0.3">
      <c r="H147" t="str" cm="1">
        <f t="array" aca="1" ref="H147" ca="1">IF(ROW(A147)-H$15 &lt; H$14,A147,IF(ROW(A147) - H$15 -H$16 + 1 &lt; H$14,INDIRECT(ADDRESS(MOD(ROW(A147) - H$15, H$14) + H$15, COLUMN(A147))),""))</f>
        <v/>
      </c>
      <c r="I147" t="str" cm="1">
        <f t="array" aca="1" ref="I147" ca="1">IF(ROW(B147)-I$15 &lt; I$14,B147,IF(ROW(B147) - I$15 -I$16 + 1 &lt; I$14,INDIRECT(ADDRESS(MOD(ROW(B147) - I$15, I$14) + I$15, COLUMN(B147))),""))</f>
        <v/>
      </c>
      <c r="J147" t="str" cm="1">
        <f t="array" aca="1" ref="J147" ca="1">IF(ROW(C147)-J$15 &lt; J$14,C147,IF(ROW(C147) - J$15 -J$16 + 1 &lt; J$14,INDIRECT(ADDRESS(MOD(ROW(C147) - J$15, J$14) + J$15, COLUMN(C147))),""))</f>
        <v/>
      </c>
      <c r="K147" t="str" cm="1">
        <f t="array" aca="1" ref="K147" ca="1">IF(ROW(D147)-K$15 &lt; K$14,D147,IF(ROW(D147) - K$15 -K$16 + 1 &lt; K$14,INDIRECT(ADDRESS(MOD(ROW(D147) - K$15, K$14) + K$15, COLUMN(D147))),""))</f>
        <v/>
      </c>
      <c r="L147" t="str" cm="1">
        <f t="array" aca="1" ref="L147" ca="1">IF(ROW(E147)-L$15 &lt; L$14,E147,IF(ROW(E147) - L$15 -L$16 + 1 &lt; L$14,INDIRECT(ADDRESS(MOD(ROW(E147) - L$15, L$14) + L$15, COLUMN(E147))),""))</f>
        <v/>
      </c>
      <c r="N147" t="str" cm="1">
        <f t="array" aca="1" ref="N147" ca="1">IF(A147&lt;&gt;"", SUMPRODUCT((OFFSET(A147,0,0,H$16,1)=$T$24) +0),"")</f>
        <v/>
      </c>
      <c r="O147" t="str" cm="1">
        <f t="array" aca="1" ref="O147" ca="1">IF(B147&lt;&gt;"", SUMPRODUCT((OFFSET(B147,0,0,I$16,1)=$T$24) +0),"")</f>
        <v/>
      </c>
      <c r="P147" t="str" cm="1">
        <f t="array" aca="1" ref="P147" ca="1">IF(C147&lt;&gt;"", SUMPRODUCT((OFFSET(C147,0,0,J$16,1)=$T$24) +0),"")</f>
        <v/>
      </c>
      <c r="Q147" t="str" cm="1">
        <f t="array" aca="1" ref="Q147" ca="1">IF(D147&lt;&gt;"", SUMPRODUCT((OFFSET(D147,0,0,K$16,1)=$T$24) +0),"")</f>
        <v/>
      </c>
      <c r="R147" t="str" cm="1">
        <f t="array" aca="1" ref="R147" ca="1">IF(E147&lt;&gt;"", SUMPRODUCT((OFFSET(E147,0,0,L$16,1)=$T$24) +0),"")</f>
        <v/>
      </c>
      <c r="AB147">
        <f t="shared" si="29"/>
        <v>3</v>
      </c>
      <c r="AC147">
        <f t="shared" si="30"/>
        <v>3</v>
      </c>
      <c r="AD147">
        <f t="shared" si="31"/>
        <v>1</v>
      </c>
      <c r="AE147">
        <f t="shared" si="32"/>
        <v>1</v>
      </c>
      <c r="AF147">
        <f t="shared" si="33"/>
        <v>0</v>
      </c>
      <c r="AG147">
        <f t="shared" si="34"/>
        <v>8</v>
      </c>
      <c r="AH147">
        <f t="shared" ca="1" si="36"/>
        <v>0</v>
      </c>
      <c r="AI147">
        <f>IF(ROW($AA147) - $AA$51 &lt; ($H$16+1)^5, IF(AG147 &gt;= FreeSpinsBonus!$C$16, AG147*FreeSpinsBonus!$E$31, 0), "")</f>
        <v>11.658408627222384</v>
      </c>
      <c r="AJ147">
        <f t="shared" ca="1" si="35"/>
        <v>0</v>
      </c>
      <c r="AK147" s="44"/>
    </row>
    <row r="148" spans="8:37" x14ac:dyDescent="0.3">
      <c r="H148" t="str" cm="1">
        <f t="array" aca="1" ref="H148" ca="1">IF(ROW(A148)-H$15 &lt; H$14,A148,IF(ROW(A148) - H$15 -H$16 + 1 &lt; H$14,INDIRECT(ADDRESS(MOD(ROW(A148) - H$15, H$14) + H$15, COLUMN(A148))),""))</f>
        <v/>
      </c>
      <c r="I148" t="str" cm="1">
        <f t="array" aca="1" ref="I148" ca="1">IF(ROW(B148)-I$15 &lt; I$14,B148,IF(ROW(B148) - I$15 -I$16 + 1 &lt; I$14,INDIRECT(ADDRESS(MOD(ROW(B148) - I$15, I$14) + I$15, COLUMN(B148))),""))</f>
        <v/>
      </c>
      <c r="J148" t="str" cm="1">
        <f t="array" aca="1" ref="J148" ca="1">IF(ROW(C148)-J$15 &lt; J$14,C148,IF(ROW(C148) - J$15 -J$16 + 1 &lt; J$14,INDIRECT(ADDRESS(MOD(ROW(C148) - J$15, J$14) + J$15, COLUMN(C148))),""))</f>
        <v/>
      </c>
      <c r="K148" t="str" cm="1">
        <f t="array" aca="1" ref="K148" ca="1">IF(ROW(D148)-K$15 &lt; K$14,D148,IF(ROW(D148) - K$15 -K$16 + 1 &lt; K$14,INDIRECT(ADDRESS(MOD(ROW(D148) - K$15, K$14) + K$15, COLUMN(D148))),""))</f>
        <v/>
      </c>
      <c r="L148" t="str" cm="1">
        <f t="array" aca="1" ref="L148" ca="1">IF(ROW(E148)-L$15 &lt; L$14,E148,IF(ROW(E148) - L$15 -L$16 + 1 &lt; L$14,INDIRECT(ADDRESS(MOD(ROW(E148) - L$15, L$14) + L$15, COLUMN(E148))),""))</f>
        <v/>
      </c>
      <c r="N148" t="str" cm="1">
        <f t="array" aca="1" ref="N148" ca="1">IF(A148&lt;&gt;"", SUMPRODUCT((OFFSET(A148,0,0,H$16,1)=$T$24) +0),"")</f>
        <v/>
      </c>
      <c r="O148" t="str" cm="1">
        <f t="array" aca="1" ref="O148" ca="1">IF(B148&lt;&gt;"", SUMPRODUCT((OFFSET(B148,0,0,I$16,1)=$T$24) +0),"")</f>
        <v/>
      </c>
      <c r="P148" t="str" cm="1">
        <f t="array" aca="1" ref="P148" ca="1">IF(C148&lt;&gt;"", SUMPRODUCT((OFFSET(C148,0,0,J$16,1)=$T$24) +0),"")</f>
        <v/>
      </c>
      <c r="Q148" t="str" cm="1">
        <f t="array" aca="1" ref="Q148" ca="1">IF(D148&lt;&gt;"", SUMPRODUCT((OFFSET(D148,0,0,K$16,1)=$T$24) +0),"")</f>
        <v/>
      </c>
      <c r="R148" t="str" cm="1">
        <f t="array" aca="1" ref="R148" ca="1">IF(E148&lt;&gt;"", SUMPRODUCT((OFFSET(E148,0,0,L$16,1)=$T$24) +0),"")</f>
        <v/>
      </c>
      <c r="AB148">
        <f t="shared" si="29"/>
        <v>0</v>
      </c>
      <c r="AC148">
        <f t="shared" si="30"/>
        <v>0</v>
      </c>
      <c r="AD148">
        <f t="shared" si="31"/>
        <v>2</v>
      </c>
      <c r="AE148">
        <f t="shared" si="32"/>
        <v>1</v>
      </c>
      <c r="AF148">
        <f t="shared" si="33"/>
        <v>0</v>
      </c>
      <c r="AG148">
        <f t="shared" si="34"/>
        <v>3</v>
      </c>
      <c r="AH148">
        <f t="shared" ca="1" si="36"/>
        <v>3.7846729026987636E-3</v>
      </c>
      <c r="AI148">
        <f>IF(ROW($AA148) - $AA$51 &lt; ($H$16+1)^5, IF(AG148 &gt;= FreeSpinsBonus!$C$16, AG148*FreeSpinsBonus!$E$31, 0), "")</f>
        <v>0</v>
      </c>
      <c r="AJ148">
        <f t="shared" ca="1" si="35"/>
        <v>0</v>
      </c>
      <c r="AK148" s="44"/>
    </row>
    <row r="149" spans="8:37" x14ac:dyDescent="0.3">
      <c r="H149" t="str" cm="1">
        <f t="array" aca="1" ref="H149" ca="1">IF(ROW(A149)-H$15 &lt; H$14,A149,IF(ROW(A149) - H$15 -H$16 + 1 &lt; H$14,INDIRECT(ADDRESS(MOD(ROW(A149) - H$15, H$14) + H$15, COLUMN(A149))),""))</f>
        <v/>
      </c>
      <c r="I149" t="str" cm="1">
        <f t="array" aca="1" ref="I149" ca="1">IF(ROW(B149)-I$15 &lt; I$14,B149,IF(ROW(B149) - I$15 -I$16 + 1 &lt; I$14,INDIRECT(ADDRESS(MOD(ROW(B149) - I$15, I$14) + I$15, COLUMN(B149))),""))</f>
        <v/>
      </c>
      <c r="J149" t="str" cm="1">
        <f t="array" aca="1" ref="J149" ca="1">IF(ROW(C149)-J$15 &lt; J$14,C149,IF(ROW(C149) - J$15 -J$16 + 1 &lt; J$14,INDIRECT(ADDRESS(MOD(ROW(C149) - J$15, J$14) + J$15, COLUMN(C149))),""))</f>
        <v/>
      </c>
      <c r="K149" t="str" cm="1">
        <f t="array" aca="1" ref="K149" ca="1">IF(ROW(D149)-K$15 &lt; K$14,D149,IF(ROW(D149) - K$15 -K$16 + 1 &lt; K$14,INDIRECT(ADDRESS(MOD(ROW(D149) - K$15, K$14) + K$15, COLUMN(D149))),""))</f>
        <v/>
      </c>
      <c r="L149" t="str" cm="1">
        <f t="array" aca="1" ref="L149" ca="1">IF(ROW(E149)-L$15 &lt; L$14,E149,IF(ROW(E149) - L$15 -L$16 + 1 &lt; L$14,INDIRECT(ADDRESS(MOD(ROW(E149) - L$15, L$14) + L$15, COLUMN(E149))),""))</f>
        <v/>
      </c>
      <c r="N149" t="str" cm="1">
        <f t="array" aca="1" ref="N149" ca="1">IF(A149&lt;&gt;"", SUMPRODUCT((OFFSET(A149,0,0,H$16,1)=$T$24) +0),"")</f>
        <v/>
      </c>
      <c r="O149" t="str" cm="1">
        <f t="array" aca="1" ref="O149" ca="1">IF(B149&lt;&gt;"", SUMPRODUCT((OFFSET(B149,0,0,I$16,1)=$T$24) +0),"")</f>
        <v/>
      </c>
      <c r="P149" t="str" cm="1">
        <f t="array" aca="1" ref="P149" ca="1">IF(C149&lt;&gt;"", SUMPRODUCT((OFFSET(C149,0,0,J$16,1)=$T$24) +0),"")</f>
        <v/>
      </c>
      <c r="Q149" t="str" cm="1">
        <f t="array" aca="1" ref="Q149" ca="1">IF(D149&lt;&gt;"", SUMPRODUCT((OFFSET(D149,0,0,K$16,1)=$T$24) +0),"")</f>
        <v/>
      </c>
      <c r="R149" t="str" cm="1">
        <f t="array" aca="1" ref="R149" ca="1">IF(E149&lt;&gt;"", SUMPRODUCT((OFFSET(E149,0,0,L$16,1)=$T$24) +0),"")</f>
        <v/>
      </c>
      <c r="AB149">
        <f t="shared" si="29"/>
        <v>1</v>
      </c>
      <c r="AC149">
        <f t="shared" si="30"/>
        <v>0</v>
      </c>
      <c r="AD149">
        <f t="shared" si="31"/>
        <v>2</v>
      </c>
      <c r="AE149">
        <f t="shared" si="32"/>
        <v>1</v>
      </c>
      <c r="AF149">
        <f t="shared" si="33"/>
        <v>0</v>
      </c>
      <c r="AG149">
        <f t="shared" si="34"/>
        <v>4</v>
      </c>
      <c r="AH149">
        <f t="shared" ca="1" si="36"/>
        <v>3.9949325084042506E-3</v>
      </c>
      <c r="AI149">
        <f>IF(ROW($AA149) - $AA$51 &lt; ($H$16+1)^5, IF(AG149 &gt;= FreeSpinsBonus!$C$16, AG149*FreeSpinsBonus!$E$31, 0), "")</f>
        <v>0</v>
      </c>
      <c r="AJ149">
        <f t="shared" ca="1" si="35"/>
        <v>0</v>
      </c>
      <c r="AK149" s="44"/>
    </row>
    <row r="150" spans="8:37" x14ac:dyDescent="0.3">
      <c r="H150" t="str" cm="1">
        <f t="array" aca="1" ref="H150" ca="1">IF(ROW(A150)-H$15 &lt; H$14,A150,IF(ROW(A150) - H$15 -H$16 + 1 &lt; H$14,INDIRECT(ADDRESS(MOD(ROW(A150) - H$15, H$14) + H$15, COLUMN(A150))),""))</f>
        <v/>
      </c>
      <c r="I150" t="str" cm="1">
        <f t="array" aca="1" ref="I150" ca="1">IF(ROW(B150)-I$15 &lt; I$14,B150,IF(ROW(B150) - I$15 -I$16 + 1 &lt; I$14,INDIRECT(ADDRESS(MOD(ROW(B150) - I$15, I$14) + I$15, COLUMN(B150))),""))</f>
        <v/>
      </c>
      <c r="J150" t="str" cm="1">
        <f t="array" aca="1" ref="J150" ca="1">IF(ROW(C150)-J$15 &lt; J$14,C150,IF(ROW(C150) - J$15 -J$16 + 1 &lt; J$14,INDIRECT(ADDRESS(MOD(ROW(C150) - J$15, J$14) + J$15, COLUMN(C150))),""))</f>
        <v/>
      </c>
      <c r="K150" t="str" cm="1">
        <f t="array" aca="1" ref="K150" ca="1">IF(ROW(D150)-K$15 &lt; K$14,D150,IF(ROW(D150) - K$15 -K$16 + 1 &lt; K$14,INDIRECT(ADDRESS(MOD(ROW(D150) - K$15, K$14) + K$15, COLUMN(D150))),""))</f>
        <v/>
      </c>
      <c r="L150" t="str" cm="1">
        <f t="array" aca="1" ref="L150" ca="1">IF(ROW(E150)-L$15 &lt; L$14,E150,IF(ROW(E150) - L$15 -L$16 + 1 &lt; L$14,INDIRECT(ADDRESS(MOD(ROW(E150) - L$15, L$14) + L$15, COLUMN(E150))),""))</f>
        <v/>
      </c>
      <c r="N150" t="str" cm="1">
        <f t="array" aca="1" ref="N150" ca="1">IF(A150&lt;&gt;"", SUMPRODUCT((OFFSET(A150,0,0,H$16,1)=$T$24) +0),"")</f>
        <v/>
      </c>
      <c r="O150" t="str" cm="1">
        <f t="array" aca="1" ref="O150" ca="1">IF(B150&lt;&gt;"", SUMPRODUCT((OFFSET(B150,0,0,I$16,1)=$T$24) +0),"")</f>
        <v/>
      </c>
      <c r="P150" t="str" cm="1">
        <f t="array" aca="1" ref="P150" ca="1">IF(C150&lt;&gt;"", SUMPRODUCT((OFFSET(C150,0,0,J$16,1)=$T$24) +0),"")</f>
        <v/>
      </c>
      <c r="Q150" t="str" cm="1">
        <f t="array" aca="1" ref="Q150" ca="1">IF(D150&lt;&gt;"", SUMPRODUCT((OFFSET(D150,0,0,K$16,1)=$T$24) +0),"")</f>
        <v/>
      </c>
      <c r="R150" t="str" cm="1">
        <f t="array" aca="1" ref="R150" ca="1">IF(E150&lt;&gt;"", SUMPRODUCT((OFFSET(E150,0,0,L$16,1)=$T$24) +0),"")</f>
        <v/>
      </c>
      <c r="AB150">
        <f t="shared" si="29"/>
        <v>2</v>
      </c>
      <c r="AC150">
        <f t="shared" si="30"/>
        <v>0</v>
      </c>
      <c r="AD150">
        <f t="shared" si="31"/>
        <v>2</v>
      </c>
      <c r="AE150">
        <f t="shared" si="32"/>
        <v>1</v>
      </c>
      <c r="AF150">
        <f t="shared" si="33"/>
        <v>0</v>
      </c>
      <c r="AG150">
        <f t="shared" si="34"/>
        <v>5</v>
      </c>
      <c r="AH150">
        <f t="shared" ca="1" si="36"/>
        <v>2.1025960570548691E-3</v>
      </c>
      <c r="AI150">
        <f>IF(ROW($AA150) - $AA$51 &lt; ($H$16+1)^5, IF(AG150 &gt;= FreeSpinsBonus!$C$16, AG150*FreeSpinsBonus!$E$31, 0), "")</f>
        <v>7.2865053920139902</v>
      </c>
      <c r="AJ150">
        <f t="shared" ca="1" si="35"/>
        <v>1.5320577506957658E-2</v>
      </c>
      <c r="AK150" s="44"/>
    </row>
    <row r="151" spans="8:37" x14ac:dyDescent="0.3">
      <c r="H151" t="str" cm="1">
        <f t="array" aca="1" ref="H151" ca="1">IF(ROW(A151)-H$15 &lt; H$14,A151,IF(ROW(A151) - H$15 -H$16 + 1 &lt; H$14,INDIRECT(ADDRESS(MOD(ROW(A151) - H$15, H$14) + H$15, COLUMN(A151))),""))</f>
        <v/>
      </c>
      <c r="I151" t="str" cm="1">
        <f t="array" aca="1" ref="I151" ca="1">IF(ROW(B151)-I$15 &lt; I$14,B151,IF(ROW(B151) - I$15 -I$16 + 1 &lt; I$14,INDIRECT(ADDRESS(MOD(ROW(B151) - I$15, I$14) + I$15, COLUMN(B151))),""))</f>
        <v/>
      </c>
      <c r="J151" t="str" cm="1">
        <f t="array" aca="1" ref="J151" ca="1">IF(ROW(C151)-J$15 &lt; J$14,C151,IF(ROW(C151) - J$15 -J$16 + 1 &lt; J$14,INDIRECT(ADDRESS(MOD(ROW(C151) - J$15, J$14) + J$15, COLUMN(C151))),""))</f>
        <v/>
      </c>
      <c r="K151" t="str" cm="1">
        <f t="array" aca="1" ref="K151" ca="1">IF(ROW(D151)-K$15 &lt; K$14,D151,IF(ROW(D151) - K$15 -K$16 + 1 &lt; K$14,INDIRECT(ADDRESS(MOD(ROW(D151) - K$15, K$14) + K$15, COLUMN(D151))),""))</f>
        <v/>
      </c>
      <c r="L151" t="str" cm="1">
        <f t="array" aca="1" ref="L151" ca="1">IF(ROW(E151)-L$15 &lt; L$14,E151,IF(ROW(E151) - L$15 -L$16 + 1 &lt; L$14,INDIRECT(ADDRESS(MOD(ROW(E151) - L$15, L$14) + L$15, COLUMN(E151))),""))</f>
        <v/>
      </c>
      <c r="N151" t="str" cm="1">
        <f t="array" aca="1" ref="N151" ca="1">IF(A151&lt;&gt;"", SUMPRODUCT((OFFSET(A151,0,0,H$16,1)=$T$24) +0),"")</f>
        <v/>
      </c>
      <c r="O151" t="str" cm="1">
        <f t="array" aca="1" ref="O151" ca="1">IF(B151&lt;&gt;"", SUMPRODUCT((OFFSET(B151,0,0,I$16,1)=$T$24) +0),"")</f>
        <v/>
      </c>
      <c r="P151" t="str" cm="1">
        <f t="array" aca="1" ref="P151" ca="1">IF(C151&lt;&gt;"", SUMPRODUCT((OFFSET(C151,0,0,J$16,1)=$T$24) +0),"")</f>
        <v/>
      </c>
      <c r="Q151" t="str" cm="1">
        <f t="array" aca="1" ref="Q151" ca="1">IF(D151&lt;&gt;"", SUMPRODUCT((OFFSET(D151,0,0,K$16,1)=$T$24) +0),"")</f>
        <v/>
      </c>
      <c r="R151" t="str" cm="1">
        <f t="array" aca="1" ref="R151" ca="1">IF(E151&lt;&gt;"", SUMPRODUCT((OFFSET(E151,0,0,L$16,1)=$T$24) +0),"")</f>
        <v/>
      </c>
      <c r="AB151">
        <f t="shared" si="29"/>
        <v>3</v>
      </c>
      <c r="AC151">
        <f t="shared" si="30"/>
        <v>0</v>
      </c>
      <c r="AD151">
        <f t="shared" si="31"/>
        <v>2</v>
      </c>
      <c r="AE151">
        <f t="shared" si="32"/>
        <v>1</v>
      </c>
      <c r="AF151">
        <f t="shared" si="33"/>
        <v>0</v>
      </c>
      <c r="AG151">
        <f t="shared" si="34"/>
        <v>6</v>
      </c>
      <c r="AH151">
        <f t="shared" ca="1" si="36"/>
        <v>0</v>
      </c>
      <c r="AI151">
        <f>IF(ROW($AA151) - $AA$51 &lt; ($H$16+1)^5, IF(AG151 &gt;= FreeSpinsBonus!$C$16, AG151*FreeSpinsBonus!$E$31, 0), "")</f>
        <v>8.7438064704167875</v>
      </c>
      <c r="AJ151">
        <f t="shared" ca="1" si="35"/>
        <v>0</v>
      </c>
      <c r="AK151" s="44"/>
    </row>
    <row r="152" spans="8:37" x14ac:dyDescent="0.3">
      <c r="H152" t="str" cm="1">
        <f t="array" aca="1" ref="H152" ca="1">IF(ROW(A152)-H$15 &lt; H$14,A152,IF(ROW(A152) - H$15 -H$16 + 1 &lt; H$14,INDIRECT(ADDRESS(MOD(ROW(A152) - H$15, H$14) + H$15, COLUMN(A152))),""))</f>
        <v/>
      </c>
      <c r="I152" t="str" cm="1">
        <f t="array" aca="1" ref="I152" ca="1">IF(ROW(B152)-I$15 &lt; I$14,B152,IF(ROW(B152) - I$15 -I$16 + 1 &lt; I$14,INDIRECT(ADDRESS(MOD(ROW(B152) - I$15, I$14) + I$15, COLUMN(B152))),""))</f>
        <v/>
      </c>
      <c r="J152" t="str" cm="1">
        <f t="array" aca="1" ref="J152" ca="1">IF(ROW(C152)-J$15 &lt; J$14,C152,IF(ROW(C152) - J$15 -J$16 + 1 &lt; J$14,INDIRECT(ADDRESS(MOD(ROW(C152) - J$15, J$14) + J$15, COLUMN(C152))),""))</f>
        <v/>
      </c>
      <c r="K152" t="str" cm="1">
        <f t="array" aca="1" ref="K152" ca="1">IF(ROW(D152)-K$15 &lt; K$14,D152,IF(ROW(D152) - K$15 -K$16 + 1 &lt; K$14,INDIRECT(ADDRESS(MOD(ROW(D152) - K$15, K$14) + K$15, COLUMN(D152))),""))</f>
        <v/>
      </c>
      <c r="L152" t="str" cm="1">
        <f t="array" aca="1" ref="L152" ca="1">IF(ROW(E152)-L$15 &lt; L$14,E152,IF(ROW(E152) - L$15 -L$16 + 1 &lt; L$14,INDIRECT(ADDRESS(MOD(ROW(E152) - L$15, L$14) + L$15, COLUMN(E152))),""))</f>
        <v/>
      </c>
      <c r="N152" t="str" cm="1">
        <f t="array" aca="1" ref="N152" ca="1">IF(A152&lt;&gt;"", SUMPRODUCT((OFFSET(A152,0,0,H$16,1)=$T$24) +0),"")</f>
        <v/>
      </c>
      <c r="O152" t="str" cm="1">
        <f t="array" aca="1" ref="O152" ca="1">IF(B152&lt;&gt;"", SUMPRODUCT((OFFSET(B152,0,0,I$16,1)=$T$24) +0),"")</f>
        <v/>
      </c>
      <c r="P152" t="str" cm="1">
        <f t="array" aca="1" ref="P152" ca="1">IF(C152&lt;&gt;"", SUMPRODUCT((OFFSET(C152,0,0,J$16,1)=$T$24) +0),"")</f>
        <v/>
      </c>
      <c r="Q152" t="str" cm="1">
        <f t="array" aca="1" ref="Q152" ca="1">IF(D152&lt;&gt;"", SUMPRODUCT((OFFSET(D152,0,0,K$16,1)=$T$24) +0),"")</f>
        <v/>
      </c>
      <c r="R152" t="str" cm="1">
        <f t="array" aca="1" ref="R152" ca="1">IF(E152&lt;&gt;"", SUMPRODUCT((OFFSET(E152,0,0,L$16,1)=$T$24) +0),"")</f>
        <v/>
      </c>
      <c r="AB152">
        <f t="shared" si="29"/>
        <v>0</v>
      </c>
      <c r="AC152">
        <f t="shared" si="30"/>
        <v>1</v>
      </c>
      <c r="AD152">
        <f t="shared" si="31"/>
        <v>2</v>
      </c>
      <c r="AE152">
        <f t="shared" si="32"/>
        <v>1</v>
      </c>
      <c r="AF152">
        <f t="shared" si="33"/>
        <v>0</v>
      </c>
      <c r="AG152">
        <f t="shared" si="34"/>
        <v>4</v>
      </c>
      <c r="AH152">
        <f t="shared" ca="1" si="36"/>
        <v>3.7846729026987636E-3</v>
      </c>
      <c r="AI152">
        <f>IF(ROW($AA152) - $AA$51 &lt; ($H$16+1)^5, IF(AG152 &gt;= FreeSpinsBonus!$C$16, AG152*FreeSpinsBonus!$E$31, 0), "")</f>
        <v>0</v>
      </c>
      <c r="AJ152">
        <f t="shared" ca="1" si="35"/>
        <v>0</v>
      </c>
      <c r="AK152" s="44"/>
    </row>
    <row r="153" spans="8:37" x14ac:dyDescent="0.3">
      <c r="H153" t="str" cm="1">
        <f t="array" aca="1" ref="H153" ca="1">IF(ROW(A153)-H$15 &lt; H$14,A153,IF(ROW(A153) - H$15 -H$16 + 1 &lt; H$14,INDIRECT(ADDRESS(MOD(ROW(A153) - H$15, H$14) + H$15, COLUMN(A153))),""))</f>
        <v/>
      </c>
      <c r="I153" t="str" cm="1">
        <f t="array" aca="1" ref="I153" ca="1">IF(ROW(B153)-I$15 &lt; I$14,B153,IF(ROW(B153) - I$15 -I$16 + 1 &lt; I$14,INDIRECT(ADDRESS(MOD(ROW(B153) - I$15, I$14) + I$15, COLUMN(B153))),""))</f>
        <v/>
      </c>
      <c r="J153" t="str" cm="1">
        <f t="array" aca="1" ref="J153" ca="1">IF(ROW(C153)-J$15 &lt; J$14,C153,IF(ROW(C153) - J$15 -J$16 + 1 &lt; J$14,INDIRECT(ADDRESS(MOD(ROW(C153) - J$15, J$14) + J$15, COLUMN(C153))),""))</f>
        <v/>
      </c>
      <c r="K153" t="str" cm="1">
        <f t="array" aca="1" ref="K153" ca="1">IF(ROW(D153)-K$15 &lt; K$14,D153,IF(ROW(D153) - K$15 -K$16 + 1 &lt; K$14,INDIRECT(ADDRESS(MOD(ROW(D153) - K$15, K$14) + K$15, COLUMN(D153))),""))</f>
        <v/>
      </c>
      <c r="L153" t="str" cm="1">
        <f t="array" aca="1" ref="L153" ca="1">IF(ROW(E153)-L$15 &lt; L$14,E153,IF(ROW(E153) - L$15 -L$16 + 1 &lt; L$14,INDIRECT(ADDRESS(MOD(ROW(E153) - L$15, L$14) + L$15, COLUMN(E153))),""))</f>
        <v/>
      </c>
      <c r="N153" t="str" cm="1">
        <f t="array" aca="1" ref="N153" ca="1">IF(A153&lt;&gt;"", SUMPRODUCT((OFFSET(A153,0,0,H$16,1)=$T$24) +0),"")</f>
        <v/>
      </c>
      <c r="O153" t="str" cm="1">
        <f t="array" aca="1" ref="O153" ca="1">IF(B153&lt;&gt;"", SUMPRODUCT((OFFSET(B153,0,0,I$16,1)=$T$24) +0),"")</f>
        <v/>
      </c>
      <c r="P153" t="str" cm="1">
        <f t="array" aca="1" ref="P153" ca="1">IF(C153&lt;&gt;"", SUMPRODUCT((OFFSET(C153,0,0,J$16,1)=$T$24) +0),"")</f>
        <v/>
      </c>
      <c r="Q153" t="str" cm="1">
        <f t="array" aca="1" ref="Q153" ca="1">IF(D153&lt;&gt;"", SUMPRODUCT((OFFSET(D153,0,0,K$16,1)=$T$24) +0),"")</f>
        <v/>
      </c>
      <c r="R153" t="str" cm="1">
        <f t="array" aca="1" ref="R153" ca="1">IF(E153&lt;&gt;"", SUMPRODUCT((OFFSET(E153,0,0,L$16,1)=$T$24) +0),"")</f>
        <v/>
      </c>
      <c r="AB153">
        <f t="shared" si="29"/>
        <v>1</v>
      </c>
      <c r="AC153">
        <f t="shared" si="30"/>
        <v>1</v>
      </c>
      <c r="AD153">
        <f t="shared" si="31"/>
        <v>2</v>
      </c>
      <c r="AE153">
        <f t="shared" si="32"/>
        <v>1</v>
      </c>
      <c r="AF153">
        <f t="shared" si="33"/>
        <v>0</v>
      </c>
      <c r="AG153">
        <f t="shared" si="34"/>
        <v>5</v>
      </c>
      <c r="AH153">
        <f t="shared" ca="1" si="36"/>
        <v>3.9949325084042506E-3</v>
      </c>
      <c r="AI153">
        <f>IF(ROW($AA153) - $AA$51 &lt; ($H$16+1)^5, IF(AG153 &gt;= FreeSpinsBonus!$C$16, AG153*FreeSpinsBonus!$E$31, 0), "")</f>
        <v>7.2865053920139902</v>
      </c>
      <c r="AJ153">
        <f t="shared" ca="1" si="35"/>
        <v>2.9109097263219547E-2</v>
      </c>
      <c r="AK153" s="44"/>
    </row>
    <row r="154" spans="8:37" x14ac:dyDescent="0.3">
      <c r="H154" t="str" cm="1">
        <f t="array" aca="1" ref="H154" ca="1">IF(ROW(A154)-H$15 &lt; H$14,A154,IF(ROW(A154) - H$15 -H$16 + 1 &lt; H$14,INDIRECT(ADDRESS(MOD(ROW(A154) - H$15, H$14) + H$15, COLUMN(A154))),""))</f>
        <v/>
      </c>
      <c r="I154" t="str" cm="1">
        <f t="array" aca="1" ref="I154" ca="1">IF(ROW(B154)-I$15 &lt; I$14,B154,IF(ROW(B154) - I$15 -I$16 + 1 &lt; I$14,INDIRECT(ADDRESS(MOD(ROW(B154) - I$15, I$14) + I$15, COLUMN(B154))),""))</f>
        <v/>
      </c>
      <c r="J154" t="str" cm="1">
        <f t="array" aca="1" ref="J154" ca="1">IF(ROW(C154)-J$15 &lt; J$14,C154,IF(ROW(C154) - J$15 -J$16 + 1 &lt; J$14,INDIRECT(ADDRESS(MOD(ROW(C154) - J$15, J$14) + J$15, COLUMN(C154))),""))</f>
        <v/>
      </c>
      <c r="K154" t="str" cm="1">
        <f t="array" aca="1" ref="K154" ca="1">IF(ROW(D154)-K$15 &lt; K$14,D154,IF(ROW(D154) - K$15 -K$16 + 1 &lt; K$14,INDIRECT(ADDRESS(MOD(ROW(D154) - K$15, K$14) + K$15, COLUMN(D154))),""))</f>
        <v/>
      </c>
      <c r="L154" t="str" cm="1">
        <f t="array" aca="1" ref="L154" ca="1">IF(ROW(E154)-L$15 &lt; L$14,E154,IF(ROW(E154) - L$15 -L$16 + 1 &lt; L$14,INDIRECT(ADDRESS(MOD(ROW(E154) - L$15, L$14) + L$15, COLUMN(E154))),""))</f>
        <v/>
      </c>
      <c r="N154" t="str" cm="1">
        <f t="array" aca="1" ref="N154" ca="1">IF(A154&lt;&gt;"", SUMPRODUCT((OFFSET(A154,0,0,H$16,1)=$T$24) +0),"")</f>
        <v/>
      </c>
      <c r="O154" t="str" cm="1">
        <f t="array" aca="1" ref="O154" ca="1">IF(B154&lt;&gt;"", SUMPRODUCT((OFFSET(B154,0,0,I$16,1)=$T$24) +0),"")</f>
        <v/>
      </c>
      <c r="P154" t="str" cm="1">
        <f t="array" aca="1" ref="P154" ca="1">IF(C154&lt;&gt;"", SUMPRODUCT((OFFSET(C154,0,0,J$16,1)=$T$24) +0),"")</f>
        <v/>
      </c>
      <c r="Q154" t="str" cm="1">
        <f t="array" aca="1" ref="Q154" ca="1">IF(D154&lt;&gt;"", SUMPRODUCT((OFFSET(D154,0,0,K$16,1)=$T$24) +0),"")</f>
        <v/>
      </c>
      <c r="R154" t="str" cm="1">
        <f t="array" aca="1" ref="R154" ca="1">IF(E154&lt;&gt;"", SUMPRODUCT((OFFSET(E154,0,0,L$16,1)=$T$24) +0),"")</f>
        <v/>
      </c>
      <c r="AB154">
        <f t="shared" si="29"/>
        <v>2</v>
      </c>
      <c r="AC154">
        <f t="shared" si="30"/>
        <v>1</v>
      </c>
      <c r="AD154">
        <f t="shared" si="31"/>
        <v>2</v>
      </c>
      <c r="AE154">
        <f t="shared" si="32"/>
        <v>1</v>
      </c>
      <c r="AF154">
        <f t="shared" si="33"/>
        <v>0</v>
      </c>
      <c r="AG154">
        <f t="shared" si="34"/>
        <v>6</v>
      </c>
      <c r="AH154">
        <f t="shared" ca="1" si="36"/>
        <v>2.1025960570548691E-3</v>
      </c>
      <c r="AI154">
        <f>IF(ROW($AA154) - $AA$51 &lt; ($H$16+1)^5, IF(AG154 &gt;= FreeSpinsBonus!$C$16, AG154*FreeSpinsBonus!$E$31, 0), "")</f>
        <v>8.7438064704167875</v>
      </c>
      <c r="AJ154">
        <f t="shared" ca="1" si="35"/>
        <v>1.838469300834919E-2</v>
      </c>
      <c r="AK154" s="44"/>
    </row>
    <row r="155" spans="8:37" x14ac:dyDescent="0.3">
      <c r="H155" t="str" cm="1">
        <f t="array" aca="1" ref="H155" ca="1">IF(ROW(A155)-H$15 &lt; H$14,A155,IF(ROW(A155) - H$15 -H$16 + 1 &lt; H$14,INDIRECT(ADDRESS(MOD(ROW(A155) - H$15, H$14) + H$15, COLUMN(A155))),""))</f>
        <v/>
      </c>
      <c r="I155" t="str" cm="1">
        <f t="array" aca="1" ref="I155" ca="1">IF(ROW(B155)-I$15 &lt; I$14,B155,IF(ROW(B155) - I$15 -I$16 + 1 &lt; I$14,INDIRECT(ADDRESS(MOD(ROW(B155) - I$15, I$14) + I$15, COLUMN(B155))),""))</f>
        <v/>
      </c>
      <c r="J155" t="str" cm="1">
        <f t="array" aca="1" ref="J155" ca="1">IF(ROW(C155)-J$15 &lt; J$14,C155,IF(ROW(C155) - J$15 -J$16 + 1 &lt; J$14,INDIRECT(ADDRESS(MOD(ROW(C155) - J$15, J$14) + J$15, COLUMN(C155))),""))</f>
        <v/>
      </c>
      <c r="K155" t="str" cm="1">
        <f t="array" aca="1" ref="K155" ca="1">IF(ROW(D155)-K$15 &lt; K$14,D155,IF(ROW(D155) - K$15 -K$16 + 1 &lt; K$14,INDIRECT(ADDRESS(MOD(ROW(D155) - K$15, K$14) + K$15, COLUMN(D155))),""))</f>
        <v/>
      </c>
      <c r="L155" t="str" cm="1">
        <f t="array" aca="1" ref="L155" ca="1">IF(ROW(E155)-L$15 &lt; L$14,E155,IF(ROW(E155) - L$15 -L$16 + 1 &lt; L$14,INDIRECT(ADDRESS(MOD(ROW(E155) - L$15, L$14) + L$15, COLUMN(E155))),""))</f>
        <v/>
      </c>
      <c r="N155" t="str" cm="1">
        <f t="array" aca="1" ref="N155" ca="1">IF(A155&lt;&gt;"", SUMPRODUCT((OFFSET(A155,0,0,H$16,1)=$T$24) +0),"")</f>
        <v/>
      </c>
      <c r="O155" t="str" cm="1">
        <f t="array" aca="1" ref="O155" ca="1">IF(B155&lt;&gt;"", SUMPRODUCT((OFFSET(B155,0,0,I$16,1)=$T$24) +0),"")</f>
        <v/>
      </c>
      <c r="P155" t="str" cm="1">
        <f t="array" aca="1" ref="P155" ca="1">IF(C155&lt;&gt;"", SUMPRODUCT((OFFSET(C155,0,0,J$16,1)=$T$24) +0),"")</f>
        <v/>
      </c>
      <c r="Q155" t="str" cm="1">
        <f t="array" aca="1" ref="Q155" ca="1">IF(D155&lt;&gt;"", SUMPRODUCT((OFFSET(D155,0,0,K$16,1)=$T$24) +0),"")</f>
        <v/>
      </c>
      <c r="R155" t="str" cm="1">
        <f t="array" aca="1" ref="R155" ca="1">IF(E155&lt;&gt;"", SUMPRODUCT((OFFSET(E155,0,0,L$16,1)=$T$24) +0),"")</f>
        <v/>
      </c>
      <c r="AB155">
        <f t="shared" si="29"/>
        <v>3</v>
      </c>
      <c r="AC155">
        <f t="shared" si="30"/>
        <v>1</v>
      </c>
      <c r="AD155">
        <f t="shared" si="31"/>
        <v>2</v>
      </c>
      <c r="AE155">
        <f t="shared" si="32"/>
        <v>1</v>
      </c>
      <c r="AF155">
        <f t="shared" si="33"/>
        <v>0</v>
      </c>
      <c r="AG155">
        <f t="shared" si="34"/>
        <v>7</v>
      </c>
      <c r="AH155">
        <f t="shared" ca="1" si="36"/>
        <v>0</v>
      </c>
      <c r="AI155">
        <f>IF(ROW($AA155) - $AA$51 &lt; ($H$16+1)^5, IF(AG155 &gt;= FreeSpinsBonus!$C$16, AG155*FreeSpinsBonus!$E$31, 0), "")</f>
        <v>10.201107548819586</v>
      </c>
      <c r="AJ155">
        <f t="shared" ca="1" si="35"/>
        <v>0</v>
      </c>
      <c r="AK155" s="44"/>
    </row>
    <row r="156" spans="8:37" x14ac:dyDescent="0.3">
      <c r="H156" t="str" cm="1">
        <f t="array" aca="1" ref="H156" ca="1">IF(ROW(A156)-H$15 &lt; H$14,A156,IF(ROW(A156) - H$15 -H$16 + 1 &lt; H$14,INDIRECT(ADDRESS(MOD(ROW(A156) - H$15, H$14) + H$15, COLUMN(A156))),""))</f>
        <v/>
      </c>
      <c r="I156" t="str" cm="1">
        <f t="array" aca="1" ref="I156" ca="1">IF(ROW(B156)-I$15 &lt; I$14,B156,IF(ROW(B156) - I$15 -I$16 + 1 &lt; I$14,INDIRECT(ADDRESS(MOD(ROW(B156) - I$15, I$14) + I$15, COLUMN(B156))),""))</f>
        <v/>
      </c>
      <c r="J156" t="str" cm="1">
        <f t="array" aca="1" ref="J156" ca="1">IF(ROW(C156)-J$15 &lt; J$14,C156,IF(ROW(C156) - J$15 -J$16 + 1 &lt; J$14,INDIRECT(ADDRESS(MOD(ROW(C156) - J$15, J$14) + J$15, COLUMN(C156))),""))</f>
        <v/>
      </c>
      <c r="K156" t="str" cm="1">
        <f t="array" aca="1" ref="K156" ca="1">IF(ROW(D156)-K$15 &lt; K$14,D156,IF(ROW(D156) - K$15 -K$16 + 1 &lt; K$14,INDIRECT(ADDRESS(MOD(ROW(D156) - K$15, K$14) + K$15, COLUMN(D156))),""))</f>
        <v/>
      </c>
      <c r="L156" t="str" cm="1">
        <f t="array" aca="1" ref="L156" ca="1">IF(ROW(E156)-L$15 &lt; L$14,E156,IF(ROW(E156) - L$15 -L$16 + 1 &lt; L$14,INDIRECT(ADDRESS(MOD(ROW(E156) - L$15, L$14) + L$15, COLUMN(E156))),""))</f>
        <v/>
      </c>
      <c r="N156" t="str" cm="1">
        <f t="array" aca="1" ref="N156" ca="1">IF(A156&lt;&gt;"", SUMPRODUCT((OFFSET(A156,0,0,H$16,1)=$T$24) +0),"")</f>
        <v/>
      </c>
      <c r="O156" t="str" cm="1">
        <f t="array" aca="1" ref="O156" ca="1">IF(B156&lt;&gt;"", SUMPRODUCT((OFFSET(B156,0,0,I$16,1)=$T$24) +0),"")</f>
        <v/>
      </c>
      <c r="P156" t="str" cm="1">
        <f t="array" aca="1" ref="P156" ca="1">IF(C156&lt;&gt;"", SUMPRODUCT((OFFSET(C156,0,0,J$16,1)=$T$24) +0),"")</f>
        <v/>
      </c>
      <c r="Q156" t="str" cm="1">
        <f t="array" aca="1" ref="Q156" ca="1">IF(D156&lt;&gt;"", SUMPRODUCT((OFFSET(D156,0,0,K$16,1)=$T$24) +0),"")</f>
        <v/>
      </c>
      <c r="R156" t="str" cm="1">
        <f t="array" aca="1" ref="R156" ca="1">IF(E156&lt;&gt;"", SUMPRODUCT((OFFSET(E156,0,0,L$16,1)=$T$24) +0),"")</f>
        <v/>
      </c>
      <c r="AB156">
        <f t="shared" si="29"/>
        <v>0</v>
      </c>
      <c r="AC156">
        <f t="shared" si="30"/>
        <v>2</v>
      </c>
      <c r="AD156">
        <f t="shared" si="31"/>
        <v>2</v>
      </c>
      <c r="AE156">
        <f t="shared" si="32"/>
        <v>1</v>
      </c>
      <c r="AF156">
        <f t="shared" si="33"/>
        <v>0</v>
      </c>
      <c r="AG156">
        <f t="shared" si="34"/>
        <v>5</v>
      </c>
      <c r="AH156">
        <f t="shared" ca="1" si="36"/>
        <v>3.7846729026987636E-3</v>
      </c>
      <c r="AI156">
        <f>IF(ROW($AA156) - $AA$51 &lt; ($H$16+1)^5, IF(AG156 &gt;= FreeSpinsBonus!$C$16, AG156*FreeSpinsBonus!$E$31, 0), "")</f>
        <v>7.2865053920139902</v>
      </c>
      <c r="AJ156">
        <f t="shared" ca="1" si="35"/>
        <v>2.7577039512523781E-2</v>
      </c>
      <c r="AK156" s="44"/>
    </row>
    <row r="157" spans="8:37" x14ac:dyDescent="0.3">
      <c r="H157" t="str" cm="1">
        <f t="array" aca="1" ref="H157" ca="1">IF(ROW(A157)-H$15 &lt; H$14,A157,IF(ROW(A157) - H$15 -H$16 + 1 &lt; H$14,INDIRECT(ADDRESS(MOD(ROW(A157) - H$15, H$14) + H$15, COLUMN(A157))),""))</f>
        <v/>
      </c>
      <c r="I157" t="str" cm="1">
        <f t="array" aca="1" ref="I157" ca="1">IF(ROW(B157)-I$15 &lt; I$14,B157,IF(ROW(B157) - I$15 -I$16 + 1 &lt; I$14,INDIRECT(ADDRESS(MOD(ROW(B157) - I$15, I$14) + I$15, COLUMN(B157))),""))</f>
        <v/>
      </c>
      <c r="J157" t="str" cm="1">
        <f t="array" aca="1" ref="J157" ca="1">IF(ROW(C157)-J$15 &lt; J$14,C157,IF(ROW(C157) - J$15 -J$16 + 1 &lt; J$14,INDIRECT(ADDRESS(MOD(ROW(C157) - J$15, J$14) + J$15, COLUMN(C157))),""))</f>
        <v/>
      </c>
      <c r="K157" t="str" cm="1">
        <f t="array" aca="1" ref="K157" ca="1">IF(ROW(D157)-K$15 &lt; K$14,D157,IF(ROW(D157) - K$15 -K$16 + 1 &lt; K$14,INDIRECT(ADDRESS(MOD(ROW(D157) - K$15, K$14) + K$15, COLUMN(D157))),""))</f>
        <v/>
      </c>
      <c r="L157" t="str" cm="1">
        <f t="array" aca="1" ref="L157" ca="1">IF(ROW(E157)-L$15 &lt; L$14,E157,IF(ROW(E157) - L$15 -L$16 + 1 &lt; L$14,INDIRECT(ADDRESS(MOD(ROW(E157) - L$15, L$14) + L$15, COLUMN(E157))),""))</f>
        <v/>
      </c>
      <c r="N157" t="str" cm="1">
        <f t="array" aca="1" ref="N157" ca="1">IF(A157&lt;&gt;"", SUMPRODUCT((OFFSET(A157,0,0,H$16,1)=$T$24) +0),"")</f>
        <v/>
      </c>
      <c r="O157" t="str" cm="1">
        <f t="array" aca="1" ref="O157" ca="1">IF(B157&lt;&gt;"", SUMPRODUCT((OFFSET(B157,0,0,I$16,1)=$T$24) +0),"")</f>
        <v/>
      </c>
      <c r="P157" t="str" cm="1">
        <f t="array" aca="1" ref="P157" ca="1">IF(C157&lt;&gt;"", SUMPRODUCT((OFFSET(C157,0,0,J$16,1)=$T$24) +0),"")</f>
        <v/>
      </c>
      <c r="Q157" t="str" cm="1">
        <f t="array" aca="1" ref="Q157" ca="1">IF(D157&lt;&gt;"", SUMPRODUCT((OFFSET(D157,0,0,K$16,1)=$T$24) +0),"")</f>
        <v/>
      </c>
      <c r="R157" t="str" cm="1">
        <f t="array" aca="1" ref="R157" ca="1">IF(E157&lt;&gt;"", SUMPRODUCT((OFFSET(E157,0,0,L$16,1)=$T$24) +0),"")</f>
        <v/>
      </c>
      <c r="AB157">
        <f t="shared" si="29"/>
        <v>1</v>
      </c>
      <c r="AC157">
        <f t="shared" si="30"/>
        <v>2</v>
      </c>
      <c r="AD157">
        <f t="shared" si="31"/>
        <v>2</v>
      </c>
      <c r="AE157">
        <f t="shared" si="32"/>
        <v>1</v>
      </c>
      <c r="AF157">
        <f t="shared" si="33"/>
        <v>0</v>
      </c>
      <c r="AG157">
        <f t="shared" si="34"/>
        <v>6</v>
      </c>
      <c r="AH157">
        <f t="shared" ca="1" si="36"/>
        <v>3.9949325084042506E-3</v>
      </c>
      <c r="AI157">
        <f>IF(ROW($AA157) - $AA$51 &lt; ($H$16+1)^5, IF(AG157 &gt;= FreeSpinsBonus!$C$16, AG157*FreeSpinsBonus!$E$31, 0), "")</f>
        <v>8.7438064704167875</v>
      </c>
      <c r="AJ157">
        <f t="shared" ca="1" si="35"/>
        <v>3.4930916715863451E-2</v>
      </c>
      <c r="AK157" s="44"/>
    </row>
    <row r="158" spans="8:37" x14ac:dyDescent="0.3">
      <c r="H158" t="str" cm="1">
        <f t="array" aca="1" ref="H158" ca="1">IF(ROW(A158)-H$15 &lt; H$14,A158,IF(ROW(A158) - H$15 -H$16 + 1 &lt; H$14,INDIRECT(ADDRESS(MOD(ROW(A158) - H$15, H$14) + H$15, COLUMN(A158))),""))</f>
        <v/>
      </c>
      <c r="I158" t="str" cm="1">
        <f t="array" aca="1" ref="I158" ca="1">IF(ROW(B158)-I$15 &lt; I$14,B158,IF(ROW(B158) - I$15 -I$16 + 1 &lt; I$14,INDIRECT(ADDRESS(MOD(ROW(B158) - I$15, I$14) + I$15, COLUMN(B158))),""))</f>
        <v/>
      </c>
      <c r="J158" t="str" cm="1">
        <f t="array" aca="1" ref="J158" ca="1">IF(ROW(C158)-J$15 &lt; J$14,C158,IF(ROW(C158) - J$15 -J$16 + 1 &lt; J$14,INDIRECT(ADDRESS(MOD(ROW(C158) - J$15, J$14) + J$15, COLUMN(C158))),""))</f>
        <v/>
      </c>
      <c r="K158" t="str" cm="1">
        <f t="array" aca="1" ref="K158" ca="1">IF(ROW(D158)-K$15 &lt; K$14,D158,IF(ROW(D158) - K$15 -K$16 + 1 &lt; K$14,INDIRECT(ADDRESS(MOD(ROW(D158) - K$15, K$14) + K$15, COLUMN(D158))),""))</f>
        <v/>
      </c>
      <c r="L158" t="str" cm="1">
        <f t="array" aca="1" ref="L158" ca="1">IF(ROW(E158)-L$15 &lt; L$14,E158,IF(ROW(E158) - L$15 -L$16 + 1 &lt; L$14,INDIRECT(ADDRESS(MOD(ROW(E158) - L$15, L$14) + L$15, COLUMN(E158))),""))</f>
        <v/>
      </c>
      <c r="N158" t="str" cm="1">
        <f t="array" aca="1" ref="N158" ca="1">IF(A158&lt;&gt;"", SUMPRODUCT((OFFSET(A158,0,0,H$16,1)=$T$24) +0),"")</f>
        <v/>
      </c>
      <c r="O158" t="str" cm="1">
        <f t="array" aca="1" ref="O158" ca="1">IF(B158&lt;&gt;"", SUMPRODUCT((OFFSET(B158,0,0,I$16,1)=$T$24) +0),"")</f>
        <v/>
      </c>
      <c r="P158" t="str" cm="1">
        <f t="array" aca="1" ref="P158" ca="1">IF(C158&lt;&gt;"", SUMPRODUCT((OFFSET(C158,0,0,J$16,1)=$T$24) +0),"")</f>
        <v/>
      </c>
      <c r="Q158" t="str" cm="1">
        <f t="array" aca="1" ref="Q158" ca="1">IF(D158&lt;&gt;"", SUMPRODUCT((OFFSET(D158,0,0,K$16,1)=$T$24) +0),"")</f>
        <v/>
      </c>
      <c r="R158" t="str" cm="1">
        <f t="array" aca="1" ref="R158" ca="1">IF(E158&lt;&gt;"", SUMPRODUCT((OFFSET(E158,0,0,L$16,1)=$T$24) +0),"")</f>
        <v/>
      </c>
      <c r="AB158">
        <f t="shared" si="29"/>
        <v>2</v>
      </c>
      <c r="AC158">
        <f t="shared" si="30"/>
        <v>2</v>
      </c>
      <c r="AD158">
        <f t="shared" si="31"/>
        <v>2</v>
      </c>
      <c r="AE158">
        <f t="shared" si="32"/>
        <v>1</v>
      </c>
      <c r="AF158">
        <f t="shared" si="33"/>
        <v>0</v>
      </c>
      <c r="AG158">
        <f t="shared" si="34"/>
        <v>7</v>
      </c>
      <c r="AH158">
        <f t="shared" ca="1" si="36"/>
        <v>2.1025960570548691E-3</v>
      </c>
      <c r="AI158">
        <f>IF(ROW($AA158) - $AA$51 &lt; ($H$16+1)^5, IF(AG158 &gt;= FreeSpinsBonus!$C$16, AG158*FreeSpinsBonus!$E$31, 0), "")</f>
        <v>10.201107548819586</v>
      </c>
      <c r="AJ158">
        <f t="shared" ca="1" si="35"/>
        <v>2.1448808509740722E-2</v>
      </c>
      <c r="AK158" s="44"/>
    </row>
    <row r="159" spans="8:37" x14ac:dyDescent="0.3">
      <c r="H159" t="str" cm="1">
        <f t="array" aca="1" ref="H159" ca="1">IF(ROW(A159)-H$15 &lt; H$14,A159,IF(ROW(A159) - H$15 -H$16 + 1 &lt; H$14,INDIRECT(ADDRESS(MOD(ROW(A159) - H$15, H$14) + H$15, COLUMN(A159))),""))</f>
        <v/>
      </c>
      <c r="I159" t="str" cm="1">
        <f t="array" aca="1" ref="I159" ca="1">IF(ROW(B159)-I$15 &lt; I$14,B159,IF(ROW(B159) - I$15 -I$16 + 1 &lt; I$14,INDIRECT(ADDRESS(MOD(ROW(B159) - I$15, I$14) + I$15, COLUMN(B159))),""))</f>
        <v/>
      </c>
      <c r="J159" t="str" cm="1">
        <f t="array" aca="1" ref="J159" ca="1">IF(ROW(C159)-J$15 &lt; J$14,C159,IF(ROW(C159) - J$15 -J$16 + 1 &lt; J$14,INDIRECT(ADDRESS(MOD(ROW(C159) - J$15, J$14) + J$15, COLUMN(C159))),""))</f>
        <v/>
      </c>
      <c r="K159" t="str" cm="1">
        <f t="array" aca="1" ref="K159" ca="1">IF(ROW(D159)-K$15 &lt; K$14,D159,IF(ROW(D159) - K$15 -K$16 + 1 &lt; K$14,INDIRECT(ADDRESS(MOD(ROW(D159) - K$15, K$14) + K$15, COLUMN(D159))),""))</f>
        <v/>
      </c>
      <c r="L159" t="str" cm="1">
        <f t="array" aca="1" ref="L159" ca="1">IF(ROW(E159)-L$15 &lt; L$14,E159,IF(ROW(E159) - L$15 -L$16 + 1 &lt; L$14,INDIRECT(ADDRESS(MOD(ROW(E159) - L$15, L$14) + L$15, COLUMN(E159))),""))</f>
        <v/>
      </c>
      <c r="N159" t="str" cm="1">
        <f t="array" aca="1" ref="N159" ca="1">IF(A159&lt;&gt;"", SUMPRODUCT((OFFSET(A159,0,0,H$16,1)=$T$24) +0),"")</f>
        <v/>
      </c>
      <c r="O159" t="str" cm="1">
        <f t="array" aca="1" ref="O159" ca="1">IF(B159&lt;&gt;"", SUMPRODUCT((OFFSET(B159,0,0,I$16,1)=$T$24) +0),"")</f>
        <v/>
      </c>
      <c r="P159" t="str" cm="1">
        <f t="array" aca="1" ref="P159" ca="1">IF(C159&lt;&gt;"", SUMPRODUCT((OFFSET(C159,0,0,J$16,1)=$T$24) +0),"")</f>
        <v/>
      </c>
      <c r="Q159" t="str" cm="1">
        <f t="array" aca="1" ref="Q159" ca="1">IF(D159&lt;&gt;"", SUMPRODUCT((OFFSET(D159,0,0,K$16,1)=$T$24) +0),"")</f>
        <v/>
      </c>
      <c r="R159" t="str" cm="1">
        <f t="array" aca="1" ref="R159" ca="1">IF(E159&lt;&gt;"", SUMPRODUCT((OFFSET(E159,0,0,L$16,1)=$T$24) +0),"")</f>
        <v/>
      </c>
      <c r="AB159">
        <f t="shared" si="29"/>
        <v>3</v>
      </c>
      <c r="AC159">
        <f t="shared" si="30"/>
        <v>2</v>
      </c>
      <c r="AD159">
        <f t="shared" si="31"/>
        <v>2</v>
      </c>
      <c r="AE159">
        <f t="shared" si="32"/>
        <v>1</v>
      </c>
      <c r="AF159">
        <f t="shared" si="33"/>
        <v>0</v>
      </c>
      <c r="AG159">
        <f t="shared" si="34"/>
        <v>8</v>
      </c>
      <c r="AH159">
        <f t="shared" ca="1" si="36"/>
        <v>0</v>
      </c>
      <c r="AI159">
        <f>IF(ROW($AA159) - $AA$51 &lt; ($H$16+1)^5, IF(AG159 &gt;= FreeSpinsBonus!$C$16, AG159*FreeSpinsBonus!$E$31, 0), "")</f>
        <v>11.658408627222384</v>
      </c>
      <c r="AJ159">
        <f t="shared" ca="1" si="35"/>
        <v>0</v>
      </c>
      <c r="AK159" s="44"/>
    </row>
    <row r="160" spans="8:37" x14ac:dyDescent="0.3">
      <c r="H160" t="str" cm="1">
        <f t="array" aca="1" ref="H160" ca="1">IF(ROW(A160)-H$15 &lt; H$14,A160,IF(ROW(A160) - H$15 -H$16 + 1 &lt; H$14,INDIRECT(ADDRESS(MOD(ROW(A160) - H$15, H$14) + H$15, COLUMN(A160))),""))</f>
        <v/>
      </c>
      <c r="I160" t="str" cm="1">
        <f t="array" aca="1" ref="I160" ca="1">IF(ROW(B160)-I$15 &lt; I$14,B160,IF(ROW(B160) - I$15 -I$16 + 1 &lt; I$14,INDIRECT(ADDRESS(MOD(ROW(B160) - I$15, I$14) + I$15, COLUMN(B160))),""))</f>
        <v/>
      </c>
      <c r="J160" t="str" cm="1">
        <f t="array" aca="1" ref="J160" ca="1">IF(ROW(C160)-J$15 &lt; J$14,C160,IF(ROW(C160) - J$15 -J$16 + 1 &lt; J$14,INDIRECT(ADDRESS(MOD(ROW(C160) - J$15, J$14) + J$15, COLUMN(C160))),""))</f>
        <v/>
      </c>
      <c r="K160" t="str" cm="1">
        <f t="array" aca="1" ref="K160" ca="1">IF(ROW(D160)-K$15 &lt; K$14,D160,IF(ROW(D160) - K$15 -K$16 + 1 &lt; K$14,INDIRECT(ADDRESS(MOD(ROW(D160) - K$15, K$14) + K$15, COLUMN(D160))),""))</f>
        <v/>
      </c>
      <c r="L160" t="str" cm="1">
        <f t="array" aca="1" ref="L160" ca="1">IF(ROW(E160)-L$15 &lt; L$14,E160,IF(ROW(E160) - L$15 -L$16 + 1 &lt; L$14,INDIRECT(ADDRESS(MOD(ROW(E160) - L$15, L$14) + L$15, COLUMN(E160))),""))</f>
        <v/>
      </c>
      <c r="N160" t="str" cm="1">
        <f t="array" aca="1" ref="N160" ca="1">IF(A160&lt;&gt;"", SUMPRODUCT((OFFSET(A160,0,0,H$16,1)=$T$24) +0),"")</f>
        <v/>
      </c>
      <c r="O160" t="str" cm="1">
        <f t="array" aca="1" ref="O160" ca="1">IF(B160&lt;&gt;"", SUMPRODUCT((OFFSET(B160,0,0,I$16,1)=$T$24) +0),"")</f>
        <v/>
      </c>
      <c r="P160" t="str" cm="1">
        <f t="array" aca="1" ref="P160" ca="1">IF(C160&lt;&gt;"", SUMPRODUCT((OFFSET(C160,0,0,J$16,1)=$T$24) +0),"")</f>
        <v/>
      </c>
      <c r="Q160" t="str" cm="1">
        <f t="array" aca="1" ref="Q160" ca="1">IF(D160&lt;&gt;"", SUMPRODUCT((OFFSET(D160,0,0,K$16,1)=$T$24) +0),"")</f>
        <v/>
      </c>
      <c r="R160" t="str" cm="1">
        <f t="array" aca="1" ref="R160" ca="1">IF(E160&lt;&gt;"", SUMPRODUCT((OFFSET(E160,0,0,L$16,1)=$T$24) +0),"")</f>
        <v/>
      </c>
      <c r="AB160">
        <f t="shared" si="29"/>
        <v>0</v>
      </c>
      <c r="AC160">
        <f t="shared" si="30"/>
        <v>3</v>
      </c>
      <c r="AD160">
        <f t="shared" si="31"/>
        <v>2</v>
      </c>
      <c r="AE160">
        <f t="shared" si="32"/>
        <v>1</v>
      </c>
      <c r="AF160">
        <f t="shared" si="33"/>
        <v>0</v>
      </c>
      <c r="AG160">
        <f t="shared" si="34"/>
        <v>6</v>
      </c>
      <c r="AH160">
        <f t="shared" ca="1" si="36"/>
        <v>1.335766906834858E-3</v>
      </c>
      <c r="AI160">
        <f>IF(ROW($AA160) - $AA$51 &lt; ($H$16+1)^5, IF(AG160 &gt;= FreeSpinsBonus!$C$16, AG160*FreeSpinsBonus!$E$31, 0), "")</f>
        <v>8.7438064704167875</v>
      </c>
      <c r="AJ160">
        <f t="shared" ca="1" si="35"/>
        <v>1.167968732295125E-2</v>
      </c>
      <c r="AK160" s="44"/>
    </row>
    <row r="161" spans="8:37" x14ac:dyDescent="0.3">
      <c r="H161" t="str" cm="1">
        <f t="array" aca="1" ref="H161" ca="1">IF(ROW(A161)-H$15 &lt; H$14,A161,IF(ROW(A161) - H$15 -H$16 + 1 &lt; H$14,INDIRECT(ADDRESS(MOD(ROW(A161) - H$15, H$14) + H$15, COLUMN(A161))),""))</f>
        <v/>
      </c>
      <c r="I161" t="str" cm="1">
        <f t="array" aca="1" ref="I161" ca="1">IF(ROW(B161)-I$15 &lt; I$14,B161,IF(ROW(B161) - I$15 -I$16 + 1 &lt; I$14,INDIRECT(ADDRESS(MOD(ROW(B161) - I$15, I$14) + I$15, COLUMN(B161))),""))</f>
        <v/>
      </c>
      <c r="J161" t="str" cm="1">
        <f t="array" aca="1" ref="J161" ca="1">IF(ROW(C161)-J$15 &lt; J$14,C161,IF(ROW(C161) - J$15 -J$16 + 1 &lt; J$14,INDIRECT(ADDRESS(MOD(ROW(C161) - J$15, J$14) + J$15, COLUMN(C161))),""))</f>
        <v/>
      </c>
      <c r="K161" t="str" cm="1">
        <f t="array" aca="1" ref="K161" ca="1">IF(ROW(D161)-K$15 &lt; K$14,D161,IF(ROW(D161) - K$15 -K$16 + 1 &lt; K$14,INDIRECT(ADDRESS(MOD(ROW(D161) - K$15, K$14) + K$15, COLUMN(D161))),""))</f>
        <v/>
      </c>
      <c r="L161" t="str" cm="1">
        <f t="array" aca="1" ref="L161" ca="1">IF(ROW(E161)-L$15 &lt; L$14,E161,IF(ROW(E161) - L$15 -L$16 + 1 &lt; L$14,INDIRECT(ADDRESS(MOD(ROW(E161) - L$15, L$14) + L$15, COLUMN(E161))),""))</f>
        <v/>
      </c>
      <c r="N161" t="str" cm="1">
        <f t="array" aca="1" ref="N161" ca="1">IF(A161&lt;&gt;"", SUMPRODUCT((OFFSET(A161,0,0,H$16,1)=$T$24) +0),"")</f>
        <v/>
      </c>
      <c r="O161" t="str" cm="1">
        <f t="array" aca="1" ref="O161" ca="1">IF(B161&lt;&gt;"", SUMPRODUCT((OFFSET(B161,0,0,I$16,1)=$T$24) +0),"")</f>
        <v/>
      </c>
      <c r="P161" t="str" cm="1">
        <f t="array" aca="1" ref="P161" ca="1">IF(C161&lt;&gt;"", SUMPRODUCT((OFFSET(C161,0,0,J$16,1)=$T$24) +0),"")</f>
        <v/>
      </c>
      <c r="Q161" t="str" cm="1">
        <f t="array" aca="1" ref="Q161" ca="1">IF(D161&lt;&gt;"", SUMPRODUCT((OFFSET(D161,0,0,K$16,1)=$T$24) +0),"")</f>
        <v/>
      </c>
      <c r="R161" t="str" cm="1">
        <f t="array" aca="1" ref="R161" ca="1">IF(E161&lt;&gt;"", SUMPRODUCT((OFFSET(E161,0,0,L$16,1)=$T$24) +0),"")</f>
        <v/>
      </c>
      <c r="AB161">
        <f t="shared" si="29"/>
        <v>1</v>
      </c>
      <c r="AC161">
        <f t="shared" si="30"/>
        <v>3</v>
      </c>
      <c r="AD161">
        <f t="shared" si="31"/>
        <v>2</v>
      </c>
      <c r="AE161">
        <f t="shared" si="32"/>
        <v>1</v>
      </c>
      <c r="AF161">
        <f t="shared" si="33"/>
        <v>0</v>
      </c>
      <c r="AG161">
        <f t="shared" si="34"/>
        <v>7</v>
      </c>
      <c r="AH161">
        <f t="shared" ca="1" si="36"/>
        <v>1.4099761794367943E-3</v>
      </c>
      <c r="AI161">
        <f>IF(ROW($AA161) - $AA$51 &lt; ($H$16+1)^5, IF(AG161 &gt;= FreeSpinsBonus!$C$16, AG161*FreeSpinsBonus!$E$31, 0), "")</f>
        <v>10.201107548819586</v>
      </c>
      <c r="AJ161">
        <f t="shared" ca="1" si="35"/>
        <v>1.4383318647708481E-2</v>
      </c>
      <c r="AK161" s="44"/>
    </row>
    <row r="162" spans="8:37" x14ac:dyDescent="0.3">
      <c r="H162" t="str" cm="1">
        <f t="array" aca="1" ref="H162" ca="1">IF(ROW(A162)-H$15 &lt; H$14,A162,IF(ROW(A162) - H$15 -H$16 + 1 &lt; H$14,INDIRECT(ADDRESS(MOD(ROW(A162) - H$15, H$14) + H$15, COLUMN(A162))),""))</f>
        <v/>
      </c>
      <c r="I162" t="str" cm="1">
        <f t="array" aca="1" ref="I162" ca="1">IF(ROW(B162)-I$15 &lt; I$14,B162,IF(ROW(B162) - I$15 -I$16 + 1 &lt; I$14,INDIRECT(ADDRESS(MOD(ROW(B162) - I$15, I$14) + I$15, COLUMN(B162))),""))</f>
        <v/>
      </c>
      <c r="J162" t="str" cm="1">
        <f t="array" aca="1" ref="J162" ca="1">IF(ROW(C162)-J$15 &lt; J$14,C162,IF(ROW(C162) - J$15 -J$16 + 1 &lt; J$14,INDIRECT(ADDRESS(MOD(ROW(C162) - J$15, J$14) + J$15, COLUMN(C162))),""))</f>
        <v/>
      </c>
      <c r="K162" t="str" cm="1">
        <f t="array" aca="1" ref="K162" ca="1">IF(ROW(D162)-K$15 &lt; K$14,D162,IF(ROW(D162) - K$15 -K$16 + 1 &lt; K$14,INDIRECT(ADDRESS(MOD(ROW(D162) - K$15, K$14) + K$15, COLUMN(D162))),""))</f>
        <v/>
      </c>
      <c r="L162" t="str" cm="1">
        <f t="array" aca="1" ref="L162" ca="1">IF(ROW(E162)-L$15 &lt; L$14,E162,IF(ROW(E162) - L$15 -L$16 + 1 &lt; L$14,INDIRECT(ADDRESS(MOD(ROW(E162) - L$15, L$14) + L$15, COLUMN(E162))),""))</f>
        <v/>
      </c>
      <c r="N162" t="str" cm="1">
        <f t="array" aca="1" ref="N162" ca="1">IF(A162&lt;&gt;"", SUMPRODUCT((OFFSET(A162,0,0,H$16,1)=$T$24) +0),"")</f>
        <v/>
      </c>
      <c r="O162" t="str" cm="1">
        <f t="array" aca="1" ref="O162" ca="1">IF(B162&lt;&gt;"", SUMPRODUCT((OFFSET(B162,0,0,I$16,1)=$T$24) +0),"")</f>
        <v/>
      </c>
      <c r="P162" t="str" cm="1">
        <f t="array" aca="1" ref="P162" ca="1">IF(C162&lt;&gt;"", SUMPRODUCT((OFFSET(C162,0,0,J$16,1)=$T$24) +0),"")</f>
        <v/>
      </c>
      <c r="Q162" t="str" cm="1">
        <f t="array" aca="1" ref="Q162" ca="1">IF(D162&lt;&gt;"", SUMPRODUCT((OFFSET(D162,0,0,K$16,1)=$T$24) +0),"")</f>
        <v/>
      </c>
      <c r="R162" t="str" cm="1">
        <f t="array" aca="1" ref="R162" ca="1">IF(E162&lt;&gt;"", SUMPRODUCT((OFFSET(E162,0,0,L$16,1)=$T$24) +0),"")</f>
        <v/>
      </c>
      <c r="AB162">
        <f t="shared" si="29"/>
        <v>2</v>
      </c>
      <c r="AC162">
        <f t="shared" si="30"/>
        <v>3</v>
      </c>
      <c r="AD162">
        <f t="shared" si="31"/>
        <v>2</v>
      </c>
      <c r="AE162">
        <f t="shared" si="32"/>
        <v>1</v>
      </c>
      <c r="AF162">
        <f t="shared" si="33"/>
        <v>0</v>
      </c>
      <c r="AG162">
        <f t="shared" si="34"/>
        <v>8</v>
      </c>
      <c r="AH162">
        <f t="shared" ca="1" si="36"/>
        <v>7.4209272601936536E-4</v>
      </c>
      <c r="AI162">
        <f>IF(ROW($AA162) - $AA$51 &lt; ($H$16+1)^5, IF(AG162 &gt;= FreeSpinsBonus!$C$16, AG162*FreeSpinsBonus!$E$31, 0), "")</f>
        <v>11.658408627222384</v>
      </c>
      <c r="AJ162">
        <f t="shared" ca="1" si="35"/>
        <v>8.6516202392231453E-3</v>
      </c>
      <c r="AK162" s="44"/>
    </row>
    <row r="163" spans="8:37" x14ac:dyDescent="0.3">
      <c r="H163" t="str" cm="1">
        <f t="array" aca="1" ref="H163" ca="1">IF(ROW(A163)-H$15 &lt; H$14,A163,IF(ROW(A163) - H$15 -H$16 + 1 &lt; H$14,INDIRECT(ADDRESS(MOD(ROW(A163) - H$15, H$14) + H$15, COLUMN(A163))),""))</f>
        <v/>
      </c>
      <c r="I163" t="str" cm="1">
        <f t="array" aca="1" ref="I163" ca="1">IF(ROW(B163)-I$15 &lt; I$14,B163,IF(ROW(B163) - I$15 -I$16 + 1 &lt; I$14,INDIRECT(ADDRESS(MOD(ROW(B163) - I$15, I$14) + I$15, COLUMN(B163))),""))</f>
        <v/>
      </c>
      <c r="J163" t="str" cm="1">
        <f t="array" aca="1" ref="J163" ca="1">IF(ROW(C163)-J$15 &lt; J$14,C163,IF(ROW(C163) - J$15 -J$16 + 1 &lt; J$14,INDIRECT(ADDRESS(MOD(ROW(C163) - J$15, J$14) + J$15, COLUMN(C163))),""))</f>
        <v/>
      </c>
      <c r="K163" t="str" cm="1">
        <f t="array" aca="1" ref="K163" ca="1">IF(ROW(D163)-K$15 &lt; K$14,D163,IF(ROW(D163) - K$15 -K$16 + 1 &lt; K$14,INDIRECT(ADDRESS(MOD(ROW(D163) - K$15, K$14) + K$15, COLUMN(D163))),""))</f>
        <v/>
      </c>
      <c r="L163" t="str" cm="1">
        <f t="array" aca="1" ref="L163" ca="1">IF(ROW(E163)-L$15 &lt; L$14,E163,IF(ROW(E163) - L$15 -L$16 + 1 &lt; L$14,INDIRECT(ADDRESS(MOD(ROW(E163) - L$15, L$14) + L$15, COLUMN(E163))),""))</f>
        <v/>
      </c>
      <c r="N163" t="str" cm="1">
        <f t="array" aca="1" ref="N163" ca="1">IF(A163&lt;&gt;"", SUMPRODUCT((OFFSET(A163,0,0,H$16,1)=$T$24) +0),"")</f>
        <v/>
      </c>
      <c r="O163" t="str" cm="1">
        <f t="array" aca="1" ref="O163" ca="1">IF(B163&lt;&gt;"", SUMPRODUCT((OFFSET(B163,0,0,I$16,1)=$T$24) +0),"")</f>
        <v/>
      </c>
      <c r="P163" t="str" cm="1">
        <f t="array" aca="1" ref="P163" ca="1">IF(C163&lt;&gt;"", SUMPRODUCT((OFFSET(C163,0,0,J$16,1)=$T$24) +0),"")</f>
        <v/>
      </c>
      <c r="Q163" t="str" cm="1">
        <f t="array" aca="1" ref="Q163" ca="1">IF(D163&lt;&gt;"", SUMPRODUCT((OFFSET(D163,0,0,K$16,1)=$T$24) +0),"")</f>
        <v/>
      </c>
      <c r="R163" t="str" cm="1">
        <f t="array" aca="1" ref="R163" ca="1">IF(E163&lt;&gt;"", SUMPRODUCT((OFFSET(E163,0,0,L$16,1)=$T$24) +0),"")</f>
        <v/>
      </c>
      <c r="AB163">
        <f t="shared" si="29"/>
        <v>3</v>
      </c>
      <c r="AC163">
        <f t="shared" si="30"/>
        <v>3</v>
      </c>
      <c r="AD163">
        <f t="shared" si="31"/>
        <v>2</v>
      </c>
      <c r="AE163">
        <f t="shared" si="32"/>
        <v>1</v>
      </c>
      <c r="AF163">
        <f t="shared" si="33"/>
        <v>0</v>
      </c>
      <c r="AG163">
        <f t="shared" si="34"/>
        <v>9</v>
      </c>
      <c r="AH163">
        <f t="shared" ca="1" si="36"/>
        <v>0</v>
      </c>
      <c r="AI163">
        <f>IF(ROW($AA163) - $AA$51 &lt; ($H$16+1)^5, IF(AG163 &gt;= FreeSpinsBonus!$C$16, AG163*FreeSpinsBonus!$E$31, 0), "")</f>
        <v>13.115709705625182</v>
      </c>
      <c r="AJ163">
        <f t="shared" ca="1" si="35"/>
        <v>0</v>
      </c>
      <c r="AK163" s="44"/>
    </row>
    <row r="164" spans="8:37" x14ac:dyDescent="0.3">
      <c r="H164" t="str" cm="1">
        <f t="array" aca="1" ref="H164" ca="1">IF(ROW(A164)-H$15 &lt; H$14,A164,IF(ROW(A164) - H$15 -H$16 + 1 &lt; H$14,INDIRECT(ADDRESS(MOD(ROW(A164) - H$15, H$14) + H$15, COLUMN(A164))),""))</f>
        <v/>
      </c>
      <c r="I164" t="str" cm="1">
        <f t="array" aca="1" ref="I164" ca="1">IF(ROW(B164)-I$15 &lt; I$14,B164,IF(ROW(B164) - I$15 -I$16 + 1 &lt; I$14,INDIRECT(ADDRESS(MOD(ROW(B164) - I$15, I$14) + I$15, COLUMN(B164))),""))</f>
        <v/>
      </c>
      <c r="J164" t="str" cm="1">
        <f t="array" aca="1" ref="J164" ca="1">IF(ROW(C164)-J$15 &lt; J$14,C164,IF(ROW(C164) - J$15 -J$16 + 1 &lt; J$14,INDIRECT(ADDRESS(MOD(ROW(C164) - J$15, J$14) + J$15, COLUMN(C164))),""))</f>
        <v/>
      </c>
      <c r="K164" t="str" cm="1">
        <f t="array" aca="1" ref="K164" ca="1">IF(ROW(D164)-K$15 &lt; K$14,D164,IF(ROW(D164) - K$15 -K$16 + 1 &lt; K$14,INDIRECT(ADDRESS(MOD(ROW(D164) - K$15, K$14) + K$15, COLUMN(D164))),""))</f>
        <v/>
      </c>
      <c r="L164" t="str" cm="1">
        <f t="array" aca="1" ref="L164" ca="1">IF(ROW(E164)-L$15 &lt; L$14,E164,IF(ROW(E164) - L$15 -L$16 + 1 &lt; L$14,INDIRECT(ADDRESS(MOD(ROW(E164) - L$15, L$14) + L$15, COLUMN(E164))),""))</f>
        <v/>
      </c>
      <c r="N164" t="str" cm="1">
        <f t="array" aca="1" ref="N164" ca="1">IF(A164&lt;&gt;"", SUMPRODUCT((OFFSET(A164,0,0,H$16,1)=$T$24) +0),"")</f>
        <v/>
      </c>
      <c r="O164" t="str" cm="1">
        <f t="array" aca="1" ref="O164" ca="1">IF(B164&lt;&gt;"", SUMPRODUCT((OFFSET(B164,0,0,I$16,1)=$T$24) +0),"")</f>
        <v/>
      </c>
      <c r="P164" t="str" cm="1">
        <f t="array" aca="1" ref="P164" ca="1">IF(C164&lt;&gt;"", SUMPRODUCT((OFFSET(C164,0,0,J$16,1)=$T$24) +0),"")</f>
        <v/>
      </c>
      <c r="Q164" t="str" cm="1">
        <f t="array" aca="1" ref="Q164" ca="1">IF(D164&lt;&gt;"", SUMPRODUCT((OFFSET(D164,0,0,K$16,1)=$T$24) +0),"")</f>
        <v/>
      </c>
      <c r="R164" t="str" cm="1">
        <f t="array" aca="1" ref="R164" ca="1">IF(E164&lt;&gt;"", SUMPRODUCT((OFFSET(E164,0,0,L$16,1)=$T$24) +0),"")</f>
        <v/>
      </c>
      <c r="AB164">
        <f t="shared" si="29"/>
        <v>0</v>
      </c>
      <c r="AC164">
        <f t="shared" si="30"/>
        <v>0</v>
      </c>
      <c r="AD164">
        <f t="shared" si="31"/>
        <v>3</v>
      </c>
      <c r="AE164">
        <f t="shared" si="32"/>
        <v>1</v>
      </c>
      <c r="AF164">
        <f t="shared" si="33"/>
        <v>0</v>
      </c>
      <c r="AG164">
        <f t="shared" si="34"/>
        <v>4</v>
      </c>
      <c r="AH164">
        <f t="shared" ca="1" si="36"/>
        <v>3.4406117297261485E-4</v>
      </c>
      <c r="AI164">
        <f>IF(ROW($AA164) - $AA$51 &lt; ($H$16+1)^5, IF(AG164 &gt;= FreeSpinsBonus!$C$16, AG164*FreeSpinsBonus!$E$31, 0), "")</f>
        <v>0</v>
      </c>
      <c r="AJ164">
        <f t="shared" ca="1" si="35"/>
        <v>0</v>
      </c>
      <c r="AK164" s="44"/>
    </row>
    <row r="165" spans="8:37" x14ac:dyDescent="0.3">
      <c r="H165" t="str" cm="1">
        <f t="array" aca="1" ref="H165" ca="1">IF(ROW(A165)-H$15 &lt; H$14,A165,IF(ROW(A165) - H$15 -H$16 + 1 &lt; H$14,INDIRECT(ADDRESS(MOD(ROW(A165) - H$15, H$14) + H$15, COLUMN(A165))),""))</f>
        <v/>
      </c>
      <c r="I165" t="str" cm="1">
        <f t="array" aca="1" ref="I165" ca="1">IF(ROW(B165)-I$15 &lt; I$14,B165,IF(ROW(B165) - I$15 -I$16 + 1 &lt; I$14,INDIRECT(ADDRESS(MOD(ROW(B165) - I$15, I$14) + I$15, COLUMN(B165))),""))</f>
        <v/>
      </c>
      <c r="J165" t="str" cm="1">
        <f t="array" aca="1" ref="J165" ca="1">IF(ROW(C165)-J$15 &lt; J$14,C165,IF(ROW(C165) - J$15 -J$16 + 1 &lt; J$14,INDIRECT(ADDRESS(MOD(ROW(C165) - J$15, J$14) + J$15, COLUMN(C165))),""))</f>
        <v/>
      </c>
      <c r="K165" t="str" cm="1">
        <f t="array" aca="1" ref="K165" ca="1">IF(ROW(D165)-K$15 &lt; K$14,D165,IF(ROW(D165) - K$15 -K$16 + 1 &lt; K$14,INDIRECT(ADDRESS(MOD(ROW(D165) - K$15, K$14) + K$15, COLUMN(D165))),""))</f>
        <v/>
      </c>
      <c r="L165" t="str" cm="1">
        <f t="array" aca="1" ref="L165" ca="1">IF(ROW(E165)-L$15 &lt; L$14,E165,IF(ROW(E165) - L$15 -L$16 + 1 &lt; L$14,INDIRECT(ADDRESS(MOD(ROW(E165) - L$15, L$14) + L$15, COLUMN(E165))),""))</f>
        <v/>
      </c>
      <c r="N165" t="str" cm="1">
        <f t="array" aca="1" ref="N165" ca="1">IF(A165&lt;&gt;"", SUMPRODUCT((OFFSET(A165,0,0,H$16,1)=$T$24) +0),"")</f>
        <v/>
      </c>
      <c r="O165" t="str" cm="1">
        <f t="array" aca="1" ref="O165" ca="1">IF(B165&lt;&gt;"", SUMPRODUCT((OFFSET(B165,0,0,I$16,1)=$T$24) +0),"")</f>
        <v/>
      </c>
      <c r="P165" t="str" cm="1">
        <f t="array" aca="1" ref="P165" ca="1">IF(C165&lt;&gt;"", SUMPRODUCT((OFFSET(C165,0,0,J$16,1)=$T$24) +0),"")</f>
        <v/>
      </c>
      <c r="Q165" t="str" cm="1">
        <f t="array" aca="1" ref="Q165" ca="1">IF(D165&lt;&gt;"", SUMPRODUCT((OFFSET(D165,0,0,K$16,1)=$T$24) +0),"")</f>
        <v/>
      </c>
      <c r="R165" t="str" cm="1">
        <f t="array" aca="1" ref="R165" ca="1">IF(E165&lt;&gt;"", SUMPRODUCT((OFFSET(E165,0,0,L$16,1)=$T$24) +0),"")</f>
        <v/>
      </c>
      <c r="AB165">
        <f t="shared" si="29"/>
        <v>1</v>
      </c>
      <c r="AC165">
        <f t="shared" si="30"/>
        <v>0</v>
      </c>
      <c r="AD165">
        <f t="shared" si="31"/>
        <v>3</v>
      </c>
      <c r="AE165">
        <f t="shared" si="32"/>
        <v>1</v>
      </c>
      <c r="AF165">
        <f t="shared" si="33"/>
        <v>0</v>
      </c>
      <c r="AG165">
        <f t="shared" si="34"/>
        <v>5</v>
      </c>
      <c r="AH165">
        <f t="shared" ca="1" si="36"/>
        <v>3.6317568258220455E-4</v>
      </c>
      <c r="AI165">
        <f>IF(ROW($AA165) - $AA$51 &lt; ($H$16+1)^5, IF(AG165 &gt;= FreeSpinsBonus!$C$16, AG165*FreeSpinsBonus!$E$31, 0), "")</f>
        <v>7.2865053920139902</v>
      </c>
      <c r="AJ165">
        <f t="shared" ca="1" si="35"/>
        <v>2.6462815693835949E-3</v>
      </c>
      <c r="AK165" s="44"/>
    </row>
    <row r="166" spans="8:37" x14ac:dyDescent="0.3">
      <c r="H166" t="str" cm="1">
        <f t="array" aca="1" ref="H166" ca="1">IF(ROW(A166)-H$15 &lt; H$14,A166,IF(ROW(A166) - H$15 -H$16 + 1 &lt; H$14,INDIRECT(ADDRESS(MOD(ROW(A166) - H$15, H$14) + H$15, COLUMN(A166))),""))</f>
        <v/>
      </c>
      <c r="I166" t="str" cm="1">
        <f t="array" aca="1" ref="I166" ca="1">IF(ROW(B166)-I$15 &lt; I$14,B166,IF(ROW(B166) - I$15 -I$16 + 1 &lt; I$14,INDIRECT(ADDRESS(MOD(ROW(B166) - I$15, I$14) + I$15, COLUMN(B166))),""))</f>
        <v/>
      </c>
      <c r="J166" t="str" cm="1">
        <f t="array" aca="1" ref="J166" ca="1">IF(ROW(C166)-J$15 &lt; J$14,C166,IF(ROW(C166) - J$15 -J$16 + 1 &lt; J$14,INDIRECT(ADDRESS(MOD(ROW(C166) - J$15, J$14) + J$15, COLUMN(C166))),""))</f>
        <v/>
      </c>
      <c r="K166" t="str" cm="1">
        <f t="array" aca="1" ref="K166" ca="1">IF(ROW(D166)-K$15 &lt; K$14,D166,IF(ROW(D166) - K$15 -K$16 + 1 &lt; K$14,INDIRECT(ADDRESS(MOD(ROW(D166) - K$15, K$14) + K$15, COLUMN(D166))),""))</f>
        <v/>
      </c>
      <c r="L166" t="str" cm="1">
        <f t="array" aca="1" ref="L166" ca="1">IF(ROW(E166)-L$15 &lt; L$14,E166,IF(ROW(E166) - L$15 -L$16 + 1 &lt; L$14,INDIRECT(ADDRESS(MOD(ROW(E166) - L$15, L$14) + L$15, COLUMN(E166))),""))</f>
        <v/>
      </c>
      <c r="N166" t="str" cm="1">
        <f t="array" aca="1" ref="N166" ca="1">IF(A166&lt;&gt;"", SUMPRODUCT((OFFSET(A166,0,0,H$16,1)=$T$24) +0),"")</f>
        <v/>
      </c>
      <c r="O166" t="str" cm="1">
        <f t="array" aca="1" ref="O166" ca="1">IF(B166&lt;&gt;"", SUMPRODUCT((OFFSET(B166,0,0,I$16,1)=$T$24) +0),"")</f>
        <v/>
      </c>
      <c r="P166" t="str" cm="1">
        <f t="array" aca="1" ref="P166" ca="1">IF(C166&lt;&gt;"", SUMPRODUCT((OFFSET(C166,0,0,J$16,1)=$T$24) +0),"")</f>
        <v/>
      </c>
      <c r="Q166" t="str" cm="1">
        <f t="array" aca="1" ref="Q166" ca="1">IF(D166&lt;&gt;"", SUMPRODUCT((OFFSET(D166,0,0,K$16,1)=$T$24) +0),"")</f>
        <v/>
      </c>
      <c r="R166" t="str" cm="1">
        <f t="array" aca="1" ref="R166" ca="1">IF(E166&lt;&gt;"", SUMPRODUCT((OFFSET(E166,0,0,L$16,1)=$T$24) +0),"")</f>
        <v/>
      </c>
      <c r="AB166">
        <f t="shared" si="29"/>
        <v>2</v>
      </c>
      <c r="AC166">
        <f t="shared" si="30"/>
        <v>0</v>
      </c>
      <c r="AD166">
        <f t="shared" si="31"/>
        <v>3</v>
      </c>
      <c r="AE166">
        <f t="shared" si="32"/>
        <v>1</v>
      </c>
      <c r="AF166">
        <f t="shared" si="33"/>
        <v>0</v>
      </c>
      <c r="AG166">
        <f t="shared" si="34"/>
        <v>6</v>
      </c>
      <c r="AH166">
        <f t="shared" ca="1" si="36"/>
        <v>1.9114509609589715E-4</v>
      </c>
      <c r="AI166">
        <f>IF(ROW($AA166) - $AA$51 &lt; ($H$16+1)^5, IF(AG166 &gt;= FreeSpinsBonus!$C$16, AG166*FreeSpinsBonus!$E$31, 0), "")</f>
        <v>8.7438064704167875</v>
      </c>
      <c r="AJ166">
        <f t="shared" ca="1" si="35"/>
        <v>1.6713357280317442E-3</v>
      </c>
      <c r="AK166" s="44"/>
    </row>
    <row r="167" spans="8:37" x14ac:dyDescent="0.3">
      <c r="H167" t="str" cm="1">
        <f t="array" aca="1" ref="H167" ca="1">IF(ROW(A167)-H$15 &lt; H$14,A167,IF(ROW(A167) - H$15 -H$16 + 1 &lt; H$14,INDIRECT(ADDRESS(MOD(ROW(A167) - H$15, H$14) + H$15, COLUMN(A167))),""))</f>
        <v/>
      </c>
      <c r="I167" t="str" cm="1">
        <f t="array" aca="1" ref="I167" ca="1">IF(ROW(B167)-I$15 &lt; I$14,B167,IF(ROW(B167) - I$15 -I$16 + 1 &lt; I$14,INDIRECT(ADDRESS(MOD(ROW(B167) - I$15, I$14) + I$15, COLUMN(B167))),""))</f>
        <v/>
      </c>
      <c r="J167" t="str" cm="1">
        <f t="array" aca="1" ref="J167" ca="1">IF(ROW(C167)-J$15 &lt; J$14,C167,IF(ROW(C167) - J$15 -J$16 + 1 &lt; J$14,INDIRECT(ADDRESS(MOD(ROW(C167) - J$15, J$14) + J$15, COLUMN(C167))),""))</f>
        <v/>
      </c>
      <c r="K167" t="str" cm="1">
        <f t="array" aca="1" ref="K167" ca="1">IF(ROW(D167)-K$15 &lt; K$14,D167,IF(ROW(D167) - K$15 -K$16 + 1 &lt; K$14,INDIRECT(ADDRESS(MOD(ROW(D167) - K$15, K$14) + K$15, COLUMN(D167))),""))</f>
        <v/>
      </c>
      <c r="L167" t="str" cm="1">
        <f t="array" aca="1" ref="L167" ca="1">IF(ROW(E167)-L$15 &lt; L$14,E167,IF(ROW(E167) - L$15 -L$16 + 1 &lt; L$14,INDIRECT(ADDRESS(MOD(ROW(E167) - L$15, L$14) + L$15, COLUMN(E167))),""))</f>
        <v/>
      </c>
      <c r="N167" t="str" cm="1">
        <f t="array" aca="1" ref="N167" ca="1">IF(A167&lt;&gt;"", SUMPRODUCT((OFFSET(A167,0,0,H$16,1)=$T$24) +0),"")</f>
        <v/>
      </c>
      <c r="O167" t="str" cm="1">
        <f t="array" aca="1" ref="O167" ca="1">IF(B167&lt;&gt;"", SUMPRODUCT((OFFSET(B167,0,0,I$16,1)=$T$24) +0),"")</f>
        <v/>
      </c>
      <c r="P167" t="str" cm="1">
        <f t="array" aca="1" ref="P167" ca="1">IF(C167&lt;&gt;"", SUMPRODUCT((OFFSET(C167,0,0,J$16,1)=$T$24) +0),"")</f>
        <v/>
      </c>
      <c r="Q167" t="str" cm="1">
        <f t="array" aca="1" ref="Q167" ca="1">IF(D167&lt;&gt;"", SUMPRODUCT((OFFSET(D167,0,0,K$16,1)=$T$24) +0),"")</f>
        <v/>
      </c>
      <c r="R167" t="str" cm="1">
        <f t="array" aca="1" ref="R167" ca="1">IF(E167&lt;&gt;"", SUMPRODUCT((OFFSET(E167,0,0,L$16,1)=$T$24) +0),"")</f>
        <v/>
      </c>
      <c r="AB167">
        <f t="shared" si="29"/>
        <v>3</v>
      </c>
      <c r="AC167">
        <f t="shared" si="30"/>
        <v>0</v>
      </c>
      <c r="AD167">
        <f t="shared" si="31"/>
        <v>3</v>
      </c>
      <c r="AE167">
        <f t="shared" si="32"/>
        <v>1</v>
      </c>
      <c r="AF167">
        <f t="shared" si="33"/>
        <v>0</v>
      </c>
      <c r="AG167">
        <f t="shared" si="34"/>
        <v>7</v>
      </c>
      <c r="AH167">
        <f t="shared" ca="1" si="36"/>
        <v>0</v>
      </c>
      <c r="AI167">
        <f>IF(ROW($AA167) - $AA$51 &lt; ($H$16+1)^5, IF(AG167 &gt;= FreeSpinsBonus!$C$16, AG167*FreeSpinsBonus!$E$31, 0), "")</f>
        <v>10.201107548819586</v>
      </c>
      <c r="AJ167">
        <f t="shared" ca="1" si="35"/>
        <v>0</v>
      </c>
      <c r="AK167" s="44"/>
    </row>
    <row r="168" spans="8:37" x14ac:dyDescent="0.3">
      <c r="H168" t="str" cm="1">
        <f t="array" aca="1" ref="H168" ca="1">IF(ROW(A168)-H$15 &lt; H$14,A168,IF(ROW(A168) - H$15 -H$16 + 1 &lt; H$14,INDIRECT(ADDRESS(MOD(ROW(A168) - H$15, H$14) + H$15, COLUMN(A168))),""))</f>
        <v/>
      </c>
      <c r="I168" t="str" cm="1">
        <f t="array" aca="1" ref="I168" ca="1">IF(ROW(B168)-I$15 &lt; I$14,B168,IF(ROW(B168) - I$15 -I$16 + 1 &lt; I$14,INDIRECT(ADDRESS(MOD(ROW(B168) - I$15, I$14) + I$15, COLUMN(B168))),""))</f>
        <v/>
      </c>
      <c r="J168" t="str" cm="1">
        <f t="array" aca="1" ref="J168" ca="1">IF(ROW(C168)-J$15 &lt; J$14,C168,IF(ROW(C168) - J$15 -J$16 + 1 &lt; J$14,INDIRECT(ADDRESS(MOD(ROW(C168) - J$15, J$14) + J$15, COLUMN(C168))),""))</f>
        <v/>
      </c>
      <c r="K168" t="str" cm="1">
        <f t="array" aca="1" ref="K168" ca="1">IF(ROW(D168)-K$15 &lt; K$14,D168,IF(ROW(D168) - K$15 -K$16 + 1 &lt; K$14,INDIRECT(ADDRESS(MOD(ROW(D168) - K$15, K$14) + K$15, COLUMN(D168))),""))</f>
        <v/>
      </c>
      <c r="L168" t="str" cm="1">
        <f t="array" aca="1" ref="L168" ca="1">IF(ROW(E168)-L$15 &lt; L$14,E168,IF(ROW(E168) - L$15 -L$16 + 1 &lt; L$14,INDIRECT(ADDRESS(MOD(ROW(E168) - L$15, L$14) + L$15, COLUMN(E168))),""))</f>
        <v/>
      </c>
      <c r="N168" t="str" cm="1">
        <f t="array" aca="1" ref="N168" ca="1">IF(A168&lt;&gt;"", SUMPRODUCT((OFFSET(A168,0,0,H$16,1)=$T$24) +0),"")</f>
        <v/>
      </c>
      <c r="O168" t="str" cm="1">
        <f t="array" aca="1" ref="O168" ca="1">IF(B168&lt;&gt;"", SUMPRODUCT((OFFSET(B168,0,0,I$16,1)=$T$24) +0),"")</f>
        <v/>
      </c>
      <c r="P168" t="str" cm="1">
        <f t="array" aca="1" ref="P168" ca="1">IF(C168&lt;&gt;"", SUMPRODUCT((OFFSET(C168,0,0,J$16,1)=$T$24) +0),"")</f>
        <v/>
      </c>
      <c r="Q168" t="str" cm="1">
        <f t="array" aca="1" ref="Q168" ca="1">IF(D168&lt;&gt;"", SUMPRODUCT((OFFSET(D168,0,0,K$16,1)=$T$24) +0),"")</f>
        <v/>
      </c>
      <c r="R168" t="str" cm="1">
        <f t="array" aca="1" ref="R168" ca="1">IF(E168&lt;&gt;"", SUMPRODUCT((OFFSET(E168,0,0,L$16,1)=$T$24) +0),"")</f>
        <v/>
      </c>
      <c r="AB168">
        <f t="shared" si="29"/>
        <v>0</v>
      </c>
      <c r="AC168">
        <f t="shared" si="30"/>
        <v>1</v>
      </c>
      <c r="AD168">
        <f t="shared" si="31"/>
        <v>3</v>
      </c>
      <c r="AE168">
        <f t="shared" si="32"/>
        <v>1</v>
      </c>
      <c r="AF168">
        <f t="shared" si="33"/>
        <v>0</v>
      </c>
      <c r="AG168">
        <f t="shared" si="34"/>
        <v>5</v>
      </c>
      <c r="AH168">
        <f t="shared" ca="1" si="36"/>
        <v>3.4406117297261485E-4</v>
      </c>
      <c r="AI168">
        <f>IF(ROW($AA168) - $AA$51 &lt; ($H$16+1)^5, IF(AG168 &gt;= FreeSpinsBonus!$C$16, AG168*FreeSpinsBonus!$E$31, 0), "")</f>
        <v>7.2865053920139902</v>
      </c>
      <c r="AJ168">
        <f t="shared" ca="1" si="35"/>
        <v>2.5070035920476161E-3</v>
      </c>
      <c r="AK168" s="44"/>
    </row>
    <row r="169" spans="8:37" x14ac:dyDescent="0.3">
      <c r="H169" t="str" cm="1">
        <f t="array" aca="1" ref="H169" ca="1">IF(ROW(A169)-H$15 &lt; H$14,A169,IF(ROW(A169) - H$15 -H$16 + 1 &lt; H$14,INDIRECT(ADDRESS(MOD(ROW(A169) - H$15, H$14) + H$15, COLUMN(A169))),""))</f>
        <v/>
      </c>
      <c r="I169" t="str" cm="1">
        <f t="array" aca="1" ref="I169" ca="1">IF(ROW(B169)-I$15 &lt; I$14,B169,IF(ROW(B169) - I$15 -I$16 + 1 &lt; I$14,INDIRECT(ADDRESS(MOD(ROW(B169) - I$15, I$14) + I$15, COLUMN(B169))),""))</f>
        <v/>
      </c>
      <c r="J169" t="str" cm="1">
        <f t="array" aca="1" ref="J169" ca="1">IF(ROW(C169)-J$15 &lt; J$14,C169,IF(ROW(C169) - J$15 -J$16 + 1 &lt; J$14,INDIRECT(ADDRESS(MOD(ROW(C169) - J$15, J$14) + J$15, COLUMN(C169))),""))</f>
        <v/>
      </c>
      <c r="K169" t="str" cm="1">
        <f t="array" aca="1" ref="K169" ca="1">IF(ROW(D169)-K$15 &lt; K$14,D169,IF(ROW(D169) - K$15 -K$16 + 1 &lt; K$14,INDIRECT(ADDRESS(MOD(ROW(D169) - K$15, K$14) + K$15, COLUMN(D169))),""))</f>
        <v/>
      </c>
      <c r="L169" t="str" cm="1">
        <f t="array" aca="1" ref="L169" ca="1">IF(ROW(E169)-L$15 &lt; L$14,E169,IF(ROW(E169) - L$15 -L$16 + 1 &lt; L$14,INDIRECT(ADDRESS(MOD(ROW(E169) - L$15, L$14) + L$15, COLUMN(E169))),""))</f>
        <v/>
      </c>
      <c r="N169" t="str" cm="1">
        <f t="array" aca="1" ref="N169" ca="1">IF(A169&lt;&gt;"", SUMPRODUCT((OFFSET(A169,0,0,H$16,1)=$T$24) +0),"")</f>
        <v/>
      </c>
      <c r="O169" t="str" cm="1">
        <f t="array" aca="1" ref="O169" ca="1">IF(B169&lt;&gt;"", SUMPRODUCT((OFFSET(B169,0,0,I$16,1)=$T$24) +0),"")</f>
        <v/>
      </c>
      <c r="P169" t="str" cm="1">
        <f t="array" aca="1" ref="P169" ca="1">IF(C169&lt;&gt;"", SUMPRODUCT((OFFSET(C169,0,0,J$16,1)=$T$24) +0),"")</f>
        <v/>
      </c>
      <c r="Q169" t="str" cm="1">
        <f t="array" aca="1" ref="Q169" ca="1">IF(D169&lt;&gt;"", SUMPRODUCT((OFFSET(D169,0,0,K$16,1)=$T$24) +0),"")</f>
        <v/>
      </c>
      <c r="R169" t="str" cm="1">
        <f t="array" aca="1" ref="R169" ca="1">IF(E169&lt;&gt;"", SUMPRODUCT((OFFSET(E169,0,0,L$16,1)=$T$24) +0),"")</f>
        <v/>
      </c>
      <c r="AB169">
        <f t="shared" si="29"/>
        <v>1</v>
      </c>
      <c r="AC169">
        <f t="shared" si="30"/>
        <v>1</v>
      </c>
      <c r="AD169">
        <f t="shared" si="31"/>
        <v>3</v>
      </c>
      <c r="AE169">
        <f t="shared" si="32"/>
        <v>1</v>
      </c>
      <c r="AF169">
        <f t="shared" si="33"/>
        <v>0</v>
      </c>
      <c r="AG169">
        <f t="shared" si="34"/>
        <v>6</v>
      </c>
      <c r="AH169">
        <f t="shared" ca="1" si="36"/>
        <v>3.6317568258220455E-4</v>
      </c>
      <c r="AI169">
        <f>IF(ROW($AA169) - $AA$51 &lt; ($H$16+1)^5, IF(AG169 &gt;= FreeSpinsBonus!$C$16, AG169*FreeSpinsBonus!$E$31, 0), "")</f>
        <v>8.7438064704167875</v>
      </c>
      <c r="AJ169">
        <f t="shared" ca="1" si="35"/>
        <v>3.1755378832603134E-3</v>
      </c>
      <c r="AK169" s="44"/>
    </row>
    <row r="170" spans="8:37" x14ac:dyDescent="0.3">
      <c r="H170" t="str" cm="1">
        <f t="array" aca="1" ref="H170" ca="1">IF(ROW(A170)-H$15 &lt; H$14,A170,IF(ROW(A170) - H$15 -H$16 + 1 &lt; H$14,INDIRECT(ADDRESS(MOD(ROW(A170) - H$15, H$14) + H$15, COLUMN(A170))),""))</f>
        <v/>
      </c>
      <c r="I170" t="str" cm="1">
        <f t="array" aca="1" ref="I170" ca="1">IF(ROW(B170)-I$15 &lt; I$14,B170,IF(ROW(B170) - I$15 -I$16 + 1 &lt; I$14,INDIRECT(ADDRESS(MOD(ROW(B170) - I$15, I$14) + I$15, COLUMN(B170))),""))</f>
        <v/>
      </c>
      <c r="J170" t="str" cm="1">
        <f t="array" aca="1" ref="J170" ca="1">IF(ROW(C170)-J$15 &lt; J$14,C170,IF(ROW(C170) - J$15 -J$16 + 1 &lt; J$14,INDIRECT(ADDRESS(MOD(ROW(C170) - J$15, J$14) + J$15, COLUMN(C170))),""))</f>
        <v/>
      </c>
      <c r="K170" t="str" cm="1">
        <f t="array" aca="1" ref="K170" ca="1">IF(ROW(D170)-K$15 &lt; K$14,D170,IF(ROW(D170) - K$15 -K$16 + 1 &lt; K$14,INDIRECT(ADDRESS(MOD(ROW(D170) - K$15, K$14) + K$15, COLUMN(D170))),""))</f>
        <v/>
      </c>
      <c r="L170" t="str" cm="1">
        <f t="array" aca="1" ref="L170" ca="1">IF(ROW(E170)-L$15 &lt; L$14,E170,IF(ROW(E170) - L$15 -L$16 + 1 &lt; L$14,INDIRECT(ADDRESS(MOD(ROW(E170) - L$15, L$14) + L$15, COLUMN(E170))),""))</f>
        <v/>
      </c>
      <c r="N170" t="str" cm="1">
        <f t="array" aca="1" ref="N170" ca="1">IF(A170&lt;&gt;"", SUMPRODUCT((OFFSET(A170,0,0,H$16,1)=$T$24) +0),"")</f>
        <v/>
      </c>
      <c r="O170" t="str" cm="1">
        <f t="array" aca="1" ref="O170" ca="1">IF(B170&lt;&gt;"", SUMPRODUCT((OFFSET(B170,0,0,I$16,1)=$T$24) +0),"")</f>
        <v/>
      </c>
      <c r="P170" t="str" cm="1">
        <f t="array" aca="1" ref="P170" ca="1">IF(C170&lt;&gt;"", SUMPRODUCT((OFFSET(C170,0,0,J$16,1)=$T$24) +0),"")</f>
        <v/>
      </c>
      <c r="Q170" t="str" cm="1">
        <f t="array" aca="1" ref="Q170" ca="1">IF(D170&lt;&gt;"", SUMPRODUCT((OFFSET(D170,0,0,K$16,1)=$T$24) +0),"")</f>
        <v/>
      </c>
      <c r="R170" t="str" cm="1">
        <f t="array" aca="1" ref="R170" ca="1">IF(E170&lt;&gt;"", SUMPRODUCT((OFFSET(E170,0,0,L$16,1)=$T$24) +0),"")</f>
        <v/>
      </c>
      <c r="AB170">
        <f t="shared" si="29"/>
        <v>2</v>
      </c>
      <c r="AC170">
        <f t="shared" si="30"/>
        <v>1</v>
      </c>
      <c r="AD170">
        <f t="shared" si="31"/>
        <v>3</v>
      </c>
      <c r="AE170">
        <f t="shared" si="32"/>
        <v>1</v>
      </c>
      <c r="AF170">
        <f t="shared" si="33"/>
        <v>0</v>
      </c>
      <c r="AG170">
        <f t="shared" si="34"/>
        <v>7</v>
      </c>
      <c r="AH170">
        <f t="shared" ca="1" si="36"/>
        <v>1.9114509609589715E-4</v>
      </c>
      <c r="AI170">
        <f>IF(ROW($AA170) - $AA$51 &lt; ($H$16+1)^5, IF(AG170 &gt;= FreeSpinsBonus!$C$16, AG170*FreeSpinsBonus!$E$31, 0), "")</f>
        <v>10.201107548819586</v>
      </c>
      <c r="AJ170">
        <f t="shared" ca="1" si="35"/>
        <v>1.9498916827037016E-3</v>
      </c>
      <c r="AK170" s="44"/>
    </row>
    <row r="171" spans="8:37" x14ac:dyDescent="0.3">
      <c r="H171" t="str" cm="1">
        <f t="array" aca="1" ref="H171" ca="1">IF(ROW(A171)-H$15 &lt; H$14,A171,IF(ROW(A171) - H$15 -H$16 + 1 &lt; H$14,INDIRECT(ADDRESS(MOD(ROW(A171) - H$15, H$14) + H$15, COLUMN(A171))),""))</f>
        <v/>
      </c>
      <c r="I171" t="str" cm="1">
        <f t="array" aca="1" ref="I171" ca="1">IF(ROW(B171)-I$15 &lt; I$14,B171,IF(ROW(B171) - I$15 -I$16 + 1 &lt; I$14,INDIRECT(ADDRESS(MOD(ROW(B171) - I$15, I$14) + I$15, COLUMN(B171))),""))</f>
        <v/>
      </c>
      <c r="J171" t="str" cm="1">
        <f t="array" aca="1" ref="J171" ca="1">IF(ROW(C171)-J$15 &lt; J$14,C171,IF(ROW(C171) - J$15 -J$16 + 1 &lt; J$14,INDIRECT(ADDRESS(MOD(ROW(C171) - J$15, J$14) + J$15, COLUMN(C171))),""))</f>
        <v/>
      </c>
      <c r="K171" t="str" cm="1">
        <f t="array" aca="1" ref="K171" ca="1">IF(ROW(D171)-K$15 &lt; K$14,D171,IF(ROW(D171) - K$15 -K$16 + 1 &lt; K$14,INDIRECT(ADDRESS(MOD(ROW(D171) - K$15, K$14) + K$15, COLUMN(D171))),""))</f>
        <v/>
      </c>
      <c r="L171" t="str" cm="1">
        <f t="array" aca="1" ref="L171" ca="1">IF(ROW(E171)-L$15 &lt; L$14,E171,IF(ROW(E171) - L$15 -L$16 + 1 &lt; L$14,INDIRECT(ADDRESS(MOD(ROW(E171) - L$15, L$14) + L$15, COLUMN(E171))),""))</f>
        <v/>
      </c>
      <c r="N171" t="str" cm="1">
        <f t="array" aca="1" ref="N171" ca="1">IF(A171&lt;&gt;"", SUMPRODUCT((OFFSET(A171,0,0,H$16,1)=$T$24) +0),"")</f>
        <v/>
      </c>
      <c r="O171" t="str" cm="1">
        <f t="array" aca="1" ref="O171" ca="1">IF(B171&lt;&gt;"", SUMPRODUCT((OFFSET(B171,0,0,I$16,1)=$T$24) +0),"")</f>
        <v/>
      </c>
      <c r="P171" t="str" cm="1">
        <f t="array" aca="1" ref="P171" ca="1">IF(C171&lt;&gt;"", SUMPRODUCT((OFFSET(C171,0,0,J$16,1)=$T$24) +0),"")</f>
        <v/>
      </c>
      <c r="Q171" t="str" cm="1">
        <f t="array" aca="1" ref="Q171" ca="1">IF(D171&lt;&gt;"", SUMPRODUCT((OFFSET(D171,0,0,K$16,1)=$T$24) +0),"")</f>
        <v/>
      </c>
      <c r="R171" t="str" cm="1">
        <f t="array" aca="1" ref="R171" ca="1">IF(E171&lt;&gt;"", SUMPRODUCT((OFFSET(E171,0,0,L$16,1)=$T$24) +0),"")</f>
        <v/>
      </c>
      <c r="AB171">
        <f t="shared" si="29"/>
        <v>3</v>
      </c>
      <c r="AC171">
        <f t="shared" si="30"/>
        <v>1</v>
      </c>
      <c r="AD171">
        <f t="shared" si="31"/>
        <v>3</v>
      </c>
      <c r="AE171">
        <f t="shared" si="32"/>
        <v>1</v>
      </c>
      <c r="AF171">
        <f t="shared" si="33"/>
        <v>0</v>
      </c>
      <c r="AG171">
        <f t="shared" si="34"/>
        <v>8</v>
      </c>
      <c r="AH171">
        <f t="shared" ca="1" si="36"/>
        <v>0</v>
      </c>
      <c r="AI171">
        <f>IF(ROW($AA171) - $AA$51 &lt; ($H$16+1)^5, IF(AG171 &gt;= FreeSpinsBonus!$C$16, AG171*FreeSpinsBonus!$E$31, 0), "")</f>
        <v>11.658408627222384</v>
      </c>
      <c r="AJ171">
        <f t="shared" ca="1" si="35"/>
        <v>0</v>
      </c>
      <c r="AK171" s="44"/>
    </row>
    <row r="172" spans="8:37" x14ac:dyDescent="0.3">
      <c r="H172" t="str" cm="1">
        <f t="array" aca="1" ref="H172" ca="1">IF(ROW(A172)-H$15 &lt; H$14,A172,IF(ROW(A172) - H$15 -H$16 + 1 &lt; H$14,INDIRECT(ADDRESS(MOD(ROW(A172) - H$15, H$14) + H$15, COLUMN(A172))),""))</f>
        <v/>
      </c>
      <c r="I172" t="str" cm="1">
        <f t="array" aca="1" ref="I172" ca="1">IF(ROW(B172)-I$15 &lt; I$14,B172,IF(ROW(B172) - I$15 -I$16 + 1 &lt; I$14,INDIRECT(ADDRESS(MOD(ROW(B172) - I$15, I$14) + I$15, COLUMN(B172))),""))</f>
        <v/>
      </c>
      <c r="J172" t="str" cm="1">
        <f t="array" aca="1" ref="J172" ca="1">IF(ROW(C172)-J$15 &lt; J$14,C172,IF(ROW(C172) - J$15 -J$16 + 1 &lt; J$14,INDIRECT(ADDRESS(MOD(ROW(C172) - J$15, J$14) + J$15, COLUMN(C172))),""))</f>
        <v/>
      </c>
      <c r="K172" t="str" cm="1">
        <f t="array" aca="1" ref="K172" ca="1">IF(ROW(D172)-K$15 &lt; K$14,D172,IF(ROW(D172) - K$15 -K$16 + 1 &lt; K$14,INDIRECT(ADDRESS(MOD(ROW(D172) - K$15, K$14) + K$15, COLUMN(D172))),""))</f>
        <v/>
      </c>
      <c r="L172" t="str" cm="1">
        <f t="array" aca="1" ref="L172" ca="1">IF(ROW(E172)-L$15 &lt; L$14,E172,IF(ROW(E172) - L$15 -L$16 + 1 &lt; L$14,INDIRECT(ADDRESS(MOD(ROW(E172) - L$15, L$14) + L$15, COLUMN(E172))),""))</f>
        <v/>
      </c>
      <c r="N172" t="str" cm="1">
        <f t="array" aca="1" ref="N172" ca="1">IF(A172&lt;&gt;"", SUMPRODUCT((OFFSET(A172,0,0,H$16,1)=$T$24) +0),"")</f>
        <v/>
      </c>
      <c r="O172" t="str" cm="1">
        <f t="array" aca="1" ref="O172" ca="1">IF(B172&lt;&gt;"", SUMPRODUCT((OFFSET(B172,0,0,I$16,1)=$T$24) +0),"")</f>
        <v/>
      </c>
      <c r="P172" t="str" cm="1">
        <f t="array" aca="1" ref="P172" ca="1">IF(C172&lt;&gt;"", SUMPRODUCT((OFFSET(C172,0,0,J$16,1)=$T$24) +0),"")</f>
        <v/>
      </c>
      <c r="Q172" t="str" cm="1">
        <f t="array" aca="1" ref="Q172" ca="1">IF(D172&lt;&gt;"", SUMPRODUCT((OFFSET(D172,0,0,K$16,1)=$T$24) +0),"")</f>
        <v/>
      </c>
      <c r="R172" t="str" cm="1">
        <f t="array" aca="1" ref="R172" ca="1">IF(E172&lt;&gt;"", SUMPRODUCT((OFFSET(E172,0,0,L$16,1)=$T$24) +0),"")</f>
        <v/>
      </c>
      <c r="AB172">
        <f t="shared" si="29"/>
        <v>0</v>
      </c>
      <c r="AC172">
        <f t="shared" si="30"/>
        <v>2</v>
      </c>
      <c r="AD172">
        <f t="shared" si="31"/>
        <v>3</v>
      </c>
      <c r="AE172">
        <f t="shared" si="32"/>
        <v>1</v>
      </c>
      <c r="AF172">
        <f t="shared" si="33"/>
        <v>0</v>
      </c>
      <c r="AG172">
        <f t="shared" si="34"/>
        <v>6</v>
      </c>
      <c r="AH172">
        <f t="shared" ca="1" si="36"/>
        <v>3.4406117297261485E-4</v>
      </c>
      <c r="AI172">
        <f>IF(ROW($AA172) - $AA$51 &lt; ($H$16+1)^5, IF(AG172 &gt;= FreeSpinsBonus!$C$16, AG172*FreeSpinsBonus!$E$31, 0), "")</f>
        <v>8.7438064704167875</v>
      </c>
      <c r="AJ172">
        <f t="shared" ca="1" si="35"/>
        <v>3.0084043104571393E-3</v>
      </c>
      <c r="AK172" s="44"/>
    </row>
    <row r="173" spans="8:37" x14ac:dyDescent="0.3">
      <c r="H173" t="str" cm="1">
        <f t="array" aca="1" ref="H173" ca="1">IF(ROW(A173)-H$15 &lt; H$14,A173,IF(ROW(A173) - H$15 -H$16 + 1 &lt; H$14,INDIRECT(ADDRESS(MOD(ROW(A173) - H$15, H$14) + H$15, COLUMN(A173))),""))</f>
        <v/>
      </c>
      <c r="I173" t="str" cm="1">
        <f t="array" aca="1" ref="I173" ca="1">IF(ROW(B173)-I$15 &lt; I$14,B173,IF(ROW(B173) - I$15 -I$16 + 1 &lt; I$14,INDIRECT(ADDRESS(MOD(ROW(B173) - I$15, I$14) + I$15, COLUMN(B173))),""))</f>
        <v/>
      </c>
      <c r="J173" t="str" cm="1">
        <f t="array" aca="1" ref="J173" ca="1">IF(ROW(C173)-J$15 &lt; J$14,C173,IF(ROW(C173) - J$15 -J$16 + 1 &lt; J$14,INDIRECT(ADDRESS(MOD(ROW(C173) - J$15, J$14) + J$15, COLUMN(C173))),""))</f>
        <v/>
      </c>
      <c r="K173" t="str" cm="1">
        <f t="array" aca="1" ref="K173" ca="1">IF(ROW(D173)-K$15 &lt; K$14,D173,IF(ROW(D173) - K$15 -K$16 + 1 &lt; K$14,INDIRECT(ADDRESS(MOD(ROW(D173) - K$15, K$14) + K$15, COLUMN(D173))),""))</f>
        <v/>
      </c>
      <c r="L173" t="str" cm="1">
        <f t="array" aca="1" ref="L173" ca="1">IF(ROW(E173)-L$15 &lt; L$14,E173,IF(ROW(E173) - L$15 -L$16 + 1 &lt; L$14,INDIRECT(ADDRESS(MOD(ROW(E173) - L$15, L$14) + L$15, COLUMN(E173))),""))</f>
        <v/>
      </c>
      <c r="N173" t="str" cm="1">
        <f t="array" aca="1" ref="N173" ca="1">IF(A173&lt;&gt;"", SUMPRODUCT((OFFSET(A173,0,0,H$16,1)=$T$24) +0),"")</f>
        <v/>
      </c>
      <c r="O173" t="str" cm="1">
        <f t="array" aca="1" ref="O173" ca="1">IF(B173&lt;&gt;"", SUMPRODUCT((OFFSET(B173,0,0,I$16,1)=$T$24) +0),"")</f>
        <v/>
      </c>
      <c r="P173" t="str" cm="1">
        <f t="array" aca="1" ref="P173" ca="1">IF(C173&lt;&gt;"", SUMPRODUCT((OFFSET(C173,0,0,J$16,1)=$T$24) +0),"")</f>
        <v/>
      </c>
      <c r="Q173" t="str" cm="1">
        <f t="array" aca="1" ref="Q173" ca="1">IF(D173&lt;&gt;"", SUMPRODUCT((OFFSET(D173,0,0,K$16,1)=$T$24) +0),"")</f>
        <v/>
      </c>
      <c r="R173" t="str" cm="1">
        <f t="array" aca="1" ref="R173" ca="1">IF(E173&lt;&gt;"", SUMPRODUCT((OFFSET(E173,0,0,L$16,1)=$T$24) +0),"")</f>
        <v/>
      </c>
      <c r="AB173">
        <f t="shared" si="29"/>
        <v>1</v>
      </c>
      <c r="AC173">
        <f t="shared" si="30"/>
        <v>2</v>
      </c>
      <c r="AD173">
        <f t="shared" si="31"/>
        <v>3</v>
      </c>
      <c r="AE173">
        <f t="shared" si="32"/>
        <v>1</v>
      </c>
      <c r="AF173">
        <f t="shared" si="33"/>
        <v>0</v>
      </c>
      <c r="AG173">
        <f t="shared" si="34"/>
        <v>7</v>
      </c>
      <c r="AH173">
        <f t="shared" ca="1" si="36"/>
        <v>3.6317568258220455E-4</v>
      </c>
      <c r="AI173">
        <f>IF(ROW($AA173) - $AA$51 &lt; ($H$16+1)^5, IF(AG173 &gt;= FreeSpinsBonus!$C$16, AG173*FreeSpinsBonus!$E$31, 0), "")</f>
        <v>10.201107548819586</v>
      </c>
      <c r="AJ173">
        <f t="shared" ca="1" si="35"/>
        <v>3.7047941971370324E-3</v>
      </c>
      <c r="AK173" s="44"/>
    </row>
    <row r="174" spans="8:37" x14ac:dyDescent="0.3">
      <c r="H174" t="str" cm="1">
        <f t="array" aca="1" ref="H174" ca="1">IF(ROW(A174)-H$15 &lt; H$14,A174,IF(ROW(A174) - H$15 -H$16 + 1 &lt; H$14,INDIRECT(ADDRESS(MOD(ROW(A174) - H$15, H$14) + H$15, COLUMN(A174))),""))</f>
        <v/>
      </c>
      <c r="I174" t="str" cm="1">
        <f t="array" aca="1" ref="I174" ca="1">IF(ROW(B174)-I$15 &lt; I$14,B174,IF(ROW(B174) - I$15 -I$16 + 1 &lt; I$14,INDIRECT(ADDRESS(MOD(ROW(B174) - I$15, I$14) + I$15, COLUMN(B174))),""))</f>
        <v/>
      </c>
      <c r="J174" t="str" cm="1">
        <f t="array" aca="1" ref="J174" ca="1">IF(ROW(C174)-J$15 &lt; J$14,C174,IF(ROW(C174) - J$15 -J$16 + 1 &lt; J$14,INDIRECT(ADDRESS(MOD(ROW(C174) - J$15, J$14) + J$15, COLUMN(C174))),""))</f>
        <v/>
      </c>
      <c r="K174" t="str" cm="1">
        <f t="array" aca="1" ref="K174" ca="1">IF(ROW(D174)-K$15 &lt; K$14,D174,IF(ROW(D174) - K$15 -K$16 + 1 &lt; K$14,INDIRECT(ADDRESS(MOD(ROW(D174) - K$15, K$14) + K$15, COLUMN(D174))),""))</f>
        <v/>
      </c>
      <c r="L174" t="str" cm="1">
        <f t="array" aca="1" ref="L174" ca="1">IF(ROW(E174)-L$15 &lt; L$14,E174,IF(ROW(E174) - L$15 -L$16 + 1 &lt; L$14,INDIRECT(ADDRESS(MOD(ROW(E174) - L$15, L$14) + L$15, COLUMN(E174))),""))</f>
        <v/>
      </c>
      <c r="N174" t="str" cm="1">
        <f t="array" aca="1" ref="N174" ca="1">IF(A174&lt;&gt;"", SUMPRODUCT((OFFSET(A174,0,0,H$16,1)=$T$24) +0),"")</f>
        <v/>
      </c>
      <c r="O174" t="str" cm="1">
        <f t="array" aca="1" ref="O174" ca="1">IF(B174&lt;&gt;"", SUMPRODUCT((OFFSET(B174,0,0,I$16,1)=$T$24) +0),"")</f>
        <v/>
      </c>
      <c r="P174" t="str" cm="1">
        <f t="array" aca="1" ref="P174" ca="1">IF(C174&lt;&gt;"", SUMPRODUCT((OFFSET(C174,0,0,J$16,1)=$T$24) +0),"")</f>
        <v/>
      </c>
      <c r="Q174" t="str" cm="1">
        <f t="array" aca="1" ref="Q174" ca="1">IF(D174&lt;&gt;"", SUMPRODUCT((OFFSET(D174,0,0,K$16,1)=$T$24) +0),"")</f>
        <v/>
      </c>
      <c r="R174" t="str" cm="1">
        <f t="array" aca="1" ref="R174" ca="1">IF(E174&lt;&gt;"", SUMPRODUCT((OFFSET(E174,0,0,L$16,1)=$T$24) +0),"")</f>
        <v/>
      </c>
      <c r="AB174">
        <f t="shared" si="29"/>
        <v>2</v>
      </c>
      <c r="AC174">
        <f t="shared" si="30"/>
        <v>2</v>
      </c>
      <c r="AD174">
        <f t="shared" si="31"/>
        <v>3</v>
      </c>
      <c r="AE174">
        <f t="shared" si="32"/>
        <v>1</v>
      </c>
      <c r="AF174">
        <f t="shared" si="33"/>
        <v>0</v>
      </c>
      <c r="AG174">
        <f t="shared" si="34"/>
        <v>8</v>
      </c>
      <c r="AH174">
        <f t="shared" ca="1" si="36"/>
        <v>1.9114509609589715E-4</v>
      </c>
      <c r="AI174">
        <f>IF(ROW($AA174) - $AA$51 &lt; ($H$16+1)^5, IF(AG174 &gt;= FreeSpinsBonus!$C$16, AG174*FreeSpinsBonus!$E$31, 0), "")</f>
        <v>11.658408627222384</v>
      </c>
      <c r="AJ174">
        <f t="shared" ca="1" si="35"/>
        <v>2.2284476373756589E-3</v>
      </c>
      <c r="AK174" s="44"/>
    </row>
    <row r="175" spans="8:37" x14ac:dyDescent="0.3">
      <c r="H175" t="str" cm="1">
        <f t="array" aca="1" ref="H175" ca="1">IF(ROW(A175)-H$15 &lt; H$14,A175,IF(ROW(A175) - H$15 -H$16 + 1 &lt; H$14,INDIRECT(ADDRESS(MOD(ROW(A175) - H$15, H$14) + H$15, COLUMN(A175))),""))</f>
        <v/>
      </c>
      <c r="I175" t="str" cm="1">
        <f t="array" aca="1" ref="I175" ca="1">IF(ROW(B175)-I$15 &lt; I$14,B175,IF(ROW(B175) - I$15 -I$16 + 1 &lt; I$14,INDIRECT(ADDRESS(MOD(ROW(B175) - I$15, I$14) + I$15, COLUMN(B175))),""))</f>
        <v/>
      </c>
      <c r="J175" t="str" cm="1">
        <f t="array" aca="1" ref="J175" ca="1">IF(ROW(C175)-J$15 &lt; J$14,C175,IF(ROW(C175) - J$15 -J$16 + 1 &lt; J$14,INDIRECT(ADDRESS(MOD(ROW(C175) - J$15, J$14) + J$15, COLUMN(C175))),""))</f>
        <v/>
      </c>
      <c r="K175" t="str" cm="1">
        <f t="array" aca="1" ref="K175" ca="1">IF(ROW(D175)-K$15 &lt; K$14,D175,IF(ROW(D175) - K$15 -K$16 + 1 &lt; K$14,INDIRECT(ADDRESS(MOD(ROW(D175) - K$15, K$14) + K$15, COLUMN(D175))),""))</f>
        <v/>
      </c>
      <c r="L175" t="str" cm="1">
        <f t="array" aca="1" ref="L175" ca="1">IF(ROW(E175)-L$15 &lt; L$14,E175,IF(ROW(E175) - L$15 -L$16 + 1 &lt; L$14,INDIRECT(ADDRESS(MOD(ROW(E175) - L$15, L$14) + L$15, COLUMN(E175))),""))</f>
        <v/>
      </c>
      <c r="N175" t="str" cm="1">
        <f t="array" aca="1" ref="N175" ca="1">IF(A175&lt;&gt;"", SUMPRODUCT((OFFSET(A175,0,0,H$16,1)=$T$24) +0),"")</f>
        <v/>
      </c>
      <c r="O175" t="str" cm="1">
        <f t="array" aca="1" ref="O175" ca="1">IF(B175&lt;&gt;"", SUMPRODUCT((OFFSET(B175,0,0,I$16,1)=$T$24) +0),"")</f>
        <v/>
      </c>
      <c r="P175" t="str" cm="1">
        <f t="array" aca="1" ref="P175" ca="1">IF(C175&lt;&gt;"", SUMPRODUCT((OFFSET(C175,0,0,J$16,1)=$T$24) +0),"")</f>
        <v/>
      </c>
      <c r="Q175" t="str" cm="1">
        <f t="array" aca="1" ref="Q175" ca="1">IF(D175&lt;&gt;"", SUMPRODUCT((OFFSET(D175,0,0,K$16,1)=$T$24) +0),"")</f>
        <v/>
      </c>
      <c r="R175" t="str" cm="1">
        <f t="array" aca="1" ref="R175" ca="1">IF(E175&lt;&gt;"", SUMPRODUCT((OFFSET(E175,0,0,L$16,1)=$T$24) +0),"")</f>
        <v/>
      </c>
      <c r="AB175">
        <f t="shared" si="29"/>
        <v>3</v>
      </c>
      <c r="AC175">
        <f t="shared" si="30"/>
        <v>2</v>
      </c>
      <c r="AD175">
        <f t="shared" si="31"/>
        <v>3</v>
      </c>
      <c r="AE175">
        <f t="shared" si="32"/>
        <v>1</v>
      </c>
      <c r="AF175">
        <f t="shared" si="33"/>
        <v>0</v>
      </c>
      <c r="AG175">
        <f t="shared" si="34"/>
        <v>9</v>
      </c>
      <c r="AH175">
        <f t="shared" ca="1" si="36"/>
        <v>0</v>
      </c>
      <c r="AI175">
        <f>IF(ROW($AA175) - $AA$51 &lt; ($H$16+1)^5, IF(AG175 &gt;= FreeSpinsBonus!$C$16, AG175*FreeSpinsBonus!$E$31, 0), "")</f>
        <v>13.115709705625182</v>
      </c>
      <c r="AJ175">
        <f t="shared" ca="1" si="35"/>
        <v>0</v>
      </c>
      <c r="AK175" s="44"/>
    </row>
    <row r="176" spans="8:37" x14ac:dyDescent="0.3">
      <c r="H176" t="str" cm="1">
        <f t="array" aca="1" ref="H176" ca="1">IF(ROW(A176)-H$15 &lt; H$14,A176,IF(ROW(A176) - H$15 -H$16 + 1 &lt; H$14,INDIRECT(ADDRESS(MOD(ROW(A176) - H$15, H$14) + H$15, COLUMN(A176))),""))</f>
        <v/>
      </c>
      <c r="I176" t="str" cm="1">
        <f t="array" aca="1" ref="I176" ca="1">IF(ROW(B176)-I$15 &lt; I$14,B176,IF(ROW(B176) - I$15 -I$16 + 1 &lt; I$14,INDIRECT(ADDRESS(MOD(ROW(B176) - I$15, I$14) + I$15, COLUMN(B176))),""))</f>
        <v/>
      </c>
      <c r="J176" t="str" cm="1">
        <f t="array" aca="1" ref="J176" ca="1">IF(ROW(C176)-J$15 &lt; J$14,C176,IF(ROW(C176) - J$15 -J$16 + 1 &lt; J$14,INDIRECT(ADDRESS(MOD(ROW(C176) - J$15, J$14) + J$15, COLUMN(C176))),""))</f>
        <v/>
      </c>
      <c r="K176" t="str" cm="1">
        <f t="array" aca="1" ref="K176" ca="1">IF(ROW(D176)-K$15 &lt; K$14,D176,IF(ROW(D176) - K$15 -K$16 + 1 &lt; K$14,INDIRECT(ADDRESS(MOD(ROW(D176) - K$15, K$14) + K$15, COLUMN(D176))),""))</f>
        <v/>
      </c>
      <c r="L176" t="str" cm="1">
        <f t="array" aca="1" ref="L176" ca="1">IF(ROW(E176)-L$15 &lt; L$14,E176,IF(ROW(E176) - L$15 -L$16 + 1 &lt; L$14,INDIRECT(ADDRESS(MOD(ROW(E176) - L$15, L$14) + L$15, COLUMN(E176))),""))</f>
        <v/>
      </c>
      <c r="N176" t="str" cm="1">
        <f t="array" aca="1" ref="N176" ca="1">IF(A176&lt;&gt;"", SUMPRODUCT((OFFSET(A176,0,0,H$16,1)=$T$24) +0),"")</f>
        <v/>
      </c>
      <c r="O176" t="str" cm="1">
        <f t="array" aca="1" ref="O176" ca="1">IF(B176&lt;&gt;"", SUMPRODUCT((OFFSET(B176,0,0,I$16,1)=$T$24) +0),"")</f>
        <v/>
      </c>
      <c r="P176" t="str" cm="1">
        <f t="array" aca="1" ref="P176" ca="1">IF(C176&lt;&gt;"", SUMPRODUCT((OFFSET(C176,0,0,J$16,1)=$T$24) +0),"")</f>
        <v/>
      </c>
      <c r="Q176" t="str" cm="1">
        <f t="array" aca="1" ref="Q176" ca="1">IF(D176&lt;&gt;"", SUMPRODUCT((OFFSET(D176,0,0,K$16,1)=$T$24) +0),"")</f>
        <v/>
      </c>
      <c r="R176" t="str" cm="1">
        <f t="array" aca="1" ref="R176" ca="1">IF(E176&lt;&gt;"", SUMPRODUCT((OFFSET(E176,0,0,L$16,1)=$T$24) +0),"")</f>
        <v/>
      </c>
      <c r="AB176">
        <f t="shared" si="29"/>
        <v>0</v>
      </c>
      <c r="AC176">
        <f t="shared" si="30"/>
        <v>3</v>
      </c>
      <c r="AD176">
        <f t="shared" si="31"/>
        <v>3</v>
      </c>
      <c r="AE176">
        <f t="shared" si="32"/>
        <v>1</v>
      </c>
      <c r="AF176">
        <f t="shared" si="33"/>
        <v>0</v>
      </c>
      <c r="AG176">
        <f t="shared" si="34"/>
        <v>7</v>
      </c>
      <c r="AH176">
        <f t="shared" ca="1" si="36"/>
        <v>1.2143335516680526E-4</v>
      </c>
      <c r="AI176">
        <f>IF(ROW($AA176) - $AA$51 &lt; ($H$16+1)^5, IF(AG176 &gt;= FreeSpinsBonus!$C$16, AG176*FreeSpinsBonus!$E$31, 0), "")</f>
        <v>10.201107548819586</v>
      </c>
      <c r="AJ176">
        <f t="shared" ca="1" si="35"/>
        <v>1.2387547160705868E-3</v>
      </c>
      <c r="AK176" s="44"/>
    </row>
    <row r="177" spans="8:37" x14ac:dyDescent="0.3">
      <c r="H177" t="str" cm="1">
        <f t="array" aca="1" ref="H177" ca="1">IF(ROW(A177)-H$15 &lt; H$14,A177,IF(ROW(A177) - H$15 -H$16 + 1 &lt; H$14,INDIRECT(ADDRESS(MOD(ROW(A177) - H$15, H$14) + H$15, COLUMN(A177))),""))</f>
        <v/>
      </c>
      <c r="I177" t="str" cm="1">
        <f t="array" aca="1" ref="I177" ca="1">IF(ROW(B177)-I$15 &lt; I$14,B177,IF(ROW(B177) - I$15 -I$16 + 1 &lt; I$14,INDIRECT(ADDRESS(MOD(ROW(B177) - I$15, I$14) + I$15, COLUMN(B177))),""))</f>
        <v/>
      </c>
      <c r="J177" t="str" cm="1">
        <f t="array" aca="1" ref="J177" ca="1">IF(ROW(C177)-J$15 &lt; J$14,C177,IF(ROW(C177) - J$15 -J$16 + 1 &lt; J$14,INDIRECT(ADDRESS(MOD(ROW(C177) - J$15, J$14) + J$15, COLUMN(C177))),""))</f>
        <v/>
      </c>
      <c r="K177" t="str" cm="1">
        <f t="array" aca="1" ref="K177" ca="1">IF(ROW(D177)-K$15 &lt; K$14,D177,IF(ROW(D177) - K$15 -K$16 + 1 &lt; K$14,INDIRECT(ADDRESS(MOD(ROW(D177) - K$15, K$14) + K$15, COLUMN(D177))),""))</f>
        <v/>
      </c>
      <c r="L177" t="str" cm="1">
        <f t="array" aca="1" ref="L177" ca="1">IF(ROW(E177)-L$15 &lt; L$14,E177,IF(ROW(E177) - L$15 -L$16 + 1 &lt; L$14,INDIRECT(ADDRESS(MOD(ROW(E177) - L$15, L$14) + L$15, COLUMN(E177))),""))</f>
        <v/>
      </c>
      <c r="N177" t="str" cm="1">
        <f t="array" aca="1" ref="N177" ca="1">IF(A177&lt;&gt;"", SUMPRODUCT((OFFSET(A177,0,0,H$16,1)=$T$24) +0),"")</f>
        <v/>
      </c>
      <c r="O177" t="str" cm="1">
        <f t="array" aca="1" ref="O177" ca="1">IF(B177&lt;&gt;"", SUMPRODUCT((OFFSET(B177,0,0,I$16,1)=$T$24) +0),"")</f>
        <v/>
      </c>
      <c r="P177" t="str" cm="1">
        <f t="array" aca="1" ref="P177" ca="1">IF(C177&lt;&gt;"", SUMPRODUCT((OFFSET(C177,0,0,J$16,1)=$T$24) +0),"")</f>
        <v/>
      </c>
      <c r="Q177" t="str" cm="1">
        <f t="array" aca="1" ref="Q177" ca="1">IF(D177&lt;&gt;"", SUMPRODUCT((OFFSET(D177,0,0,K$16,1)=$T$24) +0),"")</f>
        <v/>
      </c>
      <c r="R177" t="str" cm="1">
        <f t="array" aca="1" ref="R177" ca="1">IF(E177&lt;&gt;"", SUMPRODUCT((OFFSET(E177,0,0,L$16,1)=$T$24) +0),"")</f>
        <v/>
      </c>
      <c r="AB177">
        <f t="shared" si="29"/>
        <v>1</v>
      </c>
      <c r="AC177">
        <f t="shared" si="30"/>
        <v>3</v>
      </c>
      <c r="AD177">
        <f t="shared" si="31"/>
        <v>3</v>
      </c>
      <c r="AE177">
        <f t="shared" si="32"/>
        <v>1</v>
      </c>
      <c r="AF177">
        <f t="shared" si="33"/>
        <v>0</v>
      </c>
      <c r="AG177">
        <f t="shared" si="34"/>
        <v>8</v>
      </c>
      <c r="AH177">
        <f t="shared" ca="1" si="36"/>
        <v>1.281796526760722E-4</v>
      </c>
      <c r="AI177">
        <f>IF(ROW($AA177) - $AA$51 &lt; ($H$16+1)^5, IF(AG177 &gt;= FreeSpinsBonus!$C$16, AG177*FreeSpinsBonus!$E$31, 0), "")</f>
        <v>11.658408627222384</v>
      </c>
      <c r="AJ177">
        <f t="shared" ca="1" si="35"/>
        <v>1.4943707685930888E-3</v>
      </c>
      <c r="AK177" s="44"/>
    </row>
    <row r="178" spans="8:37" x14ac:dyDescent="0.3">
      <c r="H178" t="str" cm="1">
        <f t="array" aca="1" ref="H178" ca="1">IF(ROW(A178)-H$15 &lt; H$14,A178,IF(ROW(A178) - H$15 -H$16 + 1 &lt; H$14,INDIRECT(ADDRESS(MOD(ROW(A178) - H$15, H$14) + H$15, COLUMN(A178))),""))</f>
        <v/>
      </c>
      <c r="I178" t="str" cm="1">
        <f t="array" aca="1" ref="I178" ca="1">IF(ROW(B178)-I$15 &lt; I$14,B178,IF(ROW(B178) - I$15 -I$16 + 1 &lt; I$14,INDIRECT(ADDRESS(MOD(ROW(B178) - I$15, I$14) + I$15, COLUMN(B178))),""))</f>
        <v/>
      </c>
      <c r="J178" t="str" cm="1">
        <f t="array" aca="1" ref="J178" ca="1">IF(ROW(C178)-J$15 &lt; J$14,C178,IF(ROW(C178) - J$15 -J$16 + 1 &lt; J$14,INDIRECT(ADDRESS(MOD(ROW(C178) - J$15, J$14) + J$15, COLUMN(C178))),""))</f>
        <v/>
      </c>
      <c r="K178" t="str" cm="1">
        <f t="array" aca="1" ref="K178" ca="1">IF(ROW(D178)-K$15 &lt; K$14,D178,IF(ROW(D178) - K$15 -K$16 + 1 &lt; K$14,INDIRECT(ADDRESS(MOD(ROW(D178) - K$15, K$14) + K$15, COLUMN(D178))),""))</f>
        <v/>
      </c>
      <c r="L178" t="str" cm="1">
        <f t="array" aca="1" ref="L178" ca="1">IF(ROW(E178)-L$15 &lt; L$14,E178,IF(ROW(E178) - L$15 -L$16 + 1 &lt; L$14,INDIRECT(ADDRESS(MOD(ROW(E178) - L$15, L$14) + L$15, COLUMN(E178))),""))</f>
        <v/>
      </c>
      <c r="N178" t="str" cm="1">
        <f t="array" aca="1" ref="N178" ca="1">IF(A178&lt;&gt;"", SUMPRODUCT((OFFSET(A178,0,0,H$16,1)=$T$24) +0),"")</f>
        <v/>
      </c>
      <c r="O178" t="str" cm="1">
        <f t="array" aca="1" ref="O178" ca="1">IF(B178&lt;&gt;"", SUMPRODUCT((OFFSET(B178,0,0,I$16,1)=$T$24) +0),"")</f>
        <v/>
      </c>
      <c r="P178" t="str" cm="1">
        <f t="array" aca="1" ref="P178" ca="1">IF(C178&lt;&gt;"", SUMPRODUCT((OFFSET(C178,0,0,J$16,1)=$T$24) +0),"")</f>
        <v/>
      </c>
      <c r="Q178" t="str" cm="1">
        <f t="array" aca="1" ref="Q178" ca="1">IF(D178&lt;&gt;"", SUMPRODUCT((OFFSET(D178,0,0,K$16,1)=$T$24) +0),"")</f>
        <v/>
      </c>
      <c r="R178" t="str" cm="1">
        <f t="array" aca="1" ref="R178" ca="1">IF(E178&lt;&gt;"", SUMPRODUCT((OFFSET(E178,0,0,L$16,1)=$T$24) +0),"")</f>
        <v/>
      </c>
      <c r="AB178">
        <f t="shared" si="29"/>
        <v>2</v>
      </c>
      <c r="AC178">
        <f t="shared" si="30"/>
        <v>3</v>
      </c>
      <c r="AD178">
        <f t="shared" si="31"/>
        <v>3</v>
      </c>
      <c r="AE178">
        <f t="shared" si="32"/>
        <v>1</v>
      </c>
      <c r="AF178">
        <f t="shared" si="33"/>
        <v>0</v>
      </c>
      <c r="AG178">
        <f t="shared" si="34"/>
        <v>9</v>
      </c>
      <c r="AH178">
        <f t="shared" ca="1" si="36"/>
        <v>6.7462975092669585E-5</v>
      </c>
      <c r="AI178">
        <f>IF(ROW($AA178) - $AA$51 &lt; ($H$16+1)^5, IF(AG178 &gt;= FreeSpinsBonus!$C$16, AG178*FreeSpinsBonus!$E$31, 0), "")</f>
        <v>13.115709705625182</v>
      </c>
      <c r="AJ178">
        <f t="shared" ca="1" si="35"/>
        <v>8.8482479719327644E-4</v>
      </c>
      <c r="AK178" s="44"/>
    </row>
    <row r="179" spans="8:37" x14ac:dyDescent="0.3">
      <c r="H179" t="str" cm="1">
        <f t="array" aca="1" ref="H179" ca="1">IF(ROW(A179)-H$15 &lt; H$14,A179,IF(ROW(A179) - H$15 -H$16 + 1 &lt; H$14,INDIRECT(ADDRESS(MOD(ROW(A179) - H$15, H$14) + H$15, COLUMN(A179))),""))</f>
        <v/>
      </c>
      <c r="I179" t="str" cm="1">
        <f t="array" aca="1" ref="I179" ca="1">IF(ROW(B179)-I$15 &lt; I$14,B179,IF(ROW(B179) - I$15 -I$16 + 1 &lt; I$14,INDIRECT(ADDRESS(MOD(ROW(B179) - I$15, I$14) + I$15, COLUMN(B179))),""))</f>
        <v/>
      </c>
      <c r="J179" t="str" cm="1">
        <f t="array" aca="1" ref="J179" ca="1">IF(ROW(C179)-J$15 &lt; J$14,C179,IF(ROW(C179) - J$15 -J$16 + 1 &lt; J$14,INDIRECT(ADDRESS(MOD(ROW(C179) - J$15, J$14) + J$15, COLUMN(C179))),""))</f>
        <v/>
      </c>
      <c r="K179" t="str" cm="1">
        <f t="array" aca="1" ref="K179" ca="1">IF(ROW(D179)-K$15 &lt; K$14,D179,IF(ROW(D179) - K$15 -K$16 + 1 &lt; K$14,INDIRECT(ADDRESS(MOD(ROW(D179) - K$15, K$14) + K$15, COLUMN(D179))),""))</f>
        <v/>
      </c>
      <c r="L179" t="str" cm="1">
        <f t="array" aca="1" ref="L179" ca="1">IF(ROW(E179)-L$15 &lt; L$14,E179,IF(ROW(E179) - L$15 -L$16 + 1 &lt; L$14,INDIRECT(ADDRESS(MOD(ROW(E179) - L$15, L$14) + L$15, COLUMN(E179))),""))</f>
        <v/>
      </c>
      <c r="N179" t="str" cm="1">
        <f t="array" aca="1" ref="N179" ca="1">IF(A179&lt;&gt;"", SUMPRODUCT((OFFSET(A179,0,0,H$16,1)=$T$24) +0),"")</f>
        <v/>
      </c>
      <c r="O179" t="str" cm="1">
        <f t="array" aca="1" ref="O179" ca="1">IF(B179&lt;&gt;"", SUMPRODUCT((OFFSET(B179,0,0,I$16,1)=$T$24) +0),"")</f>
        <v/>
      </c>
      <c r="P179" t="str" cm="1">
        <f t="array" aca="1" ref="P179" ca="1">IF(C179&lt;&gt;"", SUMPRODUCT((OFFSET(C179,0,0,J$16,1)=$T$24) +0),"")</f>
        <v/>
      </c>
      <c r="Q179" t="str" cm="1">
        <f t="array" aca="1" ref="Q179" ca="1">IF(D179&lt;&gt;"", SUMPRODUCT((OFFSET(D179,0,0,K$16,1)=$T$24) +0),"")</f>
        <v/>
      </c>
      <c r="R179" t="str" cm="1">
        <f t="array" aca="1" ref="R179" ca="1">IF(E179&lt;&gt;"", SUMPRODUCT((OFFSET(E179,0,0,L$16,1)=$T$24) +0),"")</f>
        <v/>
      </c>
      <c r="AB179">
        <f t="shared" si="29"/>
        <v>3</v>
      </c>
      <c r="AC179">
        <f t="shared" si="30"/>
        <v>3</v>
      </c>
      <c r="AD179">
        <f t="shared" si="31"/>
        <v>3</v>
      </c>
      <c r="AE179">
        <f t="shared" si="32"/>
        <v>1</v>
      </c>
      <c r="AF179">
        <f t="shared" si="33"/>
        <v>0</v>
      </c>
      <c r="AG179">
        <f t="shared" si="34"/>
        <v>10</v>
      </c>
      <c r="AH179">
        <f t="shared" ca="1" si="36"/>
        <v>0</v>
      </c>
      <c r="AI179">
        <f>IF(ROW($AA179) - $AA$51 &lt; ($H$16+1)^5, IF(AG179 &gt;= FreeSpinsBonus!$C$16, AG179*FreeSpinsBonus!$E$31, 0), "")</f>
        <v>14.57301078402798</v>
      </c>
      <c r="AJ179">
        <f t="shared" ca="1" si="35"/>
        <v>0</v>
      </c>
      <c r="AK179" s="44"/>
    </row>
    <row r="180" spans="8:37" x14ac:dyDescent="0.3">
      <c r="H180" t="str" cm="1">
        <f t="array" aca="1" ref="H180" ca="1">IF(ROW(A180)-H$15 &lt; H$14,A180,IF(ROW(A180) - H$15 -H$16 + 1 &lt; H$14,INDIRECT(ADDRESS(MOD(ROW(A180) - H$15, H$14) + H$15, COLUMN(A180))),""))</f>
        <v/>
      </c>
      <c r="I180" t="str" cm="1">
        <f t="array" aca="1" ref="I180" ca="1">IF(ROW(B180)-I$15 &lt; I$14,B180,IF(ROW(B180) - I$15 -I$16 + 1 &lt; I$14,INDIRECT(ADDRESS(MOD(ROW(B180) - I$15, I$14) + I$15, COLUMN(B180))),""))</f>
        <v/>
      </c>
      <c r="J180" t="str" cm="1">
        <f t="array" aca="1" ref="J180" ca="1">IF(ROW(C180)-J$15 &lt; J$14,C180,IF(ROW(C180) - J$15 -J$16 + 1 &lt; J$14,INDIRECT(ADDRESS(MOD(ROW(C180) - J$15, J$14) + J$15, COLUMN(C180))),""))</f>
        <v/>
      </c>
      <c r="K180" t="str" cm="1">
        <f t="array" aca="1" ref="K180" ca="1">IF(ROW(D180)-K$15 &lt; K$14,D180,IF(ROW(D180) - K$15 -K$16 + 1 &lt; K$14,INDIRECT(ADDRESS(MOD(ROW(D180) - K$15, K$14) + K$15, COLUMN(D180))),""))</f>
        <v/>
      </c>
      <c r="L180" t="str" cm="1">
        <f t="array" aca="1" ref="L180" ca="1">IF(ROW(E180)-L$15 &lt; L$14,E180,IF(ROW(E180) - L$15 -L$16 + 1 &lt; L$14,INDIRECT(ADDRESS(MOD(ROW(E180) - L$15, L$14) + L$15, COLUMN(E180))),""))</f>
        <v/>
      </c>
      <c r="N180" t="str" cm="1">
        <f t="array" aca="1" ref="N180" ca="1">IF(A180&lt;&gt;"", SUMPRODUCT((OFFSET(A180,0,0,H$16,1)=$T$24) +0),"")</f>
        <v/>
      </c>
      <c r="O180" t="str" cm="1">
        <f t="array" aca="1" ref="O180" ca="1">IF(B180&lt;&gt;"", SUMPRODUCT((OFFSET(B180,0,0,I$16,1)=$T$24) +0),"")</f>
        <v/>
      </c>
      <c r="P180" t="str" cm="1">
        <f t="array" aca="1" ref="P180" ca="1">IF(C180&lt;&gt;"", SUMPRODUCT((OFFSET(C180,0,0,J$16,1)=$T$24) +0),"")</f>
        <v/>
      </c>
      <c r="Q180" t="str" cm="1">
        <f t="array" aca="1" ref="Q180" ca="1">IF(D180&lt;&gt;"", SUMPRODUCT((OFFSET(D180,0,0,K$16,1)=$T$24) +0),"")</f>
        <v/>
      </c>
      <c r="R180" t="str" cm="1">
        <f t="array" aca="1" ref="R180" ca="1">IF(E180&lt;&gt;"", SUMPRODUCT((OFFSET(E180,0,0,L$16,1)=$T$24) +0),"")</f>
        <v/>
      </c>
      <c r="AB180">
        <f t="shared" ref="AB180:AB243" si="37">IF(ROW()-$AA$51 &lt; (H$16+1)^5, MOD(_xlfn.FLOOR.MATH((ROW()-$AA$51)/AB$50), H$16+1), "")</f>
        <v>0</v>
      </c>
      <c r="AC180">
        <f t="shared" ref="AC180:AC243" si="38">IF(ROW()-$AA$51 &lt; (I$16+1)^5, MOD(_xlfn.FLOOR.MATH((ROW()-$AA$51)/AC$50), I$16+1), "")</f>
        <v>0</v>
      </c>
      <c r="AD180">
        <f t="shared" ref="AD180:AD243" si="39">IF(ROW()-$AA$51 &lt; (J$16+1)^5, MOD(_xlfn.FLOOR.MATH((ROW()-$AA$51)/AD$50), J$16+1), "")</f>
        <v>0</v>
      </c>
      <c r="AE180">
        <f t="shared" ref="AE180:AE243" si="40">IF(ROW()-$AA$51 &lt; (K$16+1)^5, MOD(_xlfn.FLOOR.MATH((ROW()-$AA$51)/AE$50), K$16+1), "")</f>
        <v>2</v>
      </c>
      <c r="AF180">
        <f t="shared" ref="AF180:AF243" si="41">IF(ROW()-$AA$51 &lt; (L$16+1)^5, MOD(_xlfn.FLOOR.MATH((ROW()-$AA$51)/AF$50), L$16+1), "")</f>
        <v>0</v>
      </c>
      <c r="AG180">
        <f t="shared" ref="AG180:AG243" si="42">IF(ROW($AA180) - $AA$51 &lt; ($H$16+1)^5, SUM(AB180:AF180), "")</f>
        <v>2</v>
      </c>
      <c r="AH180">
        <f t="shared" ca="1" si="36"/>
        <v>4.0036209218631547E-3</v>
      </c>
      <c r="AI180">
        <f>IF(ROW($AA180) - $AA$51 &lt; ($H$16+1)^5, IF(AG180 &gt;= FreeSpinsBonus!$C$16, AG180*FreeSpinsBonus!$E$31, 0), "")</f>
        <v>0</v>
      </c>
      <c r="AJ180">
        <f t="shared" ref="AJ180:AJ243" ca="1" si="43">IF(ROW($AA180) - $AA$51 &lt; ($H$16+1)^5, AH180*AI180, "")</f>
        <v>0</v>
      </c>
      <c r="AK180" s="44"/>
    </row>
    <row r="181" spans="8:37" x14ac:dyDescent="0.3">
      <c r="H181" t="str" cm="1">
        <f t="array" aca="1" ref="H181" ca="1">IF(ROW(A181)-H$15 &lt; H$14,A181,IF(ROW(A181) - H$15 -H$16 + 1 &lt; H$14,INDIRECT(ADDRESS(MOD(ROW(A181) - H$15, H$14) + H$15, COLUMN(A181))),""))</f>
        <v/>
      </c>
      <c r="I181" t="str" cm="1">
        <f t="array" aca="1" ref="I181" ca="1">IF(ROW(B181)-I$15 &lt; I$14,B181,IF(ROW(B181) - I$15 -I$16 + 1 &lt; I$14,INDIRECT(ADDRESS(MOD(ROW(B181) - I$15, I$14) + I$15, COLUMN(B181))),""))</f>
        <v/>
      </c>
      <c r="J181" t="str" cm="1">
        <f t="array" aca="1" ref="J181" ca="1">IF(ROW(C181)-J$15 &lt; J$14,C181,IF(ROW(C181) - J$15 -J$16 + 1 &lt; J$14,INDIRECT(ADDRESS(MOD(ROW(C181) - J$15, J$14) + J$15, COLUMN(C181))),""))</f>
        <v/>
      </c>
      <c r="K181" t="str" cm="1">
        <f t="array" aca="1" ref="K181" ca="1">IF(ROW(D181)-K$15 &lt; K$14,D181,IF(ROW(D181) - K$15 -K$16 + 1 &lt; K$14,INDIRECT(ADDRESS(MOD(ROW(D181) - K$15, K$14) + K$15, COLUMN(D181))),""))</f>
        <v/>
      </c>
      <c r="L181" t="str" cm="1">
        <f t="array" aca="1" ref="L181" ca="1">IF(ROW(E181)-L$15 &lt; L$14,E181,IF(ROW(E181) - L$15 -L$16 + 1 &lt; L$14,INDIRECT(ADDRESS(MOD(ROW(E181) - L$15, L$14) + L$15, COLUMN(E181))),""))</f>
        <v/>
      </c>
      <c r="N181" t="str" cm="1">
        <f t="array" aca="1" ref="N181" ca="1">IF(A181&lt;&gt;"", SUMPRODUCT((OFFSET(A181,0,0,H$16,1)=$T$24) +0),"")</f>
        <v/>
      </c>
      <c r="O181" t="str" cm="1">
        <f t="array" aca="1" ref="O181" ca="1">IF(B181&lt;&gt;"", SUMPRODUCT((OFFSET(B181,0,0,I$16,1)=$T$24) +0),"")</f>
        <v/>
      </c>
      <c r="P181" t="str" cm="1">
        <f t="array" aca="1" ref="P181" ca="1">IF(C181&lt;&gt;"", SUMPRODUCT((OFFSET(C181,0,0,J$16,1)=$T$24) +0),"")</f>
        <v/>
      </c>
      <c r="Q181" t="str" cm="1">
        <f t="array" aca="1" ref="Q181" ca="1">IF(D181&lt;&gt;"", SUMPRODUCT((OFFSET(D181,0,0,K$16,1)=$T$24) +0),"")</f>
        <v/>
      </c>
      <c r="R181" t="str" cm="1">
        <f t="array" aca="1" ref="R181" ca="1">IF(E181&lt;&gt;"", SUMPRODUCT((OFFSET(E181,0,0,L$16,1)=$T$24) +0),"")</f>
        <v/>
      </c>
      <c r="AB181">
        <f t="shared" si="37"/>
        <v>1</v>
      </c>
      <c r="AC181">
        <f t="shared" si="38"/>
        <v>0</v>
      </c>
      <c r="AD181">
        <f t="shared" si="39"/>
        <v>0</v>
      </c>
      <c r="AE181">
        <f t="shared" si="40"/>
        <v>2</v>
      </c>
      <c r="AF181">
        <f t="shared" si="41"/>
        <v>0</v>
      </c>
      <c r="AG181">
        <f t="shared" si="42"/>
        <v>3</v>
      </c>
      <c r="AH181">
        <f t="shared" ref="AH181:AH244" ca="1" si="44">IF(ROW($AA181) - $AA$51 &lt; (4)^5,
    (_xlfn.XLOOKUP(AB181,$T$51:$T$55,U$51:U$55,0)/U$28) * (_xlfn.XLOOKUP(AC181,$T$51:$T$55,V$51:V$55,0)/V$28) * (_xlfn.XLOOKUP(AD181,$T$51:$T$55,W$51:W$55,0)/W$28) * (_xlfn.XLOOKUP(AE181,$T$51:$T$55,X$51:X$55,0)/X$28) * (_xlfn.XLOOKUP(AF181,$T$51:$T$55,Y$51:Y$55,0)/Y$28),
"")</f>
        <v>4.2260443064111074E-3</v>
      </c>
      <c r="AI181">
        <f>IF(ROW($AA181) - $AA$51 &lt; ($H$16+1)^5, IF(AG181 &gt;= FreeSpinsBonus!$C$16, AG181*FreeSpinsBonus!$E$31, 0), "")</f>
        <v>0</v>
      </c>
      <c r="AJ181">
        <f t="shared" ca="1" si="43"/>
        <v>0</v>
      </c>
      <c r="AK181" s="44"/>
    </row>
    <row r="182" spans="8:37" x14ac:dyDescent="0.3">
      <c r="H182" t="str" cm="1">
        <f t="array" aca="1" ref="H182" ca="1">IF(ROW(A182)-H$15 &lt; H$14,A182,IF(ROW(A182) - H$15 -H$16 + 1 &lt; H$14,INDIRECT(ADDRESS(MOD(ROW(A182) - H$15, H$14) + H$15, COLUMN(A182))),""))</f>
        <v/>
      </c>
      <c r="I182" t="str" cm="1">
        <f t="array" aca="1" ref="I182" ca="1">IF(ROW(B182)-I$15 &lt; I$14,B182,IF(ROW(B182) - I$15 -I$16 + 1 &lt; I$14,INDIRECT(ADDRESS(MOD(ROW(B182) - I$15, I$14) + I$15, COLUMN(B182))),""))</f>
        <v/>
      </c>
      <c r="J182" t="str" cm="1">
        <f t="array" aca="1" ref="J182" ca="1">IF(ROW(C182)-J$15 &lt; J$14,C182,IF(ROW(C182) - J$15 -J$16 + 1 &lt; J$14,INDIRECT(ADDRESS(MOD(ROW(C182) - J$15, J$14) + J$15, COLUMN(C182))),""))</f>
        <v/>
      </c>
      <c r="K182" t="str" cm="1">
        <f t="array" aca="1" ref="K182" ca="1">IF(ROW(D182)-K$15 &lt; K$14,D182,IF(ROW(D182) - K$15 -K$16 + 1 &lt; K$14,INDIRECT(ADDRESS(MOD(ROW(D182) - K$15, K$14) + K$15, COLUMN(D182))),""))</f>
        <v/>
      </c>
      <c r="L182" t="str" cm="1">
        <f t="array" aca="1" ref="L182" ca="1">IF(ROW(E182)-L$15 &lt; L$14,E182,IF(ROW(E182) - L$15 -L$16 + 1 &lt; L$14,INDIRECT(ADDRESS(MOD(ROW(E182) - L$15, L$14) + L$15, COLUMN(E182))),""))</f>
        <v/>
      </c>
      <c r="N182" t="str" cm="1">
        <f t="array" aca="1" ref="N182" ca="1">IF(A182&lt;&gt;"", SUMPRODUCT((OFFSET(A182,0,0,H$16,1)=$T$24) +0),"")</f>
        <v/>
      </c>
      <c r="O182" t="str" cm="1">
        <f t="array" aca="1" ref="O182" ca="1">IF(B182&lt;&gt;"", SUMPRODUCT((OFFSET(B182,0,0,I$16,1)=$T$24) +0),"")</f>
        <v/>
      </c>
      <c r="P182" t="str" cm="1">
        <f t="array" aca="1" ref="P182" ca="1">IF(C182&lt;&gt;"", SUMPRODUCT((OFFSET(C182,0,0,J$16,1)=$T$24) +0),"")</f>
        <v/>
      </c>
      <c r="Q182" t="str" cm="1">
        <f t="array" aca="1" ref="Q182" ca="1">IF(D182&lt;&gt;"", SUMPRODUCT((OFFSET(D182,0,0,K$16,1)=$T$24) +0),"")</f>
        <v/>
      </c>
      <c r="R182" t="str" cm="1">
        <f t="array" aca="1" ref="R182" ca="1">IF(E182&lt;&gt;"", SUMPRODUCT((OFFSET(E182,0,0,L$16,1)=$T$24) +0),"")</f>
        <v/>
      </c>
      <c r="AB182">
        <f t="shared" si="37"/>
        <v>2</v>
      </c>
      <c r="AC182">
        <f t="shared" si="38"/>
        <v>0</v>
      </c>
      <c r="AD182">
        <f t="shared" si="39"/>
        <v>0</v>
      </c>
      <c r="AE182">
        <f t="shared" si="40"/>
        <v>2</v>
      </c>
      <c r="AF182">
        <f t="shared" si="41"/>
        <v>0</v>
      </c>
      <c r="AG182">
        <f t="shared" si="42"/>
        <v>4</v>
      </c>
      <c r="AH182">
        <f t="shared" ca="1" si="44"/>
        <v>2.2242338454795305E-3</v>
      </c>
      <c r="AI182">
        <f>IF(ROW($AA182) - $AA$51 &lt; ($H$16+1)^5, IF(AG182 &gt;= FreeSpinsBonus!$C$16, AG182*FreeSpinsBonus!$E$31, 0), "")</f>
        <v>0</v>
      </c>
      <c r="AJ182">
        <f t="shared" ca="1" si="43"/>
        <v>0</v>
      </c>
      <c r="AK182" s="44"/>
    </row>
    <row r="183" spans="8:37" x14ac:dyDescent="0.3">
      <c r="H183" t="str" cm="1">
        <f t="array" aca="1" ref="H183" ca="1">IF(ROW(A183)-H$15 &lt; H$14,A183,IF(ROW(A183) - H$15 -H$16 + 1 &lt; H$14,INDIRECT(ADDRESS(MOD(ROW(A183) - H$15, H$14) + H$15, COLUMN(A183))),""))</f>
        <v/>
      </c>
      <c r="I183" t="str" cm="1">
        <f t="array" aca="1" ref="I183" ca="1">IF(ROW(B183)-I$15 &lt; I$14,B183,IF(ROW(B183) - I$15 -I$16 + 1 &lt; I$14,INDIRECT(ADDRESS(MOD(ROW(B183) - I$15, I$14) + I$15, COLUMN(B183))),""))</f>
        <v/>
      </c>
      <c r="J183" t="str" cm="1">
        <f t="array" aca="1" ref="J183" ca="1">IF(ROW(C183)-J$15 &lt; J$14,C183,IF(ROW(C183) - J$15 -J$16 + 1 &lt; J$14,INDIRECT(ADDRESS(MOD(ROW(C183) - J$15, J$14) + J$15, COLUMN(C183))),""))</f>
        <v/>
      </c>
      <c r="K183" t="str" cm="1">
        <f t="array" aca="1" ref="K183" ca="1">IF(ROW(D183)-K$15 &lt; K$14,D183,IF(ROW(D183) - K$15 -K$16 + 1 &lt; K$14,INDIRECT(ADDRESS(MOD(ROW(D183) - K$15, K$14) + K$15, COLUMN(D183))),""))</f>
        <v/>
      </c>
      <c r="L183" t="str" cm="1">
        <f t="array" aca="1" ref="L183" ca="1">IF(ROW(E183)-L$15 &lt; L$14,E183,IF(ROW(E183) - L$15 -L$16 + 1 &lt; L$14,INDIRECT(ADDRESS(MOD(ROW(E183) - L$15, L$14) + L$15, COLUMN(E183))),""))</f>
        <v/>
      </c>
      <c r="N183" t="str" cm="1">
        <f t="array" aca="1" ref="N183" ca="1">IF(A183&lt;&gt;"", SUMPRODUCT((OFFSET(A183,0,0,H$16,1)=$T$24) +0),"")</f>
        <v/>
      </c>
      <c r="O183" t="str" cm="1">
        <f t="array" aca="1" ref="O183" ca="1">IF(B183&lt;&gt;"", SUMPRODUCT((OFFSET(B183,0,0,I$16,1)=$T$24) +0),"")</f>
        <v/>
      </c>
      <c r="P183" t="str" cm="1">
        <f t="array" aca="1" ref="P183" ca="1">IF(C183&lt;&gt;"", SUMPRODUCT((OFFSET(C183,0,0,J$16,1)=$T$24) +0),"")</f>
        <v/>
      </c>
      <c r="Q183" t="str" cm="1">
        <f t="array" aca="1" ref="Q183" ca="1">IF(D183&lt;&gt;"", SUMPRODUCT((OFFSET(D183,0,0,K$16,1)=$T$24) +0),"")</f>
        <v/>
      </c>
      <c r="R183" t="str" cm="1">
        <f t="array" aca="1" ref="R183" ca="1">IF(E183&lt;&gt;"", SUMPRODUCT((OFFSET(E183,0,0,L$16,1)=$T$24) +0),"")</f>
        <v/>
      </c>
      <c r="AB183">
        <f t="shared" si="37"/>
        <v>3</v>
      </c>
      <c r="AC183">
        <f t="shared" si="38"/>
        <v>0</v>
      </c>
      <c r="AD183">
        <f t="shared" si="39"/>
        <v>0</v>
      </c>
      <c r="AE183">
        <f t="shared" si="40"/>
        <v>2</v>
      </c>
      <c r="AF183">
        <f t="shared" si="41"/>
        <v>0</v>
      </c>
      <c r="AG183">
        <f t="shared" si="42"/>
        <v>5</v>
      </c>
      <c r="AH183">
        <f t="shared" ca="1" si="44"/>
        <v>0</v>
      </c>
      <c r="AI183">
        <f>IF(ROW($AA183) - $AA$51 &lt; ($H$16+1)^5, IF(AG183 &gt;= FreeSpinsBonus!$C$16, AG183*FreeSpinsBonus!$E$31, 0), "")</f>
        <v>7.2865053920139902</v>
      </c>
      <c r="AJ183">
        <f t="shared" ca="1" si="43"/>
        <v>0</v>
      </c>
      <c r="AK183" s="44"/>
    </row>
    <row r="184" spans="8:37" x14ac:dyDescent="0.3">
      <c r="H184" t="str" cm="1">
        <f t="array" aca="1" ref="H184" ca="1">IF(ROW(A184)-H$15 &lt; H$14,A184,IF(ROW(A184) - H$15 -H$16 + 1 &lt; H$14,INDIRECT(ADDRESS(MOD(ROW(A184) - H$15, H$14) + H$15, COLUMN(A184))),""))</f>
        <v/>
      </c>
      <c r="I184" t="str" cm="1">
        <f t="array" aca="1" ref="I184" ca="1">IF(ROW(B184)-I$15 &lt; I$14,B184,IF(ROW(B184) - I$15 -I$16 + 1 &lt; I$14,INDIRECT(ADDRESS(MOD(ROW(B184) - I$15, I$14) + I$15, COLUMN(B184))),""))</f>
        <v/>
      </c>
      <c r="J184" t="str" cm="1">
        <f t="array" aca="1" ref="J184" ca="1">IF(ROW(C184)-J$15 &lt; J$14,C184,IF(ROW(C184) - J$15 -J$16 + 1 &lt; J$14,INDIRECT(ADDRESS(MOD(ROW(C184) - J$15, J$14) + J$15, COLUMN(C184))),""))</f>
        <v/>
      </c>
      <c r="K184" t="str" cm="1">
        <f t="array" aca="1" ref="K184" ca="1">IF(ROW(D184)-K$15 &lt; K$14,D184,IF(ROW(D184) - K$15 -K$16 + 1 &lt; K$14,INDIRECT(ADDRESS(MOD(ROW(D184) - K$15, K$14) + K$15, COLUMN(D184))),""))</f>
        <v/>
      </c>
      <c r="L184" t="str" cm="1">
        <f t="array" aca="1" ref="L184" ca="1">IF(ROW(E184)-L$15 &lt; L$14,E184,IF(ROW(E184) - L$15 -L$16 + 1 &lt; L$14,INDIRECT(ADDRESS(MOD(ROW(E184) - L$15, L$14) + L$15, COLUMN(E184))),""))</f>
        <v/>
      </c>
      <c r="N184" t="str" cm="1">
        <f t="array" aca="1" ref="N184" ca="1">IF(A184&lt;&gt;"", SUMPRODUCT((OFFSET(A184,0,0,H$16,1)=$T$24) +0),"")</f>
        <v/>
      </c>
      <c r="O184" t="str" cm="1">
        <f t="array" aca="1" ref="O184" ca="1">IF(B184&lt;&gt;"", SUMPRODUCT((OFFSET(B184,0,0,I$16,1)=$T$24) +0),"")</f>
        <v/>
      </c>
      <c r="P184" t="str" cm="1">
        <f t="array" aca="1" ref="P184" ca="1">IF(C184&lt;&gt;"", SUMPRODUCT((OFFSET(C184,0,0,J$16,1)=$T$24) +0),"")</f>
        <v/>
      </c>
      <c r="Q184" t="str" cm="1">
        <f t="array" aca="1" ref="Q184" ca="1">IF(D184&lt;&gt;"", SUMPRODUCT((OFFSET(D184,0,0,K$16,1)=$T$24) +0),"")</f>
        <v/>
      </c>
      <c r="R184" t="str" cm="1">
        <f t="array" aca="1" ref="R184" ca="1">IF(E184&lt;&gt;"", SUMPRODUCT((OFFSET(E184,0,0,L$16,1)=$T$24) +0),"")</f>
        <v/>
      </c>
      <c r="AB184">
        <f t="shared" si="37"/>
        <v>0</v>
      </c>
      <c r="AC184">
        <f t="shared" si="38"/>
        <v>1</v>
      </c>
      <c r="AD184">
        <f t="shared" si="39"/>
        <v>0</v>
      </c>
      <c r="AE184">
        <f t="shared" si="40"/>
        <v>2</v>
      </c>
      <c r="AF184">
        <f t="shared" si="41"/>
        <v>0</v>
      </c>
      <c r="AG184">
        <f t="shared" si="42"/>
        <v>3</v>
      </c>
      <c r="AH184">
        <f t="shared" ca="1" si="44"/>
        <v>4.0036209218631547E-3</v>
      </c>
      <c r="AI184">
        <f>IF(ROW($AA184) - $AA$51 &lt; ($H$16+1)^5, IF(AG184 &gt;= FreeSpinsBonus!$C$16, AG184*FreeSpinsBonus!$E$31, 0), "")</f>
        <v>0</v>
      </c>
      <c r="AJ184">
        <f t="shared" ca="1" si="43"/>
        <v>0</v>
      </c>
      <c r="AK184" s="44"/>
    </row>
    <row r="185" spans="8:37" x14ac:dyDescent="0.3">
      <c r="H185" t="str" cm="1">
        <f t="array" aca="1" ref="H185" ca="1">IF(ROW(A185)-H$15 &lt; H$14,A185,IF(ROW(A185) - H$15 -H$16 + 1 &lt; H$14,INDIRECT(ADDRESS(MOD(ROW(A185) - H$15, H$14) + H$15, COLUMN(A185))),""))</f>
        <v/>
      </c>
      <c r="I185" t="str" cm="1">
        <f t="array" aca="1" ref="I185" ca="1">IF(ROW(B185)-I$15 &lt; I$14,B185,IF(ROW(B185) - I$15 -I$16 + 1 &lt; I$14,INDIRECT(ADDRESS(MOD(ROW(B185) - I$15, I$14) + I$15, COLUMN(B185))),""))</f>
        <v/>
      </c>
      <c r="J185" t="str" cm="1">
        <f t="array" aca="1" ref="J185" ca="1">IF(ROW(C185)-J$15 &lt; J$14,C185,IF(ROW(C185) - J$15 -J$16 + 1 &lt; J$14,INDIRECT(ADDRESS(MOD(ROW(C185) - J$15, J$14) + J$15, COLUMN(C185))),""))</f>
        <v/>
      </c>
      <c r="K185" t="str" cm="1">
        <f t="array" aca="1" ref="K185" ca="1">IF(ROW(D185)-K$15 &lt; K$14,D185,IF(ROW(D185) - K$15 -K$16 + 1 &lt; K$14,INDIRECT(ADDRESS(MOD(ROW(D185) - K$15, K$14) + K$15, COLUMN(D185))),""))</f>
        <v/>
      </c>
      <c r="L185" t="str" cm="1">
        <f t="array" aca="1" ref="L185" ca="1">IF(ROW(E185)-L$15 &lt; L$14,E185,IF(ROW(E185) - L$15 -L$16 + 1 &lt; L$14,INDIRECT(ADDRESS(MOD(ROW(E185) - L$15, L$14) + L$15, COLUMN(E185))),""))</f>
        <v/>
      </c>
      <c r="N185" t="str" cm="1">
        <f t="array" aca="1" ref="N185" ca="1">IF(A185&lt;&gt;"", SUMPRODUCT((OFFSET(A185,0,0,H$16,1)=$T$24) +0),"")</f>
        <v/>
      </c>
      <c r="O185" t="str" cm="1">
        <f t="array" aca="1" ref="O185" ca="1">IF(B185&lt;&gt;"", SUMPRODUCT((OFFSET(B185,0,0,I$16,1)=$T$24) +0),"")</f>
        <v/>
      </c>
      <c r="P185" t="str" cm="1">
        <f t="array" aca="1" ref="P185" ca="1">IF(C185&lt;&gt;"", SUMPRODUCT((OFFSET(C185,0,0,J$16,1)=$T$24) +0),"")</f>
        <v/>
      </c>
      <c r="Q185" t="str" cm="1">
        <f t="array" aca="1" ref="Q185" ca="1">IF(D185&lt;&gt;"", SUMPRODUCT((OFFSET(D185,0,0,K$16,1)=$T$24) +0),"")</f>
        <v/>
      </c>
      <c r="R185" t="str" cm="1">
        <f t="array" aca="1" ref="R185" ca="1">IF(E185&lt;&gt;"", SUMPRODUCT((OFFSET(E185,0,0,L$16,1)=$T$24) +0),"")</f>
        <v/>
      </c>
      <c r="AB185">
        <f t="shared" si="37"/>
        <v>1</v>
      </c>
      <c r="AC185">
        <f t="shared" si="38"/>
        <v>1</v>
      </c>
      <c r="AD185">
        <f t="shared" si="39"/>
        <v>0</v>
      </c>
      <c r="AE185">
        <f t="shared" si="40"/>
        <v>2</v>
      </c>
      <c r="AF185">
        <f t="shared" si="41"/>
        <v>0</v>
      </c>
      <c r="AG185">
        <f t="shared" si="42"/>
        <v>4</v>
      </c>
      <c r="AH185">
        <f t="shared" ca="1" si="44"/>
        <v>4.2260443064111074E-3</v>
      </c>
      <c r="AI185">
        <f>IF(ROW($AA185) - $AA$51 &lt; ($H$16+1)^5, IF(AG185 &gt;= FreeSpinsBonus!$C$16, AG185*FreeSpinsBonus!$E$31, 0), "")</f>
        <v>0</v>
      </c>
      <c r="AJ185">
        <f t="shared" ca="1" si="43"/>
        <v>0</v>
      </c>
      <c r="AK185" s="44"/>
    </row>
    <row r="186" spans="8:37" x14ac:dyDescent="0.3">
      <c r="H186" t="str" cm="1">
        <f t="array" aca="1" ref="H186" ca="1">IF(ROW(A186)-H$15 &lt; H$14,A186,IF(ROW(A186) - H$15 -H$16 + 1 &lt; H$14,INDIRECT(ADDRESS(MOD(ROW(A186) - H$15, H$14) + H$15, COLUMN(A186))),""))</f>
        <v/>
      </c>
      <c r="I186" t="str" cm="1">
        <f t="array" aca="1" ref="I186" ca="1">IF(ROW(B186)-I$15 &lt; I$14,B186,IF(ROW(B186) - I$15 -I$16 + 1 &lt; I$14,INDIRECT(ADDRESS(MOD(ROW(B186) - I$15, I$14) + I$15, COLUMN(B186))),""))</f>
        <v/>
      </c>
      <c r="J186" t="str" cm="1">
        <f t="array" aca="1" ref="J186" ca="1">IF(ROW(C186)-J$15 &lt; J$14,C186,IF(ROW(C186) - J$15 -J$16 + 1 &lt; J$14,INDIRECT(ADDRESS(MOD(ROW(C186) - J$15, J$14) + J$15, COLUMN(C186))),""))</f>
        <v/>
      </c>
      <c r="K186" t="str" cm="1">
        <f t="array" aca="1" ref="K186" ca="1">IF(ROW(D186)-K$15 &lt; K$14,D186,IF(ROW(D186) - K$15 -K$16 + 1 &lt; K$14,INDIRECT(ADDRESS(MOD(ROW(D186) - K$15, K$14) + K$15, COLUMN(D186))),""))</f>
        <v/>
      </c>
      <c r="L186" t="str" cm="1">
        <f t="array" aca="1" ref="L186" ca="1">IF(ROW(E186)-L$15 &lt; L$14,E186,IF(ROW(E186) - L$15 -L$16 + 1 &lt; L$14,INDIRECT(ADDRESS(MOD(ROW(E186) - L$15, L$14) + L$15, COLUMN(E186))),""))</f>
        <v/>
      </c>
      <c r="N186" t="str" cm="1">
        <f t="array" aca="1" ref="N186" ca="1">IF(A186&lt;&gt;"", SUMPRODUCT((OFFSET(A186,0,0,H$16,1)=$T$24) +0),"")</f>
        <v/>
      </c>
      <c r="O186" t="str" cm="1">
        <f t="array" aca="1" ref="O186" ca="1">IF(B186&lt;&gt;"", SUMPRODUCT((OFFSET(B186,0,0,I$16,1)=$T$24) +0),"")</f>
        <v/>
      </c>
      <c r="P186" t="str" cm="1">
        <f t="array" aca="1" ref="P186" ca="1">IF(C186&lt;&gt;"", SUMPRODUCT((OFFSET(C186,0,0,J$16,1)=$T$24) +0),"")</f>
        <v/>
      </c>
      <c r="Q186" t="str" cm="1">
        <f t="array" aca="1" ref="Q186" ca="1">IF(D186&lt;&gt;"", SUMPRODUCT((OFFSET(D186,0,0,K$16,1)=$T$24) +0),"")</f>
        <v/>
      </c>
      <c r="R186" t="str" cm="1">
        <f t="array" aca="1" ref="R186" ca="1">IF(E186&lt;&gt;"", SUMPRODUCT((OFFSET(E186,0,0,L$16,1)=$T$24) +0),"")</f>
        <v/>
      </c>
      <c r="AB186">
        <f t="shared" si="37"/>
        <v>2</v>
      </c>
      <c r="AC186">
        <f t="shared" si="38"/>
        <v>1</v>
      </c>
      <c r="AD186">
        <f t="shared" si="39"/>
        <v>0</v>
      </c>
      <c r="AE186">
        <f t="shared" si="40"/>
        <v>2</v>
      </c>
      <c r="AF186">
        <f t="shared" si="41"/>
        <v>0</v>
      </c>
      <c r="AG186">
        <f t="shared" si="42"/>
        <v>5</v>
      </c>
      <c r="AH186">
        <f t="shared" ca="1" si="44"/>
        <v>2.2242338454795305E-3</v>
      </c>
      <c r="AI186">
        <f>IF(ROW($AA186) - $AA$51 &lt; ($H$16+1)^5, IF(AG186 &gt;= FreeSpinsBonus!$C$16, AG186*FreeSpinsBonus!$E$31, 0), "")</f>
        <v>7.2865053920139902</v>
      </c>
      <c r="AJ186">
        <f t="shared" ca="1" si="43"/>
        <v>1.620689190818661E-2</v>
      </c>
      <c r="AK186" s="44"/>
    </row>
    <row r="187" spans="8:37" x14ac:dyDescent="0.3">
      <c r="H187" t="str" cm="1">
        <f t="array" aca="1" ref="H187" ca="1">IF(ROW(A187)-H$15 &lt; H$14,A187,IF(ROW(A187) - H$15 -H$16 + 1 &lt; H$14,INDIRECT(ADDRESS(MOD(ROW(A187) - H$15, H$14) + H$15, COLUMN(A187))),""))</f>
        <v/>
      </c>
      <c r="I187" t="str" cm="1">
        <f t="array" aca="1" ref="I187" ca="1">IF(ROW(B187)-I$15 &lt; I$14,B187,IF(ROW(B187) - I$15 -I$16 + 1 &lt; I$14,INDIRECT(ADDRESS(MOD(ROW(B187) - I$15, I$14) + I$15, COLUMN(B187))),""))</f>
        <v/>
      </c>
      <c r="J187" t="str" cm="1">
        <f t="array" aca="1" ref="J187" ca="1">IF(ROW(C187)-J$15 &lt; J$14,C187,IF(ROW(C187) - J$15 -J$16 + 1 &lt; J$14,INDIRECT(ADDRESS(MOD(ROW(C187) - J$15, J$14) + J$15, COLUMN(C187))),""))</f>
        <v/>
      </c>
      <c r="K187" t="str" cm="1">
        <f t="array" aca="1" ref="K187" ca="1">IF(ROW(D187)-K$15 &lt; K$14,D187,IF(ROW(D187) - K$15 -K$16 + 1 &lt; K$14,INDIRECT(ADDRESS(MOD(ROW(D187) - K$15, K$14) + K$15, COLUMN(D187))),""))</f>
        <v/>
      </c>
      <c r="L187" t="str" cm="1">
        <f t="array" aca="1" ref="L187" ca="1">IF(ROW(E187)-L$15 &lt; L$14,E187,IF(ROW(E187) - L$15 -L$16 + 1 &lt; L$14,INDIRECT(ADDRESS(MOD(ROW(E187) - L$15, L$14) + L$15, COLUMN(E187))),""))</f>
        <v/>
      </c>
      <c r="N187" t="str" cm="1">
        <f t="array" aca="1" ref="N187" ca="1">IF(A187&lt;&gt;"", SUMPRODUCT((OFFSET(A187,0,0,H$16,1)=$T$24) +0),"")</f>
        <v/>
      </c>
      <c r="O187" t="str" cm="1">
        <f t="array" aca="1" ref="O187" ca="1">IF(B187&lt;&gt;"", SUMPRODUCT((OFFSET(B187,0,0,I$16,1)=$T$24) +0),"")</f>
        <v/>
      </c>
      <c r="P187" t="str" cm="1">
        <f t="array" aca="1" ref="P187" ca="1">IF(C187&lt;&gt;"", SUMPRODUCT((OFFSET(C187,0,0,J$16,1)=$T$24) +0),"")</f>
        <v/>
      </c>
      <c r="Q187" t="str" cm="1">
        <f t="array" aca="1" ref="Q187" ca="1">IF(D187&lt;&gt;"", SUMPRODUCT((OFFSET(D187,0,0,K$16,1)=$T$24) +0),"")</f>
        <v/>
      </c>
      <c r="R187" t="str" cm="1">
        <f t="array" aca="1" ref="R187" ca="1">IF(E187&lt;&gt;"", SUMPRODUCT((OFFSET(E187,0,0,L$16,1)=$T$24) +0),"")</f>
        <v/>
      </c>
      <c r="AB187">
        <f t="shared" si="37"/>
        <v>3</v>
      </c>
      <c r="AC187">
        <f t="shared" si="38"/>
        <v>1</v>
      </c>
      <c r="AD187">
        <f t="shared" si="39"/>
        <v>0</v>
      </c>
      <c r="AE187">
        <f t="shared" si="40"/>
        <v>2</v>
      </c>
      <c r="AF187">
        <f t="shared" si="41"/>
        <v>0</v>
      </c>
      <c r="AG187">
        <f t="shared" si="42"/>
        <v>6</v>
      </c>
      <c r="AH187">
        <f t="shared" ca="1" si="44"/>
        <v>0</v>
      </c>
      <c r="AI187">
        <f>IF(ROW($AA187) - $AA$51 &lt; ($H$16+1)^5, IF(AG187 &gt;= FreeSpinsBonus!$C$16, AG187*FreeSpinsBonus!$E$31, 0), "")</f>
        <v>8.7438064704167875</v>
      </c>
      <c r="AJ187">
        <f t="shared" ca="1" si="43"/>
        <v>0</v>
      </c>
      <c r="AK187" s="44"/>
    </row>
    <row r="188" spans="8:37" x14ac:dyDescent="0.3">
      <c r="H188" t="str" cm="1">
        <f t="array" aca="1" ref="H188" ca="1">IF(ROW(A188)-H$15 &lt; H$14,A188,IF(ROW(A188) - H$15 -H$16 + 1 &lt; H$14,INDIRECT(ADDRESS(MOD(ROW(A188) - H$15, H$14) + H$15, COLUMN(A188))),""))</f>
        <v/>
      </c>
      <c r="I188" t="str" cm="1">
        <f t="array" aca="1" ref="I188" ca="1">IF(ROW(B188)-I$15 &lt; I$14,B188,IF(ROW(B188) - I$15 -I$16 + 1 &lt; I$14,INDIRECT(ADDRESS(MOD(ROW(B188) - I$15, I$14) + I$15, COLUMN(B188))),""))</f>
        <v/>
      </c>
      <c r="J188" t="str" cm="1">
        <f t="array" aca="1" ref="J188" ca="1">IF(ROW(C188)-J$15 &lt; J$14,C188,IF(ROW(C188) - J$15 -J$16 + 1 &lt; J$14,INDIRECT(ADDRESS(MOD(ROW(C188) - J$15, J$14) + J$15, COLUMN(C188))),""))</f>
        <v/>
      </c>
      <c r="K188" t="str" cm="1">
        <f t="array" aca="1" ref="K188" ca="1">IF(ROW(D188)-K$15 &lt; K$14,D188,IF(ROW(D188) - K$15 -K$16 + 1 &lt; K$14,INDIRECT(ADDRESS(MOD(ROW(D188) - K$15, K$14) + K$15, COLUMN(D188))),""))</f>
        <v/>
      </c>
      <c r="L188" t="str" cm="1">
        <f t="array" aca="1" ref="L188" ca="1">IF(ROW(E188)-L$15 &lt; L$14,E188,IF(ROW(E188) - L$15 -L$16 + 1 &lt; L$14,INDIRECT(ADDRESS(MOD(ROW(E188) - L$15, L$14) + L$15, COLUMN(E188))),""))</f>
        <v/>
      </c>
      <c r="N188" t="str" cm="1">
        <f t="array" aca="1" ref="N188" ca="1">IF(A188&lt;&gt;"", SUMPRODUCT((OFFSET(A188,0,0,H$16,1)=$T$24) +0),"")</f>
        <v/>
      </c>
      <c r="O188" t="str" cm="1">
        <f t="array" aca="1" ref="O188" ca="1">IF(B188&lt;&gt;"", SUMPRODUCT((OFFSET(B188,0,0,I$16,1)=$T$24) +0),"")</f>
        <v/>
      </c>
      <c r="P188" t="str" cm="1">
        <f t="array" aca="1" ref="P188" ca="1">IF(C188&lt;&gt;"", SUMPRODUCT((OFFSET(C188,0,0,J$16,1)=$T$24) +0),"")</f>
        <v/>
      </c>
      <c r="Q188" t="str" cm="1">
        <f t="array" aca="1" ref="Q188" ca="1">IF(D188&lt;&gt;"", SUMPRODUCT((OFFSET(D188,0,0,K$16,1)=$T$24) +0),"")</f>
        <v/>
      </c>
      <c r="R188" t="str" cm="1">
        <f t="array" aca="1" ref="R188" ca="1">IF(E188&lt;&gt;"", SUMPRODUCT((OFFSET(E188,0,0,L$16,1)=$T$24) +0),"")</f>
        <v/>
      </c>
      <c r="AB188">
        <f t="shared" si="37"/>
        <v>0</v>
      </c>
      <c r="AC188">
        <f t="shared" si="38"/>
        <v>2</v>
      </c>
      <c r="AD188">
        <f t="shared" si="39"/>
        <v>0</v>
      </c>
      <c r="AE188">
        <f t="shared" si="40"/>
        <v>2</v>
      </c>
      <c r="AF188">
        <f t="shared" si="41"/>
        <v>0</v>
      </c>
      <c r="AG188">
        <f t="shared" si="42"/>
        <v>4</v>
      </c>
      <c r="AH188">
        <f t="shared" ca="1" si="44"/>
        <v>4.0036209218631547E-3</v>
      </c>
      <c r="AI188">
        <f>IF(ROW($AA188) - $AA$51 &lt; ($H$16+1)^5, IF(AG188 &gt;= FreeSpinsBonus!$C$16, AG188*FreeSpinsBonus!$E$31, 0), "")</f>
        <v>0</v>
      </c>
      <c r="AJ188">
        <f t="shared" ca="1" si="43"/>
        <v>0</v>
      </c>
      <c r="AK188" s="44"/>
    </row>
    <row r="189" spans="8:37" x14ac:dyDescent="0.3">
      <c r="H189" t="str" cm="1">
        <f t="array" aca="1" ref="H189" ca="1">IF(ROW(A189)-H$15 &lt; H$14,A189,IF(ROW(A189) - H$15 -H$16 + 1 &lt; H$14,INDIRECT(ADDRESS(MOD(ROW(A189) - H$15, H$14) + H$15, COLUMN(A189))),""))</f>
        <v/>
      </c>
      <c r="I189" t="str" cm="1">
        <f t="array" aca="1" ref="I189" ca="1">IF(ROW(B189)-I$15 &lt; I$14,B189,IF(ROW(B189) - I$15 -I$16 + 1 &lt; I$14,INDIRECT(ADDRESS(MOD(ROW(B189) - I$15, I$14) + I$15, COLUMN(B189))),""))</f>
        <v/>
      </c>
      <c r="J189" t="str" cm="1">
        <f t="array" aca="1" ref="J189" ca="1">IF(ROW(C189)-J$15 &lt; J$14,C189,IF(ROW(C189) - J$15 -J$16 + 1 &lt; J$14,INDIRECT(ADDRESS(MOD(ROW(C189) - J$15, J$14) + J$15, COLUMN(C189))),""))</f>
        <v/>
      </c>
      <c r="K189" t="str" cm="1">
        <f t="array" aca="1" ref="K189" ca="1">IF(ROW(D189)-K$15 &lt; K$14,D189,IF(ROW(D189) - K$15 -K$16 + 1 &lt; K$14,INDIRECT(ADDRESS(MOD(ROW(D189) - K$15, K$14) + K$15, COLUMN(D189))),""))</f>
        <v/>
      </c>
      <c r="L189" t="str" cm="1">
        <f t="array" aca="1" ref="L189" ca="1">IF(ROW(E189)-L$15 &lt; L$14,E189,IF(ROW(E189) - L$15 -L$16 + 1 &lt; L$14,INDIRECT(ADDRESS(MOD(ROW(E189) - L$15, L$14) + L$15, COLUMN(E189))),""))</f>
        <v/>
      </c>
      <c r="N189" t="str" cm="1">
        <f t="array" aca="1" ref="N189" ca="1">IF(A189&lt;&gt;"", SUMPRODUCT((OFFSET(A189,0,0,H$16,1)=$T$24) +0),"")</f>
        <v/>
      </c>
      <c r="O189" t="str" cm="1">
        <f t="array" aca="1" ref="O189" ca="1">IF(B189&lt;&gt;"", SUMPRODUCT((OFFSET(B189,0,0,I$16,1)=$T$24) +0),"")</f>
        <v/>
      </c>
      <c r="P189" t="str" cm="1">
        <f t="array" aca="1" ref="P189" ca="1">IF(C189&lt;&gt;"", SUMPRODUCT((OFFSET(C189,0,0,J$16,1)=$T$24) +0),"")</f>
        <v/>
      </c>
      <c r="Q189" t="str" cm="1">
        <f t="array" aca="1" ref="Q189" ca="1">IF(D189&lt;&gt;"", SUMPRODUCT((OFFSET(D189,0,0,K$16,1)=$T$24) +0),"")</f>
        <v/>
      </c>
      <c r="R189" t="str" cm="1">
        <f t="array" aca="1" ref="R189" ca="1">IF(E189&lt;&gt;"", SUMPRODUCT((OFFSET(E189,0,0,L$16,1)=$T$24) +0),"")</f>
        <v/>
      </c>
      <c r="AB189">
        <f t="shared" si="37"/>
        <v>1</v>
      </c>
      <c r="AC189">
        <f t="shared" si="38"/>
        <v>2</v>
      </c>
      <c r="AD189">
        <f t="shared" si="39"/>
        <v>0</v>
      </c>
      <c r="AE189">
        <f t="shared" si="40"/>
        <v>2</v>
      </c>
      <c r="AF189">
        <f t="shared" si="41"/>
        <v>0</v>
      </c>
      <c r="AG189">
        <f t="shared" si="42"/>
        <v>5</v>
      </c>
      <c r="AH189">
        <f t="shared" ca="1" si="44"/>
        <v>4.2260443064111074E-3</v>
      </c>
      <c r="AI189">
        <f>IF(ROW($AA189) - $AA$51 &lt; ($H$16+1)^5, IF(AG189 &gt;= FreeSpinsBonus!$C$16, AG189*FreeSpinsBonus!$E$31, 0), "")</f>
        <v>7.2865053920139902</v>
      </c>
      <c r="AJ189">
        <f t="shared" ca="1" si="43"/>
        <v>3.0793094625554556E-2</v>
      </c>
      <c r="AK189" s="44"/>
    </row>
    <row r="190" spans="8:37" x14ac:dyDescent="0.3">
      <c r="H190" t="str" cm="1">
        <f t="array" aca="1" ref="H190" ca="1">IF(ROW(A190)-H$15 &lt; H$14,A190,IF(ROW(A190) - H$15 -H$16 + 1 &lt; H$14,INDIRECT(ADDRESS(MOD(ROW(A190) - H$15, H$14) + H$15, COLUMN(A190))),""))</f>
        <v/>
      </c>
      <c r="I190" t="str" cm="1">
        <f t="array" aca="1" ref="I190" ca="1">IF(ROW(B190)-I$15 &lt; I$14,B190,IF(ROW(B190) - I$15 -I$16 + 1 &lt; I$14,INDIRECT(ADDRESS(MOD(ROW(B190) - I$15, I$14) + I$15, COLUMN(B190))),""))</f>
        <v/>
      </c>
      <c r="J190" t="str" cm="1">
        <f t="array" aca="1" ref="J190" ca="1">IF(ROW(C190)-J$15 &lt; J$14,C190,IF(ROW(C190) - J$15 -J$16 + 1 &lt; J$14,INDIRECT(ADDRESS(MOD(ROW(C190) - J$15, J$14) + J$15, COLUMN(C190))),""))</f>
        <v/>
      </c>
      <c r="K190" t="str" cm="1">
        <f t="array" aca="1" ref="K190" ca="1">IF(ROW(D190)-K$15 &lt; K$14,D190,IF(ROW(D190) - K$15 -K$16 + 1 &lt; K$14,INDIRECT(ADDRESS(MOD(ROW(D190) - K$15, K$14) + K$15, COLUMN(D190))),""))</f>
        <v/>
      </c>
      <c r="L190" t="str" cm="1">
        <f t="array" aca="1" ref="L190" ca="1">IF(ROW(E190)-L$15 &lt; L$14,E190,IF(ROW(E190) - L$15 -L$16 + 1 &lt; L$14,INDIRECT(ADDRESS(MOD(ROW(E190) - L$15, L$14) + L$15, COLUMN(E190))),""))</f>
        <v/>
      </c>
      <c r="N190" t="str" cm="1">
        <f t="array" aca="1" ref="N190" ca="1">IF(A190&lt;&gt;"", SUMPRODUCT((OFFSET(A190,0,0,H$16,1)=$T$24) +0),"")</f>
        <v/>
      </c>
      <c r="O190" t="str" cm="1">
        <f t="array" aca="1" ref="O190" ca="1">IF(B190&lt;&gt;"", SUMPRODUCT((OFFSET(B190,0,0,I$16,1)=$T$24) +0),"")</f>
        <v/>
      </c>
      <c r="P190" t="str" cm="1">
        <f t="array" aca="1" ref="P190" ca="1">IF(C190&lt;&gt;"", SUMPRODUCT((OFFSET(C190,0,0,J$16,1)=$T$24) +0),"")</f>
        <v/>
      </c>
      <c r="Q190" t="str" cm="1">
        <f t="array" aca="1" ref="Q190" ca="1">IF(D190&lt;&gt;"", SUMPRODUCT((OFFSET(D190,0,0,K$16,1)=$T$24) +0),"")</f>
        <v/>
      </c>
      <c r="R190" t="str" cm="1">
        <f t="array" aca="1" ref="R190" ca="1">IF(E190&lt;&gt;"", SUMPRODUCT((OFFSET(E190,0,0,L$16,1)=$T$24) +0),"")</f>
        <v/>
      </c>
      <c r="AB190">
        <f t="shared" si="37"/>
        <v>2</v>
      </c>
      <c r="AC190">
        <f t="shared" si="38"/>
        <v>2</v>
      </c>
      <c r="AD190">
        <f t="shared" si="39"/>
        <v>0</v>
      </c>
      <c r="AE190">
        <f t="shared" si="40"/>
        <v>2</v>
      </c>
      <c r="AF190">
        <f t="shared" si="41"/>
        <v>0</v>
      </c>
      <c r="AG190">
        <f t="shared" si="42"/>
        <v>6</v>
      </c>
      <c r="AH190">
        <f t="shared" ca="1" si="44"/>
        <v>2.2242338454795305E-3</v>
      </c>
      <c r="AI190">
        <f>IF(ROW($AA190) - $AA$51 &lt; ($H$16+1)^5, IF(AG190 &gt;= FreeSpinsBonus!$C$16, AG190*FreeSpinsBonus!$E$31, 0), "")</f>
        <v>8.7438064704167875</v>
      </c>
      <c r="AJ190">
        <f t="shared" ca="1" si="43"/>
        <v>1.9448270289823932E-2</v>
      </c>
      <c r="AK190" s="44"/>
    </row>
    <row r="191" spans="8:37" x14ac:dyDescent="0.3">
      <c r="H191" t="str" cm="1">
        <f t="array" aca="1" ref="H191" ca="1">IF(ROW(A191)-H$15 &lt; H$14,A191,IF(ROW(A191) - H$15 -H$16 + 1 &lt; H$14,INDIRECT(ADDRESS(MOD(ROW(A191) - H$15, H$14) + H$15, COLUMN(A191))),""))</f>
        <v/>
      </c>
      <c r="I191" t="str" cm="1">
        <f t="array" aca="1" ref="I191" ca="1">IF(ROW(B191)-I$15 &lt; I$14,B191,IF(ROW(B191) - I$15 -I$16 + 1 &lt; I$14,INDIRECT(ADDRESS(MOD(ROW(B191) - I$15, I$14) + I$15, COLUMN(B191))),""))</f>
        <v/>
      </c>
      <c r="J191" t="str" cm="1">
        <f t="array" aca="1" ref="J191" ca="1">IF(ROW(C191)-J$15 &lt; J$14,C191,IF(ROW(C191) - J$15 -J$16 + 1 &lt; J$14,INDIRECT(ADDRESS(MOD(ROW(C191) - J$15, J$14) + J$15, COLUMN(C191))),""))</f>
        <v/>
      </c>
      <c r="K191" t="str" cm="1">
        <f t="array" aca="1" ref="K191" ca="1">IF(ROW(D191)-K$15 &lt; K$14,D191,IF(ROW(D191) - K$15 -K$16 + 1 &lt; K$14,INDIRECT(ADDRESS(MOD(ROW(D191) - K$15, K$14) + K$15, COLUMN(D191))),""))</f>
        <v/>
      </c>
      <c r="L191" t="str" cm="1">
        <f t="array" aca="1" ref="L191" ca="1">IF(ROW(E191)-L$15 &lt; L$14,E191,IF(ROW(E191) - L$15 -L$16 + 1 &lt; L$14,INDIRECT(ADDRESS(MOD(ROW(E191) - L$15, L$14) + L$15, COLUMN(E191))),""))</f>
        <v/>
      </c>
      <c r="N191" t="str" cm="1">
        <f t="array" aca="1" ref="N191" ca="1">IF(A191&lt;&gt;"", SUMPRODUCT((OFFSET(A191,0,0,H$16,1)=$T$24) +0),"")</f>
        <v/>
      </c>
      <c r="O191" t="str" cm="1">
        <f t="array" aca="1" ref="O191" ca="1">IF(B191&lt;&gt;"", SUMPRODUCT((OFFSET(B191,0,0,I$16,1)=$T$24) +0),"")</f>
        <v/>
      </c>
      <c r="P191" t="str" cm="1">
        <f t="array" aca="1" ref="P191" ca="1">IF(C191&lt;&gt;"", SUMPRODUCT((OFFSET(C191,0,0,J$16,1)=$T$24) +0),"")</f>
        <v/>
      </c>
      <c r="Q191" t="str" cm="1">
        <f t="array" aca="1" ref="Q191" ca="1">IF(D191&lt;&gt;"", SUMPRODUCT((OFFSET(D191,0,0,K$16,1)=$T$24) +0),"")</f>
        <v/>
      </c>
      <c r="R191" t="str" cm="1">
        <f t="array" aca="1" ref="R191" ca="1">IF(E191&lt;&gt;"", SUMPRODUCT((OFFSET(E191,0,0,L$16,1)=$T$24) +0),"")</f>
        <v/>
      </c>
      <c r="AB191">
        <f t="shared" si="37"/>
        <v>3</v>
      </c>
      <c r="AC191">
        <f t="shared" si="38"/>
        <v>2</v>
      </c>
      <c r="AD191">
        <f t="shared" si="39"/>
        <v>0</v>
      </c>
      <c r="AE191">
        <f t="shared" si="40"/>
        <v>2</v>
      </c>
      <c r="AF191">
        <f t="shared" si="41"/>
        <v>0</v>
      </c>
      <c r="AG191">
        <f t="shared" si="42"/>
        <v>7</v>
      </c>
      <c r="AH191">
        <f t="shared" ca="1" si="44"/>
        <v>0</v>
      </c>
      <c r="AI191">
        <f>IF(ROW($AA191) - $AA$51 &lt; ($H$16+1)^5, IF(AG191 &gt;= FreeSpinsBonus!$C$16, AG191*FreeSpinsBonus!$E$31, 0), "")</f>
        <v>10.201107548819586</v>
      </c>
      <c r="AJ191">
        <f t="shared" ca="1" si="43"/>
        <v>0</v>
      </c>
      <c r="AK191" s="44"/>
    </row>
    <row r="192" spans="8:37" x14ac:dyDescent="0.3">
      <c r="H192" t="str" cm="1">
        <f t="array" aca="1" ref="H192" ca="1">IF(ROW(A192)-H$15 &lt; H$14,A192,IF(ROW(A192) - H$15 -H$16 + 1 &lt; H$14,INDIRECT(ADDRESS(MOD(ROW(A192) - H$15, H$14) + H$15, COLUMN(A192))),""))</f>
        <v/>
      </c>
      <c r="I192" t="str" cm="1">
        <f t="array" aca="1" ref="I192" ca="1">IF(ROW(B192)-I$15 &lt; I$14,B192,IF(ROW(B192) - I$15 -I$16 + 1 &lt; I$14,INDIRECT(ADDRESS(MOD(ROW(B192) - I$15, I$14) + I$15, COLUMN(B192))),""))</f>
        <v/>
      </c>
      <c r="J192" t="str" cm="1">
        <f t="array" aca="1" ref="J192" ca="1">IF(ROW(C192)-J$15 &lt; J$14,C192,IF(ROW(C192) - J$15 -J$16 + 1 &lt; J$14,INDIRECT(ADDRESS(MOD(ROW(C192) - J$15, J$14) + J$15, COLUMN(C192))),""))</f>
        <v/>
      </c>
      <c r="K192" t="str" cm="1">
        <f t="array" aca="1" ref="K192" ca="1">IF(ROW(D192)-K$15 &lt; K$14,D192,IF(ROW(D192) - K$15 -K$16 + 1 &lt; K$14,INDIRECT(ADDRESS(MOD(ROW(D192) - K$15, K$14) + K$15, COLUMN(D192))),""))</f>
        <v/>
      </c>
      <c r="L192" t="str" cm="1">
        <f t="array" aca="1" ref="L192" ca="1">IF(ROW(E192)-L$15 &lt; L$14,E192,IF(ROW(E192) - L$15 -L$16 + 1 &lt; L$14,INDIRECT(ADDRESS(MOD(ROW(E192) - L$15, L$14) + L$15, COLUMN(E192))),""))</f>
        <v/>
      </c>
      <c r="N192" t="str" cm="1">
        <f t="array" aca="1" ref="N192" ca="1">IF(A192&lt;&gt;"", SUMPRODUCT((OFFSET(A192,0,0,H$16,1)=$T$24) +0),"")</f>
        <v/>
      </c>
      <c r="O192" t="str" cm="1">
        <f t="array" aca="1" ref="O192" ca="1">IF(B192&lt;&gt;"", SUMPRODUCT((OFFSET(B192,0,0,I$16,1)=$T$24) +0),"")</f>
        <v/>
      </c>
      <c r="P192" t="str" cm="1">
        <f t="array" aca="1" ref="P192" ca="1">IF(C192&lt;&gt;"", SUMPRODUCT((OFFSET(C192,0,0,J$16,1)=$T$24) +0),"")</f>
        <v/>
      </c>
      <c r="Q192" t="str" cm="1">
        <f t="array" aca="1" ref="Q192" ca="1">IF(D192&lt;&gt;"", SUMPRODUCT((OFFSET(D192,0,0,K$16,1)=$T$24) +0),"")</f>
        <v/>
      </c>
      <c r="R192" t="str" cm="1">
        <f t="array" aca="1" ref="R192" ca="1">IF(E192&lt;&gt;"", SUMPRODUCT((OFFSET(E192,0,0,L$16,1)=$T$24) +0),"")</f>
        <v/>
      </c>
      <c r="AB192">
        <f t="shared" si="37"/>
        <v>0</v>
      </c>
      <c r="AC192">
        <f t="shared" si="38"/>
        <v>3</v>
      </c>
      <c r="AD192">
        <f t="shared" si="39"/>
        <v>0</v>
      </c>
      <c r="AE192">
        <f t="shared" si="40"/>
        <v>2</v>
      </c>
      <c r="AF192">
        <f t="shared" si="41"/>
        <v>0</v>
      </c>
      <c r="AG192">
        <f t="shared" si="42"/>
        <v>5</v>
      </c>
      <c r="AH192">
        <f t="shared" ca="1" si="44"/>
        <v>1.4130426783046431E-3</v>
      </c>
      <c r="AI192">
        <f>IF(ROW($AA192) - $AA$51 &lt; ($H$16+1)^5, IF(AG192 &gt;= FreeSpinsBonus!$C$16, AG192*FreeSpinsBonus!$E$31, 0), "")</f>
        <v>7.2865053920139902</v>
      </c>
      <c r="AJ192">
        <f t="shared" ca="1" si="43"/>
        <v>1.0296143094612673E-2</v>
      </c>
      <c r="AK192" s="44"/>
    </row>
    <row r="193" spans="8:37" x14ac:dyDescent="0.3">
      <c r="H193" t="str" cm="1">
        <f t="array" aca="1" ref="H193" ca="1">IF(ROW(A193)-H$15 &lt; H$14,A193,IF(ROW(A193) - H$15 -H$16 + 1 &lt; H$14,INDIRECT(ADDRESS(MOD(ROW(A193) - H$15, H$14) + H$15, COLUMN(A193))),""))</f>
        <v/>
      </c>
      <c r="I193" t="str" cm="1">
        <f t="array" aca="1" ref="I193" ca="1">IF(ROW(B193)-I$15 &lt; I$14,B193,IF(ROW(B193) - I$15 -I$16 + 1 &lt; I$14,INDIRECT(ADDRESS(MOD(ROW(B193) - I$15, I$14) + I$15, COLUMN(B193))),""))</f>
        <v/>
      </c>
      <c r="J193" t="str" cm="1">
        <f t="array" aca="1" ref="J193" ca="1">IF(ROW(C193)-J$15 &lt; J$14,C193,IF(ROW(C193) - J$15 -J$16 + 1 &lt; J$14,INDIRECT(ADDRESS(MOD(ROW(C193) - J$15, J$14) + J$15, COLUMN(C193))),""))</f>
        <v/>
      </c>
      <c r="K193" t="str" cm="1">
        <f t="array" aca="1" ref="K193" ca="1">IF(ROW(D193)-K$15 &lt; K$14,D193,IF(ROW(D193) - K$15 -K$16 + 1 &lt; K$14,INDIRECT(ADDRESS(MOD(ROW(D193) - K$15, K$14) + K$15, COLUMN(D193))),""))</f>
        <v/>
      </c>
      <c r="L193" t="str" cm="1">
        <f t="array" aca="1" ref="L193" ca="1">IF(ROW(E193)-L$15 &lt; L$14,E193,IF(ROW(E193) - L$15 -L$16 + 1 &lt; L$14,INDIRECT(ADDRESS(MOD(ROW(E193) - L$15, L$14) + L$15, COLUMN(E193))),""))</f>
        <v/>
      </c>
      <c r="N193" t="str" cm="1">
        <f t="array" aca="1" ref="N193" ca="1">IF(A193&lt;&gt;"", SUMPRODUCT((OFFSET(A193,0,0,H$16,1)=$T$24) +0),"")</f>
        <v/>
      </c>
      <c r="O193" t="str" cm="1">
        <f t="array" aca="1" ref="O193" ca="1">IF(B193&lt;&gt;"", SUMPRODUCT((OFFSET(B193,0,0,I$16,1)=$T$24) +0),"")</f>
        <v/>
      </c>
      <c r="P193" t="str" cm="1">
        <f t="array" aca="1" ref="P193" ca="1">IF(C193&lt;&gt;"", SUMPRODUCT((OFFSET(C193,0,0,J$16,1)=$T$24) +0),"")</f>
        <v/>
      </c>
      <c r="Q193" t="str" cm="1">
        <f t="array" aca="1" ref="Q193" ca="1">IF(D193&lt;&gt;"", SUMPRODUCT((OFFSET(D193,0,0,K$16,1)=$T$24) +0),"")</f>
        <v/>
      </c>
      <c r="R193" t="str" cm="1">
        <f t="array" aca="1" ref="R193" ca="1">IF(E193&lt;&gt;"", SUMPRODUCT((OFFSET(E193,0,0,L$16,1)=$T$24) +0),"")</f>
        <v/>
      </c>
      <c r="AB193">
        <f t="shared" si="37"/>
        <v>1</v>
      </c>
      <c r="AC193">
        <f t="shared" si="38"/>
        <v>3</v>
      </c>
      <c r="AD193">
        <f t="shared" si="39"/>
        <v>0</v>
      </c>
      <c r="AE193">
        <f t="shared" si="40"/>
        <v>2</v>
      </c>
      <c r="AF193">
        <f t="shared" si="41"/>
        <v>0</v>
      </c>
      <c r="AG193">
        <f t="shared" si="42"/>
        <v>6</v>
      </c>
      <c r="AH193">
        <f t="shared" ca="1" si="44"/>
        <v>1.4915450493215674E-3</v>
      </c>
      <c r="AI193">
        <f>IF(ROW($AA193) - $AA$51 &lt; ($H$16+1)^5, IF(AG193 &gt;= FreeSpinsBonus!$C$16, AG193*FreeSpinsBonus!$E$31, 0), "")</f>
        <v>8.7438064704167875</v>
      </c>
      <c r="AJ193">
        <f t="shared" ca="1" si="43"/>
        <v>1.3041781253176047E-2</v>
      </c>
      <c r="AK193" s="44"/>
    </row>
    <row r="194" spans="8:37" x14ac:dyDescent="0.3">
      <c r="H194" t="str" cm="1">
        <f t="array" aca="1" ref="H194" ca="1">IF(ROW(A194)-H$15 &lt; H$14,A194,IF(ROW(A194) - H$15 -H$16 + 1 &lt; H$14,INDIRECT(ADDRESS(MOD(ROW(A194) - H$15, H$14) + H$15, COLUMN(A194))),""))</f>
        <v/>
      </c>
      <c r="I194" t="str" cm="1">
        <f t="array" aca="1" ref="I194" ca="1">IF(ROW(B194)-I$15 &lt; I$14,B194,IF(ROW(B194) - I$15 -I$16 + 1 &lt; I$14,INDIRECT(ADDRESS(MOD(ROW(B194) - I$15, I$14) + I$15, COLUMN(B194))),""))</f>
        <v/>
      </c>
      <c r="J194" t="str" cm="1">
        <f t="array" aca="1" ref="J194" ca="1">IF(ROW(C194)-J$15 &lt; J$14,C194,IF(ROW(C194) - J$15 -J$16 + 1 &lt; J$14,INDIRECT(ADDRESS(MOD(ROW(C194) - J$15, J$14) + J$15, COLUMN(C194))),""))</f>
        <v/>
      </c>
      <c r="K194" t="str" cm="1">
        <f t="array" aca="1" ref="K194" ca="1">IF(ROW(D194)-K$15 &lt; K$14,D194,IF(ROW(D194) - K$15 -K$16 + 1 &lt; K$14,INDIRECT(ADDRESS(MOD(ROW(D194) - K$15, K$14) + K$15, COLUMN(D194))),""))</f>
        <v/>
      </c>
      <c r="L194" t="str" cm="1">
        <f t="array" aca="1" ref="L194" ca="1">IF(ROW(E194)-L$15 &lt; L$14,E194,IF(ROW(E194) - L$15 -L$16 + 1 &lt; L$14,INDIRECT(ADDRESS(MOD(ROW(E194) - L$15, L$14) + L$15, COLUMN(E194))),""))</f>
        <v/>
      </c>
      <c r="N194" t="str" cm="1">
        <f t="array" aca="1" ref="N194" ca="1">IF(A194&lt;&gt;"", SUMPRODUCT((OFFSET(A194,0,0,H$16,1)=$T$24) +0),"")</f>
        <v/>
      </c>
      <c r="O194" t="str" cm="1">
        <f t="array" aca="1" ref="O194" ca="1">IF(B194&lt;&gt;"", SUMPRODUCT((OFFSET(B194,0,0,I$16,1)=$T$24) +0),"")</f>
        <v/>
      </c>
      <c r="P194" t="str" cm="1">
        <f t="array" aca="1" ref="P194" ca="1">IF(C194&lt;&gt;"", SUMPRODUCT((OFFSET(C194,0,0,J$16,1)=$T$24) +0),"")</f>
        <v/>
      </c>
      <c r="Q194" t="str" cm="1">
        <f t="array" aca="1" ref="Q194" ca="1">IF(D194&lt;&gt;"", SUMPRODUCT((OFFSET(D194,0,0,K$16,1)=$T$24) +0),"")</f>
        <v/>
      </c>
      <c r="R194" t="str" cm="1">
        <f t="array" aca="1" ref="R194" ca="1">IF(E194&lt;&gt;"", SUMPRODUCT((OFFSET(E194,0,0,L$16,1)=$T$24) +0),"")</f>
        <v/>
      </c>
      <c r="AB194">
        <f t="shared" si="37"/>
        <v>2</v>
      </c>
      <c r="AC194">
        <f t="shared" si="38"/>
        <v>3</v>
      </c>
      <c r="AD194">
        <f t="shared" si="39"/>
        <v>0</v>
      </c>
      <c r="AE194">
        <f t="shared" si="40"/>
        <v>2</v>
      </c>
      <c r="AF194">
        <f t="shared" si="41"/>
        <v>0</v>
      </c>
      <c r="AG194">
        <f t="shared" si="42"/>
        <v>7</v>
      </c>
      <c r="AH194">
        <f t="shared" ca="1" si="44"/>
        <v>7.8502371016924615E-4</v>
      </c>
      <c r="AI194">
        <f>IF(ROW($AA194) - $AA$51 &lt; ($H$16+1)^5, IF(AG194 &gt;= FreeSpinsBonus!$C$16, AG194*FreeSpinsBonus!$E$31, 0), "")</f>
        <v>10.201107548819586</v>
      </c>
      <c r="AJ194">
        <f t="shared" ca="1" si="43"/>
        <v>8.0081112958098558E-3</v>
      </c>
      <c r="AK194" s="44"/>
    </row>
    <row r="195" spans="8:37" x14ac:dyDescent="0.3">
      <c r="H195" t="str" cm="1">
        <f t="array" aca="1" ref="H195" ca="1">IF(ROW(A195)-H$15 &lt; H$14,A195,IF(ROW(A195) - H$15 -H$16 + 1 &lt; H$14,INDIRECT(ADDRESS(MOD(ROW(A195) - H$15, H$14) + H$15, COLUMN(A195))),""))</f>
        <v/>
      </c>
      <c r="I195" t="str" cm="1">
        <f t="array" aca="1" ref="I195" ca="1">IF(ROW(B195)-I$15 &lt; I$14,B195,IF(ROW(B195) - I$15 -I$16 + 1 &lt; I$14,INDIRECT(ADDRESS(MOD(ROW(B195) - I$15, I$14) + I$15, COLUMN(B195))),""))</f>
        <v/>
      </c>
      <c r="J195" t="str" cm="1">
        <f t="array" aca="1" ref="J195" ca="1">IF(ROW(C195)-J$15 &lt; J$14,C195,IF(ROW(C195) - J$15 -J$16 + 1 &lt; J$14,INDIRECT(ADDRESS(MOD(ROW(C195) - J$15, J$14) + J$15, COLUMN(C195))),""))</f>
        <v/>
      </c>
      <c r="K195" t="str" cm="1">
        <f t="array" aca="1" ref="K195" ca="1">IF(ROW(D195)-K$15 &lt; K$14,D195,IF(ROW(D195) - K$15 -K$16 + 1 &lt; K$14,INDIRECT(ADDRESS(MOD(ROW(D195) - K$15, K$14) + K$15, COLUMN(D195))),""))</f>
        <v/>
      </c>
      <c r="L195" t="str" cm="1">
        <f t="array" aca="1" ref="L195" ca="1">IF(ROW(E195)-L$15 &lt; L$14,E195,IF(ROW(E195) - L$15 -L$16 + 1 &lt; L$14,INDIRECT(ADDRESS(MOD(ROW(E195) - L$15, L$14) + L$15, COLUMN(E195))),""))</f>
        <v/>
      </c>
      <c r="N195" t="str" cm="1">
        <f t="array" aca="1" ref="N195" ca="1">IF(A195&lt;&gt;"", SUMPRODUCT((OFFSET(A195,0,0,H$16,1)=$T$24) +0),"")</f>
        <v/>
      </c>
      <c r="O195" t="str" cm="1">
        <f t="array" aca="1" ref="O195" ca="1">IF(B195&lt;&gt;"", SUMPRODUCT((OFFSET(B195,0,0,I$16,1)=$T$24) +0),"")</f>
        <v/>
      </c>
      <c r="P195" t="str" cm="1">
        <f t="array" aca="1" ref="P195" ca="1">IF(C195&lt;&gt;"", SUMPRODUCT((OFFSET(C195,0,0,J$16,1)=$T$24) +0),"")</f>
        <v/>
      </c>
      <c r="Q195" t="str" cm="1">
        <f t="array" aca="1" ref="Q195" ca="1">IF(D195&lt;&gt;"", SUMPRODUCT((OFFSET(D195,0,0,K$16,1)=$T$24) +0),"")</f>
        <v/>
      </c>
      <c r="R195" t="str" cm="1">
        <f t="array" aca="1" ref="R195" ca="1">IF(E195&lt;&gt;"", SUMPRODUCT((OFFSET(E195,0,0,L$16,1)=$T$24) +0),"")</f>
        <v/>
      </c>
      <c r="AB195">
        <f t="shared" si="37"/>
        <v>3</v>
      </c>
      <c r="AC195">
        <f t="shared" si="38"/>
        <v>3</v>
      </c>
      <c r="AD195">
        <f t="shared" si="39"/>
        <v>0</v>
      </c>
      <c r="AE195">
        <f t="shared" si="40"/>
        <v>2</v>
      </c>
      <c r="AF195">
        <f t="shared" si="41"/>
        <v>0</v>
      </c>
      <c r="AG195">
        <f t="shared" si="42"/>
        <v>8</v>
      </c>
      <c r="AH195">
        <f t="shared" ca="1" si="44"/>
        <v>0</v>
      </c>
      <c r="AI195">
        <f>IF(ROW($AA195) - $AA$51 &lt; ($H$16+1)^5, IF(AG195 &gt;= FreeSpinsBonus!$C$16, AG195*FreeSpinsBonus!$E$31, 0), "")</f>
        <v>11.658408627222384</v>
      </c>
      <c r="AJ195">
        <f t="shared" ca="1" si="43"/>
        <v>0</v>
      </c>
      <c r="AK195" s="44"/>
    </row>
    <row r="196" spans="8:37" x14ac:dyDescent="0.3">
      <c r="H196" t="str" cm="1">
        <f t="array" aca="1" ref="H196" ca="1">IF(ROW(A196)-H$15 &lt; H$14,A196,IF(ROW(A196) - H$15 -H$16 + 1 &lt; H$14,INDIRECT(ADDRESS(MOD(ROW(A196) - H$15, H$14) + H$15, COLUMN(A196))),""))</f>
        <v/>
      </c>
      <c r="I196" t="str" cm="1">
        <f t="array" aca="1" ref="I196" ca="1">IF(ROW(B196)-I$15 &lt; I$14,B196,IF(ROW(B196) - I$15 -I$16 + 1 &lt; I$14,INDIRECT(ADDRESS(MOD(ROW(B196) - I$15, I$14) + I$15, COLUMN(B196))),""))</f>
        <v/>
      </c>
      <c r="J196" t="str" cm="1">
        <f t="array" aca="1" ref="J196" ca="1">IF(ROW(C196)-J$15 &lt; J$14,C196,IF(ROW(C196) - J$15 -J$16 + 1 &lt; J$14,INDIRECT(ADDRESS(MOD(ROW(C196) - J$15, J$14) + J$15, COLUMN(C196))),""))</f>
        <v/>
      </c>
      <c r="L196" t="str" cm="1">
        <f t="array" aca="1" ref="L196" ca="1">IF(ROW(E196)-L$15 &lt; L$14,E196,IF(ROW(E196) - L$15 -L$16 + 1 &lt; L$14,INDIRECT(ADDRESS(MOD(ROW(E196) - L$15, L$14) + L$15, COLUMN(E196))),""))</f>
        <v/>
      </c>
      <c r="N196" t="str" cm="1">
        <f t="array" aca="1" ref="N196" ca="1">IF(A196&lt;&gt;"", SUMPRODUCT((OFFSET(A196,0,0,H$16,1)=$T$24) +0),"")</f>
        <v/>
      </c>
      <c r="O196" t="str" cm="1">
        <f t="array" aca="1" ref="O196" ca="1">IF(B196&lt;&gt;"", SUMPRODUCT((OFFSET(B196,0,0,I$16,1)=$T$24) +0),"")</f>
        <v/>
      </c>
      <c r="P196" t="str" cm="1">
        <f t="array" aca="1" ref="P196" ca="1">IF(C196&lt;&gt;"", SUMPRODUCT((OFFSET(C196,0,0,J$16,1)=$T$24) +0),"")</f>
        <v/>
      </c>
      <c r="Q196" t="str" cm="1">
        <f t="array" aca="1" ref="Q196" ca="1">IF(D196&lt;&gt;"", SUMPRODUCT((OFFSET(D196,0,0,K$16,1)=$T$24) +0),"")</f>
        <v/>
      </c>
      <c r="R196" t="str" cm="1">
        <f t="array" aca="1" ref="R196" ca="1">IF(E196&lt;&gt;"", SUMPRODUCT((OFFSET(E196,0,0,L$16,1)=$T$24) +0),"")</f>
        <v/>
      </c>
      <c r="AB196">
        <f t="shared" si="37"/>
        <v>0</v>
      </c>
      <c r="AC196">
        <f t="shared" si="38"/>
        <v>0</v>
      </c>
      <c r="AD196">
        <f t="shared" si="39"/>
        <v>1</v>
      </c>
      <c r="AE196">
        <f t="shared" si="40"/>
        <v>2</v>
      </c>
      <c r="AF196">
        <f t="shared" si="41"/>
        <v>0</v>
      </c>
      <c r="AG196">
        <f t="shared" si="42"/>
        <v>3</v>
      </c>
      <c r="AH196">
        <f t="shared" ca="1" si="44"/>
        <v>5.0045261523289442E-3</v>
      </c>
      <c r="AI196">
        <f>IF(ROW($AA196) - $AA$51 &lt; ($H$16+1)^5, IF(AG196 &gt;= FreeSpinsBonus!$C$16, AG196*FreeSpinsBonus!$E$31, 0), "")</f>
        <v>0</v>
      </c>
      <c r="AJ196">
        <f t="shared" ca="1" si="43"/>
        <v>0</v>
      </c>
      <c r="AK196" s="44"/>
    </row>
    <row r="197" spans="8:37" x14ac:dyDescent="0.3">
      <c r="H197" t="str" cm="1">
        <f t="array" aca="1" ref="H197" ca="1">IF(ROW(A197)-H$15 &lt; H$14,A197,IF(ROW(A197) - H$15 -H$16 + 1 &lt; H$14,INDIRECT(ADDRESS(MOD(ROW(A197) - H$15, H$14) + H$15, COLUMN(A197))),""))</f>
        <v/>
      </c>
      <c r="I197" t="str" cm="1">
        <f t="array" aca="1" ref="I197" ca="1">IF(ROW(B197)-I$15 &lt; I$14,B197,IF(ROW(B197) - I$15 -I$16 + 1 &lt; I$14,INDIRECT(ADDRESS(MOD(ROW(B197) - I$15, I$14) + I$15, COLUMN(B197))),""))</f>
        <v/>
      </c>
      <c r="J197" t="str" cm="1">
        <f t="array" aca="1" ref="J197" ca="1">IF(ROW(C197)-J$15 &lt; J$14,C197,IF(ROW(C197) - J$15 -J$16 + 1 &lt; J$14,INDIRECT(ADDRESS(MOD(ROW(C197) - J$15, J$14) + J$15, COLUMN(C197))),""))</f>
        <v/>
      </c>
      <c r="L197" t="str" cm="1">
        <f t="array" aca="1" ref="L197" ca="1">IF(ROW(E197)-L$15 &lt; L$14,E197,IF(ROW(E197) - L$15 -L$16 + 1 &lt; L$14,INDIRECT(ADDRESS(MOD(ROW(E197) - L$15, L$14) + L$15, COLUMN(E197))),""))</f>
        <v/>
      </c>
      <c r="N197" t="str" cm="1">
        <f t="array" aca="1" ref="N197" ca="1">IF(A197&lt;&gt;"", SUMPRODUCT((OFFSET(A197,0,0,H$16,1)=$T$24) +0),"")</f>
        <v/>
      </c>
      <c r="O197" t="str" cm="1">
        <f t="array" aca="1" ref="O197" ca="1">IF(B197&lt;&gt;"", SUMPRODUCT((OFFSET(B197,0,0,I$16,1)=$T$24) +0),"")</f>
        <v/>
      </c>
      <c r="P197" t="str" cm="1">
        <f t="array" aca="1" ref="P197" ca="1">IF(C197&lt;&gt;"", SUMPRODUCT((OFFSET(C197,0,0,J$16,1)=$T$24) +0),"")</f>
        <v/>
      </c>
      <c r="Q197" t="str" cm="1">
        <f t="array" aca="1" ref="Q197" ca="1">IF(D197&lt;&gt;"", SUMPRODUCT((OFFSET(D197,0,0,K$16,1)=$T$24) +0),"")</f>
        <v/>
      </c>
      <c r="R197" t="str" cm="1">
        <f t="array" aca="1" ref="R197" ca="1">IF(E197&lt;&gt;"", SUMPRODUCT((OFFSET(E197,0,0,L$16,1)=$T$24) +0),"")</f>
        <v/>
      </c>
      <c r="AB197">
        <f t="shared" si="37"/>
        <v>1</v>
      </c>
      <c r="AC197">
        <f t="shared" si="38"/>
        <v>0</v>
      </c>
      <c r="AD197">
        <f t="shared" si="39"/>
        <v>1</v>
      </c>
      <c r="AE197">
        <f t="shared" si="40"/>
        <v>2</v>
      </c>
      <c r="AF197">
        <f t="shared" si="41"/>
        <v>0</v>
      </c>
      <c r="AG197">
        <f t="shared" si="42"/>
        <v>4</v>
      </c>
      <c r="AH197">
        <f t="shared" ca="1" si="44"/>
        <v>5.2825553830138858E-3</v>
      </c>
      <c r="AI197">
        <f>IF(ROW($AA197) - $AA$51 &lt; ($H$16+1)^5, IF(AG197 &gt;= FreeSpinsBonus!$C$16, AG197*FreeSpinsBonus!$E$31, 0), "")</f>
        <v>0</v>
      </c>
      <c r="AJ197">
        <f t="shared" ca="1" si="43"/>
        <v>0</v>
      </c>
      <c r="AK197" s="44"/>
    </row>
    <row r="198" spans="8:37" x14ac:dyDescent="0.3">
      <c r="H198" t="str" cm="1">
        <f t="array" aca="1" ref="H198" ca="1">IF(ROW(A198)-H$15 &lt; H$14,A198,IF(ROW(A198) - H$15 -H$16 + 1 &lt; H$14,INDIRECT(ADDRESS(MOD(ROW(A198) - H$15, H$14) + H$15, COLUMN(A198))),""))</f>
        <v/>
      </c>
      <c r="I198" t="str" cm="1">
        <f t="array" aca="1" ref="I198" ca="1">IF(ROW(B198)-I$15 &lt; I$14,B198,IF(ROW(B198) - I$15 -I$16 + 1 &lt; I$14,INDIRECT(ADDRESS(MOD(ROW(B198) - I$15, I$14) + I$15, COLUMN(B198))),""))</f>
        <v/>
      </c>
      <c r="J198" t="str" cm="1">
        <f t="array" aca="1" ref="J198" ca="1">IF(ROW(C198)-J$15 &lt; J$14,C198,IF(ROW(C198) - J$15 -J$16 + 1 &lt; J$14,INDIRECT(ADDRESS(MOD(ROW(C198) - J$15, J$14) + J$15, COLUMN(C198))),""))</f>
        <v/>
      </c>
      <c r="N198" t="str" cm="1">
        <f t="array" aca="1" ref="N198" ca="1">IF(A198&lt;&gt;"", SUMPRODUCT((OFFSET(A198,0,0,H$16,1)=$T$24) +0),"")</f>
        <v/>
      </c>
      <c r="O198" t="str" cm="1">
        <f t="array" aca="1" ref="O198" ca="1">IF(B198&lt;&gt;"", SUMPRODUCT((OFFSET(B198,0,0,I$16,1)=$T$24) +0),"")</f>
        <v/>
      </c>
      <c r="P198" t="str" cm="1">
        <f t="array" aca="1" ref="P198" ca="1">IF(C198&lt;&gt;"", SUMPRODUCT((OFFSET(C198,0,0,J$16,1)=$T$24) +0),"")</f>
        <v/>
      </c>
      <c r="Q198" t="str" cm="1">
        <f t="array" aca="1" ref="Q198" ca="1">IF(D198&lt;&gt;"", SUMPRODUCT((OFFSET(D198,0,0,K$16,1)=$T$24) +0),"")</f>
        <v/>
      </c>
      <c r="R198" t="str" cm="1">
        <f t="array" aca="1" ref="R198" ca="1">IF(E198&lt;&gt;"", SUMPRODUCT((OFFSET(E198,0,0,L$16,1)=$T$24) +0),"")</f>
        <v/>
      </c>
      <c r="AB198">
        <f t="shared" si="37"/>
        <v>2</v>
      </c>
      <c r="AC198">
        <f t="shared" si="38"/>
        <v>0</v>
      </c>
      <c r="AD198">
        <f t="shared" si="39"/>
        <v>1</v>
      </c>
      <c r="AE198">
        <f t="shared" si="40"/>
        <v>2</v>
      </c>
      <c r="AF198">
        <f t="shared" si="41"/>
        <v>0</v>
      </c>
      <c r="AG198">
        <f t="shared" si="42"/>
        <v>5</v>
      </c>
      <c r="AH198">
        <f t="shared" ca="1" si="44"/>
        <v>2.7802923068494132E-3</v>
      </c>
      <c r="AI198">
        <f>IF(ROW($AA198) - $AA$51 &lt; ($H$16+1)^5, IF(AG198 &gt;= FreeSpinsBonus!$C$16, AG198*FreeSpinsBonus!$E$31, 0), "")</f>
        <v>7.2865053920139902</v>
      </c>
      <c r="AJ198">
        <f t="shared" ca="1" si="43"/>
        <v>2.0258614885233266E-2</v>
      </c>
      <c r="AK198" s="44"/>
    </row>
    <row r="199" spans="8:37" x14ac:dyDescent="0.3">
      <c r="H199" t="str" cm="1">
        <f t="array" aca="1" ref="H199" ca="1">IF(ROW(A199)-H$15 &lt; H$14,A199,IF(ROW(A199) - H$15 -H$16 + 1 &lt; H$14,INDIRECT(ADDRESS(MOD(ROW(A199) - H$15, H$14) + H$15, COLUMN(A199))),""))</f>
        <v/>
      </c>
      <c r="I199" t="str" cm="1">
        <f t="array" aca="1" ref="I199" ca="1">IF(ROW(B199)-I$15 &lt; I$14,B199,IF(ROW(B199) - I$15 -I$16 + 1 &lt; I$14,INDIRECT(ADDRESS(MOD(ROW(B199) - I$15, I$14) + I$15, COLUMN(B199))),""))</f>
        <v/>
      </c>
      <c r="J199" t="str" cm="1">
        <f t="array" aca="1" ref="J199" ca="1">IF(ROW(C199)-J$15 &lt; J$14,C199,IF(ROW(C199) - J$15 -J$16 + 1 &lt; J$14,INDIRECT(ADDRESS(MOD(ROW(C199) - J$15, J$14) + J$15, COLUMN(C199))),""))</f>
        <v/>
      </c>
      <c r="N199" t="str" cm="1">
        <f t="array" aca="1" ref="N199" ca="1">IF(A199&lt;&gt;"", SUMPRODUCT((OFFSET(A199,0,0,H$16,1)=$T$24) +0),"")</f>
        <v/>
      </c>
      <c r="O199" t="str" cm="1">
        <f t="array" aca="1" ref="O199" ca="1">IF(B199&lt;&gt;"", SUMPRODUCT((OFFSET(B199,0,0,I$16,1)=$T$24) +0),"")</f>
        <v/>
      </c>
      <c r="P199" t="str" cm="1">
        <f t="array" aca="1" ref="P199" ca="1">IF(C199&lt;&gt;"", SUMPRODUCT((OFFSET(C199,0,0,J$16,1)=$T$24) +0),"")</f>
        <v/>
      </c>
      <c r="Q199" t="str" cm="1">
        <f t="array" aca="1" ref="Q199" ca="1">IF(D199&lt;&gt;"", SUMPRODUCT((OFFSET(D199,0,0,K$16,1)=$T$24) +0),"")</f>
        <v/>
      </c>
      <c r="R199" t="str" cm="1">
        <f t="array" aca="1" ref="R199" ca="1">IF(E199&lt;&gt;"", SUMPRODUCT((OFFSET(E199,0,0,L$16,1)=$T$24) +0),"")</f>
        <v/>
      </c>
      <c r="AB199">
        <f t="shared" si="37"/>
        <v>3</v>
      </c>
      <c r="AC199">
        <f t="shared" si="38"/>
        <v>0</v>
      </c>
      <c r="AD199">
        <f t="shared" si="39"/>
        <v>1</v>
      </c>
      <c r="AE199">
        <f t="shared" si="40"/>
        <v>2</v>
      </c>
      <c r="AF199">
        <f t="shared" si="41"/>
        <v>0</v>
      </c>
      <c r="AG199">
        <f t="shared" si="42"/>
        <v>6</v>
      </c>
      <c r="AH199">
        <f t="shared" ca="1" si="44"/>
        <v>0</v>
      </c>
      <c r="AI199">
        <f>IF(ROW($AA199) - $AA$51 &lt; ($H$16+1)^5, IF(AG199 &gt;= FreeSpinsBonus!$C$16, AG199*FreeSpinsBonus!$E$31, 0), "")</f>
        <v>8.7438064704167875</v>
      </c>
      <c r="AJ199">
        <f t="shared" ca="1" si="43"/>
        <v>0</v>
      </c>
      <c r="AK199" s="44"/>
    </row>
    <row r="200" spans="8:37" x14ac:dyDescent="0.3">
      <c r="H200" t="str" cm="1">
        <f t="array" aca="1" ref="H200" ca="1">IF(ROW(A200)-H$15 &lt; H$14,A200,IF(ROW(A200) - H$15 -H$16 + 1 &lt; H$14,INDIRECT(ADDRESS(MOD(ROW(A200) - H$15, H$14) + H$15, COLUMN(A200))),""))</f>
        <v/>
      </c>
      <c r="I200" t="str" cm="1">
        <f t="array" aca="1" ref="I200" ca="1">IF(ROW(B200)-I$15 &lt; I$14,B200,IF(ROW(B200) - I$15 -I$16 + 1 &lt; I$14,INDIRECT(ADDRESS(MOD(ROW(B200) - I$15, I$14) + I$15, COLUMN(B200))),""))</f>
        <v/>
      </c>
      <c r="J200" t="str" cm="1">
        <f t="array" aca="1" ref="J200" ca="1">IF(ROW(C200)-J$15 &lt; J$14,C200,IF(ROW(C200) - J$15 -J$16 + 1 &lt; J$14,INDIRECT(ADDRESS(MOD(ROW(C200) - J$15, J$14) + J$15, COLUMN(C200))),""))</f>
        <v/>
      </c>
      <c r="N200" t="str" cm="1">
        <f t="array" aca="1" ref="N200" ca="1">IF(A200&lt;&gt;"", SUMPRODUCT((OFFSET(A200,0,0,H$16,1)=$T$24) +0),"")</f>
        <v/>
      </c>
      <c r="O200" t="str" cm="1">
        <f t="array" aca="1" ref="O200" ca="1">IF(B200&lt;&gt;"", SUMPRODUCT((OFFSET(B200,0,0,I$16,1)=$T$24) +0),"")</f>
        <v/>
      </c>
      <c r="P200" t="str" cm="1">
        <f t="array" aca="1" ref="P200" ca="1">IF(C200&lt;&gt;"", SUMPRODUCT((OFFSET(C200,0,0,J$16,1)=$T$24) +0),"")</f>
        <v/>
      </c>
      <c r="Q200" t="str" cm="1">
        <f t="array" aca="1" ref="Q200" ca="1">IF(D200&lt;&gt;"", SUMPRODUCT((OFFSET(D200,0,0,K$16,1)=$T$24) +0),"")</f>
        <v/>
      </c>
      <c r="R200" t="str" cm="1">
        <f t="array" aca="1" ref="R200" ca="1">IF(E200&lt;&gt;"", SUMPRODUCT((OFFSET(E200,0,0,L$16,1)=$T$24) +0),"")</f>
        <v/>
      </c>
      <c r="AB200">
        <f t="shared" si="37"/>
        <v>0</v>
      </c>
      <c r="AC200">
        <f t="shared" si="38"/>
        <v>1</v>
      </c>
      <c r="AD200">
        <f t="shared" si="39"/>
        <v>1</v>
      </c>
      <c r="AE200">
        <f t="shared" si="40"/>
        <v>2</v>
      </c>
      <c r="AF200">
        <f t="shared" si="41"/>
        <v>0</v>
      </c>
      <c r="AG200">
        <f t="shared" si="42"/>
        <v>4</v>
      </c>
      <c r="AH200">
        <f t="shared" ca="1" si="44"/>
        <v>5.0045261523289442E-3</v>
      </c>
      <c r="AI200">
        <f>IF(ROW($AA200) - $AA$51 &lt; ($H$16+1)^5, IF(AG200 &gt;= FreeSpinsBonus!$C$16, AG200*FreeSpinsBonus!$E$31, 0), "")</f>
        <v>0</v>
      </c>
      <c r="AJ200">
        <f t="shared" ca="1" si="43"/>
        <v>0</v>
      </c>
      <c r="AK200" s="44"/>
    </row>
    <row r="201" spans="8:37" x14ac:dyDescent="0.3">
      <c r="H201" t="str" cm="1">
        <f t="array" aca="1" ref="H201" ca="1">IF(ROW(A201)-H$15 &lt; H$14,A201,IF(ROW(A201) - H$15 -H$16 + 1 &lt; H$14,INDIRECT(ADDRESS(MOD(ROW(A201) - H$15, H$14) + H$15, COLUMN(A201))),""))</f>
        <v/>
      </c>
      <c r="I201" t="str" cm="1">
        <f t="array" aca="1" ref="I201" ca="1">IF(ROW(B201)-I$15 &lt; I$14,B201,IF(ROW(B201) - I$15 -I$16 + 1 &lt; I$14,INDIRECT(ADDRESS(MOD(ROW(B201) - I$15, I$14) + I$15, COLUMN(B201))),""))</f>
        <v/>
      </c>
      <c r="J201" t="str" cm="1">
        <f t="array" aca="1" ref="J201" ca="1">IF(ROW(C201)-J$15 &lt; J$14,C201,IF(ROW(C201) - J$15 -J$16 + 1 &lt; J$14,INDIRECT(ADDRESS(MOD(ROW(C201) - J$15, J$14) + J$15, COLUMN(C201))),""))</f>
        <v/>
      </c>
      <c r="N201" t="str" cm="1">
        <f t="array" aca="1" ref="N201" ca="1">IF(A201&lt;&gt;"", SUMPRODUCT((OFFSET(A201,0,0,H$16,1)=$T$24) +0),"")</f>
        <v/>
      </c>
      <c r="O201" t="str" cm="1">
        <f t="array" aca="1" ref="O201" ca="1">IF(B201&lt;&gt;"", SUMPRODUCT((OFFSET(B201,0,0,I$16,1)=$T$24) +0),"")</f>
        <v/>
      </c>
      <c r="P201" t="str" cm="1">
        <f t="array" aca="1" ref="P201" ca="1">IF(C201&lt;&gt;"", SUMPRODUCT((OFFSET(C201,0,0,J$16,1)=$T$24) +0),"")</f>
        <v/>
      </c>
      <c r="Q201" t="str" cm="1">
        <f t="array" aca="1" ref="Q201" ca="1">IF(D201&lt;&gt;"", SUMPRODUCT((OFFSET(D201,0,0,K$16,1)=$T$24) +0),"")</f>
        <v/>
      </c>
      <c r="R201" t="str" cm="1">
        <f t="array" aca="1" ref="R201" ca="1">IF(E201&lt;&gt;"", SUMPRODUCT((OFFSET(E201,0,0,L$16,1)=$T$24) +0),"")</f>
        <v/>
      </c>
      <c r="AB201">
        <f t="shared" si="37"/>
        <v>1</v>
      </c>
      <c r="AC201">
        <f t="shared" si="38"/>
        <v>1</v>
      </c>
      <c r="AD201">
        <f t="shared" si="39"/>
        <v>1</v>
      </c>
      <c r="AE201">
        <f t="shared" si="40"/>
        <v>2</v>
      </c>
      <c r="AF201">
        <f t="shared" si="41"/>
        <v>0</v>
      </c>
      <c r="AG201">
        <f t="shared" si="42"/>
        <v>5</v>
      </c>
      <c r="AH201">
        <f t="shared" ca="1" si="44"/>
        <v>5.2825553830138858E-3</v>
      </c>
      <c r="AI201">
        <f>IF(ROW($AA201) - $AA$51 &lt; ($H$16+1)^5, IF(AG201 &gt;= FreeSpinsBonus!$C$16, AG201*FreeSpinsBonus!$E$31, 0), "")</f>
        <v>7.2865053920139902</v>
      </c>
      <c r="AJ201">
        <f t="shared" ca="1" si="43"/>
        <v>3.849136828194321E-2</v>
      </c>
      <c r="AK201" s="44"/>
    </row>
    <row r="202" spans="8:37" x14ac:dyDescent="0.3">
      <c r="AB202">
        <f t="shared" si="37"/>
        <v>2</v>
      </c>
      <c r="AC202">
        <f t="shared" si="38"/>
        <v>1</v>
      </c>
      <c r="AD202">
        <f t="shared" si="39"/>
        <v>1</v>
      </c>
      <c r="AE202">
        <f t="shared" si="40"/>
        <v>2</v>
      </c>
      <c r="AF202">
        <f t="shared" si="41"/>
        <v>0</v>
      </c>
      <c r="AG202">
        <f t="shared" si="42"/>
        <v>6</v>
      </c>
      <c r="AH202">
        <f t="shared" ca="1" si="44"/>
        <v>2.7802923068494132E-3</v>
      </c>
      <c r="AI202">
        <f>IF(ROW($AA202) - $AA$51 &lt; ($H$16+1)^5, IF(AG202 &gt;= FreeSpinsBonus!$C$16, AG202*FreeSpinsBonus!$E$31, 0), "")</f>
        <v>8.7438064704167875</v>
      </c>
      <c r="AJ202">
        <f t="shared" ca="1" si="43"/>
        <v>2.4310337862279915E-2</v>
      </c>
      <c r="AK202" s="44"/>
    </row>
    <row r="203" spans="8:37" x14ac:dyDescent="0.3">
      <c r="AB203">
        <f t="shared" si="37"/>
        <v>3</v>
      </c>
      <c r="AC203">
        <f t="shared" si="38"/>
        <v>1</v>
      </c>
      <c r="AD203">
        <f t="shared" si="39"/>
        <v>1</v>
      </c>
      <c r="AE203">
        <f t="shared" si="40"/>
        <v>2</v>
      </c>
      <c r="AF203">
        <f t="shared" si="41"/>
        <v>0</v>
      </c>
      <c r="AG203">
        <f t="shared" si="42"/>
        <v>7</v>
      </c>
      <c r="AH203">
        <f t="shared" ca="1" si="44"/>
        <v>0</v>
      </c>
      <c r="AI203">
        <f>IF(ROW($AA203) - $AA$51 &lt; ($H$16+1)^5, IF(AG203 &gt;= FreeSpinsBonus!$C$16, AG203*FreeSpinsBonus!$E$31, 0), "")</f>
        <v>10.201107548819586</v>
      </c>
      <c r="AJ203">
        <f t="shared" ca="1" si="43"/>
        <v>0</v>
      </c>
      <c r="AK203" s="44"/>
    </row>
    <row r="204" spans="8:37" x14ac:dyDescent="0.3">
      <c r="AB204">
        <f t="shared" si="37"/>
        <v>0</v>
      </c>
      <c r="AC204">
        <f t="shared" si="38"/>
        <v>2</v>
      </c>
      <c r="AD204">
        <f t="shared" si="39"/>
        <v>1</v>
      </c>
      <c r="AE204">
        <f t="shared" si="40"/>
        <v>2</v>
      </c>
      <c r="AF204">
        <f t="shared" si="41"/>
        <v>0</v>
      </c>
      <c r="AG204">
        <f t="shared" si="42"/>
        <v>5</v>
      </c>
      <c r="AH204">
        <f t="shared" ca="1" si="44"/>
        <v>5.0045261523289442E-3</v>
      </c>
      <c r="AI204">
        <f>IF(ROW($AA204) - $AA$51 &lt; ($H$16+1)^5, IF(AG204 &gt;= FreeSpinsBonus!$C$16, AG204*FreeSpinsBonus!$E$31, 0), "")</f>
        <v>7.2865053920139902</v>
      </c>
      <c r="AJ204">
        <f t="shared" ca="1" si="43"/>
        <v>3.646550679341988E-2</v>
      </c>
      <c r="AK204" s="44"/>
    </row>
    <row r="205" spans="8:37" x14ac:dyDescent="0.3">
      <c r="AB205">
        <f t="shared" si="37"/>
        <v>1</v>
      </c>
      <c r="AC205">
        <f t="shared" si="38"/>
        <v>2</v>
      </c>
      <c r="AD205">
        <f t="shared" si="39"/>
        <v>1</v>
      </c>
      <c r="AE205">
        <f t="shared" si="40"/>
        <v>2</v>
      </c>
      <c r="AF205">
        <f t="shared" si="41"/>
        <v>0</v>
      </c>
      <c r="AG205">
        <f t="shared" si="42"/>
        <v>6</v>
      </c>
      <c r="AH205">
        <f t="shared" ca="1" si="44"/>
        <v>5.2825553830138858E-3</v>
      </c>
      <c r="AI205">
        <f>IF(ROW($AA205) - $AA$51 &lt; ($H$16+1)^5, IF(AG205 &gt;= FreeSpinsBonus!$C$16, AG205*FreeSpinsBonus!$E$31, 0), "")</f>
        <v>8.7438064704167875</v>
      </c>
      <c r="AJ205">
        <f t="shared" ca="1" si="43"/>
        <v>4.6189641938331846E-2</v>
      </c>
      <c r="AK205" s="44"/>
    </row>
    <row r="206" spans="8:37" x14ac:dyDescent="0.3">
      <c r="AB206">
        <f t="shared" si="37"/>
        <v>2</v>
      </c>
      <c r="AC206">
        <f t="shared" si="38"/>
        <v>2</v>
      </c>
      <c r="AD206">
        <f t="shared" si="39"/>
        <v>1</v>
      </c>
      <c r="AE206">
        <f t="shared" si="40"/>
        <v>2</v>
      </c>
      <c r="AF206">
        <f t="shared" si="41"/>
        <v>0</v>
      </c>
      <c r="AG206">
        <f t="shared" si="42"/>
        <v>7</v>
      </c>
      <c r="AH206">
        <f t="shared" ca="1" si="44"/>
        <v>2.7802923068494132E-3</v>
      </c>
      <c r="AI206">
        <f>IF(ROW($AA206) - $AA$51 &lt; ($H$16+1)^5, IF(AG206 &gt;= FreeSpinsBonus!$C$16, AG206*FreeSpinsBonus!$E$31, 0), "")</f>
        <v>10.201107548819586</v>
      </c>
      <c r="AJ206">
        <f t="shared" ca="1" si="43"/>
        <v>2.8362060839326568E-2</v>
      </c>
      <c r="AK206" s="44"/>
    </row>
    <row r="207" spans="8:37" x14ac:dyDescent="0.3">
      <c r="AB207">
        <f t="shared" si="37"/>
        <v>3</v>
      </c>
      <c r="AC207">
        <f t="shared" si="38"/>
        <v>2</v>
      </c>
      <c r="AD207">
        <f t="shared" si="39"/>
        <v>1</v>
      </c>
      <c r="AE207">
        <f t="shared" si="40"/>
        <v>2</v>
      </c>
      <c r="AF207">
        <f t="shared" si="41"/>
        <v>0</v>
      </c>
      <c r="AG207">
        <f t="shared" si="42"/>
        <v>8</v>
      </c>
      <c r="AH207">
        <f t="shared" ca="1" si="44"/>
        <v>0</v>
      </c>
      <c r="AI207">
        <f>IF(ROW($AA207) - $AA$51 &lt; ($H$16+1)^5, IF(AG207 &gt;= FreeSpinsBonus!$C$16, AG207*FreeSpinsBonus!$E$31, 0), "")</f>
        <v>11.658408627222384</v>
      </c>
      <c r="AJ207">
        <f t="shared" ca="1" si="43"/>
        <v>0</v>
      </c>
      <c r="AK207" s="44"/>
    </row>
    <row r="208" spans="8:37" x14ac:dyDescent="0.3">
      <c r="AB208">
        <f t="shared" si="37"/>
        <v>0</v>
      </c>
      <c r="AC208">
        <f t="shared" si="38"/>
        <v>3</v>
      </c>
      <c r="AD208">
        <f t="shared" si="39"/>
        <v>1</v>
      </c>
      <c r="AE208">
        <f t="shared" si="40"/>
        <v>2</v>
      </c>
      <c r="AF208">
        <f t="shared" si="41"/>
        <v>0</v>
      </c>
      <c r="AG208">
        <f t="shared" si="42"/>
        <v>6</v>
      </c>
      <c r="AH208">
        <f t="shared" ca="1" si="44"/>
        <v>1.7663033478808039E-3</v>
      </c>
      <c r="AI208">
        <f>IF(ROW($AA208) - $AA$51 &lt; ($H$16+1)^5, IF(AG208 &gt;= FreeSpinsBonus!$C$16, AG208*FreeSpinsBonus!$E$31, 0), "")</f>
        <v>8.7438064704167875</v>
      </c>
      <c r="AJ208">
        <f t="shared" ca="1" si="43"/>
        <v>1.5444214641919007E-2</v>
      </c>
      <c r="AK208" s="44"/>
    </row>
    <row r="209" spans="28:37" x14ac:dyDescent="0.3">
      <c r="AB209">
        <f t="shared" si="37"/>
        <v>1</v>
      </c>
      <c r="AC209">
        <f t="shared" si="38"/>
        <v>3</v>
      </c>
      <c r="AD209">
        <f t="shared" si="39"/>
        <v>1</v>
      </c>
      <c r="AE209">
        <f t="shared" si="40"/>
        <v>2</v>
      </c>
      <c r="AF209">
        <f t="shared" si="41"/>
        <v>0</v>
      </c>
      <c r="AG209">
        <f t="shared" si="42"/>
        <v>7</v>
      </c>
      <c r="AH209">
        <f t="shared" ca="1" si="44"/>
        <v>1.8644313116519596E-3</v>
      </c>
      <c r="AI209">
        <f>IF(ROW($AA209) - $AA$51 &lt; ($H$16+1)^5, IF(AG209 &gt;= FreeSpinsBonus!$C$16, AG209*FreeSpinsBonus!$E$31, 0), "")</f>
        <v>10.201107548819586</v>
      </c>
      <c r="AJ209">
        <f t="shared" ca="1" si="43"/>
        <v>1.9019264327548406E-2</v>
      </c>
      <c r="AK209" s="44"/>
    </row>
    <row r="210" spans="28:37" x14ac:dyDescent="0.3">
      <c r="AB210">
        <f t="shared" si="37"/>
        <v>2</v>
      </c>
      <c r="AC210">
        <f t="shared" si="38"/>
        <v>3</v>
      </c>
      <c r="AD210">
        <f t="shared" si="39"/>
        <v>1</v>
      </c>
      <c r="AE210">
        <f t="shared" si="40"/>
        <v>2</v>
      </c>
      <c r="AF210">
        <f t="shared" si="41"/>
        <v>0</v>
      </c>
      <c r="AG210">
        <f t="shared" si="42"/>
        <v>8</v>
      </c>
      <c r="AH210">
        <f t="shared" ca="1" si="44"/>
        <v>9.8127963771155765E-4</v>
      </c>
      <c r="AI210">
        <f>IF(ROW($AA210) - $AA$51 &lt; ($H$16+1)^5, IF(AG210 &gt;= FreeSpinsBonus!$C$16, AG210*FreeSpinsBonus!$E$31, 0), "")</f>
        <v>11.658408627222384</v>
      </c>
      <c r="AJ210">
        <f t="shared" ca="1" si="43"/>
        <v>1.1440158994014078E-2</v>
      </c>
      <c r="AK210" s="44"/>
    </row>
    <row r="211" spans="28:37" x14ac:dyDescent="0.3">
      <c r="AB211">
        <f t="shared" si="37"/>
        <v>3</v>
      </c>
      <c r="AC211">
        <f t="shared" si="38"/>
        <v>3</v>
      </c>
      <c r="AD211">
        <f t="shared" si="39"/>
        <v>1</v>
      </c>
      <c r="AE211">
        <f t="shared" si="40"/>
        <v>2</v>
      </c>
      <c r="AF211">
        <f t="shared" si="41"/>
        <v>0</v>
      </c>
      <c r="AG211">
        <f t="shared" si="42"/>
        <v>9</v>
      </c>
      <c r="AH211">
        <f t="shared" ca="1" si="44"/>
        <v>0</v>
      </c>
      <c r="AI211">
        <f>IF(ROW($AA211) - $AA$51 &lt; ($H$16+1)^5, IF(AG211 &gt;= FreeSpinsBonus!$C$16, AG211*FreeSpinsBonus!$E$31, 0), "")</f>
        <v>13.115709705625182</v>
      </c>
      <c r="AJ211">
        <f t="shared" ca="1" si="43"/>
        <v>0</v>
      </c>
      <c r="AK211" s="44"/>
    </row>
    <row r="212" spans="28:37" x14ac:dyDescent="0.3">
      <c r="AB212">
        <f t="shared" si="37"/>
        <v>0</v>
      </c>
      <c r="AC212">
        <f t="shared" si="38"/>
        <v>0</v>
      </c>
      <c r="AD212">
        <f t="shared" si="39"/>
        <v>2</v>
      </c>
      <c r="AE212">
        <f t="shared" si="40"/>
        <v>2</v>
      </c>
      <c r="AF212">
        <f t="shared" si="41"/>
        <v>0</v>
      </c>
      <c r="AG212">
        <f t="shared" si="42"/>
        <v>4</v>
      </c>
      <c r="AH212">
        <f t="shared" ca="1" si="44"/>
        <v>2.7524893837809188E-3</v>
      </c>
      <c r="AI212">
        <f>IF(ROW($AA212) - $AA$51 &lt; ($H$16+1)^5, IF(AG212 &gt;= FreeSpinsBonus!$C$16, AG212*FreeSpinsBonus!$E$31, 0), "")</f>
        <v>0</v>
      </c>
      <c r="AJ212">
        <f t="shared" ca="1" si="43"/>
        <v>0</v>
      </c>
      <c r="AK212" s="44"/>
    </row>
    <row r="213" spans="28:37" x14ac:dyDescent="0.3">
      <c r="AB213">
        <f t="shared" si="37"/>
        <v>1</v>
      </c>
      <c r="AC213">
        <f t="shared" si="38"/>
        <v>0</v>
      </c>
      <c r="AD213">
        <f t="shared" si="39"/>
        <v>2</v>
      </c>
      <c r="AE213">
        <f t="shared" si="40"/>
        <v>2</v>
      </c>
      <c r="AF213">
        <f t="shared" si="41"/>
        <v>0</v>
      </c>
      <c r="AG213">
        <f t="shared" si="42"/>
        <v>5</v>
      </c>
      <c r="AH213">
        <f t="shared" ca="1" si="44"/>
        <v>2.9054054606576364E-3</v>
      </c>
      <c r="AI213">
        <f>IF(ROW($AA213) - $AA$51 &lt; ($H$16+1)^5, IF(AG213 &gt;= FreeSpinsBonus!$C$16, AG213*FreeSpinsBonus!$E$31, 0), "")</f>
        <v>7.2865053920139902</v>
      </c>
      <c r="AJ213">
        <f t="shared" ca="1" si="43"/>
        <v>2.1170252555068759E-2</v>
      </c>
      <c r="AK213" s="44"/>
    </row>
    <row r="214" spans="28:37" x14ac:dyDescent="0.3">
      <c r="AB214">
        <f t="shared" si="37"/>
        <v>2</v>
      </c>
      <c r="AC214">
        <f t="shared" si="38"/>
        <v>0</v>
      </c>
      <c r="AD214">
        <f t="shared" si="39"/>
        <v>2</v>
      </c>
      <c r="AE214">
        <f t="shared" si="40"/>
        <v>2</v>
      </c>
      <c r="AF214">
        <f t="shared" si="41"/>
        <v>0</v>
      </c>
      <c r="AG214">
        <f t="shared" si="42"/>
        <v>6</v>
      </c>
      <c r="AH214">
        <f t="shared" ca="1" si="44"/>
        <v>1.5291607687671772E-3</v>
      </c>
      <c r="AI214">
        <f>IF(ROW($AA214) - $AA$51 &lt; ($H$16+1)^5, IF(AG214 &gt;= FreeSpinsBonus!$C$16, AG214*FreeSpinsBonus!$E$31, 0), "")</f>
        <v>8.7438064704167875</v>
      </c>
      <c r="AJ214">
        <f t="shared" ca="1" si="43"/>
        <v>1.3370685824253953E-2</v>
      </c>
      <c r="AK214" s="44"/>
    </row>
    <row r="215" spans="28:37" x14ac:dyDescent="0.3">
      <c r="AB215">
        <f t="shared" si="37"/>
        <v>3</v>
      </c>
      <c r="AC215">
        <f t="shared" si="38"/>
        <v>0</v>
      </c>
      <c r="AD215">
        <f t="shared" si="39"/>
        <v>2</v>
      </c>
      <c r="AE215">
        <f t="shared" si="40"/>
        <v>2</v>
      </c>
      <c r="AF215">
        <f t="shared" si="41"/>
        <v>0</v>
      </c>
      <c r="AG215">
        <f t="shared" si="42"/>
        <v>7</v>
      </c>
      <c r="AH215">
        <f t="shared" ca="1" si="44"/>
        <v>0</v>
      </c>
      <c r="AI215">
        <f>IF(ROW($AA215) - $AA$51 &lt; ($H$16+1)^5, IF(AG215 &gt;= FreeSpinsBonus!$C$16, AG215*FreeSpinsBonus!$E$31, 0), "")</f>
        <v>10.201107548819586</v>
      </c>
      <c r="AJ215">
        <f t="shared" ca="1" si="43"/>
        <v>0</v>
      </c>
      <c r="AK215" s="44"/>
    </row>
    <row r="216" spans="28:37" x14ac:dyDescent="0.3">
      <c r="AB216">
        <f t="shared" si="37"/>
        <v>0</v>
      </c>
      <c r="AC216">
        <f t="shared" si="38"/>
        <v>1</v>
      </c>
      <c r="AD216">
        <f t="shared" si="39"/>
        <v>2</v>
      </c>
      <c r="AE216">
        <f t="shared" si="40"/>
        <v>2</v>
      </c>
      <c r="AF216">
        <f t="shared" si="41"/>
        <v>0</v>
      </c>
      <c r="AG216">
        <f t="shared" si="42"/>
        <v>5</v>
      </c>
      <c r="AH216">
        <f t="shared" ca="1" si="44"/>
        <v>2.7524893837809188E-3</v>
      </c>
      <c r="AI216">
        <f>IF(ROW($AA216) - $AA$51 &lt; ($H$16+1)^5, IF(AG216 &gt;= FreeSpinsBonus!$C$16, AG216*FreeSpinsBonus!$E$31, 0), "")</f>
        <v>7.2865053920139902</v>
      </c>
      <c r="AJ216">
        <f t="shared" ca="1" si="43"/>
        <v>2.0056028736380929E-2</v>
      </c>
      <c r="AK216" s="44"/>
    </row>
    <row r="217" spans="28:37" x14ac:dyDescent="0.3">
      <c r="AB217">
        <f t="shared" si="37"/>
        <v>1</v>
      </c>
      <c r="AC217">
        <f t="shared" si="38"/>
        <v>1</v>
      </c>
      <c r="AD217">
        <f t="shared" si="39"/>
        <v>2</v>
      </c>
      <c r="AE217">
        <f t="shared" si="40"/>
        <v>2</v>
      </c>
      <c r="AF217">
        <f t="shared" si="41"/>
        <v>0</v>
      </c>
      <c r="AG217">
        <f t="shared" si="42"/>
        <v>6</v>
      </c>
      <c r="AH217">
        <f t="shared" ca="1" si="44"/>
        <v>2.9054054606576364E-3</v>
      </c>
      <c r="AI217">
        <f>IF(ROW($AA217) - $AA$51 &lt; ($H$16+1)^5, IF(AG217 &gt;= FreeSpinsBonus!$C$16, AG217*FreeSpinsBonus!$E$31, 0), "")</f>
        <v>8.7438064704167875</v>
      </c>
      <c r="AJ217">
        <f t="shared" ca="1" si="43"/>
        <v>2.5404303066082507E-2</v>
      </c>
      <c r="AK217" s="44"/>
    </row>
    <row r="218" spans="28:37" x14ac:dyDescent="0.3">
      <c r="AB218">
        <f t="shared" si="37"/>
        <v>2</v>
      </c>
      <c r="AC218">
        <f t="shared" si="38"/>
        <v>1</v>
      </c>
      <c r="AD218">
        <f t="shared" si="39"/>
        <v>2</v>
      </c>
      <c r="AE218">
        <f t="shared" si="40"/>
        <v>2</v>
      </c>
      <c r="AF218">
        <f t="shared" si="41"/>
        <v>0</v>
      </c>
      <c r="AG218">
        <f t="shared" si="42"/>
        <v>7</v>
      </c>
      <c r="AH218">
        <f t="shared" ca="1" si="44"/>
        <v>1.5291607687671772E-3</v>
      </c>
      <c r="AI218">
        <f>IF(ROW($AA218) - $AA$51 &lt; ($H$16+1)^5, IF(AG218 &gt;= FreeSpinsBonus!$C$16, AG218*FreeSpinsBonus!$E$31, 0), "")</f>
        <v>10.201107548819586</v>
      </c>
      <c r="AJ218">
        <f t="shared" ca="1" si="43"/>
        <v>1.5599133461629612E-2</v>
      </c>
      <c r="AK218" s="44"/>
    </row>
    <row r="219" spans="28:37" x14ac:dyDescent="0.3">
      <c r="AB219">
        <f t="shared" si="37"/>
        <v>3</v>
      </c>
      <c r="AC219">
        <f t="shared" si="38"/>
        <v>1</v>
      </c>
      <c r="AD219">
        <f t="shared" si="39"/>
        <v>2</v>
      </c>
      <c r="AE219">
        <f t="shared" si="40"/>
        <v>2</v>
      </c>
      <c r="AF219">
        <f t="shared" si="41"/>
        <v>0</v>
      </c>
      <c r="AG219">
        <f t="shared" si="42"/>
        <v>8</v>
      </c>
      <c r="AH219">
        <f t="shared" ca="1" si="44"/>
        <v>0</v>
      </c>
      <c r="AI219">
        <f>IF(ROW($AA219) - $AA$51 &lt; ($H$16+1)^5, IF(AG219 &gt;= FreeSpinsBonus!$C$16, AG219*FreeSpinsBonus!$E$31, 0), "")</f>
        <v>11.658408627222384</v>
      </c>
      <c r="AJ219">
        <f t="shared" ca="1" si="43"/>
        <v>0</v>
      </c>
      <c r="AK219" s="44"/>
    </row>
    <row r="220" spans="28:37" x14ac:dyDescent="0.3">
      <c r="AB220">
        <f t="shared" si="37"/>
        <v>0</v>
      </c>
      <c r="AC220">
        <f t="shared" si="38"/>
        <v>2</v>
      </c>
      <c r="AD220">
        <f t="shared" si="39"/>
        <v>2</v>
      </c>
      <c r="AE220">
        <f t="shared" si="40"/>
        <v>2</v>
      </c>
      <c r="AF220">
        <f t="shared" si="41"/>
        <v>0</v>
      </c>
      <c r="AG220">
        <f t="shared" si="42"/>
        <v>6</v>
      </c>
      <c r="AH220">
        <f t="shared" ca="1" si="44"/>
        <v>2.7524893837809188E-3</v>
      </c>
      <c r="AI220">
        <f>IF(ROW($AA220) - $AA$51 &lt; ($H$16+1)^5, IF(AG220 &gt;= FreeSpinsBonus!$C$16, AG220*FreeSpinsBonus!$E$31, 0), "")</f>
        <v>8.7438064704167875</v>
      </c>
      <c r="AJ220">
        <f t="shared" ca="1" si="43"/>
        <v>2.4067234483657114E-2</v>
      </c>
      <c r="AK220" s="44"/>
    </row>
    <row r="221" spans="28:37" x14ac:dyDescent="0.3">
      <c r="AB221">
        <f t="shared" si="37"/>
        <v>1</v>
      </c>
      <c r="AC221">
        <f t="shared" si="38"/>
        <v>2</v>
      </c>
      <c r="AD221">
        <f t="shared" si="39"/>
        <v>2</v>
      </c>
      <c r="AE221">
        <f t="shared" si="40"/>
        <v>2</v>
      </c>
      <c r="AF221">
        <f t="shared" si="41"/>
        <v>0</v>
      </c>
      <c r="AG221">
        <f t="shared" si="42"/>
        <v>7</v>
      </c>
      <c r="AH221">
        <f t="shared" ca="1" si="44"/>
        <v>2.9054054606576364E-3</v>
      </c>
      <c r="AI221">
        <f>IF(ROW($AA221) - $AA$51 &lt; ($H$16+1)^5, IF(AG221 &gt;= FreeSpinsBonus!$C$16, AG221*FreeSpinsBonus!$E$31, 0), "")</f>
        <v>10.201107548819586</v>
      </c>
      <c r="AJ221">
        <f t="shared" ca="1" si="43"/>
        <v>2.9638353577096259E-2</v>
      </c>
      <c r="AK221" s="44"/>
    </row>
    <row r="222" spans="28:37" x14ac:dyDescent="0.3">
      <c r="AB222">
        <f t="shared" si="37"/>
        <v>2</v>
      </c>
      <c r="AC222">
        <f t="shared" si="38"/>
        <v>2</v>
      </c>
      <c r="AD222">
        <f t="shared" si="39"/>
        <v>2</v>
      </c>
      <c r="AE222">
        <f t="shared" si="40"/>
        <v>2</v>
      </c>
      <c r="AF222">
        <f t="shared" si="41"/>
        <v>0</v>
      </c>
      <c r="AG222">
        <f t="shared" si="42"/>
        <v>8</v>
      </c>
      <c r="AH222">
        <f t="shared" ca="1" si="44"/>
        <v>1.5291607687671772E-3</v>
      </c>
      <c r="AI222">
        <f>IF(ROW($AA222) - $AA$51 &lt; ($H$16+1)^5, IF(AG222 &gt;= FreeSpinsBonus!$C$16, AG222*FreeSpinsBonus!$E$31, 0), "")</f>
        <v>11.658408627222384</v>
      </c>
      <c r="AJ222">
        <f t="shared" ca="1" si="43"/>
        <v>1.7827581099005271E-2</v>
      </c>
      <c r="AK222" s="44"/>
    </row>
    <row r="223" spans="28:37" x14ac:dyDescent="0.3">
      <c r="AB223">
        <f t="shared" si="37"/>
        <v>3</v>
      </c>
      <c r="AC223">
        <f t="shared" si="38"/>
        <v>2</v>
      </c>
      <c r="AD223">
        <f t="shared" si="39"/>
        <v>2</v>
      </c>
      <c r="AE223">
        <f t="shared" si="40"/>
        <v>2</v>
      </c>
      <c r="AF223">
        <f t="shared" si="41"/>
        <v>0</v>
      </c>
      <c r="AG223">
        <f t="shared" si="42"/>
        <v>9</v>
      </c>
      <c r="AH223">
        <f t="shared" ca="1" si="44"/>
        <v>0</v>
      </c>
      <c r="AI223">
        <f>IF(ROW($AA223) - $AA$51 &lt; ($H$16+1)^5, IF(AG223 &gt;= FreeSpinsBonus!$C$16, AG223*FreeSpinsBonus!$E$31, 0), "")</f>
        <v>13.115709705625182</v>
      </c>
      <c r="AJ223">
        <f t="shared" ca="1" si="43"/>
        <v>0</v>
      </c>
      <c r="AK223" s="44"/>
    </row>
    <row r="224" spans="28:37" x14ac:dyDescent="0.3">
      <c r="AB224">
        <f t="shared" si="37"/>
        <v>0</v>
      </c>
      <c r="AC224">
        <f t="shared" si="38"/>
        <v>3</v>
      </c>
      <c r="AD224">
        <f t="shared" si="39"/>
        <v>2</v>
      </c>
      <c r="AE224">
        <f t="shared" si="40"/>
        <v>2</v>
      </c>
      <c r="AF224">
        <f t="shared" si="41"/>
        <v>0</v>
      </c>
      <c r="AG224">
        <f t="shared" si="42"/>
        <v>7</v>
      </c>
      <c r="AH224">
        <f t="shared" ca="1" si="44"/>
        <v>9.7146684133444204E-4</v>
      </c>
      <c r="AI224">
        <f>IF(ROW($AA224) - $AA$51 &lt; ($H$16+1)^5, IF(AG224 &gt;= FreeSpinsBonus!$C$16, AG224*FreeSpinsBonus!$E$31, 0), "")</f>
        <v>10.201107548819586</v>
      </c>
      <c r="AJ224">
        <f t="shared" ca="1" si="43"/>
        <v>9.9100377285646947E-3</v>
      </c>
      <c r="AK224" s="44"/>
    </row>
    <row r="225" spans="28:37" x14ac:dyDescent="0.3">
      <c r="AB225">
        <f t="shared" si="37"/>
        <v>1</v>
      </c>
      <c r="AC225">
        <f t="shared" si="38"/>
        <v>3</v>
      </c>
      <c r="AD225">
        <f t="shared" si="39"/>
        <v>2</v>
      </c>
      <c r="AE225">
        <f t="shared" si="40"/>
        <v>2</v>
      </c>
      <c r="AF225">
        <f t="shared" si="41"/>
        <v>0</v>
      </c>
      <c r="AG225">
        <f t="shared" si="42"/>
        <v>8</v>
      </c>
      <c r="AH225">
        <f t="shared" ca="1" si="44"/>
        <v>1.0254372214085776E-3</v>
      </c>
      <c r="AI225">
        <f>IF(ROW($AA225) - $AA$51 &lt; ($H$16+1)^5, IF(AG225 &gt;= FreeSpinsBonus!$C$16, AG225*FreeSpinsBonus!$E$31, 0), "")</f>
        <v>11.658408627222384</v>
      </c>
      <c r="AJ225">
        <f t="shared" ca="1" si="43"/>
        <v>1.195496614874471E-2</v>
      </c>
      <c r="AK225" s="44"/>
    </row>
    <row r="226" spans="28:37" x14ac:dyDescent="0.3">
      <c r="AB226">
        <f t="shared" si="37"/>
        <v>2</v>
      </c>
      <c r="AC226">
        <f t="shared" si="38"/>
        <v>3</v>
      </c>
      <c r="AD226">
        <f t="shared" si="39"/>
        <v>2</v>
      </c>
      <c r="AE226">
        <f t="shared" si="40"/>
        <v>2</v>
      </c>
      <c r="AF226">
        <f t="shared" si="41"/>
        <v>0</v>
      </c>
      <c r="AG226">
        <f t="shared" si="42"/>
        <v>9</v>
      </c>
      <c r="AH226">
        <f t="shared" ca="1" si="44"/>
        <v>5.3970380074135668E-4</v>
      </c>
      <c r="AI226">
        <f>IF(ROW($AA226) - $AA$51 &lt; ($H$16+1)^5, IF(AG226 &gt;= FreeSpinsBonus!$C$16, AG226*FreeSpinsBonus!$E$31, 0), "")</f>
        <v>13.115709705625182</v>
      </c>
      <c r="AJ226">
        <f t="shared" ca="1" si="43"/>
        <v>7.0785983775462115E-3</v>
      </c>
      <c r="AK226" s="44"/>
    </row>
    <row r="227" spans="28:37" x14ac:dyDescent="0.3">
      <c r="AB227">
        <f t="shared" si="37"/>
        <v>3</v>
      </c>
      <c r="AC227">
        <f t="shared" si="38"/>
        <v>3</v>
      </c>
      <c r="AD227">
        <f t="shared" si="39"/>
        <v>2</v>
      </c>
      <c r="AE227">
        <f t="shared" si="40"/>
        <v>2</v>
      </c>
      <c r="AF227">
        <f t="shared" si="41"/>
        <v>0</v>
      </c>
      <c r="AG227">
        <f t="shared" si="42"/>
        <v>10</v>
      </c>
      <c r="AH227">
        <f t="shared" ca="1" si="44"/>
        <v>0</v>
      </c>
      <c r="AI227">
        <f>IF(ROW($AA227) - $AA$51 &lt; ($H$16+1)^5, IF(AG227 &gt;= FreeSpinsBonus!$C$16, AG227*FreeSpinsBonus!$E$31, 0), "")</f>
        <v>14.57301078402798</v>
      </c>
      <c r="AJ227">
        <f t="shared" ca="1" si="43"/>
        <v>0</v>
      </c>
      <c r="AK227" s="44"/>
    </row>
    <row r="228" spans="28:37" x14ac:dyDescent="0.3">
      <c r="AB228">
        <f t="shared" si="37"/>
        <v>0</v>
      </c>
      <c r="AC228">
        <f t="shared" si="38"/>
        <v>0</v>
      </c>
      <c r="AD228">
        <f t="shared" si="39"/>
        <v>3</v>
      </c>
      <c r="AE228">
        <f t="shared" si="40"/>
        <v>2</v>
      </c>
      <c r="AF228">
        <f t="shared" si="41"/>
        <v>0</v>
      </c>
      <c r="AG228">
        <f t="shared" si="42"/>
        <v>5</v>
      </c>
      <c r="AH228">
        <f t="shared" ca="1" si="44"/>
        <v>2.5022630761644717E-4</v>
      </c>
      <c r="AI228">
        <f>IF(ROW($AA228) - $AA$51 &lt; ($H$16+1)^5, IF(AG228 &gt;= FreeSpinsBonus!$C$16, AG228*FreeSpinsBonus!$E$31, 0), "")</f>
        <v>7.2865053920139902</v>
      </c>
      <c r="AJ228">
        <f t="shared" ca="1" si="43"/>
        <v>1.8232753396709937E-3</v>
      </c>
      <c r="AK228" s="44"/>
    </row>
    <row r="229" spans="28:37" x14ac:dyDescent="0.3">
      <c r="AB229">
        <f t="shared" si="37"/>
        <v>1</v>
      </c>
      <c r="AC229">
        <f t="shared" si="38"/>
        <v>0</v>
      </c>
      <c r="AD229">
        <f t="shared" si="39"/>
        <v>3</v>
      </c>
      <c r="AE229">
        <f t="shared" si="40"/>
        <v>2</v>
      </c>
      <c r="AF229">
        <f t="shared" si="41"/>
        <v>0</v>
      </c>
      <c r="AG229">
        <f t="shared" si="42"/>
        <v>6</v>
      </c>
      <c r="AH229">
        <f t="shared" ca="1" si="44"/>
        <v>2.6412776915069421E-4</v>
      </c>
      <c r="AI229">
        <f>IF(ROW($AA229) - $AA$51 &lt; ($H$16+1)^5, IF(AG229 &gt;= FreeSpinsBonus!$C$16, AG229*FreeSpinsBonus!$E$31, 0), "")</f>
        <v>8.7438064704167875</v>
      </c>
      <c r="AJ229">
        <f t="shared" ca="1" si="43"/>
        <v>2.3094820969165918E-3</v>
      </c>
      <c r="AK229" s="44"/>
    </row>
    <row r="230" spans="28:37" x14ac:dyDescent="0.3">
      <c r="AB230">
        <f t="shared" si="37"/>
        <v>2</v>
      </c>
      <c r="AC230">
        <f t="shared" si="38"/>
        <v>0</v>
      </c>
      <c r="AD230">
        <f t="shared" si="39"/>
        <v>3</v>
      </c>
      <c r="AE230">
        <f t="shared" si="40"/>
        <v>2</v>
      </c>
      <c r="AF230">
        <f t="shared" si="41"/>
        <v>0</v>
      </c>
      <c r="AG230">
        <f t="shared" si="42"/>
        <v>7</v>
      </c>
      <c r="AH230">
        <f t="shared" ca="1" si="44"/>
        <v>1.3901461534247066E-4</v>
      </c>
      <c r="AI230">
        <f>IF(ROW($AA230) - $AA$51 &lt; ($H$16+1)^5, IF(AG230 &gt;= FreeSpinsBonus!$C$16, AG230*FreeSpinsBonus!$E$31, 0), "")</f>
        <v>10.201107548819586</v>
      </c>
      <c r="AJ230">
        <f t="shared" ca="1" si="43"/>
        <v>1.4181030419663284E-3</v>
      </c>
      <c r="AK230" s="44"/>
    </row>
    <row r="231" spans="28:37" x14ac:dyDescent="0.3">
      <c r="AB231">
        <f t="shared" si="37"/>
        <v>3</v>
      </c>
      <c r="AC231">
        <f t="shared" si="38"/>
        <v>0</v>
      </c>
      <c r="AD231">
        <f t="shared" si="39"/>
        <v>3</v>
      </c>
      <c r="AE231">
        <f t="shared" si="40"/>
        <v>2</v>
      </c>
      <c r="AF231">
        <f t="shared" si="41"/>
        <v>0</v>
      </c>
      <c r="AG231">
        <f t="shared" si="42"/>
        <v>8</v>
      </c>
      <c r="AH231">
        <f t="shared" ca="1" si="44"/>
        <v>0</v>
      </c>
      <c r="AI231">
        <f>IF(ROW($AA231) - $AA$51 &lt; ($H$16+1)^5, IF(AG231 &gt;= FreeSpinsBonus!$C$16, AG231*FreeSpinsBonus!$E$31, 0), "")</f>
        <v>11.658408627222384</v>
      </c>
      <c r="AJ231">
        <f t="shared" ca="1" si="43"/>
        <v>0</v>
      </c>
      <c r="AK231" s="44"/>
    </row>
    <row r="232" spans="28:37" x14ac:dyDescent="0.3">
      <c r="AB232">
        <f t="shared" si="37"/>
        <v>0</v>
      </c>
      <c r="AC232">
        <f t="shared" si="38"/>
        <v>1</v>
      </c>
      <c r="AD232">
        <f t="shared" si="39"/>
        <v>3</v>
      </c>
      <c r="AE232">
        <f t="shared" si="40"/>
        <v>2</v>
      </c>
      <c r="AF232">
        <f t="shared" si="41"/>
        <v>0</v>
      </c>
      <c r="AG232">
        <f t="shared" si="42"/>
        <v>6</v>
      </c>
      <c r="AH232">
        <f t="shared" ca="1" si="44"/>
        <v>2.5022630761644717E-4</v>
      </c>
      <c r="AI232">
        <f>IF(ROW($AA232) - $AA$51 &lt; ($H$16+1)^5, IF(AG232 &gt;= FreeSpinsBonus!$C$16, AG232*FreeSpinsBonus!$E$31, 0), "")</f>
        <v>8.7438064704167875</v>
      </c>
      <c r="AJ232">
        <f t="shared" ca="1" si="43"/>
        <v>2.187930407605192E-3</v>
      </c>
      <c r="AK232" s="44"/>
    </row>
    <row r="233" spans="28:37" x14ac:dyDescent="0.3">
      <c r="AB233">
        <f t="shared" si="37"/>
        <v>1</v>
      </c>
      <c r="AC233">
        <f t="shared" si="38"/>
        <v>1</v>
      </c>
      <c r="AD233">
        <f t="shared" si="39"/>
        <v>3</v>
      </c>
      <c r="AE233">
        <f t="shared" si="40"/>
        <v>2</v>
      </c>
      <c r="AF233">
        <f t="shared" si="41"/>
        <v>0</v>
      </c>
      <c r="AG233">
        <f t="shared" si="42"/>
        <v>7</v>
      </c>
      <c r="AH233">
        <f t="shared" ca="1" si="44"/>
        <v>2.6412776915069421E-4</v>
      </c>
      <c r="AI233">
        <f>IF(ROW($AA233) - $AA$51 &lt; ($H$16+1)^5, IF(AG233 &gt;= FreeSpinsBonus!$C$16, AG233*FreeSpinsBonus!$E$31, 0), "")</f>
        <v>10.201107548819586</v>
      </c>
      <c r="AJ233">
        <f t="shared" ca="1" si="43"/>
        <v>2.6943957797360236E-3</v>
      </c>
      <c r="AK233" s="44"/>
    </row>
    <row r="234" spans="28:37" x14ac:dyDescent="0.3">
      <c r="AB234">
        <f t="shared" si="37"/>
        <v>2</v>
      </c>
      <c r="AC234">
        <f t="shared" si="38"/>
        <v>1</v>
      </c>
      <c r="AD234">
        <f t="shared" si="39"/>
        <v>3</v>
      </c>
      <c r="AE234">
        <f t="shared" si="40"/>
        <v>2</v>
      </c>
      <c r="AF234">
        <f t="shared" si="41"/>
        <v>0</v>
      </c>
      <c r="AG234">
        <f t="shared" si="42"/>
        <v>8</v>
      </c>
      <c r="AH234">
        <f t="shared" ca="1" si="44"/>
        <v>1.3901461534247066E-4</v>
      </c>
      <c r="AI234">
        <f>IF(ROW($AA234) - $AA$51 &lt; ($H$16+1)^5, IF(AG234 &gt;= FreeSpinsBonus!$C$16, AG234*FreeSpinsBonus!$E$31, 0), "")</f>
        <v>11.658408627222384</v>
      </c>
      <c r="AJ234">
        <f t="shared" ca="1" si="43"/>
        <v>1.620689190818661E-3</v>
      </c>
      <c r="AK234" s="44"/>
    </row>
    <row r="235" spans="28:37" x14ac:dyDescent="0.3">
      <c r="AB235">
        <f t="shared" si="37"/>
        <v>3</v>
      </c>
      <c r="AC235">
        <f t="shared" si="38"/>
        <v>1</v>
      </c>
      <c r="AD235">
        <f t="shared" si="39"/>
        <v>3</v>
      </c>
      <c r="AE235">
        <f t="shared" si="40"/>
        <v>2</v>
      </c>
      <c r="AF235">
        <f t="shared" si="41"/>
        <v>0</v>
      </c>
      <c r="AG235">
        <f t="shared" si="42"/>
        <v>9</v>
      </c>
      <c r="AH235">
        <f t="shared" ca="1" si="44"/>
        <v>0</v>
      </c>
      <c r="AI235">
        <f>IF(ROW($AA235) - $AA$51 &lt; ($H$16+1)^5, IF(AG235 &gt;= FreeSpinsBonus!$C$16, AG235*FreeSpinsBonus!$E$31, 0), "")</f>
        <v>13.115709705625182</v>
      </c>
      <c r="AJ235">
        <f t="shared" ca="1" si="43"/>
        <v>0</v>
      </c>
      <c r="AK235" s="44"/>
    </row>
    <row r="236" spans="28:37" x14ac:dyDescent="0.3">
      <c r="AB236">
        <f t="shared" si="37"/>
        <v>0</v>
      </c>
      <c r="AC236">
        <f t="shared" si="38"/>
        <v>2</v>
      </c>
      <c r="AD236">
        <f t="shared" si="39"/>
        <v>3</v>
      </c>
      <c r="AE236">
        <f t="shared" si="40"/>
        <v>2</v>
      </c>
      <c r="AF236">
        <f t="shared" si="41"/>
        <v>0</v>
      </c>
      <c r="AG236">
        <f t="shared" si="42"/>
        <v>7</v>
      </c>
      <c r="AH236">
        <f t="shared" ca="1" si="44"/>
        <v>2.5022630761644717E-4</v>
      </c>
      <c r="AI236">
        <f>IF(ROW($AA236) - $AA$51 &lt; ($H$16+1)^5, IF(AG236 &gt;= FreeSpinsBonus!$C$16, AG236*FreeSpinsBonus!$E$31, 0), "")</f>
        <v>10.201107548819586</v>
      </c>
      <c r="AJ236">
        <f t="shared" ca="1" si="43"/>
        <v>2.5525854755393909E-3</v>
      </c>
      <c r="AK236" s="44"/>
    </row>
    <row r="237" spans="28:37" x14ac:dyDescent="0.3">
      <c r="AB237">
        <f t="shared" si="37"/>
        <v>1</v>
      </c>
      <c r="AC237">
        <f t="shared" si="38"/>
        <v>2</v>
      </c>
      <c r="AD237">
        <f t="shared" si="39"/>
        <v>3</v>
      </c>
      <c r="AE237">
        <f t="shared" si="40"/>
        <v>2</v>
      </c>
      <c r="AF237">
        <f t="shared" si="41"/>
        <v>0</v>
      </c>
      <c r="AG237">
        <f t="shared" si="42"/>
        <v>8</v>
      </c>
      <c r="AH237">
        <f t="shared" ca="1" si="44"/>
        <v>2.6412776915069421E-4</v>
      </c>
      <c r="AI237">
        <f>IF(ROW($AA237) - $AA$51 &lt; ($H$16+1)^5, IF(AG237 &gt;= FreeSpinsBonus!$C$16, AG237*FreeSpinsBonus!$E$31, 0), "")</f>
        <v>11.658408627222384</v>
      </c>
      <c r="AJ237">
        <f t="shared" ca="1" si="43"/>
        <v>3.0793094625554554E-3</v>
      </c>
      <c r="AK237" s="44"/>
    </row>
    <row r="238" spans="28:37" x14ac:dyDescent="0.3">
      <c r="AB238">
        <f t="shared" si="37"/>
        <v>2</v>
      </c>
      <c r="AC238">
        <f t="shared" si="38"/>
        <v>2</v>
      </c>
      <c r="AD238">
        <f t="shared" si="39"/>
        <v>3</v>
      </c>
      <c r="AE238">
        <f t="shared" si="40"/>
        <v>2</v>
      </c>
      <c r="AF238">
        <f t="shared" si="41"/>
        <v>0</v>
      </c>
      <c r="AG238">
        <f t="shared" si="42"/>
        <v>9</v>
      </c>
      <c r="AH238">
        <f t="shared" ca="1" si="44"/>
        <v>1.3901461534247066E-4</v>
      </c>
      <c r="AI238">
        <f>IF(ROW($AA238) - $AA$51 &lt; ($H$16+1)^5, IF(AG238 &gt;= FreeSpinsBonus!$C$16, AG238*FreeSpinsBonus!$E$31, 0), "")</f>
        <v>13.115709705625182</v>
      </c>
      <c r="AJ238">
        <f t="shared" ca="1" si="43"/>
        <v>1.8232753396709937E-3</v>
      </c>
      <c r="AK238" s="44"/>
    </row>
    <row r="239" spans="28:37" x14ac:dyDescent="0.3">
      <c r="AB239">
        <f t="shared" si="37"/>
        <v>3</v>
      </c>
      <c r="AC239">
        <f t="shared" si="38"/>
        <v>2</v>
      </c>
      <c r="AD239">
        <f t="shared" si="39"/>
        <v>3</v>
      </c>
      <c r="AE239">
        <f t="shared" si="40"/>
        <v>2</v>
      </c>
      <c r="AF239">
        <f t="shared" si="41"/>
        <v>0</v>
      </c>
      <c r="AG239">
        <f t="shared" si="42"/>
        <v>10</v>
      </c>
      <c r="AH239">
        <f t="shared" ca="1" si="44"/>
        <v>0</v>
      </c>
      <c r="AI239">
        <f>IF(ROW($AA239) - $AA$51 &lt; ($H$16+1)^5, IF(AG239 &gt;= FreeSpinsBonus!$C$16, AG239*FreeSpinsBonus!$E$31, 0), "")</f>
        <v>14.57301078402798</v>
      </c>
      <c r="AJ239">
        <f t="shared" ca="1" si="43"/>
        <v>0</v>
      </c>
      <c r="AK239" s="44"/>
    </row>
    <row r="240" spans="28:37" x14ac:dyDescent="0.3">
      <c r="AB240">
        <f t="shared" si="37"/>
        <v>0</v>
      </c>
      <c r="AC240">
        <f t="shared" si="38"/>
        <v>3</v>
      </c>
      <c r="AD240">
        <f t="shared" si="39"/>
        <v>3</v>
      </c>
      <c r="AE240">
        <f t="shared" si="40"/>
        <v>2</v>
      </c>
      <c r="AF240">
        <f t="shared" si="41"/>
        <v>0</v>
      </c>
      <c r="AG240">
        <f t="shared" si="42"/>
        <v>8</v>
      </c>
      <c r="AH240">
        <f t="shared" ca="1" si="44"/>
        <v>8.8315167394040195E-5</v>
      </c>
      <c r="AI240">
        <f>IF(ROW($AA240) - $AA$51 &lt; ($H$16+1)^5, IF(AG240 &gt;= FreeSpinsBonus!$C$16, AG240*FreeSpinsBonus!$E$31, 0), "")</f>
        <v>11.658408627222384</v>
      </c>
      <c r="AJ240">
        <f t="shared" ca="1" si="43"/>
        <v>1.0296143094612673E-3</v>
      </c>
      <c r="AK240" s="44"/>
    </row>
    <row r="241" spans="28:37" x14ac:dyDescent="0.3">
      <c r="AB241">
        <f t="shared" si="37"/>
        <v>1</v>
      </c>
      <c r="AC241">
        <f t="shared" si="38"/>
        <v>3</v>
      </c>
      <c r="AD241">
        <f t="shared" si="39"/>
        <v>3</v>
      </c>
      <c r="AE241">
        <f t="shared" si="40"/>
        <v>2</v>
      </c>
      <c r="AF241">
        <f t="shared" si="41"/>
        <v>0</v>
      </c>
      <c r="AG241">
        <f t="shared" si="42"/>
        <v>9</v>
      </c>
      <c r="AH241">
        <f t="shared" ca="1" si="44"/>
        <v>9.3221565582597961E-5</v>
      </c>
      <c r="AI241">
        <f>IF(ROW($AA241) - $AA$51 &lt; ($H$16+1)^5, IF(AG241 &gt;= FreeSpinsBonus!$C$16, AG241*FreeSpinsBonus!$E$31, 0), "")</f>
        <v>13.115709705625182</v>
      </c>
      <c r="AJ241">
        <f t="shared" ca="1" si="43"/>
        <v>1.2226669924852544E-3</v>
      </c>
      <c r="AK241" s="44"/>
    </row>
    <row r="242" spans="28:37" x14ac:dyDescent="0.3">
      <c r="AB242">
        <f t="shared" si="37"/>
        <v>2</v>
      </c>
      <c r="AC242">
        <f t="shared" si="38"/>
        <v>3</v>
      </c>
      <c r="AD242">
        <f t="shared" si="39"/>
        <v>3</v>
      </c>
      <c r="AE242">
        <f t="shared" si="40"/>
        <v>2</v>
      </c>
      <c r="AF242">
        <f t="shared" si="41"/>
        <v>0</v>
      </c>
      <c r="AG242">
        <f t="shared" si="42"/>
        <v>10</v>
      </c>
      <c r="AH242">
        <f t="shared" ca="1" si="44"/>
        <v>4.9063981885577884E-5</v>
      </c>
      <c r="AI242">
        <f>IF(ROW($AA242) - $AA$51 &lt; ($H$16+1)^5, IF(AG242 &gt;= FreeSpinsBonus!$C$16, AG242*FreeSpinsBonus!$E$31, 0), "")</f>
        <v>14.57301078402798</v>
      </c>
      <c r="AJ242">
        <f t="shared" ca="1" si="43"/>
        <v>7.1500993712588E-4</v>
      </c>
      <c r="AK242" s="44"/>
    </row>
    <row r="243" spans="28:37" x14ac:dyDescent="0.3">
      <c r="AB243">
        <f t="shared" si="37"/>
        <v>3</v>
      </c>
      <c r="AC243">
        <f t="shared" si="38"/>
        <v>3</v>
      </c>
      <c r="AD243">
        <f t="shared" si="39"/>
        <v>3</v>
      </c>
      <c r="AE243">
        <f t="shared" si="40"/>
        <v>2</v>
      </c>
      <c r="AF243">
        <f t="shared" si="41"/>
        <v>0</v>
      </c>
      <c r="AG243">
        <f t="shared" si="42"/>
        <v>11</v>
      </c>
      <c r="AH243">
        <f t="shared" ca="1" si="44"/>
        <v>0</v>
      </c>
      <c r="AI243">
        <f>IF(ROW($AA243) - $AA$51 &lt; ($H$16+1)^5, IF(AG243 &gt;= FreeSpinsBonus!$C$16, AG243*FreeSpinsBonus!$E$31, 0), "")</f>
        <v>16.030311862430779</v>
      </c>
      <c r="AJ243">
        <f t="shared" ca="1" si="43"/>
        <v>0</v>
      </c>
      <c r="AK243" s="44"/>
    </row>
    <row r="244" spans="28:37" x14ac:dyDescent="0.3">
      <c r="AB244">
        <f t="shared" ref="AB244:AB307" si="45">IF(ROW()-$AA$51 &lt; (H$16+1)^5, MOD(_xlfn.FLOOR.MATH((ROW()-$AA$51)/AB$50), H$16+1), "")</f>
        <v>0</v>
      </c>
      <c r="AC244">
        <f t="shared" ref="AC244:AC307" si="46">IF(ROW()-$AA$51 &lt; (I$16+1)^5, MOD(_xlfn.FLOOR.MATH((ROW()-$AA$51)/AC$50), I$16+1), "")</f>
        <v>0</v>
      </c>
      <c r="AD244">
        <f t="shared" ref="AD244:AD307" si="47">IF(ROW()-$AA$51 &lt; (J$16+1)^5, MOD(_xlfn.FLOOR.MATH((ROW()-$AA$51)/AD$50), J$16+1), "")</f>
        <v>0</v>
      </c>
      <c r="AE244">
        <f t="shared" ref="AE244:AE307" si="48">IF(ROW()-$AA$51 &lt; (K$16+1)^5, MOD(_xlfn.FLOOR.MATH((ROW()-$AA$51)/AE$50), K$16+1), "")</f>
        <v>3</v>
      </c>
      <c r="AF244">
        <f t="shared" ref="AF244:AF307" si="49">IF(ROW()-$AA$51 &lt; (L$16+1)^5, MOD(_xlfn.FLOOR.MATH((ROW()-$AA$51)/AF$50), L$16+1), "")</f>
        <v>0</v>
      </c>
      <c r="AG244">
        <f t="shared" ref="AG244:AG307" si="50">IF(ROW($AA244) - $AA$51 &lt; ($H$16+1)^5, SUM(AB244:AF244), "")</f>
        <v>3</v>
      </c>
      <c r="AH244">
        <f t="shared" ca="1" si="44"/>
        <v>1.7515841533151302E-3</v>
      </c>
      <c r="AI244">
        <f>IF(ROW($AA244) - $AA$51 &lt; ($H$16+1)^5, IF(AG244 &gt;= FreeSpinsBonus!$C$16, AG244*FreeSpinsBonus!$E$31, 0), "")</f>
        <v>0</v>
      </c>
      <c r="AJ244">
        <f t="shared" ref="AJ244:AJ307" ca="1" si="51">IF(ROW($AA244) - $AA$51 &lt; ($H$16+1)^5, AH244*AI244, "")</f>
        <v>0</v>
      </c>
      <c r="AK244" s="44"/>
    </row>
    <row r="245" spans="28:37" x14ac:dyDescent="0.3">
      <c r="AB245">
        <f t="shared" si="45"/>
        <v>1</v>
      </c>
      <c r="AC245">
        <f t="shared" si="46"/>
        <v>0</v>
      </c>
      <c r="AD245">
        <f t="shared" si="47"/>
        <v>0</v>
      </c>
      <c r="AE245">
        <f t="shared" si="48"/>
        <v>3</v>
      </c>
      <c r="AF245">
        <f t="shared" si="49"/>
        <v>0</v>
      </c>
      <c r="AG245">
        <f t="shared" si="50"/>
        <v>4</v>
      </c>
      <c r="AH245">
        <f t="shared" ref="AH245:AH308" ca="1" si="52">IF(ROW($AA245) - $AA$51 &lt; (4)^5,
    (_xlfn.XLOOKUP(AB245,$T$51:$T$55,U$51:U$55,0)/U$28) * (_xlfn.XLOOKUP(AC245,$T$51:$T$55,V$51:V$55,0)/V$28) * (_xlfn.XLOOKUP(AD245,$T$51:$T$55,W$51:W$55,0)/W$28) * (_xlfn.XLOOKUP(AE245,$T$51:$T$55,X$51:X$55,0)/X$28) * (_xlfn.XLOOKUP(AF245,$T$51:$T$55,Y$51:Y$55,0)/Y$28),
"")</f>
        <v>1.8488943840548595E-3</v>
      </c>
      <c r="AI245">
        <f>IF(ROW($AA245) - $AA$51 &lt; ($H$16+1)^5, IF(AG245 &gt;= FreeSpinsBonus!$C$16, AG245*FreeSpinsBonus!$E$31, 0), "")</f>
        <v>0</v>
      </c>
      <c r="AJ245">
        <f t="shared" ca="1" si="51"/>
        <v>0</v>
      </c>
      <c r="AK245" s="44"/>
    </row>
    <row r="246" spans="28:37" x14ac:dyDescent="0.3">
      <c r="AB246">
        <f t="shared" si="45"/>
        <v>2</v>
      </c>
      <c r="AC246">
        <f t="shared" si="46"/>
        <v>0</v>
      </c>
      <c r="AD246">
        <f t="shared" si="47"/>
        <v>0</v>
      </c>
      <c r="AE246">
        <f t="shared" si="48"/>
        <v>3</v>
      </c>
      <c r="AF246">
        <f t="shared" si="49"/>
        <v>0</v>
      </c>
      <c r="AG246">
        <f t="shared" si="50"/>
        <v>5</v>
      </c>
      <c r="AH246">
        <f t="shared" ca="1" si="52"/>
        <v>9.7310230739729468E-4</v>
      </c>
      <c r="AI246">
        <f>IF(ROW($AA246) - $AA$51 &lt; ($H$16+1)^5, IF(AG246 &gt;= FreeSpinsBonus!$C$16, AG246*FreeSpinsBonus!$E$31, 0), "")</f>
        <v>7.2865053920139902</v>
      </c>
      <c r="AJ246">
        <f t="shared" ca="1" si="51"/>
        <v>7.0905152098316429E-3</v>
      </c>
      <c r="AK246" s="44"/>
    </row>
    <row r="247" spans="28:37" x14ac:dyDescent="0.3">
      <c r="AB247">
        <f t="shared" si="45"/>
        <v>3</v>
      </c>
      <c r="AC247">
        <f t="shared" si="46"/>
        <v>0</v>
      </c>
      <c r="AD247">
        <f t="shared" si="47"/>
        <v>0</v>
      </c>
      <c r="AE247">
        <f t="shared" si="48"/>
        <v>3</v>
      </c>
      <c r="AF247">
        <f t="shared" si="49"/>
        <v>0</v>
      </c>
      <c r="AG247">
        <f t="shared" si="50"/>
        <v>6</v>
      </c>
      <c r="AH247">
        <f t="shared" ca="1" si="52"/>
        <v>0</v>
      </c>
      <c r="AI247">
        <f>IF(ROW($AA247) - $AA$51 &lt; ($H$16+1)^5, IF(AG247 &gt;= FreeSpinsBonus!$C$16, AG247*FreeSpinsBonus!$E$31, 0), "")</f>
        <v>8.7438064704167875</v>
      </c>
      <c r="AJ247">
        <f t="shared" ca="1" si="51"/>
        <v>0</v>
      </c>
      <c r="AK247" s="44"/>
    </row>
    <row r="248" spans="28:37" x14ac:dyDescent="0.3">
      <c r="AB248">
        <f t="shared" si="45"/>
        <v>0</v>
      </c>
      <c r="AC248">
        <f t="shared" si="46"/>
        <v>1</v>
      </c>
      <c r="AD248">
        <f t="shared" si="47"/>
        <v>0</v>
      </c>
      <c r="AE248">
        <f t="shared" si="48"/>
        <v>3</v>
      </c>
      <c r="AF248">
        <f t="shared" si="49"/>
        <v>0</v>
      </c>
      <c r="AG248">
        <f t="shared" si="50"/>
        <v>4</v>
      </c>
      <c r="AH248">
        <f t="shared" ca="1" si="52"/>
        <v>1.7515841533151302E-3</v>
      </c>
      <c r="AI248">
        <f>IF(ROW($AA248) - $AA$51 &lt; ($H$16+1)^5, IF(AG248 &gt;= FreeSpinsBonus!$C$16, AG248*FreeSpinsBonus!$E$31, 0), "")</f>
        <v>0</v>
      </c>
      <c r="AJ248">
        <f t="shared" ca="1" si="51"/>
        <v>0</v>
      </c>
      <c r="AK248" s="44"/>
    </row>
    <row r="249" spans="28:37" x14ac:dyDescent="0.3">
      <c r="AB249">
        <f t="shared" si="45"/>
        <v>1</v>
      </c>
      <c r="AC249">
        <f t="shared" si="46"/>
        <v>1</v>
      </c>
      <c r="AD249">
        <f t="shared" si="47"/>
        <v>0</v>
      </c>
      <c r="AE249">
        <f t="shared" si="48"/>
        <v>3</v>
      </c>
      <c r="AF249">
        <f t="shared" si="49"/>
        <v>0</v>
      </c>
      <c r="AG249">
        <f t="shared" si="50"/>
        <v>5</v>
      </c>
      <c r="AH249">
        <f t="shared" ca="1" si="52"/>
        <v>1.8488943840548595E-3</v>
      </c>
      <c r="AI249">
        <f>IF(ROW($AA249) - $AA$51 &lt; ($H$16+1)^5, IF(AG249 &gt;= FreeSpinsBonus!$C$16, AG249*FreeSpinsBonus!$E$31, 0), "")</f>
        <v>7.2865053920139902</v>
      </c>
      <c r="AJ249">
        <f t="shared" ca="1" si="51"/>
        <v>1.3471978898680119E-2</v>
      </c>
      <c r="AK249" s="44"/>
    </row>
    <row r="250" spans="28:37" x14ac:dyDescent="0.3">
      <c r="AB250">
        <f t="shared" si="45"/>
        <v>2</v>
      </c>
      <c r="AC250">
        <f t="shared" si="46"/>
        <v>1</v>
      </c>
      <c r="AD250">
        <f t="shared" si="47"/>
        <v>0</v>
      </c>
      <c r="AE250">
        <f t="shared" si="48"/>
        <v>3</v>
      </c>
      <c r="AF250">
        <f t="shared" si="49"/>
        <v>0</v>
      </c>
      <c r="AG250">
        <f t="shared" si="50"/>
        <v>6</v>
      </c>
      <c r="AH250">
        <f t="shared" ca="1" si="52"/>
        <v>9.7310230739729468E-4</v>
      </c>
      <c r="AI250">
        <f>IF(ROW($AA250) - $AA$51 &lt; ($H$16+1)^5, IF(AG250 &gt;= FreeSpinsBonus!$C$16, AG250*FreeSpinsBonus!$E$31, 0), "")</f>
        <v>8.7438064704167875</v>
      </c>
      <c r="AJ250">
        <f t="shared" ca="1" si="51"/>
        <v>8.5086182517979704E-3</v>
      </c>
      <c r="AK250" s="44"/>
    </row>
    <row r="251" spans="28:37" x14ac:dyDescent="0.3">
      <c r="AB251">
        <f t="shared" si="45"/>
        <v>3</v>
      </c>
      <c r="AC251">
        <f t="shared" si="46"/>
        <v>1</v>
      </c>
      <c r="AD251">
        <f t="shared" si="47"/>
        <v>0</v>
      </c>
      <c r="AE251">
        <f t="shared" si="48"/>
        <v>3</v>
      </c>
      <c r="AF251">
        <f t="shared" si="49"/>
        <v>0</v>
      </c>
      <c r="AG251">
        <f t="shared" si="50"/>
        <v>7</v>
      </c>
      <c r="AH251">
        <f t="shared" ca="1" si="52"/>
        <v>0</v>
      </c>
      <c r="AI251">
        <f>IF(ROW($AA251) - $AA$51 &lt; ($H$16+1)^5, IF(AG251 &gt;= FreeSpinsBonus!$C$16, AG251*FreeSpinsBonus!$E$31, 0), "")</f>
        <v>10.201107548819586</v>
      </c>
      <c r="AJ251">
        <f t="shared" ca="1" si="51"/>
        <v>0</v>
      </c>
      <c r="AK251" s="44"/>
    </row>
    <row r="252" spans="28:37" x14ac:dyDescent="0.3">
      <c r="AB252">
        <f t="shared" si="45"/>
        <v>0</v>
      </c>
      <c r="AC252">
        <f t="shared" si="46"/>
        <v>2</v>
      </c>
      <c r="AD252">
        <f t="shared" si="47"/>
        <v>0</v>
      </c>
      <c r="AE252">
        <f t="shared" si="48"/>
        <v>3</v>
      </c>
      <c r="AF252">
        <f t="shared" si="49"/>
        <v>0</v>
      </c>
      <c r="AG252">
        <f t="shared" si="50"/>
        <v>5</v>
      </c>
      <c r="AH252">
        <f t="shared" ca="1" si="52"/>
        <v>1.7515841533151302E-3</v>
      </c>
      <c r="AI252">
        <f>IF(ROW($AA252) - $AA$51 &lt; ($H$16+1)^5, IF(AG252 &gt;= FreeSpinsBonus!$C$16, AG252*FreeSpinsBonus!$E$31, 0), "")</f>
        <v>7.2865053920139902</v>
      </c>
      <c r="AJ252">
        <f t="shared" ca="1" si="51"/>
        <v>1.2762927377696956E-2</v>
      </c>
      <c r="AK252" s="44"/>
    </row>
    <row r="253" spans="28:37" x14ac:dyDescent="0.3">
      <c r="AB253">
        <f t="shared" si="45"/>
        <v>1</v>
      </c>
      <c r="AC253">
        <f t="shared" si="46"/>
        <v>2</v>
      </c>
      <c r="AD253">
        <f t="shared" si="47"/>
        <v>0</v>
      </c>
      <c r="AE253">
        <f t="shared" si="48"/>
        <v>3</v>
      </c>
      <c r="AF253">
        <f t="shared" si="49"/>
        <v>0</v>
      </c>
      <c r="AG253">
        <f t="shared" si="50"/>
        <v>6</v>
      </c>
      <c r="AH253">
        <f t="shared" ca="1" si="52"/>
        <v>1.8488943840548595E-3</v>
      </c>
      <c r="AI253">
        <f>IF(ROW($AA253) - $AA$51 &lt; ($H$16+1)^5, IF(AG253 &gt;= FreeSpinsBonus!$C$16, AG253*FreeSpinsBonus!$E$31, 0), "")</f>
        <v>8.7438064704167875</v>
      </c>
      <c r="AJ253">
        <f t="shared" ca="1" si="51"/>
        <v>1.6166374678416143E-2</v>
      </c>
      <c r="AK253" s="44"/>
    </row>
    <row r="254" spans="28:37" x14ac:dyDescent="0.3">
      <c r="AB254">
        <f t="shared" si="45"/>
        <v>2</v>
      </c>
      <c r="AC254">
        <f t="shared" si="46"/>
        <v>2</v>
      </c>
      <c r="AD254">
        <f t="shared" si="47"/>
        <v>0</v>
      </c>
      <c r="AE254">
        <f t="shared" si="48"/>
        <v>3</v>
      </c>
      <c r="AF254">
        <f t="shared" si="49"/>
        <v>0</v>
      </c>
      <c r="AG254">
        <f t="shared" si="50"/>
        <v>7</v>
      </c>
      <c r="AH254">
        <f t="shared" ca="1" si="52"/>
        <v>9.7310230739729468E-4</v>
      </c>
      <c r="AI254">
        <f>IF(ROW($AA254) - $AA$51 &lt; ($H$16+1)^5, IF(AG254 &gt;= FreeSpinsBonus!$C$16, AG254*FreeSpinsBonus!$E$31, 0), "")</f>
        <v>10.201107548819586</v>
      </c>
      <c r="AJ254">
        <f t="shared" ca="1" si="51"/>
        <v>9.9267212937643005E-3</v>
      </c>
      <c r="AK254" s="44"/>
    </row>
    <row r="255" spans="28:37" x14ac:dyDescent="0.3">
      <c r="AB255">
        <f t="shared" si="45"/>
        <v>3</v>
      </c>
      <c r="AC255">
        <f t="shared" si="46"/>
        <v>2</v>
      </c>
      <c r="AD255">
        <f t="shared" si="47"/>
        <v>0</v>
      </c>
      <c r="AE255">
        <f t="shared" si="48"/>
        <v>3</v>
      </c>
      <c r="AF255">
        <f t="shared" si="49"/>
        <v>0</v>
      </c>
      <c r="AG255">
        <f t="shared" si="50"/>
        <v>8</v>
      </c>
      <c r="AH255">
        <f t="shared" ca="1" si="52"/>
        <v>0</v>
      </c>
      <c r="AI255">
        <f>IF(ROW($AA255) - $AA$51 &lt; ($H$16+1)^5, IF(AG255 &gt;= FreeSpinsBonus!$C$16, AG255*FreeSpinsBonus!$E$31, 0), "")</f>
        <v>11.658408627222384</v>
      </c>
      <c r="AJ255">
        <f t="shared" ca="1" si="51"/>
        <v>0</v>
      </c>
      <c r="AK255" s="44"/>
    </row>
    <row r="256" spans="28:37" x14ac:dyDescent="0.3">
      <c r="AB256">
        <f t="shared" si="45"/>
        <v>0</v>
      </c>
      <c r="AC256">
        <f t="shared" si="46"/>
        <v>3</v>
      </c>
      <c r="AD256">
        <f t="shared" si="47"/>
        <v>0</v>
      </c>
      <c r="AE256">
        <f t="shared" si="48"/>
        <v>3</v>
      </c>
      <c r="AF256">
        <f t="shared" si="49"/>
        <v>0</v>
      </c>
      <c r="AG256">
        <f t="shared" si="50"/>
        <v>6</v>
      </c>
      <c r="AH256">
        <f t="shared" ca="1" si="52"/>
        <v>6.1820617175828137E-4</v>
      </c>
      <c r="AI256">
        <f>IF(ROW($AA256) - $AA$51 &lt; ($H$16+1)^5, IF(AG256 &gt;= FreeSpinsBonus!$C$16, AG256*FreeSpinsBonus!$E$31, 0), "")</f>
        <v>8.7438064704167875</v>
      </c>
      <c r="AJ256">
        <f t="shared" ca="1" si="51"/>
        <v>5.4054751246716522E-3</v>
      </c>
      <c r="AK256" s="44"/>
    </row>
    <row r="257" spans="28:37" x14ac:dyDescent="0.3">
      <c r="AB257">
        <f t="shared" si="45"/>
        <v>1</v>
      </c>
      <c r="AC257">
        <f t="shared" si="46"/>
        <v>3</v>
      </c>
      <c r="AD257">
        <f t="shared" si="47"/>
        <v>0</v>
      </c>
      <c r="AE257">
        <f t="shared" si="48"/>
        <v>3</v>
      </c>
      <c r="AF257">
        <f t="shared" si="49"/>
        <v>0</v>
      </c>
      <c r="AG257">
        <f t="shared" si="50"/>
        <v>7</v>
      </c>
      <c r="AH257">
        <f t="shared" ca="1" si="52"/>
        <v>6.5255095907818569E-4</v>
      </c>
      <c r="AI257">
        <f>IF(ROW($AA257) - $AA$51 &lt; ($H$16+1)^5, IF(AG257 &gt;= FreeSpinsBonus!$C$16, AG257*FreeSpinsBonus!$E$31, 0), "")</f>
        <v>10.201107548819586</v>
      </c>
      <c r="AJ257">
        <f t="shared" ca="1" si="51"/>
        <v>6.6567425146419404E-3</v>
      </c>
      <c r="AK257" s="44"/>
    </row>
    <row r="258" spans="28:37" x14ac:dyDescent="0.3">
      <c r="AB258">
        <f t="shared" si="45"/>
        <v>2</v>
      </c>
      <c r="AC258">
        <f t="shared" si="46"/>
        <v>3</v>
      </c>
      <c r="AD258">
        <f t="shared" si="47"/>
        <v>0</v>
      </c>
      <c r="AE258">
        <f t="shared" si="48"/>
        <v>3</v>
      </c>
      <c r="AF258">
        <f t="shared" si="49"/>
        <v>0</v>
      </c>
      <c r="AG258">
        <f t="shared" si="50"/>
        <v>8</v>
      </c>
      <c r="AH258">
        <f t="shared" ca="1" si="52"/>
        <v>3.4344787319904517E-4</v>
      </c>
      <c r="AI258">
        <f>IF(ROW($AA258) - $AA$51 &lt; ($H$16+1)^5, IF(AG258 &gt;= FreeSpinsBonus!$C$16, AG258*FreeSpinsBonus!$E$31, 0), "")</f>
        <v>11.658408627222384</v>
      </c>
      <c r="AJ258">
        <f t="shared" ca="1" si="51"/>
        <v>4.0040556479049279E-3</v>
      </c>
      <c r="AK258" s="44"/>
    </row>
    <row r="259" spans="28:37" x14ac:dyDescent="0.3">
      <c r="AB259">
        <f t="shared" si="45"/>
        <v>3</v>
      </c>
      <c r="AC259">
        <f t="shared" si="46"/>
        <v>3</v>
      </c>
      <c r="AD259">
        <f t="shared" si="47"/>
        <v>0</v>
      </c>
      <c r="AE259">
        <f t="shared" si="48"/>
        <v>3</v>
      </c>
      <c r="AF259">
        <f t="shared" si="49"/>
        <v>0</v>
      </c>
      <c r="AG259">
        <f t="shared" si="50"/>
        <v>9</v>
      </c>
      <c r="AH259">
        <f t="shared" ca="1" si="52"/>
        <v>0</v>
      </c>
      <c r="AI259">
        <f>IF(ROW($AA259) - $AA$51 &lt; ($H$16+1)^5, IF(AG259 &gt;= FreeSpinsBonus!$C$16, AG259*FreeSpinsBonus!$E$31, 0), "")</f>
        <v>13.115709705625182</v>
      </c>
      <c r="AJ259">
        <f t="shared" ca="1" si="51"/>
        <v>0</v>
      </c>
      <c r="AK259" s="44"/>
    </row>
    <row r="260" spans="28:37" x14ac:dyDescent="0.3">
      <c r="AB260">
        <f t="shared" si="45"/>
        <v>0</v>
      </c>
      <c r="AC260">
        <f t="shared" si="46"/>
        <v>0</v>
      </c>
      <c r="AD260">
        <f t="shared" si="47"/>
        <v>1</v>
      </c>
      <c r="AE260">
        <f t="shared" si="48"/>
        <v>3</v>
      </c>
      <c r="AF260">
        <f t="shared" si="49"/>
        <v>0</v>
      </c>
      <c r="AG260">
        <f t="shared" si="50"/>
        <v>4</v>
      </c>
      <c r="AH260">
        <f t="shared" ca="1" si="52"/>
        <v>2.1894801916439131E-3</v>
      </c>
      <c r="AI260">
        <f>IF(ROW($AA260) - $AA$51 &lt; ($H$16+1)^5, IF(AG260 &gt;= FreeSpinsBonus!$C$16, AG260*FreeSpinsBonus!$E$31, 0), "")</f>
        <v>0</v>
      </c>
      <c r="AJ260">
        <f t="shared" ca="1" si="51"/>
        <v>0</v>
      </c>
      <c r="AK260" s="44"/>
    </row>
    <row r="261" spans="28:37" x14ac:dyDescent="0.3">
      <c r="AB261">
        <f t="shared" si="45"/>
        <v>1</v>
      </c>
      <c r="AC261">
        <f t="shared" si="46"/>
        <v>0</v>
      </c>
      <c r="AD261">
        <f t="shared" si="47"/>
        <v>1</v>
      </c>
      <c r="AE261">
        <f t="shared" si="48"/>
        <v>3</v>
      </c>
      <c r="AF261">
        <f t="shared" si="49"/>
        <v>0</v>
      </c>
      <c r="AG261">
        <f t="shared" si="50"/>
        <v>5</v>
      </c>
      <c r="AH261">
        <f t="shared" ca="1" si="52"/>
        <v>2.311117980068575E-3</v>
      </c>
      <c r="AI261">
        <f>IF(ROW($AA261) - $AA$51 &lt; ($H$16+1)^5, IF(AG261 &gt;= FreeSpinsBonus!$C$16, AG261*FreeSpinsBonus!$E$31, 0), "")</f>
        <v>7.2865053920139902</v>
      </c>
      <c r="AJ261">
        <f t="shared" ca="1" si="51"/>
        <v>1.6839973623350154E-2</v>
      </c>
      <c r="AK261" s="44"/>
    </row>
    <row r="262" spans="28:37" x14ac:dyDescent="0.3">
      <c r="AB262">
        <f t="shared" si="45"/>
        <v>2</v>
      </c>
      <c r="AC262">
        <f t="shared" si="46"/>
        <v>0</v>
      </c>
      <c r="AD262">
        <f t="shared" si="47"/>
        <v>1</v>
      </c>
      <c r="AE262">
        <f t="shared" si="48"/>
        <v>3</v>
      </c>
      <c r="AF262">
        <f t="shared" si="49"/>
        <v>0</v>
      </c>
      <c r="AG262">
        <f t="shared" si="50"/>
        <v>6</v>
      </c>
      <c r="AH262">
        <f t="shared" ca="1" si="52"/>
        <v>1.2163778842466185E-3</v>
      </c>
      <c r="AI262">
        <f>IF(ROW($AA262) - $AA$51 &lt; ($H$16+1)^5, IF(AG262 &gt;= FreeSpinsBonus!$C$16, AG262*FreeSpinsBonus!$E$31, 0), "")</f>
        <v>8.7438064704167875</v>
      </c>
      <c r="AJ262">
        <f t="shared" ca="1" si="51"/>
        <v>1.0635772814747464E-2</v>
      </c>
      <c r="AK262" s="44"/>
    </row>
    <row r="263" spans="28:37" x14ac:dyDescent="0.3">
      <c r="AB263">
        <f t="shared" si="45"/>
        <v>3</v>
      </c>
      <c r="AC263">
        <f t="shared" si="46"/>
        <v>0</v>
      </c>
      <c r="AD263">
        <f t="shared" si="47"/>
        <v>1</v>
      </c>
      <c r="AE263">
        <f t="shared" si="48"/>
        <v>3</v>
      </c>
      <c r="AF263">
        <f t="shared" si="49"/>
        <v>0</v>
      </c>
      <c r="AG263">
        <f t="shared" si="50"/>
        <v>7</v>
      </c>
      <c r="AH263">
        <f t="shared" ca="1" si="52"/>
        <v>0</v>
      </c>
      <c r="AI263">
        <f>IF(ROW($AA263) - $AA$51 &lt; ($H$16+1)^5, IF(AG263 &gt;= FreeSpinsBonus!$C$16, AG263*FreeSpinsBonus!$E$31, 0), "")</f>
        <v>10.201107548819586</v>
      </c>
      <c r="AJ263">
        <f t="shared" ca="1" si="51"/>
        <v>0</v>
      </c>
      <c r="AK263" s="44"/>
    </row>
    <row r="264" spans="28:37" x14ac:dyDescent="0.3">
      <c r="AB264">
        <f t="shared" si="45"/>
        <v>0</v>
      </c>
      <c r="AC264">
        <f t="shared" si="46"/>
        <v>1</v>
      </c>
      <c r="AD264">
        <f t="shared" si="47"/>
        <v>1</v>
      </c>
      <c r="AE264">
        <f t="shared" si="48"/>
        <v>3</v>
      </c>
      <c r="AF264">
        <f t="shared" si="49"/>
        <v>0</v>
      </c>
      <c r="AG264">
        <f t="shared" si="50"/>
        <v>5</v>
      </c>
      <c r="AH264">
        <f t="shared" ca="1" si="52"/>
        <v>2.1894801916439131E-3</v>
      </c>
      <c r="AI264">
        <f>IF(ROW($AA264) - $AA$51 &lt; ($H$16+1)^5, IF(AG264 &gt;= FreeSpinsBonus!$C$16, AG264*FreeSpinsBonus!$E$31, 0), "")</f>
        <v>7.2865053920139902</v>
      </c>
      <c r="AJ264">
        <f t="shared" ca="1" si="51"/>
        <v>1.5953659222121198E-2</v>
      </c>
      <c r="AK264" s="44"/>
    </row>
    <row r="265" spans="28:37" x14ac:dyDescent="0.3">
      <c r="AB265">
        <f t="shared" si="45"/>
        <v>1</v>
      </c>
      <c r="AC265">
        <f t="shared" si="46"/>
        <v>1</v>
      </c>
      <c r="AD265">
        <f t="shared" si="47"/>
        <v>1</v>
      </c>
      <c r="AE265">
        <f t="shared" si="48"/>
        <v>3</v>
      </c>
      <c r="AF265">
        <f t="shared" si="49"/>
        <v>0</v>
      </c>
      <c r="AG265">
        <f t="shared" si="50"/>
        <v>6</v>
      </c>
      <c r="AH265">
        <f t="shared" ca="1" si="52"/>
        <v>2.311117980068575E-3</v>
      </c>
      <c r="AI265">
        <f>IF(ROW($AA265) - $AA$51 &lt; ($H$16+1)^5, IF(AG265 &gt;= FreeSpinsBonus!$C$16, AG265*FreeSpinsBonus!$E$31, 0), "")</f>
        <v>8.7438064704167875</v>
      </c>
      <c r="AJ265">
        <f t="shared" ca="1" si="51"/>
        <v>2.0207968348020182E-2</v>
      </c>
      <c r="AK265" s="44"/>
    </row>
    <row r="266" spans="28:37" x14ac:dyDescent="0.3">
      <c r="AB266">
        <f t="shared" si="45"/>
        <v>2</v>
      </c>
      <c r="AC266">
        <f t="shared" si="46"/>
        <v>1</v>
      </c>
      <c r="AD266">
        <f t="shared" si="47"/>
        <v>1</v>
      </c>
      <c r="AE266">
        <f t="shared" si="48"/>
        <v>3</v>
      </c>
      <c r="AF266">
        <f t="shared" si="49"/>
        <v>0</v>
      </c>
      <c r="AG266">
        <f t="shared" si="50"/>
        <v>7</v>
      </c>
      <c r="AH266">
        <f t="shared" ca="1" si="52"/>
        <v>1.2163778842466185E-3</v>
      </c>
      <c r="AI266">
        <f>IF(ROW($AA266) - $AA$51 &lt; ($H$16+1)^5, IF(AG266 &gt;= FreeSpinsBonus!$C$16, AG266*FreeSpinsBonus!$E$31, 0), "")</f>
        <v>10.201107548819586</v>
      </c>
      <c r="AJ266">
        <f t="shared" ca="1" si="51"/>
        <v>1.2408401617205377E-2</v>
      </c>
      <c r="AK266" s="44"/>
    </row>
    <row r="267" spans="28:37" x14ac:dyDescent="0.3">
      <c r="AB267">
        <f t="shared" si="45"/>
        <v>3</v>
      </c>
      <c r="AC267">
        <f t="shared" si="46"/>
        <v>1</v>
      </c>
      <c r="AD267">
        <f t="shared" si="47"/>
        <v>1</v>
      </c>
      <c r="AE267">
        <f t="shared" si="48"/>
        <v>3</v>
      </c>
      <c r="AF267">
        <f t="shared" si="49"/>
        <v>0</v>
      </c>
      <c r="AG267">
        <f t="shared" si="50"/>
        <v>8</v>
      </c>
      <c r="AH267">
        <f t="shared" ca="1" si="52"/>
        <v>0</v>
      </c>
      <c r="AI267">
        <f>IF(ROW($AA267) - $AA$51 &lt; ($H$16+1)^5, IF(AG267 &gt;= FreeSpinsBonus!$C$16, AG267*FreeSpinsBonus!$E$31, 0), "")</f>
        <v>11.658408627222384</v>
      </c>
      <c r="AJ267">
        <f t="shared" ca="1" si="51"/>
        <v>0</v>
      </c>
      <c r="AK267" s="44"/>
    </row>
    <row r="268" spans="28:37" x14ac:dyDescent="0.3">
      <c r="AB268">
        <f t="shared" si="45"/>
        <v>0</v>
      </c>
      <c r="AC268">
        <f t="shared" si="46"/>
        <v>2</v>
      </c>
      <c r="AD268">
        <f t="shared" si="47"/>
        <v>1</v>
      </c>
      <c r="AE268">
        <f t="shared" si="48"/>
        <v>3</v>
      </c>
      <c r="AF268">
        <f t="shared" si="49"/>
        <v>0</v>
      </c>
      <c r="AG268">
        <f t="shared" si="50"/>
        <v>6</v>
      </c>
      <c r="AH268">
        <f t="shared" ca="1" si="52"/>
        <v>2.1894801916439131E-3</v>
      </c>
      <c r="AI268">
        <f>IF(ROW($AA268) - $AA$51 &lt; ($H$16+1)^5, IF(AG268 &gt;= FreeSpinsBonus!$C$16, AG268*FreeSpinsBonus!$E$31, 0), "")</f>
        <v>8.7438064704167875</v>
      </c>
      <c r="AJ268">
        <f t="shared" ca="1" si="51"/>
        <v>1.9144391066545436E-2</v>
      </c>
      <c r="AK268" s="44"/>
    </row>
    <row r="269" spans="28:37" x14ac:dyDescent="0.3">
      <c r="AB269">
        <f t="shared" si="45"/>
        <v>1</v>
      </c>
      <c r="AC269">
        <f t="shared" si="46"/>
        <v>2</v>
      </c>
      <c r="AD269">
        <f t="shared" si="47"/>
        <v>1</v>
      </c>
      <c r="AE269">
        <f t="shared" si="48"/>
        <v>3</v>
      </c>
      <c r="AF269">
        <f t="shared" si="49"/>
        <v>0</v>
      </c>
      <c r="AG269">
        <f t="shared" si="50"/>
        <v>7</v>
      </c>
      <c r="AH269">
        <f t="shared" ca="1" si="52"/>
        <v>2.311117980068575E-3</v>
      </c>
      <c r="AI269">
        <f>IF(ROW($AA269) - $AA$51 &lt; ($H$16+1)^5, IF(AG269 &gt;= FreeSpinsBonus!$C$16, AG269*FreeSpinsBonus!$E$31, 0), "")</f>
        <v>10.201107548819586</v>
      </c>
      <c r="AJ269">
        <f t="shared" ca="1" si="51"/>
        <v>2.3575963072690213E-2</v>
      </c>
      <c r="AK269" s="44"/>
    </row>
    <row r="270" spans="28:37" x14ac:dyDescent="0.3">
      <c r="AB270">
        <f t="shared" si="45"/>
        <v>2</v>
      </c>
      <c r="AC270">
        <f t="shared" si="46"/>
        <v>2</v>
      </c>
      <c r="AD270">
        <f t="shared" si="47"/>
        <v>1</v>
      </c>
      <c r="AE270">
        <f t="shared" si="48"/>
        <v>3</v>
      </c>
      <c r="AF270">
        <f t="shared" si="49"/>
        <v>0</v>
      </c>
      <c r="AG270">
        <f t="shared" si="50"/>
        <v>8</v>
      </c>
      <c r="AH270">
        <f t="shared" ca="1" si="52"/>
        <v>1.2163778842466185E-3</v>
      </c>
      <c r="AI270">
        <f>IF(ROW($AA270) - $AA$51 &lt; ($H$16+1)^5, IF(AG270 &gt;= FreeSpinsBonus!$C$16, AG270*FreeSpinsBonus!$E$31, 0), "")</f>
        <v>11.658408627222384</v>
      </c>
      <c r="AJ270">
        <f t="shared" ca="1" si="51"/>
        <v>1.4181030419663287E-2</v>
      </c>
      <c r="AK270" s="44"/>
    </row>
    <row r="271" spans="28:37" x14ac:dyDescent="0.3">
      <c r="AB271">
        <f t="shared" si="45"/>
        <v>3</v>
      </c>
      <c r="AC271">
        <f t="shared" si="46"/>
        <v>2</v>
      </c>
      <c r="AD271">
        <f t="shared" si="47"/>
        <v>1</v>
      </c>
      <c r="AE271">
        <f t="shared" si="48"/>
        <v>3</v>
      </c>
      <c r="AF271">
        <f t="shared" si="49"/>
        <v>0</v>
      </c>
      <c r="AG271">
        <f t="shared" si="50"/>
        <v>9</v>
      </c>
      <c r="AH271">
        <f t="shared" ca="1" si="52"/>
        <v>0</v>
      </c>
      <c r="AI271">
        <f>IF(ROW($AA271) - $AA$51 &lt; ($H$16+1)^5, IF(AG271 &gt;= FreeSpinsBonus!$C$16, AG271*FreeSpinsBonus!$E$31, 0), "")</f>
        <v>13.115709705625182</v>
      </c>
      <c r="AJ271">
        <f t="shared" ca="1" si="51"/>
        <v>0</v>
      </c>
      <c r="AK271" s="44"/>
    </row>
    <row r="272" spans="28:37" x14ac:dyDescent="0.3">
      <c r="AB272">
        <f t="shared" si="45"/>
        <v>0</v>
      </c>
      <c r="AC272">
        <f t="shared" si="46"/>
        <v>3</v>
      </c>
      <c r="AD272">
        <f t="shared" si="47"/>
        <v>1</v>
      </c>
      <c r="AE272">
        <f t="shared" si="48"/>
        <v>3</v>
      </c>
      <c r="AF272">
        <f t="shared" si="49"/>
        <v>0</v>
      </c>
      <c r="AG272">
        <f t="shared" si="50"/>
        <v>7</v>
      </c>
      <c r="AH272">
        <f t="shared" ca="1" si="52"/>
        <v>7.7275771469785179E-4</v>
      </c>
      <c r="AI272">
        <f>IF(ROW($AA272) - $AA$51 &lt; ($H$16+1)^5, IF(AG272 &gt;= FreeSpinsBonus!$C$16, AG272*FreeSpinsBonus!$E$31, 0), "")</f>
        <v>10.201107548819586</v>
      </c>
      <c r="AJ272">
        <f t="shared" ca="1" si="51"/>
        <v>7.8829845568128276E-3</v>
      </c>
      <c r="AK272" s="44"/>
    </row>
    <row r="273" spans="28:37" x14ac:dyDescent="0.3">
      <c r="AB273">
        <f t="shared" si="45"/>
        <v>1</v>
      </c>
      <c r="AC273">
        <f t="shared" si="46"/>
        <v>3</v>
      </c>
      <c r="AD273">
        <f t="shared" si="47"/>
        <v>1</v>
      </c>
      <c r="AE273">
        <f t="shared" si="48"/>
        <v>3</v>
      </c>
      <c r="AF273">
        <f t="shared" si="49"/>
        <v>0</v>
      </c>
      <c r="AG273">
        <f t="shared" si="50"/>
        <v>8</v>
      </c>
      <c r="AH273">
        <f t="shared" ca="1" si="52"/>
        <v>8.1568869884773225E-4</v>
      </c>
      <c r="AI273">
        <f>IF(ROW($AA273) - $AA$51 &lt; ($H$16+1)^5, IF(AG273 &gt;= FreeSpinsBonus!$C$16, AG273*FreeSpinsBonus!$E$31, 0), "")</f>
        <v>11.658408627222384</v>
      </c>
      <c r="AJ273">
        <f t="shared" ca="1" si="51"/>
        <v>9.509632163774203E-3</v>
      </c>
      <c r="AK273" s="44"/>
    </row>
    <row r="274" spans="28:37" x14ac:dyDescent="0.3">
      <c r="AB274">
        <f t="shared" si="45"/>
        <v>2</v>
      </c>
      <c r="AC274">
        <f t="shared" si="46"/>
        <v>3</v>
      </c>
      <c r="AD274">
        <f t="shared" si="47"/>
        <v>1</v>
      </c>
      <c r="AE274">
        <f t="shared" si="48"/>
        <v>3</v>
      </c>
      <c r="AF274">
        <f t="shared" si="49"/>
        <v>0</v>
      </c>
      <c r="AG274">
        <f t="shared" si="50"/>
        <v>9</v>
      </c>
      <c r="AH274">
        <f t="shared" ca="1" si="52"/>
        <v>4.2930984149880651E-4</v>
      </c>
      <c r="AI274">
        <f>IF(ROW($AA274) - $AA$51 &lt; ($H$16+1)^5, IF(AG274 &gt;= FreeSpinsBonus!$C$16, AG274*FreeSpinsBonus!$E$31, 0), "")</f>
        <v>13.115709705625182</v>
      </c>
      <c r="AJ274">
        <f t="shared" ca="1" si="51"/>
        <v>5.6307032548663051E-3</v>
      </c>
      <c r="AK274" s="44"/>
    </row>
    <row r="275" spans="28:37" x14ac:dyDescent="0.3">
      <c r="AB275">
        <f t="shared" si="45"/>
        <v>3</v>
      </c>
      <c r="AC275">
        <f t="shared" si="46"/>
        <v>3</v>
      </c>
      <c r="AD275">
        <f t="shared" si="47"/>
        <v>1</v>
      </c>
      <c r="AE275">
        <f t="shared" si="48"/>
        <v>3</v>
      </c>
      <c r="AF275">
        <f t="shared" si="49"/>
        <v>0</v>
      </c>
      <c r="AG275">
        <f t="shared" si="50"/>
        <v>10</v>
      </c>
      <c r="AH275">
        <f t="shared" ca="1" si="52"/>
        <v>0</v>
      </c>
      <c r="AI275">
        <f>IF(ROW($AA275) - $AA$51 &lt; ($H$16+1)^5, IF(AG275 &gt;= FreeSpinsBonus!$C$16, AG275*FreeSpinsBonus!$E$31, 0), "")</f>
        <v>14.57301078402798</v>
      </c>
      <c r="AJ275">
        <f t="shared" ca="1" si="51"/>
        <v>0</v>
      </c>
      <c r="AK275" s="44"/>
    </row>
    <row r="276" spans="28:37" x14ac:dyDescent="0.3">
      <c r="AB276">
        <f t="shared" si="45"/>
        <v>0</v>
      </c>
      <c r="AC276">
        <f t="shared" si="46"/>
        <v>0</v>
      </c>
      <c r="AD276">
        <f t="shared" si="47"/>
        <v>2</v>
      </c>
      <c r="AE276">
        <f t="shared" si="48"/>
        <v>3</v>
      </c>
      <c r="AF276">
        <f t="shared" si="49"/>
        <v>0</v>
      </c>
      <c r="AG276">
        <f t="shared" si="50"/>
        <v>5</v>
      </c>
      <c r="AH276">
        <f t="shared" ca="1" si="52"/>
        <v>1.2042141054041521E-3</v>
      </c>
      <c r="AI276">
        <f>IF(ROW($AA276) - $AA$51 &lt; ($H$16+1)^5, IF(AG276 &gt;= FreeSpinsBonus!$C$16, AG276*FreeSpinsBonus!$E$31, 0), "")</f>
        <v>7.2865053920139902</v>
      </c>
      <c r="AJ276">
        <f t="shared" ca="1" si="51"/>
        <v>8.7745125721666577E-3</v>
      </c>
      <c r="AK276" s="44"/>
    </row>
    <row r="277" spans="28:37" x14ac:dyDescent="0.3">
      <c r="AB277">
        <f t="shared" si="45"/>
        <v>1</v>
      </c>
      <c r="AC277">
        <f t="shared" si="46"/>
        <v>0</v>
      </c>
      <c r="AD277">
        <f t="shared" si="47"/>
        <v>2</v>
      </c>
      <c r="AE277">
        <f t="shared" si="48"/>
        <v>3</v>
      </c>
      <c r="AF277">
        <f t="shared" si="49"/>
        <v>0</v>
      </c>
      <c r="AG277">
        <f t="shared" si="50"/>
        <v>6</v>
      </c>
      <c r="AH277">
        <f t="shared" ca="1" si="52"/>
        <v>1.2711148890377161E-3</v>
      </c>
      <c r="AI277">
        <f>IF(ROW($AA277) - $AA$51 &lt; ($H$16+1)^5, IF(AG277 &gt;= FreeSpinsBonus!$C$16, AG277*FreeSpinsBonus!$E$31, 0), "")</f>
        <v>8.7438064704167875</v>
      </c>
      <c r="AJ277">
        <f t="shared" ca="1" si="51"/>
        <v>1.11143825914111E-2</v>
      </c>
      <c r="AK277" s="44"/>
    </row>
    <row r="278" spans="28:37" x14ac:dyDescent="0.3">
      <c r="AB278">
        <f t="shared" si="45"/>
        <v>2</v>
      </c>
      <c r="AC278">
        <f t="shared" si="46"/>
        <v>0</v>
      </c>
      <c r="AD278">
        <f t="shared" si="47"/>
        <v>2</v>
      </c>
      <c r="AE278">
        <f t="shared" si="48"/>
        <v>3</v>
      </c>
      <c r="AF278">
        <f t="shared" si="49"/>
        <v>0</v>
      </c>
      <c r="AG278">
        <f t="shared" si="50"/>
        <v>7</v>
      </c>
      <c r="AH278">
        <f t="shared" ca="1" si="52"/>
        <v>6.6900783633564007E-4</v>
      </c>
      <c r="AI278">
        <f>IF(ROW($AA278) - $AA$51 &lt; ($H$16+1)^5, IF(AG278 &gt;= FreeSpinsBonus!$C$16, AG278*FreeSpinsBonus!$E$31, 0), "")</f>
        <v>10.201107548819586</v>
      </c>
      <c r="AJ278">
        <f t="shared" ca="1" si="51"/>
        <v>6.8246208894629555E-3</v>
      </c>
      <c r="AK278" s="44"/>
    </row>
    <row r="279" spans="28:37" x14ac:dyDescent="0.3">
      <c r="AB279">
        <f t="shared" si="45"/>
        <v>3</v>
      </c>
      <c r="AC279">
        <f t="shared" si="46"/>
        <v>0</v>
      </c>
      <c r="AD279">
        <f t="shared" si="47"/>
        <v>2</v>
      </c>
      <c r="AE279">
        <f t="shared" si="48"/>
        <v>3</v>
      </c>
      <c r="AF279">
        <f t="shared" si="49"/>
        <v>0</v>
      </c>
      <c r="AG279">
        <f t="shared" si="50"/>
        <v>8</v>
      </c>
      <c r="AH279">
        <f t="shared" ca="1" si="52"/>
        <v>0</v>
      </c>
      <c r="AI279">
        <f>IF(ROW($AA279) - $AA$51 &lt; ($H$16+1)^5, IF(AG279 &gt;= FreeSpinsBonus!$C$16, AG279*FreeSpinsBonus!$E$31, 0), "")</f>
        <v>11.658408627222384</v>
      </c>
      <c r="AJ279">
        <f t="shared" ca="1" si="51"/>
        <v>0</v>
      </c>
      <c r="AK279" s="44"/>
    </row>
    <row r="280" spans="28:37" x14ac:dyDescent="0.3">
      <c r="AB280">
        <f t="shared" si="45"/>
        <v>0</v>
      </c>
      <c r="AC280">
        <f t="shared" si="46"/>
        <v>1</v>
      </c>
      <c r="AD280">
        <f t="shared" si="47"/>
        <v>2</v>
      </c>
      <c r="AE280">
        <f t="shared" si="48"/>
        <v>3</v>
      </c>
      <c r="AF280">
        <f t="shared" si="49"/>
        <v>0</v>
      </c>
      <c r="AG280">
        <f t="shared" si="50"/>
        <v>6</v>
      </c>
      <c r="AH280">
        <f t="shared" ca="1" si="52"/>
        <v>1.2042141054041521E-3</v>
      </c>
      <c r="AI280">
        <f>IF(ROW($AA280) - $AA$51 &lt; ($H$16+1)^5, IF(AG280 &gt;= FreeSpinsBonus!$C$16, AG280*FreeSpinsBonus!$E$31, 0), "")</f>
        <v>8.7438064704167875</v>
      </c>
      <c r="AJ280">
        <f t="shared" ca="1" si="51"/>
        <v>1.0529415086599988E-2</v>
      </c>
      <c r="AK280" s="44"/>
    </row>
    <row r="281" spans="28:37" x14ac:dyDescent="0.3">
      <c r="AB281">
        <f t="shared" si="45"/>
        <v>1</v>
      </c>
      <c r="AC281">
        <f t="shared" si="46"/>
        <v>1</v>
      </c>
      <c r="AD281">
        <f t="shared" si="47"/>
        <v>2</v>
      </c>
      <c r="AE281">
        <f t="shared" si="48"/>
        <v>3</v>
      </c>
      <c r="AF281">
        <f t="shared" si="49"/>
        <v>0</v>
      </c>
      <c r="AG281">
        <f t="shared" si="50"/>
        <v>7</v>
      </c>
      <c r="AH281">
        <f t="shared" ca="1" si="52"/>
        <v>1.2711148890377161E-3</v>
      </c>
      <c r="AI281">
        <f>IF(ROW($AA281) - $AA$51 &lt; ($H$16+1)^5, IF(AG281 &gt;= FreeSpinsBonus!$C$16, AG281*FreeSpinsBonus!$E$31, 0), "")</f>
        <v>10.201107548819586</v>
      </c>
      <c r="AJ281">
        <f t="shared" ca="1" si="51"/>
        <v>1.2966779689979616E-2</v>
      </c>
      <c r="AK281" s="44"/>
    </row>
    <row r="282" spans="28:37" x14ac:dyDescent="0.3">
      <c r="AB282">
        <f t="shared" si="45"/>
        <v>2</v>
      </c>
      <c r="AC282">
        <f t="shared" si="46"/>
        <v>1</v>
      </c>
      <c r="AD282">
        <f t="shared" si="47"/>
        <v>2</v>
      </c>
      <c r="AE282">
        <f t="shared" si="48"/>
        <v>3</v>
      </c>
      <c r="AF282">
        <f t="shared" si="49"/>
        <v>0</v>
      </c>
      <c r="AG282">
        <f t="shared" si="50"/>
        <v>8</v>
      </c>
      <c r="AH282">
        <f t="shared" ca="1" si="52"/>
        <v>6.6900783633564007E-4</v>
      </c>
      <c r="AI282">
        <f>IF(ROW($AA282) - $AA$51 &lt; ($H$16+1)^5, IF(AG282 &gt;= FreeSpinsBonus!$C$16, AG282*FreeSpinsBonus!$E$31, 0), "")</f>
        <v>11.658408627222384</v>
      </c>
      <c r="AJ282">
        <f t="shared" ca="1" si="51"/>
        <v>7.7995667308148071E-3</v>
      </c>
      <c r="AK282" s="44"/>
    </row>
    <row r="283" spans="28:37" x14ac:dyDescent="0.3">
      <c r="AB283">
        <f t="shared" si="45"/>
        <v>3</v>
      </c>
      <c r="AC283">
        <f t="shared" si="46"/>
        <v>1</v>
      </c>
      <c r="AD283">
        <f t="shared" si="47"/>
        <v>2</v>
      </c>
      <c r="AE283">
        <f t="shared" si="48"/>
        <v>3</v>
      </c>
      <c r="AF283">
        <f t="shared" si="49"/>
        <v>0</v>
      </c>
      <c r="AG283">
        <f t="shared" si="50"/>
        <v>9</v>
      </c>
      <c r="AH283">
        <f t="shared" ca="1" si="52"/>
        <v>0</v>
      </c>
      <c r="AI283">
        <f>IF(ROW($AA283) - $AA$51 &lt; ($H$16+1)^5, IF(AG283 &gt;= FreeSpinsBonus!$C$16, AG283*FreeSpinsBonus!$E$31, 0), "")</f>
        <v>13.115709705625182</v>
      </c>
      <c r="AJ283">
        <f t="shared" ca="1" si="51"/>
        <v>0</v>
      </c>
      <c r="AK283" s="44"/>
    </row>
    <row r="284" spans="28:37" x14ac:dyDescent="0.3">
      <c r="AB284">
        <f t="shared" si="45"/>
        <v>0</v>
      </c>
      <c r="AC284">
        <f t="shared" si="46"/>
        <v>2</v>
      </c>
      <c r="AD284">
        <f t="shared" si="47"/>
        <v>2</v>
      </c>
      <c r="AE284">
        <f t="shared" si="48"/>
        <v>3</v>
      </c>
      <c r="AF284">
        <f t="shared" si="49"/>
        <v>0</v>
      </c>
      <c r="AG284">
        <f t="shared" si="50"/>
        <v>7</v>
      </c>
      <c r="AH284">
        <f t="shared" ca="1" si="52"/>
        <v>1.2042141054041521E-3</v>
      </c>
      <c r="AI284">
        <f>IF(ROW($AA284) - $AA$51 &lt; ($H$16+1)^5, IF(AG284 &gt;= FreeSpinsBonus!$C$16, AG284*FreeSpinsBonus!$E$31, 0), "")</f>
        <v>10.201107548819586</v>
      </c>
      <c r="AJ284">
        <f t="shared" ca="1" si="51"/>
        <v>1.228431760103332E-2</v>
      </c>
      <c r="AK284" s="44"/>
    </row>
    <row r="285" spans="28:37" x14ac:dyDescent="0.3">
      <c r="AB285">
        <f t="shared" si="45"/>
        <v>1</v>
      </c>
      <c r="AC285">
        <f t="shared" si="46"/>
        <v>2</v>
      </c>
      <c r="AD285">
        <f t="shared" si="47"/>
        <v>2</v>
      </c>
      <c r="AE285">
        <f t="shared" si="48"/>
        <v>3</v>
      </c>
      <c r="AF285">
        <f t="shared" si="49"/>
        <v>0</v>
      </c>
      <c r="AG285">
        <f t="shared" si="50"/>
        <v>8</v>
      </c>
      <c r="AH285">
        <f t="shared" ca="1" si="52"/>
        <v>1.2711148890377161E-3</v>
      </c>
      <c r="AI285">
        <f>IF(ROW($AA285) - $AA$51 &lt; ($H$16+1)^5, IF(AG285 &gt;= FreeSpinsBonus!$C$16, AG285*FreeSpinsBonus!$E$31, 0), "")</f>
        <v>11.658408627222384</v>
      </c>
      <c r="AJ285">
        <f t="shared" ca="1" si="51"/>
        <v>1.4819176788548133E-2</v>
      </c>
      <c r="AK285" s="44"/>
    </row>
    <row r="286" spans="28:37" x14ac:dyDescent="0.3">
      <c r="AB286">
        <f t="shared" si="45"/>
        <v>2</v>
      </c>
      <c r="AC286">
        <f t="shared" si="46"/>
        <v>2</v>
      </c>
      <c r="AD286">
        <f t="shared" si="47"/>
        <v>2</v>
      </c>
      <c r="AE286">
        <f t="shared" si="48"/>
        <v>3</v>
      </c>
      <c r="AF286">
        <f t="shared" si="49"/>
        <v>0</v>
      </c>
      <c r="AG286">
        <f t="shared" si="50"/>
        <v>9</v>
      </c>
      <c r="AH286">
        <f t="shared" ca="1" si="52"/>
        <v>6.6900783633564007E-4</v>
      </c>
      <c r="AI286">
        <f>IF(ROW($AA286) - $AA$51 &lt; ($H$16+1)^5, IF(AG286 &gt;= FreeSpinsBonus!$C$16, AG286*FreeSpinsBonus!$E$31, 0), "")</f>
        <v>13.115709705625182</v>
      </c>
      <c r="AJ286">
        <f t="shared" ca="1" si="51"/>
        <v>8.7745125721666577E-3</v>
      </c>
      <c r="AK286" s="44"/>
    </row>
    <row r="287" spans="28:37" x14ac:dyDescent="0.3">
      <c r="AB287">
        <f t="shared" si="45"/>
        <v>3</v>
      </c>
      <c r="AC287">
        <f t="shared" si="46"/>
        <v>2</v>
      </c>
      <c r="AD287">
        <f t="shared" si="47"/>
        <v>2</v>
      </c>
      <c r="AE287">
        <f t="shared" si="48"/>
        <v>3</v>
      </c>
      <c r="AF287">
        <f t="shared" si="49"/>
        <v>0</v>
      </c>
      <c r="AG287">
        <f t="shared" si="50"/>
        <v>10</v>
      </c>
      <c r="AH287">
        <f t="shared" ca="1" si="52"/>
        <v>0</v>
      </c>
      <c r="AI287">
        <f>IF(ROW($AA287) - $AA$51 &lt; ($H$16+1)^5, IF(AG287 &gt;= FreeSpinsBonus!$C$16, AG287*FreeSpinsBonus!$E$31, 0), "")</f>
        <v>14.57301078402798</v>
      </c>
      <c r="AJ287">
        <f t="shared" ca="1" si="51"/>
        <v>0</v>
      </c>
      <c r="AK287" s="44"/>
    </row>
    <row r="288" spans="28:37" x14ac:dyDescent="0.3">
      <c r="AB288">
        <f t="shared" si="45"/>
        <v>0</v>
      </c>
      <c r="AC288">
        <f t="shared" si="46"/>
        <v>3</v>
      </c>
      <c r="AD288">
        <f t="shared" si="47"/>
        <v>2</v>
      </c>
      <c r="AE288">
        <f t="shared" si="48"/>
        <v>3</v>
      </c>
      <c r="AF288">
        <f t="shared" si="49"/>
        <v>0</v>
      </c>
      <c r="AG288">
        <f t="shared" si="50"/>
        <v>8</v>
      </c>
      <c r="AH288">
        <f t="shared" ca="1" si="52"/>
        <v>4.2501674308381845E-4</v>
      </c>
      <c r="AI288">
        <f>IF(ROW($AA288) - $AA$51 &lt; ($H$16+1)^5, IF(AG288 &gt;= FreeSpinsBonus!$C$16, AG288*FreeSpinsBonus!$E$31, 0), "")</f>
        <v>11.658408627222384</v>
      </c>
      <c r="AJ288">
        <f t="shared" ca="1" si="51"/>
        <v>4.9550188642823482E-3</v>
      </c>
    </row>
    <row r="289" spans="28:36" x14ac:dyDescent="0.3">
      <c r="AB289">
        <f t="shared" si="45"/>
        <v>1</v>
      </c>
      <c r="AC289">
        <f t="shared" si="46"/>
        <v>3</v>
      </c>
      <c r="AD289">
        <f t="shared" si="47"/>
        <v>2</v>
      </c>
      <c r="AE289">
        <f t="shared" si="48"/>
        <v>3</v>
      </c>
      <c r="AF289">
        <f t="shared" si="49"/>
        <v>0</v>
      </c>
      <c r="AG289">
        <f t="shared" si="50"/>
        <v>9</v>
      </c>
      <c r="AH289">
        <f t="shared" ca="1" si="52"/>
        <v>4.4862878436625279E-4</v>
      </c>
      <c r="AI289">
        <f>IF(ROW($AA289) - $AA$51 &lt; ($H$16+1)^5, IF(AG289 &gt;= FreeSpinsBonus!$C$16, AG289*FreeSpinsBonus!$E$31, 0), "")</f>
        <v>13.115709705625182</v>
      </c>
      <c r="AJ289">
        <f t="shared" ca="1" si="51"/>
        <v>5.8840849013352889E-3</v>
      </c>
    </row>
    <row r="290" spans="28:36" x14ac:dyDescent="0.3">
      <c r="AB290">
        <f t="shared" si="45"/>
        <v>2</v>
      </c>
      <c r="AC290">
        <f t="shared" si="46"/>
        <v>3</v>
      </c>
      <c r="AD290">
        <f t="shared" si="47"/>
        <v>2</v>
      </c>
      <c r="AE290">
        <f t="shared" si="48"/>
        <v>3</v>
      </c>
      <c r="AF290">
        <f t="shared" si="49"/>
        <v>0</v>
      </c>
      <c r="AG290">
        <f t="shared" si="50"/>
        <v>10</v>
      </c>
      <c r="AH290">
        <f t="shared" ca="1" si="52"/>
        <v>2.3612041282434354E-4</v>
      </c>
      <c r="AI290">
        <f>IF(ROW($AA290) - $AA$51 &lt; ($H$16+1)^5, IF(AG290 &gt;= FreeSpinsBonus!$C$16, AG290*FreeSpinsBonus!$E$31, 0), "")</f>
        <v>14.57301078402798</v>
      </c>
      <c r="AJ290">
        <f t="shared" ca="1" si="51"/>
        <v>3.4409853224182971E-3</v>
      </c>
    </row>
    <row r="291" spans="28:36" x14ac:dyDescent="0.3">
      <c r="AB291">
        <f t="shared" si="45"/>
        <v>3</v>
      </c>
      <c r="AC291">
        <f t="shared" si="46"/>
        <v>3</v>
      </c>
      <c r="AD291">
        <f t="shared" si="47"/>
        <v>2</v>
      </c>
      <c r="AE291">
        <f t="shared" si="48"/>
        <v>3</v>
      </c>
      <c r="AF291">
        <f t="shared" si="49"/>
        <v>0</v>
      </c>
      <c r="AG291">
        <f t="shared" si="50"/>
        <v>11</v>
      </c>
      <c r="AH291">
        <f t="shared" ca="1" si="52"/>
        <v>0</v>
      </c>
      <c r="AI291">
        <f>IF(ROW($AA291) - $AA$51 &lt; ($H$16+1)^5, IF(AG291 &gt;= FreeSpinsBonus!$C$16, AG291*FreeSpinsBonus!$E$31, 0), "")</f>
        <v>16.030311862430779</v>
      </c>
      <c r="AJ291">
        <f t="shared" ca="1" si="51"/>
        <v>0</v>
      </c>
    </row>
    <row r="292" spans="28:36" x14ac:dyDescent="0.3">
      <c r="AB292">
        <f t="shared" si="45"/>
        <v>0</v>
      </c>
      <c r="AC292">
        <f t="shared" si="46"/>
        <v>0</v>
      </c>
      <c r="AD292">
        <f t="shared" si="47"/>
        <v>3</v>
      </c>
      <c r="AE292">
        <f t="shared" si="48"/>
        <v>3</v>
      </c>
      <c r="AF292">
        <f t="shared" si="49"/>
        <v>0</v>
      </c>
      <c r="AG292">
        <f t="shared" si="50"/>
        <v>6</v>
      </c>
      <c r="AH292">
        <f t="shared" ca="1" si="52"/>
        <v>1.0947400958219564E-4</v>
      </c>
      <c r="AI292">
        <f>IF(ROW($AA292) - $AA$51 &lt; ($H$16+1)^5, IF(AG292 &gt;= FreeSpinsBonus!$C$16, AG292*FreeSpinsBonus!$E$31, 0), "")</f>
        <v>8.7438064704167875</v>
      </c>
      <c r="AJ292">
        <f t="shared" ca="1" si="51"/>
        <v>9.5721955332727163E-4</v>
      </c>
    </row>
    <row r="293" spans="28:36" x14ac:dyDescent="0.3">
      <c r="AB293">
        <f t="shared" si="45"/>
        <v>1</v>
      </c>
      <c r="AC293">
        <f t="shared" si="46"/>
        <v>0</v>
      </c>
      <c r="AD293">
        <f t="shared" si="47"/>
        <v>3</v>
      </c>
      <c r="AE293">
        <f t="shared" si="48"/>
        <v>3</v>
      </c>
      <c r="AF293">
        <f t="shared" si="49"/>
        <v>0</v>
      </c>
      <c r="AG293">
        <f t="shared" si="50"/>
        <v>7</v>
      </c>
      <c r="AH293">
        <f t="shared" ca="1" si="52"/>
        <v>1.1555589900342872E-4</v>
      </c>
      <c r="AI293">
        <f>IF(ROW($AA293) - $AA$51 &lt; ($H$16+1)^5, IF(AG293 &gt;= FreeSpinsBonus!$C$16, AG293*FreeSpinsBonus!$E$31, 0), "")</f>
        <v>10.201107548819586</v>
      </c>
      <c r="AJ293">
        <f t="shared" ca="1" si="51"/>
        <v>1.1787981536345103E-3</v>
      </c>
    </row>
    <row r="294" spans="28:36" x14ac:dyDescent="0.3">
      <c r="AB294">
        <f t="shared" si="45"/>
        <v>2</v>
      </c>
      <c r="AC294">
        <f t="shared" si="46"/>
        <v>0</v>
      </c>
      <c r="AD294">
        <f t="shared" si="47"/>
        <v>3</v>
      </c>
      <c r="AE294">
        <f t="shared" si="48"/>
        <v>3</v>
      </c>
      <c r="AF294">
        <f t="shared" si="49"/>
        <v>0</v>
      </c>
      <c r="AG294">
        <f t="shared" si="50"/>
        <v>8</v>
      </c>
      <c r="AH294">
        <f t="shared" ca="1" si="52"/>
        <v>6.0818894212330917E-5</v>
      </c>
      <c r="AI294">
        <f>IF(ROW($AA294) - $AA$51 &lt; ($H$16+1)^5, IF(AG294 &gt;= FreeSpinsBonus!$C$16, AG294*FreeSpinsBonus!$E$31, 0), "")</f>
        <v>11.658408627222384</v>
      </c>
      <c r="AJ294">
        <f t="shared" ca="1" si="51"/>
        <v>7.0905152098316431E-4</v>
      </c>
    </row>
    <row r="295" spans="28:36" x14ac:dyDescent="0.3">
      <c r="AB295">
        <f t="shared" si="45"/>
        <v>3</v>
      </c>
      <c r="AC295">
        <f t="shared" si="46"/>
        <v>0</v>
      </c>
      <c r="AD295">
        <f t="shared" si="47"/>
        <v>3</v>
      </c>
      <c r="AE295">
        <f t="shared" si="48"/>
        <v>3</v>
      </c>
      <c r="AF295">
        <f t="shared" si="49"/>
        <v>0</v>
      </c>
      <c r="AG295">
        <f t="shared" si="50"/>
        <v>9</v>
      </c>
      <c r="AH295">
        <f t="shared" ca="1" si="52"/>
        <v>0</v>
      </c>
      <c r="AI295">
        <f>IF(ROW($AA295) - $AA$51 &lt; ($H$16+1)^5, IF(AG295 &gt;= FreeSpinsBonus!$C$16, AG295*FreeSpinsBonus!$E$31, 0), "")</f>
        <v>13.115709705625182</v>
      </c>
      <c r="AJ295">
        <f t="shared" ca="1" si="51"/>
        <v>0</v>
      </c>
    </row>
    <row r="296" spans="28:36" x14ac:dyDescent="0.3">
      <c r="AB296">
        <f t="shared" si="45"/>
        <v>0</v>
      </c>
      <c r="AC296">
        <f t="shared" si="46"/>
        <v>1</v>
      </c>
      <c r="AD296">
        <f t="shared" si="47"/>
        <v>3</v>
      </c>
      <c r="AE296">
        <f t="shared" si="48"/>
        <v>3</v>
      </c>
      <c r="AF296">
        <f t="shared" si="49"/>
        <v>0</v>
      </c>
      <c r="AG296">
        <f t="shared" si="50"/>
        <v>7</v>
      </c>
      <c r="AH296">
        <f t="shared" ca="1" si="52"/>
        <v>1.0947400958219564E-4</v>
      </c>
      <c r="AI296">
        <f>IF(ROW($AA296) - $AA$51 &lt; ($H$16+1)^5, IF(AG296 &gt;= FreeSpinsBonus!$C$16, AG296*FreeSpinsBonus!$E$31, 0), "")</f>
        <v>10.201107548819586</v>
      </c>
      <c r="AJ296">
        <f t="shared" ca="1" si="51"/>
        <v>1.1167561455484836E-3</v>
      </c>
    </row>
    <row r="297" spans="28:36" x14ac:dyDescent="0.3">
      <c r="AB297">
        <f t="shared" si="45"/>
        <v>1</v>
      </c>
      <c r="AC297">
        <f t="shared" si="46"/>
        <v>1</v>
      </c>
      <c r="AD297">
        <f t="shared" si="47"/>
        <v>3</v>
      </c>
      <c r="AE297">
        <f t="shared" si="48"/>
        <v>3</v>
      </c>
      <c r="AF297">
        <f t="shared" si="49"/>
        <v>0</v>
      </c>
      <c r="AG297">
        <f t="shared" si="50"/>
        <v>8</v>
      </c>
      <c r="AH297">
        <f t="shared" ca="1" si="52"/>
        <v>1.1555589900342872E-4</v>
      </c>
      <c r="AI297">
        <f>IF(ROW($AA297) - $AA$51 &lt; ($H$16+1)^5, IF(AG297 &gt;= FreeSpinsBonus!$C$16, AG297*FreeSpinsBonus!$E$31, 0), "")</f>
        <v>11.658408627222384</v>
      </c>
      <c r="AJ297">
        <f t="shared" ca="1" si="51"/>
        <v>1.3471978898680118E-3</v>
      </c>
    </row>
    <row r="298" spans="28:36" x14ac:dyDescent="0.3">
      <c r="AB298">
        <f t="shared" si="45"/>
        <v>2</v>
      </c>
      <c r="AC298">
        <f t="shared" si="46"/>
        <v>1</v>
      </c>
      <c r="AD298">
        <f t="shared" si="47"/>
        <v>3</v>
      </c>
      <c r="AE298">
        <f t="shared" si="48"/>
        <v>3</v>
      </c>
      <c r="AF298">
        <f t="shared" si="49"/>
        <v>0</v>
      </c>
      <c r="AG298">
        <f t="shared" si="50"/>
        <v>9</v>
      </c>
      <c r="AH298">
        <f t="shared" ca="1" si="52"/>
        <v>6.0818894212330917E-5</v>
      </c>
      <c r="AI298">
        <f>IF(ROW($AA298) - $AA$51 &lt; ($H$16+1)^5, IF(AG298 &gt;= FreeSpinsBonus!$C$16, AG298*FreeSpinsBonus!$E$31, 0), "")</f>
        <v>13.115709705625182</v>
      </c>
      <c r="AJ298">
        <f t="shared" ca="1" si="51"/>
        <v>7.9768296110605983E-4</v>
      </c>
    </row>
    <row r="299" spans="28:36" x14ac:dyDescent="0.3">
      <c r="AB299">
        <f t="shared" si="45"/>
        <v>3</v>
      </c>
      <c r="AC299">
        <f t="shared" si="46"/>
        <v>1</v>
      </c>
      <c r="AD299">
        <f t="shared" si="47"/>
        <v>3</v>
      </c>
      <c r="AE299">
        <f t="shared" si="48"/>
        <v>3</v>
      </c>
      <c r="AF299">
        <f t="shared" si="49"/>
        <v>0</v>
      </c>
      <c r="AG299">
        <f t="shared" si="50"/>
        <v>10</v>
      </c>
      <c r="AH299">
        <f t="shared" ca="1" si="52"/>
        <v>0</v>
      </c>
      <c r="AI299">
        <f>IF(ROW($AA299) - $AA$51 &lt; ($H$16+1)^5, IF(AG299 &gt;= FreeSpinsBonus!$C$16, AG299*FreeSpinsBonus!$E$31, 0), "")</f>
        <v>14.57301078402798</v>
      </c>
      <c r="AJ299">
        <f t="shared" ca="1" si="51"/>
        <v>0</v>
      </c>
    </row>
    <row r="300" spans="28:36" x14ac:dyDescent="0.3">
      <c r="AB300">
        <f t="shared" si="45"/>
        <v>0</v>
      </c>
      <c r="AC300">
        <f t="shared" si="46"/>
        <v>2</v>
      </c>
      <c r="AD300">
        <f t="shared" si="47"/>
        <v>3</v>
      </c>
      <c r="AE300">
        <f t="shared" si="48"/>
        <v>3</v>
      </c>
      <c r="AF300">
        <f t="shared" si="49"/>
        <v>0</v>
      </c>
      <c r="AG300">
        <f t="shared" si="50"/>
        <v>8</v>
      </c>
      <c r="AH300">
        <f t="shared" ca="1" si="52"/>
        <v>1.0947400958219564E-4</v>
      </c>
      <c r="AI300">
        <f>IF(ROW($AA300) - $AA$51 &lt; ($H$16+1)^5, IF(AG300 &gt;= FreeSpinsBonus!$C$16, AG300*FreeSpinsBonus!$E$31, 0), "")</f>
        <v>11.658408627222384</v>
      </c>
      <c r="AJ300">
        <f t="shared" ca="1" si="51"/>
        <v>1.2762927377696954E-3</v>
      </c>
    </row>
    <row r="301" spans="28:36" x14ac:dyDescent="0.3">
      <c r="AB301">
        <f t="shared" si="45"/>
        <v>1</v>
      </c>
      <c r="AC301">
        <f t="shared" si="46"/>
        <v>2</v>
      </c>
      <c r="AD301">
        <f t="shared" si="47"/>
        <v>3</v>
      </c>
      <c r="AE301">
        <f t="shared" si="48"/>
        <v>3</v>
      </c>
      <c r="AF301">
        <f t="shared" si="49"/>
        <v>0</v>
      </c>
      <c r="AG301">
        <f t="shared" si="50"/>
        <v>9</v>
      </c>
      <c r="AH301">
        <f t="shared" ca="1" si="52"/>
        <v>1.1555589900342872E-4</v>
      </c>
      <c r="AI301">
        <f>IF(ROW($AA301) - $AA$51 &lt; ($H$16+1)^5, IF(AG301 &gt;= FreeSpinsBonus!$C$16, AG301*FreeSpinsBonus!$E$31, 0), "")</f>
        <v>13.115709705625182</v>
      </c>
      <c r="AJ301">
        <f t="shared" ca="1" si="51"/>
        <v>1.5155976261015133E-3</v>
      </c>
    </row>
    <row r="302" spans="28:36" x14ac:dyDescent="0.3">
      <c r="AB302">
        <f t="shared" si="45"/>
        <v>2</v>
      </c>
      <c r="AC302">
        <f t="shared" si="46"/>
        <v>2</v>
      </c>
      <c r="AD302">
        <f t="shared" si="47"/>
        <v>3</v>
      </c>
      <c r="AE302">
        <f t="shared" si="48"/>
        <v>3</v>
      </c>
      <c r="AF302">
        <f t="shared" si="49"/>
        <v>0</v>
      </c>
      <c r="AG302">
        <f t="shared" si="50"/>
        <v>10</v>
      </c>
      <c r="AH302">
        <f t="shared" ca="1" si="52"/>
        <v>6.0818894212330917E-5</v>
      </c>
      <c r="AI302">
        <f>IF(ROW($AA302) - $AA$51 &lt; ($H$16+1)^5, IF(AG302 &gt;= FreeSpinsBonus!$C$16, AG302*FreeSpinsBonus!$E$31, 0), "")</f>
        <v>14.57301078402798</v>
      </c>
      <c r="AJ302">
        <f t="shared" ca="1" si="51"/>
        <v>8.8631440122895536E-4</v>
      </c>
    </row>
    <row r="303" spans="28:36" x14ac:dyDescent="0.3">
      <c r="AB303">
        <f t="shared" si="45"/>
        <v>3</v>
      </c>
      <c r="AC303">
        <f t="shared" si="46"/>
        <v>2</v>
      </c>
      <c r="AD303">
        <f t="shared" si="47"/>
        <v>3</v>
      </c>
      <c r="AE303">
        <f t="shared" si="48"/>
        <v>3</v>
      </c>
      <c r="AF303">
        <f t="shared" si="49"/>
        <v>0</v>
      </c>
      <c r="AG303">
        <f t="shared" si="50"/>
        <v>11</v>
      </c>
      <c r="AH303">
        <f t="shared" ca="1" si="52"/>
        <v>0</v>
      </c>
      <c r="AI303">
        <f>IF(ROW($AA303) - $AA$51 &lt; ($H$16+1)^5, IF(AG303 &gt;= FreeSpinsBonus!$C$16, AG303*FreeSpinsBonus!$E$31, 0), "")</f>
        <v>16.030311862430779</v>
      </c>
      <c r="AJ303">
        <f t="shared" ca="1" si="51"/>
        <v>0</v>
      </c>
    </row>
    <row r="304" spans="28:36" x14ac:dyDescent="0.3">
      <c r="AB304">
        <f t="shared" si="45"/>
        <v>0</v>
      </c>
      <c r="AC304">
        <f t="shared" si="46"/>
        <v>3</v>
      </c>
      <c r="AD304">
        <f t="shared" si="47"/>
        <v>3</v>
      </c>
      <c r="AE304">
        <f t="shared" si="48"/>
        <v>3</v>
      </c>
      <c r="AF304">
        <f t="shared" si="49"/>
        <v>0</v>
      </c>
      <c r="AG304">
        <f t="shared" si="50"/>
        <v>9</v>
      </c>
      <c r="AH304">
        <f t="shared" ca="1" si="52"/>
        <v>3.8637885734892585E-5</v>
      </c>
      <c r="AI304">
        <f>IF(ROW($AA304) - $AA$51 &lt; ($H$16+1)^5, IF(AG304 &gt;= FreeSpinsBonus!$C$16, AG304*FreeSpinsBonus!$E$31, 0), "")</f>
        <v>13.115709705625182</v>
      </c>
      <c r="AJ304">
        <f t="shared" ca="1" si="51"/>
        <v>5.0676329293796742E-4</v>
      </c>
    </row>
    <row r="305" spans="28:36" x14ac:dyDescent="0.3">
      <c r="AB305">
        <f t="shared" si="45"/>
        <v>1</v>
      </c>
      <c r="AC305">
        <f t="shared" si="46"/>
        <v>3</v>
      </c>
      <c r="AD305">
        <f t="shared" si="47"/>
        <v>3</v>
      </c>
      <c r="AE305">
        <f t="shared" si="48"/>
        <v>3</v>
      </c>
      <c r="AF305">
        <f t="shared" si="49"/>
        <v>0</v>
      </c>
      <c r="AG305">
        <f t="shared" si="50"/>
        <v>10</v>
      </c>
      <c r="AH305">
        <f t="shared" ca="1" si="52"/>
        <v>4.0784434942386606E-5</v>
      </c>
      <c r="AI305">
        <f>IF(ROW($AA305) - $AA$51 &lt; ($H$16+1)^5, IF(AG305 &gt;= FreeSpinsBonus!$C$16, AG305*FreeSpinsBonus!$E$31, 0), "")</f>
        <v>14.57301078402798</v>
      </c>
      <c r="AJ305">
        <f t="shared" ca="1" si="51"/>
        <v>5.9435201023588758E-4</v>
      </c>
    </row>
    <row r="306" spans="28:36" x14ac:dyDescent="0.3">
      <c r="AB306">
        <f t="shared" si="45"/>
        <v>2</v>
      </c>
      <c r="AC306">
        <f t="shared" si="46"/>
        <v>3</v>
      </c>
      <c r="AD306">
        <f t="shared" si="47"/>
        <v>3</v>
      </c>
      <c r="AE306">
        <f t="shared" si="48"/>
        <v>3</v>
      </c>
      <c r="AF306">
        <f t="shared" si="49"/>
        <v>0</v>
      </c>
      <c r="AG306">
        <f t="shared" si="50"/>
        <v>11</v>
      </c>
      <c r="AH306">
        <f t="shared" ca="1" si="52"/>
        <v>2.1465492074940323E-5</v>
      </c>
      <c r="AI306">
        <f>IF(ROW($AA306) - $AA$51 &lt; ($H$16+1)^5, IF(AG306 &gt;= FreeSpinsBonus!$C$16, AG306*FreeSpinsBonus!$E$31, 0), "")</f>
        <v>16.030311862430779</v>
      </c>
      <c r="AJ306">
        <f t="shared" ca="1" si="51"/>
        <v>3.4409853224182975E-4</v>
      </c>
    </row>
    <row r="307" spans="28:36" x14ac:dyDescent="0.3">
      <c r="AB307">
        <f t="shared" si="45"/>
        <v>3</v>
      </c>
      <c r="AC307">
        <f t="shared" si="46"/>
        <v>3</v>
      </c>
      <c r="AD307">
        <f t="shared" si="47"/>
        <v>3</v>
      </c>
      <c r="AE307">
        <f t="shared" si="48"/>
        <v>3</v>
      </c>
      <c r="AF307">
        <f t="shared" si="49"/>
        <v>0</v>
      </c>
      <c r="AG307">
        <f t="shared" si="50"/>
        <v>12</v>
      </c>
      <c r="AH307">
        <f t="shared" ca="1" si="52"/>
        <v>0</v>
      </c>
      <c r="AI307">
        <f>IF(ROW($AA307) - $AA$51 &lt; ($H$16+1)^5, IF(AG307 &gt;= FreeSpinsBonus!$C$16, AG307*FreeSpinsBonus!$E$31, 0), "")</f>
        <v>17.487612940833575</v>
      </c>
      <c r="AJ307">
        <f t="shared" ca="1" si="51"/>
        <v>0</v>
      </c>
    </row>
    <row r="308" spans="28:36" x14ac:dyDescent="0.3">
      <c r="AB308">
        <f t="shared" ref="AB308:AB371" si="53">IF(ROW()-$AA$51 &lt; (H$16+1)^5, MOD(_xlfn.FLOOR.MATH((ROW()-$AA$51)/AB$50), H$16+1), "")</f>
        <v>0</v>
      </c>
      <c r="AC308">
        <f t="shared" ref="AC308:AC371" si="54">IF(ROW()-$AA$51 &lt; (I$16+1)^5, MOD(_xlfn.FLOOR.MATH((ROW()-$AA$51)/AC$50), I$16+1), "")</f>
        <v>0</v>
      </c>
      <c r="AD308">
        <f t="shared" ref="AD308:AD371" si="55">IF(ROW()-$AA$51 &lt; (J$16+1)^5, MOD(_xlfn.FLOOR.MATH((ROW()-$AA$51)/AD$50), J$16+1), "")</f>
        <v>0</v>
      </c>
      <c r="AE308">
        <f t="shared" ref="AE308:AE371" si="56">IF(ROW()-$AA$51 &lt; (K$16+1)^5, MOD(_xlfn.FLOOR.MATH((ROW()-$AA$51)/AE$50), K$16+1), "")</f>
        <v>0</v>
      </c>
      <c r="AF308">
        <f t="shared" ref="AF308:AF371" si="57">IF(ROW()-$AA$51 &lt; (L$16+1)^5, MOD(_xlfn.FLOOR.MATH((ROW()-$AA$51)/AF$50), L$16+1), "")</f>
        <v>1</v>
      </c>
      <c r="AG308">
        <f t="shared" ref="AG308:AG371" si="58">IF(ROW($AA308) - $AA$51 &lt; ($H$16+1)^5, SUM(AB308:AF308), "")</f>
        <v>1</v>
      </c>
      <c r="AH308">
        <f t="shared" ca="1" si="52"/>
        <v>2.3969046308522837E-3</v>
      </c>
      <c r="AI308">
        <f>IF(ROW($AA308) - $AA$51 &lt; ($H$16+1)^5, IF(AG308 &gt;= FreeSpinsBonus!$C$16, AG308*FreeSpinsBonus!$E$31, 0), "")</f>
        <v>0</v>
      </c>
      <c r="AJ308">
        <f t="shared" ref="AJ308:AJ371" ca="1" si="59">IF(ROW($AA308) - $AA$51 &lt; ($H$16+1)^5, AH308*AI308, "")</f>
        <v>0</v>
      </c>
    </row>
    <row r="309" spans="28:36" x14ac:dyDescent="0.3">
      <c r="AB309">
        <f t="shared" si="53"/>
        <v>1</v>
      </c>
      <c r="AC309">
        <f t="shared" si="54"/>
        <v>0</v>
      </c>
      <c r="AD309">
        <f t="shared" si="55"/>
        <v>0</v>
      </c>
      <c r="AE309">
        <f t="shared" si="56"/>
        <v>0</v>
      </c>
      <c r="AF309">
        <f t="shared" si="57"/>
        <v>1</v>
      </c>
      <c r="AG309">
        <f t="shared" si="58"/>
        <v>2</v>
      </c>
      <c r="AH309">
        <f t="shared" ref="AH309:AH372" ca="1" si="60">IF(ROW($AA309) - $AA$51 &lt; (4)^5,
    (_xlfn.XLOOKUP(AB309,$T$51:$T$55,U$51:U$55,0)/U$28) * (_xlfn.XLOOKUP(AC309,$T$51:$T$55,V$51:V$55,0)/V$28) * (_xlfn.XLOOKUP(AD309,$T$51:$T$55,W$51:W$55,0)/W$28) * (_xlfn.XLOOKUP(AE309,$T$51:$T$55,X$51:X$55,0)/X$28) * (_xlfn.XLOOKUP(AF309,$T$51:$T$55,Y$51:Y$55,0)/Y$28),
"")</f>
        <v>2.5300659992329656E-3</v>
      </c>
      <c r="AI309">
        <f>IF(ROW($AA309) - $AA$51 &lt; ($H$16+1)^5, IF(AG309 &gt;= FreeSpinsBonus!$C$16, AG309*FreeSpinsBonus!$E$31, 0), "")</f>
        <v>0</v>
      </c>
      <c r="AJ309">
        <f t="shared" ca="1" si="59"/>
        <v>0</v>
      </c>
    </row>
    <row r="310" spans="28:36" x14ac:dyDescent="0.3">
      <c r="AB310">
        <f t="shared" si="53"/>
        <v>2</v>
      </c>
      <c r="AC310">
        <f t="shared" si="54"/>
        <v>0</v>
      </c>
      <c r="AD310">
        <f t="shared" si="55"/>
        <v>0</v>
      </c>
      <c r="AE310">
        <f t="shared" si="56"/>
        <v>0</v>
      </c>
      <c r="AF310">
        <f t="shared" si="57"/>
        <v>1</v>
      </c>
      <c r="AG310">
        <f t="shared" si="58"/>
        <v>3</v>
      </c>
      <c r="AH310">
        <f t="shared" ca="1" si="60"/>
        <v>1.3316136838068245E-3</v>
      </c>
      <c r="AI310">
        <f>IF(ROW($AA310) - $AA$51 &lt; ($H$16+1)^5, IF(AG310 &gt;= FreeSpinsBonus!$C$16, AG310*FreeSpinsBonus!$E$31, 0), "")</f>
        <v>0</v>
      </c>
      <c r="AJ310">
        <f t="shared" ca="1" si="59"/>
        <v>0</v>
      </c>
    </row>
    <row r="311" spans="28:36" x14ac:dyDescent="0.3">
      <c r="AB311">
        <f t="shared" si="53"/>
        <v>3</v>
      </c>
      <c r="AC311">
        <f t="shared" si="54"/>
        <v>0</v>
      </c>
      <c r="AD311">
        <f t="shared" si="55"/>
        <v>0</v>
      </c>
      <c r="AE311">
        <f t="shared" si="56"/>
        <v>0</v>
      </c>
      <c r="AF311">
        <f t="shared" si="57"/>
        <v>1</v>
      </c>
      <c r="AG311">
        <f t="shared" si="58"/>
        <v>4</v>
      </c>
      <c r="AH311">
        <f t="shared" ca="1" si="60"/>
        <v>0</v>
      </c>
      <c r="AI311">
        <f>IF(ROW($AA311) - $AA$51 &lt; ($H$16+1)^5, IF(AG311 &gt;= FreeSpinsBonus!$C$16, AG311*FreeSpinsBonus!$E$31, 0), "")</f>
        <v>0</v>
      </c>
      <c r="AJ311">
        <f t="shared" ca="1" si="59"/>
        <v>0</v>
      </c>
    </row>
    <row r="312" spans="28:36" x14ac:dyDescent="0.3">
      <c r="AB312">
        <f t="shared" si="53"/>
        <v>0</v>
      </c>
      <c r="AC312">
        <f t="shared" si="54"/>
        <v>1</v>
      </c>
      <c r="AD312">
        <f t="shared" si="55"/>
        <v>0</v>
      </c>
      <c r="AE312">
        <f t="shared" si="56"/>
        <v>0</v>
      </c>
      <c r="AF312">
        <f t="shared" si="57"/>
        <v>1</v>
      </c>
      <c r="AG312">
        <f t="shared" si="58"/>
        <v>2</v>
      </c>
      <c r="AH312">
        <f t="shared" ca="1" si="60"/>
        <v>2.3969046308522837E-3</v>
      </c>
      <c r="AI312">
        <f>IF(ROW($AA312) - $AA$51 &lt; ($H$16+1)^5, IF(AG312 &gt;= FreeSpinsBonus!$C$16, AG312*FreeSpinsBonus!$E$31, 0), "")</f>
        <v>0</v>
      </c>
      <c r="AJ312">
        <f t="shared" ca="1" si="59"/>
        <v>0</v>
      </c>
    </row>
    <row r="313" spans="28:36" x14ac:dyDescent="0.3">
      <c r="AB313">
        <f t="shared" si="53"/>
        <v>1</v>
      </c>
      <c r="AC313">
        <f t="shared" si="54"/>
        <v>1</v>
      </c>
      <c r="AD313">
        <f t="shared" si="55"/>
        <v>0</v>
      </c>
      <c r="AE313">
        <f t="shared" si="56"/>
        <v>0</v>
      </c>
      <c r="AF313">
        <f t="shared" si="57"/>
        <v>1</v>
      </c>
      <c r="AG313">
        <f t="shared" si="58"/>
        <v>3</v>
      </c>
      <c r="AH313">
        <f t="shared" ca="1" si="60"/>
        <v>2.5300659992329656E-3</v>
      </c>
      <c r="AI313">
        <f>IF(ROW($AA313) - $AA$51 &lt; ($H$16+1)^5, IF(AG313 &gt;= FreeSpinsBonus!$C$16, AG313*FreeSpinsBonus!$E$31, 0), "")</f>
        <v>0</v>
      </c>
      <c r="AJ313">
        <f t="shared" ca="1" si="59"/>
        <v>0</v>
      </c>
    </row>
    <row r="314" spans="28:36" x14ac:dyDescent="0.3">
      <c r="AB314">
        <f t="shared" si="53"/>
        <v>2</v>
      </c>
      <c r="AC314">
        <f t="shared" si="54"/>
        <v>1</v>
      </c>
      <c r="AD314">
        <f t="shared" si="55"/>
        <v>0</v>
      </c>
      <c r="AE314">
        <f t="shared" si="56"/>
        <v>0</v>
      </c>
      <c r="AF314">
        <f t="shared" si="57"/>
        <v>1</v>
      </c>
      <c r="AG314">
        <f t="shared" si="58"/>
        <v>4</v>
      </c>
      <c r="AH314">
        <f t="shared" ca="1" si="60"/>
        <v>1.3316136838068245E-3</v>
      </c>
      <c r="AI314">
        <f>IF(ROW($AA314) - $AA$51 &lt; ($H$16+1)^5, IF(AG314 &gt;= FreeSpinsBonus!$C$16, AG314*FreeSpinsBonus!$E$31, 0), "")</f>
        <v>0</v>
      </c>
      <c r="AJ314">
        <f t="shared" ca="1" si="59"/>
        <v>0</v>
      </c>
    </row>
    <row r="315" spans="28:36" x14ac:dyDescent="0.3">
      <c r="AB315">
        <f t="shared" si="53"/>
        <v>3</v>
      </c>
      <c r="AC315">
        <f t="shared" si="54"/>
        <v>1</v>
      </c>
      <c r="AD315">
        <f t="shared" si="55"/>
        <v>0</v>
      </c>
      <c r="AE315">
        <f t="shared" si="56"/>
        <v>0</v>
      </c>
      <c r="AF315">
        <f t="shared" si="57"/>
        <v>1</v>
      </c>
      <c r="AG315">
        <f t="shared" si="58"/>
        <v>5</v>
      </c>
      <c r="AH315">
        <f t="shared" ca="1" si="60"/>
        <v>0</v>
      </c>
      <c r="AI315">
        <f>IF(ROW($AA315) - $AA$51 &lt; ($H$16+1)^5, IF(AG315 &gt;= FreeSpinsBonus!$C$16, AG315*FreeSpinsBonus!$E$31, 0), "")</f>
        <v>7.2865053920139902</v>
      </c>
      <c r="AJ315">
        <f t="shared" ca="1" si="59"/>
        <v>0</v>
      </c>
    </row>
    <row r="316" spans="28:36" x14ac:dyDescent="0.3">
      <c r="AB316">
        <f t="shared" si="53"/>
        <v>0</v>
      </c>
      <c r="AC316">
        <f t="shared" si="54"/>
        <v>2</v>
      </c>
      <c r="AD316">
        <f t="shared" si="55"/>
        <v>0</v>
      </c>
      <c r="AE316">
        <f t="shared" si="56"/>
        <v>0</v>
      </c>
      <c r="AF316">
        <f t="shared" si="57"/>
        <v>1</v>
      </c>
      <c r="AG316">
        <f t="shared" si="58"/>
        <v>3</v>
      </c>
      <c r="AH316">
        <f t="shared" ca="1" si="60"/>
        <v>2.3969046308522837E-3</v>
      </c>
      <c r="AI316">
        <f>IF(ROW($AA316) - $AA$51 &lt; ($H$16+1)^5, IF(AG316 &gt;= FreeSpinsBonus!$C$16, AG316*FreeSpinsBonus!$E$31, 0), "")</f>
        <v>0</v>
      </c>
      <c r="AJ316">
        <f t="shared" ca="1" si="59"/>
        <v>0</v>
      </c>
    </row>
    <row r="317" spans="28:36" x14ac:dyDescent="0.3">
      <c r="AB317">
        <f t="shared" si="53"/>
        <v>1</v>
      </c>
      <c r="AC317">
        <f t="shared" si="54"/>
        <v>2</v>
      </c>
      <c r="AD317">
        <f t="shared" si="55"/>
        <v>0</v>
      </c>
      <c r="AE317">
        <f t="shared" si="56"/>
        <v>0</v>
      </c>
      <c r="AF317">
        <f t="shared" si="57"/>
        <v>1</v>
      </c>
      <c r="AG317">
        <f t="shared" si="58"/>
        <v>4</v>
      </c>
      <c r="AH317">
        <f t="shared" ca="1" si="60"/>
        <v>2.5300659992329656E-3</v>
      </c>
      <c r="AI317">
        <f>IF(ROW($AA317) - $AA$51 &lt; ($H$16+1)^5, IF(AG317 &gt;= FreeSpinsBonus!$C$16, AG317*FreeSpinsBonus!$E$31, 0), "")</f>
        <v>0</v>
      </c>
      <c r="AJ317">
        <f t="shared" ca="1" si="59"/>
        <v>0</v>
      </c>
    </row>
    <row r="318" spans="28:36" x14ac:dyDescent="0.3">
      <c r="AB318">
        <f t="shared" si="53"/>
        <v>2</v>
      </c>
      <c r="AC318">
        <f t="shared" si="54"/>
        <v>2</v>
      </c>
      <c r="AD318">
        <f t="shared" si="55"/>
        <v>0</v>
      </c>
      <c r="AE318">
        <f t="shared" si="56"/>
        <v>0</v>
      </c>
      <c r="AF318">
        <f t="shared" si="57"/>
        <v>1</v>
      </c>
      <c r="AG318">
        <f t="shared" si="58"/>
        <v>5</v>
      </c>
      <c r="AH318">
        <f t="shared" ca="1" si="60"/>
        <v>1.3316136838068245E-3</v>
      </c>
      <c r="AI318">
        <f>IF(ROW($AA318) - $AA$51 &lt; ($H$16+1)^5, IF(AG318 &gt;= FreeSpinsBonus!$C$16, AG318*FreeSpinsBonus!$E$31, 0), "")</f>
        <v>7.2865053920139902</v>
      </c>
      <c r="AJ318">
        <f t="shared" ca="1" si="59"/>
        <v>9.7028102871380383E-3</v>
      </c>
    </row>
    <row r="319" spans="28:36" x14ac:dyDescent="0.3">
      <c r="AB319">
        <f t="shared" si="53"/>
        <v>3</v>
      </c>
      <c r="AC319">
        <f t="shared" si="54"/>
        <v>2</v>
      </c>
      <c r="AD319">
        <f t="shared" si="55"/>
        <v>0</v>
      </c>
      <c r="AE319">
        <f t="shared" si="56"/>
        <v>0</v>
      </c>
      <c r="AF319">
        <f t="shared" si="57"/>
        <v>1</v>
      </c>
      <c r="AG319">
        <f t="shared" si="58"/>
        <v>6</v>
      </c>
      <c r="AH319">
        <f t="shared" ca="1" si="60"/>
        <v>0</v>
      </c>
      <c r="AI319">
        <f>IF(ROW($AA319) - $AA$51 &lt; ($H$16+1)^5, IF(AG319 &gt;= FreeSpinsBonus!$C$16, AG319*FreeSpinsBonus!$E$31, 0), "")</f>
        <v>8.7438064704167875</v>
      </c>
      <c r="AJ319">
        <f t="shared" ca="1" si="59"/>
        <v>0</v>
      </c>
    </row>
    <row r="320" spans="28:36" x14ac:dyDescent="0.3">
      <c r="AB320">
        <f t="shared" si="53"/>
        <v>0</v>
      </c>
      <c r="AC320">
        <f t="shared" si="54"/>
        <v>3</v>
      </c>
      <c r="AD320">
        <f t="shared" si="55"/>
        <v>0</v>
      </c>
      <c r="AE320">
        <f t="shared" si="56"/>
        <v>0</v>
      </c>
      <c r="AF320">
        <f t="shared" si="57"/>
        <v>1</v>
      </c>
      <c r="AG320">
        <f t="shared" si="58"/>
        <v>4</v>
      </c>
      <c r="AH320">
        <f t="shared" ca="1" si="60"/>
        <v>8.4596634030080606E-4</v>
      </c>
      <c r="AI320">
        <f>IF(ROW($AA320) - $AA$51 &lt; ($H$16+1)^5, IF(AG320 &gt;= FreeSpinsBonus!$C$16, AG320*FreeSpinsBonus!$E$31, 0), "")</f>
        <v>0</v>
      </c>
      <c r="AJ320">
        <f t="shared" ca="1" si="59"/>
        <v>0</v>
      </c>
    </row>
    <row r="321" spans="28:36" x14ac:dyDescent="0.3">
      <c r="AB321">
        <f t="shared" si="53"/>
        <v>1</v>
      </c>
      <c r="AC321">
        <f t="shared" si="54"/>
        <v>3</v>
      </c>
      <c r="AD321">
        <f t="shared" si="55"/>
        <v>0</v>
      </c>
      <c r="AE321">
        <f t="shared" si="56"/>
        <v>0</v>
      </c>
      <c r="AF321">
        <f t="shared" si="57"/>
        <v>1</v>
      </c>
      <c r="AG321">
        <f t="shared" si="58"/>
        <v>5</v>
      </c>
      <c r="AH321">
        <f t="shared" ca="1" si="60"/>
        <v>8.9296447031751735E-4</v>
      </c>
      <c r="AI321">
        <f>IF(ROW($AA321) - $AA$51 &lt; ($H$16+1)^5, IF(AG321 &gt;= FreeSpinsBonus!$C$16, AG321*FreeSpinsBonus!$E$31, 0), "")</f>
        <v>7.2865053920139902</v>
      </c>
      <c r="AJ321">
        <f t="shared" ca="1" si="59"/>
        <v>6.5065904278455069E-3</v>
      </c>
    </row>
    <row r="322" spans="28:36" x14ac:dyDescent="0.3">
      <c r="AB322">
        <f t="shared" si="53"/>
        <v>2</v>
      </c>
      <c r="AC322">
        <f t="shared" si="54"/>
        <v>3</v>
      </c>
      <c r="AD322">
        <f t="shared" si="55"/>
        <v>0</v>
      </c>
      <c r="AE322">
        <f t="shared" si="56"/>
        <v>0</v>
      </c>
      <c r="AF322">
        <f t="shared" si="57"/>
        <v>1</v>
      </c>
      <c r="AG322">
        <f t="shared" si="58"/>
        <v>6</v>
      </c>
      <c r="AH322">
        <f t="shared" ca="1" si="60"/>
        <v>4.6998130016711448E-4</v>
      </c>
      <c r="AI322">
        <f>IF(ROW($AA322) - $AA$51 &lt; ($H$16+1)^5, IF(AG322 &gt;= FreeSpinsBonus!$C$16, AG322*FreeSpinsBonus!$E$31, 0), "")</f>
        <v>8.7438064704167875</v>
      </c>
      <c r="AJ322">
        <f t="shared" ca="1" si="59"/>
        <v>4.1094255333761097E-3</v>
      </c>
    </row>
    <row r="323" spans="28:36" x14ac:dyDescent="0.3">
      <c r="AB323">
        <f t="shared" si="53"/>
        <v>3</v>
      </c>
      <c r="AC323">
        <f t="shared" si="54"/>
        <v>3</v>
      </c>
      <c r="AD323">
        <f t="shared" si="55"/>
        <v>0</v>
      </c>
      <c r="AE323">
        <f t="shared" si="56"/>
        <v>0</v>
      </c>
      <c r="AF323">
        <f t="shared" si="57"/>
        <v>1</v>
      </c>
      <c r="AG323">
        <f t="shared" si="58"/>
        <v>7</v>
      </c>
      <c r="AH323">
        <f t="shared" ca="1" si="60"/>
        <v>0</v>
      </c>
      <c r="AI323">
        <f>IF(ROW($AA323) - $AA$51 &lt; ($H$16+1)^5, IF(AG323 &gt;= FreeSpinsBonus!$C$16, AG323*FreeSpinsBonus!$E$31, 0), "")</f>
        <v>10.201107548819586</v>
      </c>
      <c r="AJ323">
        <f t="shared" ca="1" si="59"/>
        <v>0</v>
      </c>
    </row>
    <row r="324" spans="28:36" x14ac:dyDescent="0.3">
      <c r="AB324">
        <f t="shared" si="53"/>
        <v>0</v>
      </c>
      <c r="AC324">
        <f t="shared" si="54"/>
        <v>0</v>
      </c>
      <c r="AD324">
        <f t="shared" si="55"/>
        <v>1</v>
      </c>
      <c r="AE324">
        <f t="shared" si="56"/>
        <v>0</v>
      </c>
      <c r="AF324">
        <f t="shared" si="57"/>
        <v>1</v>
      </c>
      <c r="AG324">
        <f t="shared" si="58"/>
        <v>2</v>
      </c>
      <c r="AH324">
        <f t="shared" ca="1" si="60"/>
        <v>2.9961307885653554E-3</v>
      </c>
      <c r="AI324">
        <f>IF(ROW($AA324) - $AA$51 &lt; ($H$16+1)^5, IF(AG324 &gt;= FreeSpinsBonus!$C$16, AG324*FreeSpinsBonus!$E$31, 0), "")</f>
        <v>0</v>
      </c>
      <c r="AJ324">
        <f t="shared" ca="1" si="59"/>
        <v>0</v>
      </c>
    </row>
    <row r="325" spans="28:36" x14ac:dyDescent="0.3">
      <c r="AB325">
        <f t="shared" si="53"/>
        <v>1</v>
      </c>
      <c r="AC325">
        <f t="shared" si="54"/>
        <v>0</v>
      </c>
      <c r="AD325">
        <f t="shared" si="55"/>
        <v>1</v>
      </c>
      <c r="AE325">
        <f t="shared" si="56"/>
        <v>0</v>
      </c>
      <c r="AF325">
        <f t="shared" si="57"/>
        <v>1</v>
      </c>
      <c r="AG325">
        <f t="shared" si="58"/>
        <v>3</v>
      </c>
      <c r="AH325">
        <f t="shared" ca="1" si="60"/>
        <v>3.1625824990412083E-3</v>
      </c>
      <c r="AI325">
        <f>IF(ROW($AA325) - $AA$51 &lt; ($H$16+1)^5, IF(AG325 &gt;= FreeSpinsBonus!$C$16, AG325*FreeSpinsBonus!$E$31, 0), "")</f>
        <v>0</v>
      </c>
      <c r="AJ325">
        <f t="shared" ca="1" si="59"/>
        <v>0</v>
      </c>
    </row>
    <row r="326" spans="28:36" x14ac:dyDescent="0.3">
      <c r="AB326">
        <f t="shared" si="53"/>
        <v>2</v>
      </c>
      <c r="AC326">
        <f t="shared" si="54"/>
        <v>0</v>
      </c>
      <c r="AD326">
        <f t="shared" si="55"/>
        <v>1</v>
      </c>
      <c r="AE326">
        <f t="shared" si="56"/>
        <v>0</v>
      </c>
      <c r="AF326">
        <f t="shared" si="57"/>
        <v>1</v>
      </c>
      <c r="AG326">
        <f t="shared" si="58"/>
        <v>4</v>
      </c>
      <c r="AH326">
        <f t="shared" ca="1" si="60"/>
        <v>1.6645171047585305E-3</v>
      </c>
      <c r="AI326">
        <f>IF(ROW($AA326) - $AA$51 &lt; ($H$16+1)^5, IF(AG326 &gt;= FreeSpinsBonus!$C$16, AG326*FreeSpinsBonus!$E$31, 0), "")</f>
        <v>0</v>
      </c>
      <c r="AJ326">
        <f t="shared" ca="1" si="59"/>
        <v>0</v>
      </c>
    </row>
    <row r="327" spans="28:36" x14ac:dyDescent="0.3">
      <c r="AB327">
        <f t="shared" si="53"/>
        <v>3</v>
      </c>
      <c r="AC327">
        <f t="shared" si="54"/>
        <v>0</v>
      </c>
      <c r="AD327">
        <f t="shared" si="55"/>
        <v>1</v>
      </c>
      <c r="AE327">
        <f t="shared" si="56"/>
        <v>0</v>
      </c>
      <c r="AF327">
        <f t="shared" si="57"/>
        <v>1</v>
      </c>
      <c r="AG327">
        <f t="shared" si="58"/>
        <v>5</v>
      </c>
      <c r="AH327">
        <f t="shared" ca="1" si="60"/>
        <v>0</v>
      </c>
      <c r="AI327">
        <f>IF(ROW($AA327) - $AA$51 &lt; ($H$16+1)^5, IF(AG327 &gt;= FreeSpinsBonus!$C$16, AG327*FreeSpinsBonus!$E$31, 0), "")</f>
        <v>7.2865053920139902</v>
      </c>
      <c r="AJ327">
        <f t="shared" ca="1" si="59"/>
        <v>0</v>
      </c>
    </row>
    <row r="328" spans="28:36" x14ac:dyDescent="0.3">
      <c r="AB328">
        <f t="shared" si="53"/>
        <v>0</v>
      </c>
      <c r="AC328">
        <f t="shared" si="54"/>
        <v>1</v>
      </c>
      <c r="AD328">
        <f t="shared" si="55"/>
        <v>1</v>
      </c>
      <c r="AE328">
        <f t="shared" si="56"/>
        <v>0</v>
      </c>
      <c r="AF328">
        <f t="shared" si="57"/>
        <v>1</v>
      </c>
      <c r="AG328">
        <f t="shared" si="58"/>
        <v>3</v>
      </c>
      <c r="AH328">
        <f t="shared" ca="1" si="60"/>
        <v>2.9961307885653554E-3</v>
      </c>
      <c r="AI328">
        <f>IF(ROW($AA328) - $AA$51 &lt; ($H$16+1)^5, IF(AG328 &gt;= FreeSpinsBonus!$C$16, AG328*FreeSpinsBonus!$E$31, 0), "")</f>
        <v>0</v>
      </c>
      <c r="AJ328">
        <f t="shared" ca="1" si="59"/>
        <v>0</v>
      </c>
    </row>
    <row r="329" spans="28:36" x14ac:dyDescent="0.3">
      <c r="AB329">
        <f t="shared" si="53"/>
        <v>1</v>
      </c>
      <c r="AC329">
        <f t="shared" si="54"/>
        <v>1</v>
      </c>
      <c r="AD329">
        <f t="shared" si="55"/>
        <v>1</v>
      </c>
      <c r="AE329">
        <f t="shared" si="56"/>
        <v>0</v>
      </c>
      <c r="AF329">
        <f t="shared" si="57"/>
        <v>1</v>
      </c>
      <c r="AG329">
        <f t="shared" si="58"/>
        <v>4</v>
      </c>
      <c r="AH329">
        <f t="shared" ca="1" si="60"/>
        <v>3.1625824990412083E-3</v>
      </c>
      <c r="AI329">
        <f>IF(ROW($AA329) - $AA$51 &lt; ($H$16+1)^5, IF(AG329 &gt;= FreeSpinsBonus!$C$16, AG329*FreeSpinsBonus!$E$31, 0), "")</f>
        <v>0</v>
      </c>
      <c r="AJ329">
        <f t="shared" ca="1" si="59"/>
        <v>0</v>
      </c>
    </row>
    <row r="330" spans="28:36" x14ac:dyDescent="0.3">
      <c r="AB330">
        <f t="shared" si="53"/>
        <v>2</v>
      </c>
      <c r="AC330">
        <f t="shared" si="54"/>
        <v>1</v>
      </c>
      <c r="AD330">
        <f t="shared" si="55"/>
        <v>1</v>
      </c>
      <c r="AE330">
        <f t="shared" si="56"/>
        <v>0</v>
      </c>
      <c r="AF330">
        <f t="shared" si="57"/>
        <v>1</v>
      </c>
      <c r="AG330">
        <f t="shared" si="58"/>
        <v>5</v>
      </c>
      <c r="AH330">
        <f t="shared" ca="1" si="60"/>
        <v>1.6645171047585305E-3</v>
      </c>
      <c r="AI330">
        <f>IF(ROW($AA330) - $AA$51 &lt; ($H$16+1)^5, IF(AG330 &gt;= FreeSpinsBonus!$C$16, AG330*FreeSpinsBonus!$E$31, 0), "")</f>
        <v>7.2865053920139902</v>
      </c>
      <c r="AJ330">
        <f t="shared" ca="1" si="59"/>
        <v>1.2128512858922549E-2</v>
      </c>
    </row>
    <row r="331" spans="28:36" x14ac:dyDescent="0.3">
      <c r="AB331">
        <f t="shared" si="53"/>
        <v>3</v>
      </c>
      <c r="AC331">
        <f t="shared" si="54"/>
        <v>1</v>
      </c>
      <c r="AD331">
        <f t="shared" si="55"/>
        <v>1</v>
      </c>
      <c r="AE331">
        <f t="shared" si="56"/>
        <v>0</v>
      </c>
      <c r="AF331">
        <f t="shared" si="57"/>
        <v>1</v>
      </c>
      <c r="AG331">
        <f t="shared" si="58"/>
        <v>6</v>
      </c>
      <c r="AH331">
        <f t="shared" ca="1" si="60"/>
        <v>0</v>
      </c>
      <c r="AI331">
        <f>IF(ROW($AA331) - $AA$51 &lt; ($H$16+1)^5, IF(AG331 &gt;= FreeSpinsBonus!$C$16, AG331*FreeSpinsBonus!$E$31, 0), "")</f>
        <v>8.7438064704167875</v>
      </c>
      <c r="AJ331">
        <f t="shared" ca="1" si="59"/>
        <v>0</v>
      </c>
    </row>
    <row r="332" spans="28:36" x14ac:dyDescent="0.3">
      <c r="AB332">
        <f t="shared" si="53"/>
        <v>0</v>
      </c>
      <c r="AC332">
        <f t="shared" si="54"/>
        <v>2</v>
      </c>
      <c r="AD332">
        <f t="shared" si="55"/>
        <v>1</v>
      </c>
      <c r="AE332">
        <f t="shared" si="56"/>
        <v>0</v>
      </c>
      <c r="AF332">
        <f t="shared" si="57"/>
        <v>1</v>
      </c>
      <c r="AG332">
        <f t="shared" si="58"/>
        <v>4</v>
      </c>
      <c r="AH332">
        <f t="shared" ca="1" si="60"/>
        <v>2.9961307885653554E-3</v>
      </c>
      <c r="AI332">
        <f>IF(ROW($AA332) - $AA$51 &lt; ($H$16+1)^5, IF(AG332 &gt;= FreeSpinsBonus!$C$16, AG332*FreeSpinsBonus!$E$31, 0), "")</f>
        <v>0</v>
      </c>
      <c r="AJ332">
        <f t="shared" ca="1" si="59"/>
        <v>0</v>
      </c>
    </row>
    <row r="333" spans="28:36" x14ac:dyDescent="0.3">
      <c r="AB333">
        <f t="shared" si="53"/>
        <v>1</v>
      </c>
      <c r="AC333">
        <f t="shared" si="54"/>
        <v>2</v>
      </c>
      <c r="AD333">
        <f t="shared" si="55"/>
        <v>1</v>
      </c>
      <c r="AE333">
        <f t="shared" si="56"/>
        <v>0</v>
      </c>
      <c r="AF333">
        <f t="shared" si="57"/>
        <v>1</v>
      </c>
      <c r="AG333">
        <f t="shared" si="58"/>
        <v>5</v>
      </c>
      <c r="AH333">
        <f t="shared" ca="1" si="60"/>
        <v>3.1625824990412083E-3</v>
      </c>
      <c r="AI333">
        <f>IF(ROW($AA333) - $AA$51 &lt; ($H$16+1)^5, IF(AG333 &gt;= FreeSpinsBonus!$C$16, AG333*FreeSpinsBonus!$E$31, 0), "")</f>
        <v>7.2865053920139902</v>
      </c>
      <c r="AJ333">
        <f t="shared" ca="1" si="59"/>
        <v>2.3044174431952842E-2</v>
      </c>
    </row>
    <row r="334" spans="28:36" x14ac:dyDescent="0.3">
      <c r="AB334">
        <f t="shared" si="53"/>
        <v>2</v>
      </c>
      <c r="AC334">
        <f t="shared" si="54"/>
        <v>2</v>
      </c>
      <c r="AD334">
        <f t="shared" si="55"/>
        <v>1</v>
      </c>
      <c r="AE334">
        <f t="shared" si="56"/>
        <v>0</v>
      </c>
      <c r="AF334">
        <f t="shared" si="57"/>
        <v>1</v>
      </c>
      <c r="AG334">
        <f t="shared" si="58"/>
        <v>6</v>
      </c>
      <c r="AH334">
        <f t="shared" ca="1" si="60"/>
        <v>1.6645171047585305E-3</v>
      </c>
      <c r="AI334">
        <f>IF(ROW($AA334) - $AA$51 &lt; ($H$16+1)^5, IF(AG334 &gt;= FreeSpinsBonus!$C$16, AG334*FreeSpinsBonus!$E$31, 0), "")</f>
        <v>8.7438064704167875</v>
      </c>
      <c r="AJ334">
        <f t="shared" ca="1" si="59"/>
        <v>1.4554215430707057E-2</v>
      </c>
    </row>
    <row r="335" spans="28:36" x14ac:dyDescent="0.3">
      <c r="AB335">
        <f t="shared" si="53"/>
        <v>3</v>
      </c>
      <c r="AC335">
        <f t="shared" si="54"/>
        <v>2</v>
      </c>
      <c r="AD335">
        <f t="shared" si="55"/>
        <v>1</v>
      </c>
      <c r="AE335">
        <f t="shared" si="56"/>
        <v>0</v>
      </c>
      <c r="AF335">
        <f t="shared" si="57"/>
        <v>1</v>
      </c>
      <c r="AG335">
        <f t="shared" si="58"/>
        <v>7</v>
      </c>
      <c r="AH335">
        <f t="shared" ca="1" si="60"/>
        <v>0</v>
      </c>
      <c r="AI335">
        <f>IF(ROW($AA335) - $AA$51 &lt; ($H$16+1)^5, IF(AG335 &gt;= FreeSpinsBonus!$C$16, AG335*FreeSpinsBonus!$E$31, 0), "")</f>
        <v>10.201107548819586</v>
      </c>
      <c r="AJ335">
        <f t="shared" ca="1" si="59"/>
        <v>0</v>
      </c>
    </row>
    <row r="336" spans="28:36" x14ac:dyDescent="0.3">
      <c r="AB336">
        <f t="shared" si="53"/>
        <v>0</v>
      </c>
      <c r="AC336">
        <f t="shared" si="54"/>
        <v>3</v>
      </c>
      <c r="AD336">
        <f t="shared" si="55"/>
        <v>1</v>
      </c>
      <c r="AE336">
        <f t="shared" si="56"/>
        <v>0</v>
      </c>
      <c r="AF336">
        <f t="shared" si="57"/>
        <v>1</v>
      </c>
      <c r="AG336">
        <f t="shared" si="58"/>
        <v>5</v>
      </c>
      <c r="AH336">
        <f t="shared" ca="1" si="60"/>
        <v>1.0574579253760077E-3</v>
      </c>
      <c r="AI336">
        <f>IF(ROW($AA336) - $AA$51 &lt; ($H$16+1)^5, IF(AG336 &gt;= FreeSpinsBonus!$C$16, AG336*FreeSpinsBonus!$E$31, 0), "")</f>
        <v>7.2865053920139902</v>
      </c>
      <c r="AJ336">
        <f t="shared" ca="1" si="59"/>
        <v>7.7051728750802077E-3</v>
      </c>
    </row>
    <row r="337" spans="28:36" x14ac:dyDescent="0.3">
      <c r="AB337">
        <f t="shared" si="53"/>
        <v>1</v>
      </c>
      <c r="AC337">
        <f t="shared" si="54"/>
        <v>3</v>
      </c>
      <c r="AD337">
        <f t="shared" si="55"/>
        <v>1</v>
      </c>
      <c r="AE337">
        <f t="shared" si="56"/>
        <v>0</v>
      </c>
      <c r="AF337">
        <f t="shared" si="57"/>
        <v>1</v>
      </c>
      <c r="AG337">
        <f t="shared" si="58"/>
        <v>6</v>
      </c>
      <c r="AH337">
        <f t="shared" ca="1" si="60"/>
        <v>1.1162055878968969E-3</v>
      </c>
      <c r="AI337">
        <f>IF(ROW($AA337) - $AA$51 &lt; ($H$16+1)^5, IF(AG337 &gt;= FreeSpinsBonus!$C$16, AG337*FreeSpinsBonus!$E$31, 0), "")</f>
        <v>8.7438064704167875</v>
      </c>
      <c r="AJ337">
        <f t="shared" ca="1" si="59"/>
        <v>9.7598856417682612E-3</v>
      </c>
    </row>
    <row r="338" spans="28:36" x14ac:dyDescent="0.3">
      <c r="AB338">
        <f t="shared" si="53"/>
        <v>2</v>
      </c>
      <c r="AC338">
        <f t="shared" si="54"/>
        <v>3</v>
      </c>
      <c r="AD338">
        <f t="shared" si="55"/>
        <v>1</v>
      </c>
      <c r="AE338">
        <f t="shared" si="56"/>
        <v>0</v>
      </c>
      <c r="AF338">
        <f t="shared" si="57"/>
        <v>1</v>
      </c>
      <c r="AG338">
        <f t="shared" si="58"/>
        <v>7</v>
      </c>
      <c r="AH338">
        <f t="shared" ca="1" si="60"/>
        <v>5.874766252088932E-4</v>
      </c>
      <c r="AI338">
        <f>IF(ROW($AA338) - $AA$51 &lt; ($H$16+1)^5, IF(AG338 &gt;= FreeSpinsBonus!$C$16, AG338*FreeSpinsBonus!$E$31, 0), "")</f>
        <v>10.201107548819586</v>
      </c>
      <c r="AJ338">
        <f t="shared" ca="1" si="59"/>
        <v>5.9929122361734952E-3</v>
      </c>
    </row>
    <row r="339" spans="28:36" x14ac:dyDescent="0.3">
      <c r="AB339">
        <f t="shared" si="53"/>
        <v>3</v>
      </c>
      <c r="AC339">
        <f t="shared" si="54"/>
        <v>3</v>
      </c>
      <c r="AD339">
        <f t="shared" si="55"/>
        <v>1</v>
      </c>
      <c r="AE339">
        <f t="shared" si="56"/>
        <v>0</v>
      </c>
      <c r="AF339">
        <f t="shared" si="57"/>
        <v>1</v>
      </c>
      <c r="AG339">
        <f t="shared" si="58"/>
        <v>8</v>
      </c>
      <c r="AH339">
        <f t="shared" ca="1" si="60"/>
        <v>0</v>
      </c>
      <c r="AI339">
        <f>IF(ROW($AA339) - $AA$51 &lt; ($H$16+1)^5, IF(AG339 &gt;= FreeSpinsBonus!$C$16, AG339*FreeSpinsBonus!$E$31, 0), "")</f>
        <v>11.658408627222384</v>
      </c>
      <c r="AJ339">
        <f t="shared" ca="1" si="59"/>
        <v>0</v>
      </c>
    </row>
    <row r="340" spans="28:36" x14ac:dyDescent="0.3">
      <c r="AB340">
        <f t="shared" si="53"/>
        <v>0</v>
      </c>
      <c r="AC340">
        <f t="shared" si="54"/>
        <v>0</v>
      </c>
      <c r="AD340">
        <f t="shared" si="55"/>
        <v>2</v>
      </c>
      <c r="AE340">
        <f t="shared" si="56"/>
        <v>0</v>
      </c>
      <c r="AF340">
        <f t="shared" si="57"/>
        <v>1</v>
      </c>
      <c r="AG340">
        <f t="shared" si="58"/>
        <v>3</v>
      </c>
      <c r="AH340">
        <f t="shared" ca="1" si="60"/>
        <v>1.6478719337109451E-3</v>
      </c>
      <c r="AI340">
        <f>IF(ROW($AA340) - $AA$51 &lt; ($H$16+1)^5, IF(AG340 &gt;= FreeSpinsBonus!$C$16, AG340*FreeSpinsBonus!$E$31, 0), "")</f>
        <v>0</v>
      </c>
      <c r="AJ340">
        <f t="shared" ca="1" si="59"/>
        <v>0</v>
      </c>
    </row>
    <row r="341" spans="28:36" x14ac:dyDescent="0.3">
      <c r="AB341">
        <f t="shared" si="53"/>
        <v>1</v>
      </c>
      <c r="AC341">
        <f t="shared" si="54"/>
        <v>0</v>
      </c>
      <c r="AD341">
        <f t="shared" si="55"/>
        <v>2</v>
      </c>
      <c r="AE341">
        <f t="shared" si="56"/>
        <v>0</v>
      </c>
      <c r="AF341">
        <f t="shared" si="57"/>
        <v>1</v>
      </c>
      <c r="AG341">
        <f t="shared" si="58"/>
        <v>4</v>
      </c>
      <c r="AH341">
        <f t="shared" ca="1" si="60"/>
        <v>1.7394203744726642E-3</v>
      </c>
      <c r="AI341">
        <f>IF(ROW($AA341) - $AA$51 &lt; ($H$16+1)^5, IF(AG341 &gt;= FreeSpinsBonus!$C$16, AG341*FreeSpinsBonus!$E$31, 0), "")</f>
        <v>0</v>
      </c>
      <c r="AJ341">
        <f t="shared" ca="1" si="59"/>
        <v>0</v>
      </c>
    </row>
    <row r="342" spans="28:36" x14ac:dyDescent="0.3">
      <c r="AB342">
        <f t="shared" si="53"/>
        <v>2</v>
      </c>
      <c r="AC342">
        <f t="shared" si="54"/>
        <v>0</v>
      </c>
      <c r="AD342">
        <f t="shared" si="55"/>
        <v>2</v>
      </c>
      <c r="AE342">
        <f t="shared" si="56"/>
        <v>0</v>
      </c>
      <c r="AF342">
        <f t="shared" si="57"/>
        <v>1</v>
      </c>
      <c r="AG342">
        <f t="shared" si="58"/>
        <v>5</v>
      </c>
      <c r="AH342">
        <f t="shared" ca="1" si="60"/>
        <v>9.1548440761719178E-4</v>
      </c>
      <c r="AI342">
        <f>IF(ROW($AA342) - $AA$51 &lt; ($H$16+1)^5, IF(AG342 &gt;= FreeSpinsBonus!$C$16, AG342*FreeSpinsBonus!$E$31, 0), "")</f>
        <v>7.2865053920139902</v>
      </c>
      <c r="AJ342">
        <f t="shared" ca="1" si="59"/>
        <v>6.6706820724074019E-3</v>
      </c>
    </row>
    <row r="343" spans="28:36" x14ac:dyDescent="0.3">
      <c r="AB343">
        <f t="shared" si="53"/>
        <v>3</v>
      </c>
      <c r="AC343">
        <f t="shared" si="54"/>
        <v>0</v>
      </c>
      <c r="AD343">
        <f t="shared" si="55"/>
        <v>2</v>
      </c>
      <c r="AE343">
        <f t="shared" si="56"/>
        <v>0</v>
      </c>
      <c r="AF343">
        <f t="shared" si="57"/>
        <v>1</v>
      </c>
      <c r="AG343">
        <f t="shared" si="58"/>
        <v>6</v>
      </c>
      <c r="AH343">
        <f t="shared" ca="1" si="60"/>
        <v>0</v>
      </c>
      <c r="AI343">
        <f>IF(ROW($AA343) - $AA$51 &lt; ($H$16+1)^5, IF(AG343 &gt;= FreeSpinsBonus!$C$16, AG343*FreeSpinsBonus!$E$31, 0), "")</f>
        <v>8.7438064704167875</v>
      </c>
      <c r="AJ343">
        <f t="shared" ca="1" si="59"/>
        <v>0</v>
      </c>
    </row>
    <row r="344" spans="28:36" x14ac:dyDescent="0.3">
      <c r="AB344">
        <f t="shared" si="53"/>
        <v>0</v>
      </c>
      <c r="AC344">
        <f t="shared" si="54"/>
        <v>1</v>
      </c>
      <c r="AD344">
        <f t="shared" si="55"/>
        <v>2</v>
      </c>
      <c r="AE344">
        <f t="shared" si="56"/>
        <v>0</v>
      </c>
      <c r="AF344">
        <f t="shared" si="57"/>
        <v>1</v>
      </c>
      <c r="AG344">
        <f t="shared" si="58"/>
        <v>4</v>
      </c>
      <c r="AH344">
        <f t="shared" ca="1" si="60"/>
        <v>1.6478719337109451E-3</v>
      </c>
      <c r="AI344">
        <f>IF(ROW($AA344) - $AA$51 &lt; ($H$16+1)^5, IF(AG344 &gt;= FreeSpinsBonus!$C$16, AG344*FreeSpinsBonus!$E$31, 0), "")</f>
        <v>0</v>
      </c>
      <c r="AJ344">
        <f t="shared" ca="1" si="59"/>
        <v>0</v>
      </c>
    </row>
    <row r="345" spans="28:36" x14ac:dyDescent="0.3">
      <c r="AB345">
        <f t="shared" si="53"/>
        <v>1</v>
      </c>
      <c r="AC345">
        <f t="shared" si="54"/>
        <v>1</v>
      </c>
      <c r="AD345">
        <f t="shared" si="55"/>
        <v>2</v>
      </c>
      <c r="AE345">
        <f t="shared" si="56"/>
        <v>0</v>
      </c>
      <c r="AF345">
        <f t="shared" si="57"/>
        <v>1</v>
      </c>
      <c r="AG345">
        <f t="shared" si="58"/>
        <v>5</v>
      </c>
      <c r="AH345">
        <f t="shared" ca="1" si="60"/>
        <v>1.7394203744726642E-3</v>
      </c>
      <c r="AI345">
        <f>IF(ROW($AA345) - $AA$51 &lt; ($H$16+1)^5, IF(AG345 &gt;= FreeSpinsBonus!$C$16, AG345*FreeSpinsBonus!$E$31, 0), "")</f>
        <v>7.2865053920139902</v>
      </c>
      <c r="AJ345">
        <f t="shared" ca="1" si="59"/>
        <v>1.2674295937574062E-2</v>
      </c>
    </row>
    <row r="346" spans="28:36" x14ac:dyDescent="0.3">
      <c r="AB346">
        <f t="shared" si="53"/>
        <v>2</v>
      </c>
      <c r="AC346">
        <f t="shared" si="54"/>
        <v>1</v>
      </c>
      <c r="AD346">
        <f t="shared" si="55"/>
        <v>2</v>
      </c>
      <c r="AE346">
        <f t="shared" si="56"/>
        <v>0</v>
      </c>
      <c r="AF346">
        <f t="shared" si="57"/>
        <v>1</v>
      </c>
      <c r="AG346">
        <f t="shared" si="58"/>
        <v>6</v>
      </c>
      <c r="AH346">
        <f t="shared" ca="1" si="60"/>
        <v>9.1548440761719178E-4</v>
      </c>
      <c r="AI346">
        <f>IF(ROW($AA346) - $AA$51 &lt; ($H$16+1)^5, IF(AG346 &gt;= FreeSpinsBonus!$C$16, AG346*FreeSpinsBonus!$E$31, 0), "")</f>
        <v>8.7438064704167875</v>
      </c>
      <c r="AJ346">
        <f t="shared" ca="1" si="59"/>
        <v>8.004818486888882E-3</v>
      </c>
    </row>
    <row r="347" spans="28:36" x14ac:dyDescent="0.3">
      <c r="AB347">
        <f t="shared" si="53"/>
        <v>3</v>
      </c>
      <c r="AC347">
        <f t="shared" si="54"/>
        <v>1</v>
      </c>
      <c r="AD347">
        <f t="shared" si="55"/>
        <v>2</v>
      </c>
      <c r="AE347">
        <f t="shared" si="56"/>
        <v>0</v>
      </c>
      <c r="AF347">
        <f t="shared" si="57"/>
        <v>1</v>
      </c>
      <c r="AG347">
        <f t="shared" si="58"/>
        <v>7</v>
      </c>
      <c r="AH347">
        <f t="shared" ca="1" si="60"/>
        <v>0</v>
      </c>
      <c r="AI347">
        <f>IF(ROW($AA347) - $AA$51 &lt; ($H$16+1)^5, IF(AG347 &gt;= FreeSpinsBonus!$C$16, AG347*FreeSpinsBonus!$E$31, 0), "")</f>
        <v>10.201107548819586</v>
      </c>
      <c r="AJ347">
        <f t="shared" ca="1" si="59"/>
        <v>0</v>
      </c>
    </row>
    <row r="348" spans="28:36" x14ac:dyDescent="0.3">
      <c r="AB348">
        <f t="shared" si="53"/>
        <v>0</v>
      </c>
      <c r="AC348">
        <f t="shared" si="54"/>
        <v>2</v>
      </c>
      <c r="AD348">
        <f t="shared" si="55"/>
        <v>2</v>
      </c>
      <c r="AE348">
        <f t="shared" si="56"/>
        <v>0</v>
      </c>
      <c r="AF348">
        <f t="shared" si="57"/>
        <v>1</v>
      </c>
      <c r="AG348">
        <f t="shared" si="58"/>
        <v>5</v>
      </c>
      <c r="AH348">
        <f t="shared" ca="1" si="60"/>
        <v>1.6478719337109451E-3</v>
      </c>
      <c r="AI348">
        <f>IF(ROW($AA348) - $AA$51 &lt; ($H$16+1)^5, IF(AG348 &gt;= FreeSpinsBonus!$C$16, AG348*FreeSpinsBonus!$E$31, 0), "")</f>
        <v>7.2865053920139902</v>
      </c>
      <c r="AJ348">
        <f t="shared" ca="1" si="59"/>
        <v>1.2007227730333322E-2</v>
      </c>
    </row>
    <row r="349" spans="28:36" x14ac:dyDescent="0.3">
      <c r="AB349">
        <f t="shared" si="53"/>
        <v>1</v>
      </c>
      <c r="AC349">
        <f t="shared" si="54"/>
        <v>2</v>
      </c>
      <c r="AD349">
        <f t="shared" si="55"/>
        <v>2</v>
      </c>
      <c r="AE349">
        <f t="shared" si="56"/>
        <v>0</v>
      </c>
      <c r="AF349">
        <f t="shared" si="57"/>
        <v>1</v>
      </c>
      <c r="AG349">
        <f t="shared" si="58"/>
        <v>6</v>
      </c>
      <c r="AH349">
        <f t="shared" ca="1" si="60"/>
        <v>1.7394203744726642E-3</v>
      </c>
      <c r="AI349">
        <f>IF(ROW($AA349) - $AA$51 &lt; ($H$16+1)^5, IF(AG349 &gt;= FreeSpinsBonus!$C$16, AG349*FreeSpinsBonus!$E$31, 0), "")</f>
        <v>8.7438064704167875</v>
      </c>
      <c r="AJ349">
        <f t="shared" ca="1" si="59"/>
        <v>1.5209155125088874E-2</v>
      </c>
    </row>
    <row r="350" spans="28:36" x14ac:dyDescent="0.3">
      <c r="AB350">
        <f t="shared" si="53"/>
        <v>2</v>
      </c>
      <c r="AC350">
        <f t="shared" si="54"/>
        <v>2</v>
      </c>
      <c r="AD350">
        <f t="shared" si="55"/>
        <v>2</v>
      </c>
      <c r="AE350">
        <f t="shared" si="56"/>
        <v>0</v>
      </c>
      <c r="AF350">
        <f t="shared" si="57"/>
        <v>1</v>
      </c>
      <c r="AG350">
        <f t="shared" si="58"/>
        <v>7</v>
      </c>
      <c r="AH350">
        <f t="shared" ca="1" si="60"/>
        <v>9.1548440761719178E-4</v>
      </c>
      <c r="AI350">
        <f>IF(ROW($AA350) - $AA$51 &lt; ($H$16+1)^5, IF(AG350 &gt;= FreeSpinsBonus!$C$16, AG350*FreeSpinsBonus!$E$31, 0), "")</f>
        <v>10.201107548819586</v>
      </c>
      <c r="AJ350">
        <f t="shared" ca="1" si="59"/>
        <v>9.338954901370362E-3</v>
      </c>
    </row>
    <row r="351" spans="28:36" x14ac:dyDescent="0.3">
      <c r="AB351">
        <f t="shared" si="53"/>
        <v>3</v>
      </c>
      <c r="AC351">
        <f t="shared" si="54"/>
        <v>2</v>
      </c>
      <c r="AD351">
        <f t="shared" si="55"/>
        <v>2</v>
      </c>
      <c r="AE351">
        <f t="shared" si="56"/>
        <v>0</v>
      </c>
      <c r="AF351">
        <f t="shared" si="57"/>
        <v>1</v>
      </c>
      <c r="AG351">
        <f t="shared" si="58"/>
        <v>8</v>
      </c>
      <c r="AH351">
        <f t="shared" ca="1" si="60"/>
        <v>0</v>
      </c>
      <c r="AI351">
        <f>IF(ROW($AA351) - $AA$51 &lt; ($H$16+1)^5, IF(AG351 &gt;= FreeSpinsBonus!$C$16, AG351*FreeSpinsBonus!$E$31, 0), "")</f>
        <v>11.658408627222384</v>
      </c>
      <c r="AJ351">
        <f t="shared" ca="1" si="59"/>
        <v>0</v>
      </c>
    </row>
    <row r="352" spans="28:36" x14ac:dyDescent="0.3">
      <c r="AB352">
        <f t="shared" si="53"/>
        <v>0</v>
      </c>
      <c r="AC352">
        <f t="shared" si="54"/>
        <v>3</v>
      </c>
      <c r="AD352">
        <f t="shared" si="55"/>
        <v>2</v>
      </c>
      <c r="AE352">
        <f t="shared" si="56"/>
        <v>0</v>
      </c>
      <c r="AF352">
        <f t="shared" si="57"/>
        <v>1</v>
      </c>
      <c r="AG352">
        <f t="shared" si="58"/>
        <v>6</v>
      </c>
      <c r="AH352">
        <f t="shared" ca="1" si="60"/>
        <v>5.8160185895680429E-4</v>
      </c>
      <c r="AI352">
        <f>IF(ROW($AA352) - $AA$51 &lt; ($H$16+1)^5, IF(AG352 &gt;= FreeSpinsBonus!$C$16, AG352*FreeSpinsBonus!$E$31, 0), "")</f>
        <v>8.7438064704167875</v>
      </c>
      <c r="AJ352">
        <f t="shared" ca="1" si="59"/>
        <v>5.085414097552937E-3</v>
      </c>
    </row>
    <row r="353" spans="28:36" x14ac:dyDescent="0.3">
      <c r="AB353">
        <f t="shared" si="53"/>
        <v>1</v>
      </c>
      <c r="AC353">
        <f t="shared" si="54"/>
        <v>3</v>
      </c>
      <c r="AD353">
        <f t="shared" si="55"/>
        <v>2</v>
      </c>
      <c r="AE353">
        <f t="shared" si="56"/>
        <v>0</v>
      </c>
      <c r="AF353">
        <f t="shared" si="57"/>
        <v>1</v>
      </c>
      <c r="AG353">
        <f t="shared" si="58"/>
        <v>7</v>
      </c>
      <c r="AH353">
        <f t="shared" ca="1" si="60"/>
        <v>6.1391307334329335E-4</v>
      </c>
      <c r="AI353">
        <f>IF(ROW($AA353) - $AA$51 &lt; ($H$16+1)^5, IF(AG353 &gt;= FreeSpinsBonus!$C$16, AG353*FreeSpinsBonus!$E$31, 0), "")</f>
        <v>10.201107548819586</v>
      </c>
      <c r="AJ353">
        <f t="shared" ca="1" si="59"/>
        <v>6.2625932868013018E-3</v>
      </c>
    </row>
    <row r="354" spans="28:36" x14ac:dyDescent="0.3">
      <c r="AB354">
        <f t="shared" si="53"/>
        <v>2</v>
      </c>
      <c r="AC354">
        <f t="shared" si="54"/>
        <v>3</v>
      </c>
      <c r="AD354">
        <f t="shared" si="55"/>
        <v>2</v>
      </c>
      <c r="AE354">
        <f t="shared" si="56"/>
        <v>0</v>
      </c>
      <c r="AF354">
        <f t="shared" si="57"/>
        <v>1</v>
      </c>
      <c r="AG354">
        <f t="shared" si="58"/>
        <v>8</v>
      </c>
      <c r="AH354">
        <f t="shared" ca="1" si="60"/>
        <v>3.2311214386489121E-4</v>
      </c>
      <c r="AI354">
        <f>IF(ROW($AA354) - $AA$51 &lt; ($H$16+1)^5, IF(AG354 &gt;= FreeSpinsBonus!$C$16, AG354*FreeSpinsBonus!$E$31, 0), "")</f>
        <v>11.658408627222384</v>
      </c>
      <c r="AJ354">
        <f t="shared" ca="1" si="59"/>
        <v>3.7669734055947677E-3</v>
      </c>
    </row>
    <row r="355" spans="28:36" x14ac:dyDescent="0.3">
      <c r="AB355">
        <f t="shared" si="53"/>
        <v>3</v>
      </c>
      <c r="AC355">
        <f t="shared" si="54"/>
        <v>3</v>
      </c>
      <c r="AD355">
        <f t="shared" si="55"/>
        <v>2</v>
      </c>
      <c r="AE355">
        <f t="shared" si="56"/>
        <v>0</v>
      </c>
      <c r="AF355">
        <f t="shared" si="57"/>
        <v>1</v>
      </c>
      <c r="AG355">
        <f t="shared" si="58"/>
        <v>9</v>
      </c>
      <c r="AH355">
        <f t="shared" ca="1" si="60"/>
        <v>0</v>
      </c>
      <c r="AI355">
        <f>IF(ROW($AA355) - $AA$51 &lt; ($H$16+1)^5, IF(AG355 &gt;= FreeSpinsBonus!$C$16, AG355*FreeSpinsBonus!$E$31, 0), "")</f>
        <v>13.115709705625182</v>
      </c>
      <c r="AJ355">
        <f t="shared" ca="1" si="59"/>
        <v>0</v>
      </c>
    </row>
    <row r="356" spans="28:36" x14ac:dyDescent="0.3">
      <c r="AB356">
        <f t="shared" si="53"/>
        <v>0</v>
      </c>
      <c r="AC356">
        <f t="shared" si="54"/>
        <v>0</v>
      </c>
      <c r="AD356">
        <f t="shared" si="55"/>
        <v>3</v>
      </c>
      <c r="AE356">
        <f t="shared" si="56"/>
        <v>0</v>
      </c>
      <c r="AF356">
        <f t="shared" si="57"/>
        <v>1</v>
      </c>
      <c r="AG356">
        <f t="shared" si="58"/>
        <v>4</v>
      </c>
      <c r="AH356">
        <f t="shared" ca="1" si="60"/>
        <v>1.4980653942826773E-4</v>
      </c>
      <c r="AI356">
        <f>IF(ROW($AA356) - $AA$51 &lt; ($H$16+1)^5, IF(AG356 &gt;= FreeSpinsBonus!$C$16, AG356*FreeSpinsBonus!$E$31, 0), "")</f>
        <v>0</v>
      </c>
      <c r="AJ356">
        <f t="shared" ca="1" si="59"/>
        <v>0</v>
      </c>
    </row>
    <row r="357" spans="28:36" x14ac:dyDescent="0.3">
      <c r="AB357">
        <f t="shared" si="53"/>
        <v>1</v>
      </c>
      <c r="AC357">
        <f t="shared" si="54"/>
        <v>0</v>
      </c>
      <c r="AD357">
        <f t="shared" si="55"/>
        <v>3</v>
      </c>
      <c r="AE357">
        <f t="shared" si="56"/>
        <v>0</v>
      </c>
      <c r="AF357">
        <f t="shared" si="57"/>
        <v>1</v>
      </c>
      <c r="AG357">
        <f t="shared" si="58"/>
        <v>5</v>
      </c>
      <c r="AH357">
        <f t="shared" ca="1" si="60"/>
        <v>1.5812912495206035E-4</v>
      </c>
      <c r="AI357">
        <f>IF(ROW($AA357) - $AA$51 &lt; ($H$16+1)^5, IF(AG357 &gt;= FreeSpinsBonus!$C$16, AG357*FreeSpinsBonus!$E$31, 0), "")</f>
        <v>7.2865053920139902</v>
      </c>
      <c r="AJ357">
        <f t="shared" ca="1" si="59"/>
        <v>1.1522087215976417E-3</v>
      </c>
    </row>
    <row r="358" spans="28:36" x14ac:dyDescent="0.3">
      <c r="AB358">
        <f t="shared" si="53"/>
        <v>2</v>
      </c>
      <c r="AC358">
        <f t="shared" si="54"/>
        <v>0</v>
      </c>
      <c r="AD358">
        <f t="shared" si="55"/>
        <v>3</v>
      </c>
      <c r="AE358">
        <f t="shared" si="56"/>
        <v>0</v>
      </c>
      <c r="AF358">
        <f t="shared" si="57"/>
        <v>1</v>
      </c>
      <c r="AG358">
        <f t="shared" si="58"/>
        <v>6</v>
      </c>
      <c r="AH358">
        <f t="shared" ca="1" si="60"/>
        <v>8.3225855237926529E-5</v>
      </c>
      <c r="AI358">
        <f>IF(ROW($AA358) - $AA$51 &lt; ($H$16+1)^5, IF(AG358 &gt;= FreeSpinsBonus!$C$16, AG358*FreeSpinsBonus!$E$31, 0), "")</f>
        <v>8.7438064704167875</v>
      </c>
      <c r="AJ358">
        <f t="shared" ca="1" si="59"/>
        <v>7.2771077153535287E-4</v>
      </c>
    </row>
    <row r="359" spans="28:36" x14ac:dyDescent="0.3">
      <c r="AB359">
        <f t="shared" si="53"/>
        <v>3</v>
      </c>
      <c r="AC359">
        <f t="shared" si="54"/>
        <v>0</v>
      </c>
      <c r="AD359">
        <f t="shared" si="55"/>
        <v>3</v>
      </c>
      <c r="AE359">
        <f t="shared" si="56"/>
        <v>0</v>
      </c>
      <c r="AF359">
        <f t="shared" si="57"/>
        <v>1</v>
      </c>
      <c r="AG359">
        <f t="shared" si="58"/>
        <v>7</v>
      </c>
      <c r="AH359">
        <f t="shared" ca="1" si="60"/>
        <v>0</v>
      </c>
      <c r="AI359">
        <f>IF(ROW($AA359) - $AA$51 &lt; ($H$16+1)^5, IF(AG359 &gt;= FreeSpinsBonus!$C$16, AG359*FreeSpinsBonus!$E$31, 0), "")</f>
        <v>10.201107548819586</v>
      </c>
      <c r="AJ359">
        <f t="shared" ca="1" si="59"/>
        <v>0</v>
      </c>
    </row>
    <row r="360" spans="28:36" x14ac:dyDescent="0.3">
      <c r="AB360">
        <f t="shared" si="53"/>
        <v>0</v>
      </c>
      <c r="AC360">
        <f t="shared" si="54"/>
        <v>1</v>
      </c>
      <c r="AD360">
        <f t="shared" si="55"/>
        <v>3</v>
      </c>
      <c r="AE360">
        <f t="shared" si="56"/>
        <v>0</v>
      </c>
      <c r="AF360">
        <f t="shared" si="57"/>
        <v>1</v>
      </c>
      <c r="AG360">
        <f t="shared" si="58"/>
        <v>5</v>
      </c>
      <c r="AH360">
        <f t="shared" ca="1" si="60"/>
        <v>1.4980653942826773E-4</v>
      </c>
      <c r="AI360">
        <f>IF(ROW($AA360) - $AA$51 &lt; ($H$16+1)^5, IF(AG360 &gt;= FreeSpinsBonus!$C$16, AG360*FreeSpinsBonus!$E$31, 0), "")</f>
        <v>7.2865053920139902</v>
      </c>
      <c r="AJ360">
        <f t="shared" ca="1" si="59"/>
        <v>1.0915661573030293E-3</v>
      </c>
    </row>
    <row r="361" spans="28:36" x14ac:dyDescent="0.3">
      <c r="AB361">
        <f t="shared" si="53"/>
        <v>1</v>
      </c>
      <c r="AC361">
        <f t="shared" si="54"/>
        <v>1</v>
      </c>
      <c r="AD361">
        <f t="shared" si="55"/>
        <v>3</v>
      </c>
      <c r="AE361">
        <f t="shared" si="56"/>
        <v>0</v>
      </c>
      <c r="AF361">
        <f t="shared" si="57"/>
        <v>1</v>
      </c>
      <c r="AG361">
        <f t="shared" si="58"/>
        <v>6</v>
      </c>
      <c r="AH361">
        <f t="shared" ca="1" si="60"/>
        <v>1.5812912495206035E-4</v>
      </c>
      <c r="AI361">
        <f>IF(ROW($AA361) - $AA$51 &lt; ($H$16+1)^5, IF(AG361 &gt;= FreeSpinsBonus!$C$16, AG361*FreeSpinsBonus!$E$31, 0), "")</f>
        <v>8.7438064704167875</v>
      </c>
      <c r="AJ361">
        <f t="shared" ca="1" si="59"/>
        <v>1.3826504659171699E-3</v>
      </c>
    </row>
    <row r="362" spans="28:36" x14ac:dyDescent="0.3">
      <c r="AB362">
        <f t="shared" si="53"/>
        <v>2</v>
      </c>
      <c r="AC362">
        <f t="shared" si="54"/>
        <v>1</v>
      </c>
      <c r="AD362">
        <f t="shared" si="55"/>
        <v>3</v>
      </c>
      <c r="AE362">
        <f t="shared" si="56"/>
        <v>0</v>
      </c>
      <c r="AF362">
        <f t="shared" si="57"/>
        <v>1</v>
      </c>
      <c r="AG362">
        <f t="shared" si="58"/>
        <v>7</v>
      </c>
      <c r="AH362">
        <f t="shared" ca="1" si="60"/>
        <v>8.3225855237926529E-5</v>
      </c>
      <c r="AI362">
        <f>IF(ROW($AA362) - $AA$51 &lt; ($H$16+1)^5, IF(AG362 &gt;= FreeSpinsBonus!$C$16, AG362*FreeSpinsBonus!$E$31, 0), "")</f>
        <v>10.201107548819586</v>
      </c>
      <c r="AJ362">
        <f t="shared" ca="1" si="59"/>
        <v>8.4899590012457835E-4</v>
      </c>
    </row>
    <row r="363" spans="28:36" x14ac:dyDescent="0.3">
      <c r="AB363">
        <f t="shared" si="53"/>
        <v>3</v>
      </c>
      <c r="AC363">
        <f t="shared" si="54"/>
        <v>1</v>
      </c>
      <c r="AD363">
        <f t="shared" si="55"/>
        <v>3</v>
      </c>
      <c r="AE363">
        <f t="shared" si="56"/>
        <v>0</v>
      </c>
      <c r="AF363">
        <f t="shared" si="57"/>
        <v>1</v>
      </c>
      <c r="AG363">
        <f t="shared" si="58"/>
        <v>8</v>
      </c>
      <c r="AH363">
        <f t="shared" ca="1" si="60"/>
        <v>0</v>
      </c>
      <c r="AI363">
        <f>IF(ROW($AA363) - $AA$51 &lt; ($H$16+1)^5, IF(AG363 &gt;= FreeSpinsBonus!$C$16, AG363*FreeSpinsBonus!$E$31, 0), "")</f>
        <v>11.658408627222384</v>
      </c>
      <c r="AJ363">
        <f t="shared" ca="1" si="59"/>
        <v>0</v>
      </c>
    </row>
    <row r="364" spans="28:36" x14ac:dyDescent="0.3">
      <c r="AB364">
        <f t="shared" si="53"/>
        <v>0</v>
      </c>
      <c r="AC364">
        <f t="shared" si="54"/>
        <v>2</v>
      </c>
      <c r="AD364">
        <f t="shared" si="55"/>
        <v>3</v>
      </c>
      <c r="AE364">
        <f t="shared" si="56"/>
        <v>0</v>
      </c>
      <c r="AF364">
        <f t="shared" si="57"/>
        <v>1</v>
      </c>
      <c r="AG364">
        <f t="shared" si="58"/>
        <v>6</v>
      </c>
      <c r="AH364">
        <f t="shared" ca="1" si="60"/>
        <v>1.4980653942826773E-4</v>
      </c>
      <c r="AI364">
        <f>IF(ROW($AA364) - $AA$51 &lt; ($H$16+1)^5, IF(AG364 &gt;= FreeSpinsBonus!$C$16, AG364*FreeSpinsBonus!$E$31, 0), "")</f>
        <v>8.7438064704167875</v>
      </c>
      <c r="AJ364">
        <f t="shared" ca="1" si="59"/>
        <v>1.3098793887636349E-3</v>
      </c>
    </row>
    <row r="365" spans="28:36" x14ac:dyDescent="0.3">
      <c r="AB365">
        <f t="shared" si="53"/>
        <v>1</v>
      </c>
      <c r="AC365">
        <f t="shared" si="54"/>
        <v>2</v>
      </c>
      <c r="AD365">
        <f t="shared" si="55"/>
        <v>3</v>
      </c>
      <c r="AE365">
        <f t="shared" si="56"/>
        <v>0</v>
      </c>
      <c r="AF365">
        <f t="shared" si="57"/>
        <v>1</v>
      </c>
      <c r="AG365">
        <f t="shared" si="58"/>
        <v>7</v>
      </c>
      <c r="AH365">
        <f t="shared" ca="1" si="60"/>
        <v>1.5812912495206035E-4</v>
      </c>
      <c r="AI365">
        <f>IF(ROW($AA365) - $AA$51 &lt; ($H$16+1)^5, IF(AG365 &gt;= FreeSpinsBonus!$C$16, AG365*FreeSpinsBonus!$E$31, 0), "")</f>
        <v>10.201107548819586</v>
      </c>
      <c r="AJ365">
        <f t="shared" ca="1" si="59"/>
        <v>1.6130922102366983E-3</v>
      </c>
    </row>
    <row r="366" spans="28:36" x14ac:dyDescent="0.3">
      <c r="AB366">
        <f t="shared" si="53"/>
        <v>2</v>
      </c>
      <c r="AC366">
        <f t="shared" si="54"/>
        <v>2</v>
      </c>
      <c r="AD366">
        <f t="shared" si="55"/>
        <v>3</v>
      </c>
      <c r="AE366">
        <f t="shared" si="56"/>
        <v>0</v>
      </c>
      <c r="AF366">
        <f t="shared" si="57"/>
        <v>1</v>
      </c>
      <c r="AG366">
        <f t="shared" si="58"/>
        <v>8</v>
      </c>
      <c r="AH366">
        <f t="shared" ca="1" si="60"/>
        <v>8.3225855237926529E-5</v>
      </c>
      <c r="AI366">
        <f>IF(ROW($AA366) - $AA$51 &lt; ($H$16+1)^5, IF(AG366 &gt;= FreeSpinsBonus!$C$16, AG366*FreeSpinsBonus!$E$31, 0), "")</f>
        <v>11.658408627222384</v>
      </c>
      <c r="AJ366">
        <f t="shared" ca="1" si="59"/>
        <v>9.7028102871380383E-4</v>
      </c>
    </row>
    <row r="367" spans="28:36" x14ac:dyDescent="0.3">
      <c r="AB367">
        <f t="shared" si="53"/>
        <v>3</v>
      </c>
      <c r="AC367">
        <f t="shared" si="54"/>
        <v>2</v>
      </c>
      <c r="AD367">
        <f t="shared" si="55"/>
        <v>3</v>
      </c>
      <c r="AE367">
        <f t="shared" si="56"/>
        <v>0</v>
      </c>
      <c r="AF367">
        <f t="shared" si="57"/>
        <v>1</v>
      </c>
      <c r="AG367">
        <f t="shared" si="58"/>
        <v>9</v>
      </c>
      <c r="AH367">
        <f t="shared" ca="1" si="60"/>
        <v>0</v>
      </c>
      <c r="AI367">
        <f>IF(ROW($AA367) - $AA$51 &lt; ($H$16+1)^5, IF(AG367 &gt;= FreeSpinsBonus!$C$16, AG367*FreeSpinsBonus!$E$31, 0), "")</f>
        <v>13.115709705625182</v>
      </c>
      <c r="AJ367">
        <f t="shared" ca="1" si="59"/>
        <v>0</v>
      </c>
    </row>
    <row r="368" spans="28:36" x14ac:dyDescent="0.3">
      <c r="AB368">
        <f t="shared" si="53"/>
        <v>0</v>
      </c>
      <c r="AC368">
        <f t="shared" si="54"/>
        <v>3</v>
      </c>
      <c r="AD368">
        <f t="shared" si="55"/>
        <v>3</v>
      </c>
      <c r="AE368">
        <f t="shared" si="56"/>
        <v>0</v>
      </c>
      <c r="AF368">
        <f t="shared" si="57"/>
        <v>1</v>
      </c>
      <c r="AG368">
        <f t="shared" si="58"/>
        <v>7</v>
      </c>
      <c r="AH368">
        <f t="shared" ca="1" si="60"/>
        <v>5.2872896268800379E-5</v>
      </c>
      <c r="AI368">
        <f>IF(ROW($AA368) - $AA$51 &lt; ($H$16+1)^5, IF(AG368 &gt;= FreeSpinsBonus!$C$16, AG368*FreeSpinsBonus!$E$31, 0), "")</f>
        <v>10.201107548819586</v>
      </c>
      <c r="AJ368">
        <f t="shared" ca="1" si="59"/>
        <v>5.393621012556144E-4</v>
      </c>
    </row>
    <row r="369" spans="28:36" x14ac:dyDescent="0.3">
      <c r="AB369">
        <f t="shared" si="53"/>
        <v>1</v>
      </c>
      <c r="AC369">
        <f t="shared" si="54"/>
        <v>3</v>
      </c>
      <c r="AD369">
        <f t="shared" si="55"/>
        <v>3</v>
      </c>
      <c r="AE369">
        <f t="shared" si="56"/>
        <v>0</v>
      </c>
      <c r="AF369">
        <f t="shared" si="57"/>
        <v>1</v>
      </c>
      <c r="AG369">
        <f t="shared" si="58"/>
        <v>8</v>
      </c>
      <c r="AH369">
        <f t="shared" ca="1" si="60"/>
        <v>5.5810279394844834E-5</v>
      </c>
      <c r="AI369">
        <f>IF(ROW($AA369) - $AA$51 &lt; ($H$16+1)^5, IF(AG369 &gt;= FreeSpinsBonus!$C$16, AG369*FreeSpinsBonus!$E$31, 0), "")</f>
        <v>11.658408627222384</v>
      </c>
      <c r="AJ369">
        <f t="shared" ca="1" si="59"/>
        <v>6.5065904278455069E-4</v>
      </c>
    </row>
    <row r="370" spans="28:36" x14ac:dyDescent="0.3">
      <c r="AB370">
        <f t="shared" si="53"/>
        <v>2</v>
      </c>
      <c r="AC370">
        <f t="shared" si="54"/>
        <v>3</v>
      </c>
      <c r="AD370">
        <f t="shared" si="55"/>
        <v>3</v>
      </c>
      <c r="AE370">
        <f t="shared" si="56"/>
        <v>0</v>
      </c>
      <c r="AF370">
        <f t="shared" si="57"/>
        <v>1</v>
      </c>
      <c r="AG370">
        <f t="shared" si="58"/>
        <v>9</v>
      </c>
      <c r="AH370">
        <f t="shared" ca="1" si="60"/>
        <v>2.9373831260444655E-5</v>
      </c>
      <c r="AI370">
        <f>IF(ROW($AA370) - $AA$51 &lt; ($H$16+1)^5, IF(AG370 &gt;= FreeSpinsBonus!$C$16, AG370*FreeSpinsBonus!$E$31, 0), "")</f>
        <v>13.115709705625182</v>
      </c>
      <c r="AJ370">
        <f t="shared" ca="1" si="59"/>
        <v>3.8525864375401036E-4</v>
      </c>
    </row>
    <row r="371" spans="28:36" x14ac:dyDescent="0.3">
      <c r="AB371">
        <f t="shared" si="53"/>
        <v>3</v>
      </c>
      <c r="AC371">
        <f t="shared" si="54"/>
        <v>3</v>
      </c>
      <c r="AD371">
        <f t="shared" si="55"/>
        <v>3</v>
      </c>
      <c r="AE371">
        <f t="shared" si="56"/>
        <v>0</v>
      </c>
      <c r="AF371">
        <f t="shared" si="57"/>
        <v>1</v>
      </c>
      <c r="AG371">
        <f t="shared" si="58"/>
        <v>10</v>
      </c>
      <c r="AH371">
        <f t="shared" ca="1" si="60"/>
        <v>0</v>
      </c>
      <c r="AI371">
        <f>IF(ROW($AA371) - $AA$51 &lt; ($H$16+1)^5, IF(AG371 &gt;= FreeSpinsBonus!$C$16, AG371*FreeSpinsBonus!$E$31, 0), "")</f>
        <v>14.57301078402798</v>
      </c>
      <c r="AJ371">
        <f t="shared" ca="1" si="59"/>
        <v>0</v>
      </c>
    </row>
    <row r="372" spans="28:36" x14ac:dyDescent="0.3">
      <c r="AB372">
        <f t="shared" ref="AB372:AB435" si="61">IF(ROW()-$AA$51 &lt; (H$16+1)^5, MOD(_xlfn.FLOOR.MATH((ROW()-$AA$51)/AB$50), H$16+1), "")</f>
        <v>0</v>
      </c>
      <c r="AC372">
        <f t="shared" ref="AC372:AC435" si="62">IF(ROW()-$AA$51 &lt; (I$16+1)^5, MOD(_xlfn.FLOOR.MATH((ROW()-$AA$51)/AC$50), I$16+1), "")</f>
        <v>0</v>
      </c>
      <c r="AD372">
        <f t="shared" ref="AD372:AD435" si="63">IF(ROW()-$AA$51 &lt; (J$16+1)^5, MOD(_xlfn.FLOOR.MATH((ROW()-$AA$51)/AD$50), J$16+1), "")</f>
        <v>0</v>
      </c>
      <c r="AE372">
        <f t="shared" ref="AE372:AE435" si="64">IF(ROW()-$AA$51 &lt; (K$16+1)^5, MOD(_xlfn.FLOOR.MATH((ROW()-$AA$51)/AE$50), K$16+1), "")</f>
        <v>1</v>
      </c>
      <c r="AF372">
        <f t="shared" ref="AF372:AF435" si="65">IF(ROW()-$AA$51 &lt; (L$16+1)^5, MOD(_xlfn.FLOOR.MATH((ROW()-$AA$51)/AF$50), L$16+1), "")</f>
        <v>1</v>
      </c>
      <c r="AG372">
        <f t="shared" ref="AG372:AG435" si="66">IF(ROW($AA372) - $AA$51 &lt; ($H$16+1)^5, SUM(AB372:AF372), "")</f>
        <v>2</v>
      </c>
      <c r="AH372">
        <f t="shared" ca="1" si="60"/>
        <v>3.7665644199107316E-3</v>
      </c>
      <c r="AI372">
        <f>IF(ROW($AA372) - $AA$51 &lt; ($H$16+1)^5, IF(AG372 &gt;= FreeSpinsBonus!$C$16, AG372*FreeSpinsBonus!$E$31, 0), "")</f>
        <v>0</v>
      </c>
      <c r="AJ372">
        <f t="shared" ref="AJ372:AJ435" ca="1" si="67">IF(ROW($AA372) - $AA$51 &lt; ($H$16+1)^5, AH372*AI372, "")</f>
        <v>0</v>
      </c>
    </row>
    <row r="373" spans="28:36" x14ac:dyDescent="0.3">
      <c r="AB373">
        <f t="shared" si="61"/>
        <v>1</v>
      </c>
      <c r="AC373">
        <f t="shared" si="62"/>
        <v>0</v>
      </c>
      <c r="AD373">
        <f t="shared" si="63"/>
        <v>0</v>
      </c>
      <c r="AE373">
        <f t="shared" si="64"/>
        <v>1</v>
      </c>
      <c r="AF373">
        <f t="shared" si="65"/>
        <v>1</v>
      </c>
      <c r="AG373">
        <f t="shared" si="66"/>
        <v>3</v>
      </c>
      <c r="AH373">
        <f t="shared" ref="AH373:AH436" ca="1" si="68">IF(ROW($AA373) - $AA$51 &lt; (4)^5,
    (_xlfn.XLOOKUP(AB373,$T$51:$T$55,U$51:U$55,0)/U$28) * (_xlfn.XLOOKUP(AC373,$T$51:$T$55,V$51:V$55,0)/V$28) * (_xlfn.XLOOKUP(AD373,$T$51:$T$55,W$51:W$55,0)/W$28) * (_xlfn.XLOOKUP(AE373,$T$51:$T$55,X$51:X$55,0)/X$28) * (_xlfn.XLOOKUP(AF373,$T$51:$T$55,Y$51:Y$55,0)/Y$28),
"")</f>
        <v>3.9758179987946602E-3</v>
      </c>
      <c r="AI373">
        <f>IF(ROW($AA373) - $AA$51 &lt; ($H$16+1)^5, IF(AG373 &gt;= FreeSpinsBonus!$C$16, AG373*FreeSpinsBonus!$E$31, 0), "")</f>
        <v>0</v>
      </c>
      <c r="AJ373">
        <f t="shared" ca="1" si="67"/>
        <v>0</v>
      </c>
    </row>
    <row r="374" spans="28:36" x14ac:dyDescent="0.3">
      <c r="AB374">
        <f t="shared" si="61"/>
        <v>2</v>
      </c>
      <c r="AC374">
        <f t="shared" si="62"/>
        <v>0</v>
      </c>
      <c r="AD374">
        <f t="shared" si="63"/>
        <v>0</v>
      </c>
      <c r="AE374">
        <f t="shared" si="64"/>
        <v>1</v>
      </c>
      <c r="AF374">
        <f t="shared" si="65"/>
        <v>1</v>
      </c>
      <c r="AG374">
        <f t="shared" si="66"/>
        <v>4</v>
      </c>
      <c r="AH374">
        <f t="shared" ca="1" si="68"/>
        <v>2.0925357888392955E-3</v>
      </c>
      <c r="AI374">
        <f>IF(ROW($AA374) - $AA$51 &lt; ($H$16+1)^5, IF(AG374 &gt;= FreeSpinsBonus!$C$16, AG374*FreeSpinsBonus!$E$31, 0), "")</f>
        <v>0</v>
      </c>
      <c r="AJ374">
        <f t="shared" ca="1" si="67"/>
        <v>0</v>
      </c>
    </row>
    <row r="375" spans="28:36" x14ac:dyDescent="0.3">
      <c r="AB375">
        <f t="shared" si="61"/>
        <v>3</v>
      </c>
      <c r="AC375">
        <f t="shared" si="62"/>
        <v>0</v>
      </c>
      <c r="AD375">
        <f t="shared" si="63"/>
        <v>0</v>
      </c>
      <c r="AE375">
        <f t="shared" si="64"/>
        <v>1</v>
      </c>
      <c r="AF375">
        <f t="shared" si="65"/>
        <v>1</v>
      </c>
      <c r="AG375">
        <f t="shared" si="66"/>
        <v>5</v>
      </c>
      <c r="AH375">
        <f t="shared" ca="1" si="68"/>
        <v>0</v>
      </c>
      <c r="AI375">
        <f>IF(ROW($AA375) - $AA$51 &lt; ($H$16+1)^5, IF(AG375 &gt;= FreeSpinsBonus!$C$16, AG375*FreeSpinsBonus!$E$31, 0), "")</f>
        <v>7.2865053920139902</v>
      </c>
      <c r="AJ375">
        <f t="shared" ca="1" si="67"/>
        <v>0</v>
      </c>
    </row>
    <row r="376" spans="28:36" x14ac:dyDescent="0.3">
      <c r="AB376">
        <f t="shared" si="61"/>
        <v>0</v>
      </c>
      <c r="AC376">
        <f t="shared" si="62"/>
        <v>1</v>
      </c>
      <c r="AD376">
        <f t="shared" si="63"/>
        <v>0</v>
      </c>
      <c r="AE376">
        <f t="shared" si="64"/>
        <v>1</v>
      </c>
      <c r="AF376">
        <f t="shared" si="65"/>
        <v>1</v>
      </c>
      <c r="AG376">
        <f t="shared" si="66"/>
        <v>3</v>
      </c>
      <c r="AH376">
        <f t="shared" ca="1" si="68"/>
        <v>3.7665644199107316E-3</v>
      </c>
      <c r="AI376">
        <f>IF(ROW($AA376) - $AA$51 &lt; ($H$16+1)^5, IF(AG376 &gt;= FreeSpinsBonus!$C$16, AG376*FreeSpinsBonus!$E$31, 0), "")</f>
        <v>0</v>
      </c>
      <c r="AJ376">
        <f t="shared" ca="1" si="67"/>
        <v>0</v>
      </c>
    </row>
    <row r="377" spans="28:36" x14ac:dyDescent="0.3">
      <c r="AB377">
        <f t="shared" si="61"/>
        <v>1</v>
      </c>
      <c r="AC377">
        <f t="shared" si="62"/>
        <v>1</v>
      </c>
      <c r="AD377">
        <f t="shared" si="63"/>
        <v>0</v>
      </c>
      <c r="AE377">
        <f t="shared" si="64"/>
        <v>1</v>
      </c>
      <c r="AF377">
        <f t="shared" si="65"/>
        <v>1</v>
      </c>
      <c r="AG377">
        <f t="shared" si="66"/>
        <v>4</v>
      </c>
      <c r="AH377">
        <f t="shared" ca="1" si="68"/>
        <v>3.9758179987946602E-3</v>
      </c>
      <c r="AI377">
        <f>IF(ROW($AA377) - $AA$51 &lt; ($H$16+1)^5, IF(AG377 &gt;= FreeSpinsBonus!$C$16, AG377*FreeSpinsBonus!$E$31, 0), "")</f>
        <v>0</v>
      </c>
      <c r="AJ377">
        <f t="shared" ca="1" si="67"/>
        <v>0</v>
      </c>
    </row>
    <row r="378" spans="28:36" x14ac:dyDescent="0.3">
      <c r="AB378">
        <f t="shared" si="61"/>
        <v>2</v>
      </c>
      <c r="AC378">
        <f t="shared" si="62"/>
        <v>1</v>
      </c>
      <c r="AD378">
        <f t="shared" si="63"/>
        <v>0</v>
      </c>
      <c r="AE378">
        <f t="shared" si="64"/>
        <v>1</v>
      </c>
      <c r="AF378">
        <f t="shared" si="65"/>
        <v>1</v>
      </c>
      <c r="AG378">
        <f t="shared" si="66"/>
        <v>5</v>
      </c>
      <c r="AH378">
        <f t="shared" ca="1" si="68"/>
        <v>2.0925357888392955E-3</v>
      </c>
      <c r="AI378">
        <f>IF(ROW($AA378) - $AA$51 &lt; ($H$16+1)^5, IF(AG378 &gt;= FreeSpinsBonus!$C$16, AG378*FreeSpinsBonus!$E$31, 0), "")</f>
        <v>7.2865053920139902</v>
      </c>
      <c r="AJ378">
        <f t="shared" ca="1" si="67"/>
        <v>1.5247273308359776E-2</v>
      </c>
    </row>
    <row r="379" spans="28:36" x14ac:dyDescent="0.3">
      <c r="AB379">
        <f t="shared" si="61"/>
        <v>3</v>
      </c>
      <c r="AC379">
        <f t="shared" si="62"/>
        <v>1</v>
      </c>
      <c r="AD379">
        <f t="shared" si="63"/>
        <v>0</v>
      </c>
      <c r="AE379">
        <f t="shared" si="64"/>
        <v>1</v>
      </c>
      <c r="AF379">
        <f t="shared" si="65"/>
        <v>1</v>
      </c>
      <c r="AG379">
        <f t="shared" si="66"/>
        <v>6</v>
      </c>
      <c r="AH379">
        <f t="shared" ca="1" si="68"/>
        <v>0</v>
      </c>
      <c r="AI379">
        <f>IF(ROW($AA379) - $AA$51 &lt; ($H$16+1)^5, IF(AG379 &gt;= FreeSpinsBonus!$C$16, AG379*FreeSpinsBonus!$E$31, 0), "")</f>
        <v>8.7438064704167875</v>
      </c>
      <c r="AJ379">
        <f t="shared" ca="1" si="67"/>
        <v>0</v>
      </c>
    </row>
    <row r="380" spans="28:36" x14ac:dyDescent="0.3">
      <c r="AB380">
        <f t="shared" si="61"/>
        <v>0</v>
      </c>
      <c r="AC380">
        <f t="shared" si="62"/>
        <v>2</v>
      </c>
      <c r="AD380">
        <f t="shared" si="63"/>
        <v>0</v>
      </c>
      <c r="AE380">
        <f t="shared" si="64"/>
        <v>1</v>
      </c>
      <c r="AF380">
        <f t="shared" si="65"/>
        <v>1</v>
      </c>
      <c r="AG380">
        <f t="shared" si="66"/>
        <v>4</v>
      </c>
      <c r="AH380">
        <f t="shared" ca="1" si="68"/>
        <v>3.7665644199107316E-3</v>
      </c>
      <c r="AI380">
        <f>IF(ROW($AA380) - $AA$51 &lt; ($H$16+1)^5, IF(AG380 &gt;= FreeSpinsBonus!$C$16, AG380*FreeSpinsBonus!$E$31, 0), "")</f>
        <v>0</v>
      </c>
      <c r="AJ380">
        <f t="shared" ca="1" si="67"/>
        <v>0</v>
      </c>
    </row>
    <row r="381" spans="28:36" x14ac:dyDescent="0.3">
      <c r="AB381">
        <f t="shared" si="61"/>
        <v>1</v>
      </c>
      <c r="AC381">
        <f t="shared" si="62"/>
        <v>2</v>
      </c>
      <c r="AD381">
        <f t="shared" si="63"/>
        <v>0</v>
      </c>
      <c r="AE381">
        <f t="shared" si="64"/>
        <v>1</v>
      </c>
      <c r="AF381">
        <f t="shared" si="65"/>
        <v>1</v>
      </c>
      <c r="AG381">
        <f t="shared" si="66"/>
        <v>5</v>
      </c>
      <c r="AH381">
        <f t="shared" ca="1" si="68"/>
        <v>3.9758179987946602E-3</v>
      </c>
      <c r="AI381">
        <f>IF(ROW($AA381) - $AA$51 &lt; ($H$16+1)^5, IF(AG381 &gt;= FreeSpinsBonus!$C$16, AG381*FreeSpinsBonus!$E$31, 0), "")</f>
        <v>7.2865053920139902</v>
      </c>
      <c r="AJ381">
        <f t="shared" ca="1" si="67"/>
        <v>2.8969819285883564E-2</v>
      </c>
    </row>
    <row r="382" spans="28:36" x14ac:dyDescent="0.3">
      <c r="AB382">
        <f t="shared" si="61"/>
        <v>2</v>
      </c>
      <c r="AC382">
        <f t="shared" si="62"/>
        <v>2</v>
      </c>
      <c r="AD382">
        <f t="shared" si="63"/>
        <v>0</v>
      </c>
      <c r="AE382">
        <f t="shared" si="64"/>
        <v>1</v>
      </c>
      <c r="AF382">
        <f t="shared" si="65"/>
        <v>1</v>
      </c>
      <c r="AG382">
        <f t="shared" si="66"/>
        <v>6</v>
      </c>
      <c r="AH382">
        <f t="shared" ca="1" si="68"/>
        <v>2.0925357888392955E-3</v>
      </c>
      <c r="AI382">
        <f>IF(ROW($AA382) - $AA$51 &lt; ($H$16+1)^5, IF(AG382 &gt;= FreeSpinsBonus!$C$16, AG382*FreeSpinsBonus!$E$31, 0), "")</f>
        <v>8.7438064704167875</v>
      </c>
      <c r="AJ382">
        <f t="shared" ca="1" si="67"/>
        <v>1.8296727970031727E-2</v>
      </c>
    </row>
    <row r="383" spans="28:36" x14ac:dyDescent="0.3">
      <c r="AB383">
        <f t="shared" si="61"/>
        <v>3</v>
      </c>
      <c r="AC383">
        <f t="shared" si="62"/>
        <v>2</v>
      </c>
      <c r="AD383">
        <f t="shared" si="63"/>
        <v>0</v>
      </c>
      <c r="AE383">
        <f t="shared" si="64"/>
        <v>1</v>
      </c>
      <c r="AF383">
        <f t="shared" si="65"/>
        <v>1</v>
      </c>
      <c r="AG383">
        <f t="shared" si="66"/>
        <v>7</v>
      </c>
      <c r="AH383">
        <f t="shared" ca="1" si="68"/>
        <v>0</v>
      </c>
      <c r="AI383">
        <f>IF(ROW($AA383) - $AA$51 &lt; ($H$16+1)^5, IF(AG383 &gt;= FreeSpinsBonus!$C$16, AG383*FreeSpinsBonus!$E$31, 0), "")</f>
        <v>10.201107548819586</v>
      </c>
      <c r="AJ383">
        <f t="shared" ca="1" si="67"/>
        <v>0</v>
      </c>
    </row>
    <row r="384" spans="28:36" x14ac:dyDescent="0.3">
      <c r="AB384">
        <f t="shared" si="61"/>
        <v>0</v>
      </c>
      <c r="AC384">
        <f t="shared" si="62"/>
        <v>3</v>
      </c>
      <c r="AD384">
        <f t="shared" si="63"/>
        <v>0</v>
      </c>
      <c r="AE384">
        <f t="shared" si="64"/>
        <v>1</v>
      </c>
      <c r="AF384">
        <f t="shared" si="65"/>
        <v>1</v>
      </c>
      <c r="AG384">
        <f t="shared" si="66"/>
        <v>5</v>
      </c>
      <c r="AH384">
        <f t="shared" ca="1" si="68"/>
        <v>1.3293756776155525E-3</v>
      </c>
      <c r="AI384">
        <f>IF(ROW($AA384) - $AA$51 &lt; ($H$16+1)^5, IF(AG384 &gt;= FreeSpinsBonus!$C$16, AG384*FreeSpinsBonus!$E$31, 0), "")</f>
        <v>7.2865053920139902</v>
      </c>
      <c r="AJ384">
        <f t="shared" ca="1" si="67"/>
        <v>9.6865030429579748E-3</v>
      </c>
    </row>
    <row r="385" spans="28:36" x14ac:dyDescent="0.3">
      <c r="AB385">
        <f t="shared" si="61"/>
        <v>1</v>
      </c>
      <c r="AC385">
        <f t="shared" si="62"/>
        <v>3</v>
      </c>
      <c r="AD385">
        <f t="shared" si="63"/>
        <v>0</v>
      </c>
      <c r="AE385">
        <f t="shared" si="64"/>
        <v>1</v>
      </c>
      <c r="AF385">
        <f t="shared" si="65"/>
        <v>1</v>
      </c>
      <c r="AG385">
        <f t="shared" si="66"/>
        <v>6</v>
      </c>
      <c r="AH385">
        <f t="shared" ca="1" si="68"/>
        <v>1.4032298819275273E-3</v>
      </c>
      <c r="AI385">
        <f>IF(ROW($AA385) - $AA$51 &lt; ($H$16+1)^5, IF(AG385 &gt;= FreeSpinsBonus!$C$16, AG385*FreeSpinsBonus!$E$31, 0), "")</f>
        <v>8.7438064704167875</v>
      </c>
      <c r="AJ385">
        <f t="shared" ca="1" si="67"/>
        <v>1.2269570521080098E-2</v>
      </c>
    </row>
    <row r="386" spans="28:36" x14ac:dyDescent="0.3">
      <c r="AB386">
        <f t="shared" si="61"/>
        <v>2</v>
      </c>
      <c r="AC386">
        <f t="shared" si="62"/>
        <v>3</v>
      </c>
      <c r="AD386">
        <f t="shared" si="63"/>
        <v>0</v>
      </c>
      <c r="AE386">
        <f t="shared" si="64"/>
        <v>1</v>
      </c>
      <c r="AF386">
        <f t="shared" si="65"/>
        <v>1</v>
      </c>
      <c r="AG386">
        <f t="shared" si="66"/>
        <v>7</v>
      </c>
      <c r="AH386">
        <f t="shared" ca="1" si="68"/>
        <v>7.3854204311975139E-4</v>
      </c>
      <c r="AI386">
        <f>IF(ROW($AA386) - $AA$51 &lt; ($H$16+1)^5, IF(AG386 &gt;= FreeSpinsBonus!$C$16, AG386*FreeSpinsBonus!$E$31, 0), "")</f>
        <v>10.201107548819586</v>
      </c>
      <c r="AJ386">
        <f t="shared" ca="1" si="67"/>
        <v>7.5339468111895362E-3</v>
      </c>
    </row>
    <row r="387" spans="28:36" x14ac:dyDescent="0.3">
      <c r="AB387">
        <f t="shared" si="61"/>
        <v>3</v>
      </c>
      <c r="AC387">
        <f t="shared" si="62"/>
        <v>3</v>
      </c>
      <c r="AD387">
        <f t="shared" si="63"/>
        <v>0</v>
      </c>
      <c r="AE387">
        <f t="shared" si="64"/>
        <v>1</v>
      </c>
      <c r="AF387">
        <f t="shared" si="65"/>
        <v>1</v>
      </c>
      <c r="AG387">
        <f t="shared" si="66"/>
        <v>8</v>
      </c>
      <c r="AH387">
        <f t="shared" ca="1" si="68"/>
        <v>0</v>
      </c>
      <c r="AI387">
        <f>IF(ROW($AA387) - $AA$51 &lt; ($H$16+1)^5, IF(AG387 &gt;= FreeSpinsBonus!$C$16, AG387*FreeSpinsBonus!$E$31, 0), "")</f>
        <v>11.658408627222384</v>
      </c>
      <c r="AJ387">
        <f t="shared" ca="1" si="67"/>
        <v>0</v>
      </c>
    </row>
    <row r="388" spans="28:36" x14ac:dyDescent="0.3">
      <c r="AB388">
        <f t="shared" si="61"/>
        <v>0</v>
      </c>
      <c r="AC388">
        <f t="shared" si="62"/>
        <v>0</v>
      </c>
      <c r="AD388">
        <f t="shared" si="63"/>
        <v>1</v>
      </c>
      <c r="AE388">
        <f t="shared" si="64"/>
        <v>1</v>
      </c>
      <c r="AF388">
        <f t="shared" si="65"/>
        <v>1</v>
      </c>
      <c r="AG388">
        <f t="shared" si="66"/>
        <v>3</v>
      </c>
      <c r="AH388">
        <f t="shared" ca="1" si="68"/>
        <v>4.7082055248884149E-3</v>
      </c>
      <c r="AI388">
        <f>IF(ROW($AA388) - $AA$51 &lt; ($H$16+1)^5, IF(AG388 &gt;= FreeSpinsBonus!$C$16, AG388*FreeSpinsBonus!$E$31, 0), "")</f>
        <v>0</v>
      </c>
      <c r="AJ388">
        <f t="shared" ca="1" si="67"/>
        <v>0</v>
      </c>
    </row>
    <row r="389" spans="28:36" x14ac:dyDescent="0.3">
      <c r="AB389">
        <f t="shared" si="61"/>
        <v>1</v>
      </c>
      <c r="AC389">
        <f t="shared" si="62"/>
        <v>0</v>
      </c>
      <c r="AD389">
        <f t="shared" si="63"/>
        <v>1</v>
      </c>
      <c r="AE389">
        <f t="shared" si="64"/>
        <v>1</v>
      </c>
      <c r="AF389">
        <f t="shared" si="65"/>
        <v>1</v>
      </c>
      <c r="AG389">
        <f t="shared" si="66"/>
        <v>4</v>
      </c>
      <c r="AH389">
        <f t="shared" ca="1" si="68"/>
        <v>4.9697724984933273E-3</v>
      </c>
      <c r="AI389">
        <f>IF(ROW($AA389) - $AA$51 &lt; ($H$16+1)^5, IF(AG389 &gt;= FreeSpinsBonus!$C$16, AG389*FreeSpinsBonus!$E$31, 0), "")</f>
        <v>0</v>
      </c>
      <c r="AJ389">
        <f t="shared" ca="1" si="67"/>
        <v>0</v>
      </c>
    </row>
    <row r="390" spans="28:36" x14ac:dyDescent="0.3">
      <c r="AB390">
        <f t="shared" si="61"/>
        <v>2</v>
      </c>
      <c r="AC390">
        <f t="shared" si="62"/>
        <v>0</v>
      </c>
      <c r="AD390">
        <f t="shared" si="63"/>
        <v>1</v>
      </c>
      <c r="AE390">
        <f t="shared" si="64"/>
        <v>1</v>
      </c>
      <c r="AF390">
        <f t="shared" si="65"/>
        <v>1</v>
      </c>
      <c r="AG390">
        <f t="shared" si="66"/>
        <v>5</v>
      </c>
      <c r="AH390">
        <f t="shared" ca="1" si="68"/>
        <v>2.6156697360491198E-3</v>
      </c>
      <c r="AI390">
        <f>IF(ROW($AA390) - $AA$51 &lt; ($H$16+1)^5, IF(AG390 &gt;= FreeSpinsBonus!$C$16, AG390*FreeSpinsBonus!$E$31, 0), "")</f>
        <v>7.2865053920139902</v>
      </c>
      <c r="AJ390">
        <f t="shared" ca="1" si="67"/>
        <v>1.9059091635449721E-2</v>
      </c>
    </row>
    <row r="391" spans="28:36" x14ac:dyDescent="0.3">
      <c r="AB391">
        <f t="shared" si="61"/>
        <v>3</v>
      </c>
      <c r="AC391">
        <f t="shared" si="62"/>
        <v>0</v>
      </c>
      <c r="AD391">
        <f t="shared" si="63"/>
        <v>1</v>
      </c>
      <c r="AE391">
        <f t="shared" si="64"/>
        <v>1</v>
      </c>
      <c r="AF391">
        <f t="shared" si="65"/>
        <v>1</v>
      </c>
      <c r="AG391">
        <f t="shared" si="66"/>
        <v>6</v>
      </c>
      <c r="AH391">
        <f t="shared" ca="1" si="68"/>
        <v>0</v>
      </c>
      <c r="AI391">
        <f>IF(ROW($AA391) - $AA$51 &lt; ($H$16+1)^5, IF(AG391 &gt;= FreeSpinsBonus!$C$16, AG391*FreeSpinsBonus!$E$31, 0), "")</f>
        <v>8.7438064704167875</v>
      </c>
      <c r="AJ391">
        <f t="shared" ca="1" si="67"/>
        <v>0</v>
      </c>
    </row>
    <row r="392" spans="28:36" x14ac:dyDescent="0.3">
      <c r="AB392">
        <f t="shared" si="61"/>
        <v>0</v>
      </c>
      <c r="AC392">
        <f t="shared" si="62"/>
        <v>1</v>
      </c>
      <c r="AD392">
        <f t="shared" si="63"/>
        <v>1</v>
      </c>
      <c r="AE392">
        <f t="shared" si="64"/>
        <v>1</v>
      </c>
      <c r="AF392">
        <f t="shared" si="65"/>
        <v>1</v>
      </c>
      <c r="AG392">
        <f t="shared" si="66"/>
        <v>4</v>
      </c>
      <c r="AH392">
        <f t="shared" ca="1" si="68"/>
        <v>4.7082055248884149E-3</v>
      </c>
      <c r="AI392">
        <f>IF(ROW($AA392) - $AA$51 &lt; ($H$16+1)^5, IF(AG392 &gt;= FreeSpinsBonus!$C$16, AG392*FreeSpinsBonus!$E$31, 0), "")</f>
        <v>0</v>
      </c>
      <c r="AJ392">
        <f t="shared" ca="1" si="67"/>
        <v>0</v>
      </c>
    </row>
    <row r="393" spans="28:36" x14ac:dyDescent="0.3">
      <c r="AB393">
        <f t="shared" si="61"/>
        <v>1</v>
      </c>
      <c r="AC393">
        <f t="shared" si="62"/>
        <v>1</v>
      </c>
      <c r="AD393">
        <f t="shared" si="63"/>
        <v>1</v>
      </c>
      <c r="AE393">
        <f t="shared" si="64"/>
        <v>1</v>
      </c>
      <c r="AF393">
        <f t="shared" si="65"/>
        <v>1</v>
      </c>
      <c r="AG393">
        <f t="shared" si="66"/>
        <v>5</v>
      </c>
      <c r="AH393">
        <f t="shared" ca="1" si="68"/>
        <v>4.9697724984933273E-3</v>
      </c>
      <c r="AI393">
        <f>IF(ROW($AA393) - $AA$51 &lt; ($H$16+1)^5, IF(AG393 &gt;= FreeSpinsBonus!$C$16, AG393*FreeSpinsBonus!$E$31, 0), "")</f>
        <v>7.2865053920139902</v>
      </c>
      <c r="AJ393">
        <f t="shared" ca="1" si="67"/>
        <v>3.6212274107354468E-2</v>
      </c>
    </row>
    <row r="394" spans="28:36" x14ac:dyDescent="0.3">
      <c r="AB394">
        <f t="shared" si="61"/>
        <v>2</v>
      </c>
      <c r="AC394">
        <f t="shared" si="62"/>
        <v>1</v>
      </c>
      <c r="AD394">
        <f t="shared" si="63"/>
        <v>1</v>
      </c>
      <c r="AE394">
        <f t="shared" si="64"/>
        <v>1</v>
      </c>
      <c r="AF394">
        <f t="shared" si="65"/>
        <v>1</v>
      </c>
      <c r="AG394">
        <f t="shared" si="66"/>
        <v>6</v>
      </c>
      <c r="AH394">
        <f t="shared" ca="1" si="68"/>
        <v>2.6156697360491198E-3</v>
      </c>
      <c r="AI394">
        <f>IF(ROW($AA394) - $AA$51 &lt; ($H$16+1)^5, IF(AG394 &gt;= FreeSpinsBonus!$C$16, AG394*FreeSpinsBonus!$E$31, 0), "")</f>
        <v>8.7438064704167875</v>
      </c>
      <c r="AJ394">
        <f t="shared" ca="1" si="67"/>
        <v>2.2870909962539664E-2</v>
      </c>
    </row>
    <row r="395" spans="28:36" x14ac:dyDescent="0.3">
      <c r="AB395">
        <f t="shared" si="61"/>
        <v>3</v>
      </c>
      <c r="AC395">
        <f t="shared" si="62"/>
        <v>1</v>
      </c>
      <c r="AD395">
        <f t="shared" si="63"/>
        <v>1</v>
      </c>
      <c r="AE395">
        <f t="shared" si="64"/>
        <v>1</v>
      </c>
      <c r="AF395">
        <f t="shared" si="65"/>
        <v>1</v>
      </c>
      <c r="AG395">
        <f t="shared" si="66"/>
        <v>7</v>
      </c>
      <c r="AH395">
        <f t="shared" ca="1" si="68"/>
        <v>0</v>
      </c>
      <c r="AI395">
        <f>IF(ROW($AA395) - $AA$51 &lt; ($H$16+1)^5, IF(AG395 &gt;= FreeSpinsBonus!$C$16, AG395*FreeSpinsBonus!$E$31, 0), "")</f>
        <v>10.201107548819586</v>
      </c>
      <c r="AJ395">
        <f t="shared" ca="1" si="67"/>
        <v>0</v>
      </c>
    </row>
    <row r="396" spans="28:36" x14ac:dyDescent="0.3">
      <c r="AB396">
        <f t="shared" si="61"/>
        <v>0</v>
      </c>
      <c r="AC396">
        <f t="shared" si="62"/>
        <v>2</v>
      </c>
      <c r="AD396">
        <f t="shared" si="63"/>
        <v>1</v>
      </c>
      <c r="AE396">
        <f t="shared" si="64"/>
        <v>1</v>
      </c>
      <c r="AF396">
        <f t="shared" si="65"/>
        <v>1</v>
      </c>
      <c r="AG396">
        <f t="shared" si="66"/>
        <v>5</v>
      </c>
      <c r="AH396">
        <f t="shared" ca="1" si="68"/>
        <v>4.7082055248884149E-3</v>
      </c>
      <c r="AI396">
        <f>IF(ROW($AA396) - $AA$51 &lt; ($H$16+1)^5, IF(AG396 &gt;= FreeSpinsBonus!$C$16, AG396*FreeSpinsBonus!$E$31, 0), "")</f>
        <v>7.2865053920139902</v>
      </c>
      <c r="AJ396">
        <f t="shared" ca="1" si="67"/>
        <v>3.4306364943809495E-2</v>
      </c>
    </row>
    <row r="397" spans="28:36" x14ac:dyDescent="0.3">
      <c r="AB397">
        <f t="shared" si="61"/>
        <v>1</v>
      </c>
      <c r="AC397">
        <f t="shared" si="62"/>
        <v>2</v>
      </c>
      <c r="AD397">
        <f t="shared" si="63"/>
        <v>1</v>
      </c>
      <c r="AE397">
        <f t="shared" si="64"/>
        <v>1</v>
      </c>
      <c r="AF397">
        <f t="shared" si="65"/>
        <v>1</v>
      </c>
      <c r="AG397">
        <f t="shared" si="66"/>
        <v>6</v>
      </c>
      <c r="AH397">
        <f t="shared" ca="1" si="68"/>
        <v>4.9697724984933273E-3</v>
      </c>
      <c r="AI397">
        <f>IF(ROW($AA397) - $AA$51 &lt; ($H$16+1)^5, IF(AG397 &gt;= FreeSpinsBonus!$C$16, AG397*FreeSpinsBonus!$E$31, 0), "")</f>
        <v>8.7438064704167875</v>
      </c>
      <c r="AJ397">
        <f t="shared" ca="1" si="67"/>
        <v>4.3454728928825362E-2</v>
      </c>
    </row>
    <row r="398" spans="28:36" x14ac:dyDescent="0.3">
      <c r="AB398">
        <f t="shared" si="61"/>
        <v>2</v>
      </c>
      <c r="AC398">
        <f t="shared" si="62"/>
        <v>2</v>
      </c>
      <c r="AD398">
        <f t="shared" si="63"/>
        <v>1</v>
      </c>
      <c r="AE398">
        <f t="shared" si="64"/>
        <v>1</v>
      </c>
      <c r="AF398">
        <f t="shared" si="65"/>
        <v>1</v>
      </c>
      <c r="AG398">
        <f t="shared" si="66"/>
        <v>7</v>
      </c>
      <c r="AH398">
        <f t="shared" ca="1" si="68"/>
        <v>2.6156697360491198E-3</v>
      </c>
      <c r="AI398">
        <f>IF(ROW($AA398) - $AA$51 &lt; ($H$16+1)^5, IF(AG398 &gt;= FreeSpinsBonus!$C$16, AG398*FreeSpinsBonus!$E$31, 0), "")</f>
        <v>10.201107548819586</v>
      </c>
      <c r="AJ398">
        <f t="shared" ca="1" si="67"/>
        <v>2.6682728289629608E-2</v>
      </c>
    </row>
    <row r="399" spans="28:36" x14ac:dyDescent="0.3">
      <c r="AB399">
        <f t="shared" si="61"/>
        <v>3</v>
      </c>
      <c r="AC399">
        <f t="shared" si="62"/>
        <v>2</v>
      </c>
      <c r="AD399">
        <f t="shared" si="63"/>
        <v>1</v>
      </c>
      <c r="AE399">
        <f t="shared" si="64"/>
        <v>1</v>
      </c>
      <c r="AF399">
        <f t="shared" si="65"/>
        <v>1</v>
      </c>
      <c r="AG399">
        <f t="shared" si="66"/>
        <v>8</v>
      </c>
      <c r="AH399">
        <f t="shared" ca="1" si="68"/>
        <v>0</v>
      </c>
      <c r="AI399">
        <f>IF(ROW($AA399) - $AA$51 &lt; ($H$16+1)^5, IF(AG399 &gt;= FreeSpinsBonus!$C$16, AG399*FreeSpinsBonus!$E$31, 0), "")</f>
        <v>11.658408627222384</v>
      </c>
      <c r="AJ399">
        <f t="shared" ca="1" si="67"/>
        <v>0</v>
      </c>
    </row>
    <row r="400" spans="28:36" x14ac:dyDescent="0.3">
      <c r="AB400">
        <f t="shared" si="61"/>
        <v>0</v>
      </c>
      <c r="AC400">
        <f t="shared" si="62"/>
        <v>3</v>
      </c>
      <c r="AD400">
        <f t="shared" si="63"/>
        <v>1</v>
      </c>
      <c r="AE400">
        <f t="shared" si="64"/>
        <v>1</v>
      </c>
      <c r="AF400">
        <f t="shared" si="65"/>
        <v>1</v>
      </c>
      <c r="AG400">
        <f t="shared" si="66"/>
        <v>6</v>
      </c>
      <c r="AH400">
        <f t="shared" ca="1" si="68"/>
        <v>1.6617195970194407E-3</v>
      </c>
      <c r="AI400">
        <f>IF(ROW($AA400) - $AA$51 &lt; ($H$16+1)^5, IF(AG400 &gt;= FreeSpinsBonus!$C$16, AG400*FreeSpinsBonus!$E$31, 0), "")</f>
        <v>8.7438064704167875</v>
      </c>
      <c r="AJ400">
        <f t="shared" ca="1" si="67"/>
        <v>1.4529754564436963E-2</v>
      </c>
    </row>
    <row r="401" spans="28:36" x14ac:dyDescent="0.3">
      <c r="AB401">
        <f t="shared" si="61"/>
        <v>1</v>
      </c>
      <c r="AC401">
        <f t="shared" si="62"/>
        <v>3</v>
      </c>
      <c r="AD401">
        <f t="shared" si="63"/>
        <v>1</v>
      </c>
      <c r="AE401">
        <f t="shared" si="64"/>
        <v>1</v>
      </c>
      <c r="AF401">
        <f t="shared" si="65"/>
        <v>1</v>
      </c>
      <c r="AG401">
        <f t="shared" si="66"/>
        <v>7</v>
      </c>
      <c r="AH401">
        <f t="shared" ca="1" si="68"/>
        <v>1.7540373524094096E-3</v>
      </c>
      <c r="AI401">
        <f>IF(ROW($AA401) - $AA$51 &lt; ($H$16+1)^5, IF(AG401 &gt;= FreeSpinsBonus!$C$16, AG401*FreeSpinsBonus!$E$31, 0), "")</f>
        <v>10.201107548819586</v>
      </c>
      <c r="AJ401">
        <f t="shared" ca="1" si="67"/>
        <v>1.7893123676575147E-2</v>
      </c>
    </row>
    <row r="402" spans="28:36" x14ac:dyDescent="0.3">
      <c r="AB402">
        <f t="shared" si="61"/>
        <v>2</v>
      </c>
      <c r="AC402">
        <f t="shared" si="62"/>
        <v>3</v>
      </c>
      <c r="AD402">
        <f t="shared" si="63"/>
        <v>1</v>
      </c>
      <c r="AE402">
        <f t="shared" si="64"/>
        <v>1</v>
      </c>
      <c r="AF402">
        <f t="shared" si="65"/>
        <v>1</v>
      </c>
      <c r="AG402">
        <f t="shared" si="66"/>
        <v>8</v>
      </c>
      <c r="AH402">
        <f t="shared" ca="1" si="68"/>
        <v>9.231775538996892E-4</v>
      </c>
      <c r="AI402">
        <f>IF(ROW($AA402) - $AA$51 &lt; ($H$16+1)^5, IF(AG402 &gt;= FreeSpinsBonus!$C$16, AG402*FreeSpinsBonus!$E$31, 0), "")</f>
        <v>11.658408627222384</v>
      </c>
      <c r="AJ402">
        <f t="shared" ca="1" si="67"/>
        <v>1.0762781158842194E-2</v>
      </c>
    </row>
    <row r="403" spans="28:36" x14ac:dyDescent="0.3">
      <c r="AB403">
        <f t="shared" si="61"/>
        <v>3</v>
      </c>
      <c r="AC403">
        <f t="shared" si="62"/>
        <v>3</v>
      </c>
      <c r="AD403">
        <f t="shared" si="63"/>
        <v>1</v>
      </c>
      <c r="AE403">
        <f t="shared" si="64"/>
        <v>1</v>
      </c>
      <c r="AF403">
        <f t="shared" si="65"/>
        <v>1</v>
      </c>
      <c r="AG403">
        <f t="shared" si="66"/>
        <v>9</v>
      </c>
      <c r="AH403">
        <f t="shared" ca="1" si="68"/>
        <v>0</v>
      </c>
      <c r="AI403">
        <f>IF(ROW($AA403) - $AA$51 &lt; ($H$16+1)^5, IF(AG403 &gt;= FreeSpinsBonus!$C$16, AG403*FreeSpinsBonus!$E$31, 0), "")</f>
        <v>13.115709705625182</v>
      </c>
      <c r="AJ403">
        <f t="shared" ca="1" si="67"/>
        <v>0</v>
      </c>
    </row>
    <row r="404" spans="28:36" x14ac:dyDescent="0.3">
      <c r="AB404">
        <f t="shared" si="61"/>
        <v>0</v>
      </c>
      <c r="AC404">
        <f t="shared" si="62"/>
        <v>0</v>
      </c>
      <c r="AD404">
        <f t="shared" si="63"/>
        <v>2</v>
      </c>
      <c r="AE404">
        <f t="shared" si="64"/>
        <v>1</v>
      </c>
      <c r="AF404">
        <f t="shared" si="65"/>
        <v>1</v>
      </c>
      <c r="AG404">
        <f t="shared" si="66"/>
        <v>4</v>
      </c>
      <c r="AH404">
        <f t="shared" ca="1" si="68"/>
        <v>2.5895130386886281E-3</v>
      </c>
      <c r="AI404">
        <f>IF(ROW($AA404) - $AA$51 &lt; ($H$16+1)^5, IF(AG404 &gt;= FreeSpinsBonus!$C$16, AG404*FreeSpinsBonus!$E$31, 0), "")</f>
        <v>0</v>
      </c>
      <c r="AJ404">
        <f t="shared" ca="1" si="67"/>
        <v>0</v>
      </c>
    </row>
    <row r="405" spans="28:36" x14ac:dyDescent="0.3">
      <c r="AB405">
        <f t="shared" si="61"/>
        <v>1</v>
      </c>
      <c r="AC405">
        <f t="shared" si="62"/>
        <v>0</v>
      </c>
      <c r="AD405">
        <f t="shared" si="63"/>
        <v>2</v>
      </c>
      <c r="AE405">
        <f t="shared" si="64"/>
        <v>1</v>
      </c>
      <c r="AF405">
        <f t="shared" si="65"/>
        <v>1</v>
      </c>
      <c r="AG405">
        <f t="shared" si="66"/>
        <v>5</v>
      </c>
      <c r="AH405">
        <f t="shared" ca="1" si="68"/>
        <v>2.7333748741713297E-3</v>
      </c>
      <c r="AI405">
        <f>IF(ROW($AA405) - $AA$51 &lt; ($H$16+1)^5, IF(AG405 &gt;= FreeSpinsBonus!$C$16, AG405*FreeSpinsBonus!$E$31, 0), "")</f>
        <v>7.2865053920139902</v>
      </c>
      <c r="AJ405">
        <f t="shared" ca="1" si="67"/>
        <v>1.9916750759044956E-2</v>
      </c>
    </row>
    <row r="406" spans="28:36" x14ac:dyDescent="0.3">
      <c r="AB406">
        <f t="shared" si="61"/>
        <v>2</v>
      </c>
      <c r="AC406">
        <f t="shared" si="62"/>
        <v>0</v>
      </c>
      <c r="AD406">
        <f t="shared" si="63"/>
        <v>2</v>
      </c>
      <c r="AE406">
        <f t="shared" si="64"/>
        <v>1</v>
      </c>
      <c r="AF406">
        <f t="shared" si="65"/>
        <v>1</v>
      </c>
      <c r="AG406">
        <f t="shared" si="66"/>
        <v>6</v>
      </c>
      <c r="AH406">
        <f t="shared" ca="1" si="68"/>
        <v>1.4386183548270157E-3</v>
      </c>
      <c r="AI406">
        <f>IF(ROW($AA406) - $AA$51 &lt; ($H$16+1)^5, IF(AG406 &gt;= FreeSpinsBonus!$C$16, AG406*FreeSpinsBonus!$E$31, 0), "")</f>
        <v>8.7438064704167875</v>
      </c>
      <c r="AJ406">
        <f t="shared" ca="1" si="67"/>
        <v>1.2579000479396814E-2</v>
      </c>
    </row>
    <row r="407" spans="28:36" x14ac:dyDescent="0.3">
      <c r="AB407">
        <f t="shared" si="61"/>
        <v>3</v>
      </c>
      <c r="AC407">
        <f t="shared" si="62"/>
        <v>0</v>
      </c>
      <c r="AD407">
        <f t="shared" si="63"/>
        <v>2</v>
      </c>
      <c r="AE407">
        <f t="shared" si="64"/>
        <v>1</v>
      </c>
      <c r="AF407">
        <f t="shared" si="65"/>
        <v>1</v>
      </c>
      <c r="AG407">
        <f t="shared" si="66"/>
        <v>7</v>
      </c>
      <c r="AH407">
        <f t="shared" ca="1" si="68"/>
        <v>0</v>
      </c>
      <c r="AI407">
        <f>IF(ROW($AA407) - $AA$51 &lt; ($H$16+1)^5, IF(AG407 &gt;= FreeSpinsBonus!$C$16, AG407*FreeSpinsBonus!$E$31, 0), "")</f>
        <v>10.201107548819586</v>
      </c>
      <c r="AJ407">
        <f t="shared" ca="1" si="67"/>
        <v>0</v>
      </c>
    </row>
    <row r="408" spans="28:36" x14ac:dyDescent="0.3">
      <c r="AB408">
        <f t="shared" si="61"/>
        <v>0</v>
      </c>
      <c r="AC408">
        <f t="shared" si="62"/>
        <v>1</v>
      </c>
      <c r="AD408">
        <f t="shared" si="63"/>
        <v>2</v>
      </c>
      <c r="AE408">
        <f t="shared" si="64"/>
        <v>1</v>
      </c>
      <c r="AF408">
        <f t="shared" si="65"/>
        <v>1</v>
      </c>
      <c r="AG408">
        <f t="shared" si="66"/>
        <v>5</v>
      </c>
      <c r="AH408">
        <f t="shared" ca="1" si="68"/>
        <v>2.5895130386886281E-3</v>
      </c>
      <c r="AI408">
        <f>IF(ROW($AA408) - $AA$51 &lt; ($H$16+1)^5, IF(AG408 &gt;= FreeSpinsBonus!$C$16, AG408*FreeSpinsBonus!$E$31, 0), "")</f>
        <v>7.2865053920139902</v>
      </c>
      <c r="AJ408">
        <f t="shared" ca="1" si="67"/>
        <v>1.8868500719095221E-2</v>
      </c>
    </row>
    <row r="409" spans="28:36" x14ac:dyDescent="0.3">
      <c r="AB409">
        <f t="shared" si="61"/>
        <v>1</v>
      </c>
      <c r="AC409">
        <f t="shared" si="62"/>
        <v>1</v>
      </c>
      <c r="AD409">
        <f t="shared" si="63"/>
        <v>2</v>
      </c>
      <c r="AE409">
        <f t="shared" si="64"/>
        <v>1</v>
      </c>
      <c r="AF409">
        <f t="shared" si="65"/>
        <v>1</v>
      </c>
      <c r="AG409">
        <f t="shared" si="66"/>
        <v>6</v>
      </c>
      <c r="AH409">
        <f t="shared" ca="1" si="68"/>
        <v>2.7333748741713297E-3</v>
      </c>
      <c r="AI409">
        <f>IF(ROW($AA409) - $AA$51 &lt; ($H$16+1)^5, IF(AG409 &gt;= FreeSpinsBonus!$C$16, AG409*FreeSpinsBonus!$E$31, 0), "")</f>
        <v>8.7438064704167875</v>
      </c>
      <c r="AJ409">
        <f t="shared" ca="1" si="67"/>
        <v>2.3900100910853945E-2</v>
      </c>
    </row>
    <row r="410" spans="28:36" x14ac:dyDescent="0.3">
      <c r="AB410">
        <f t="shared" si="61"/>
        <v>2</v>
      </c>
      <c r="AC410">
        <f t="shared" si="62"/>
        <v>1</v>
      </c>
      <c r="AD410">
        <f t="shared" si="63"/>
        <v>2</v>
      </c>
      <c r="AE410">
        <f t="shared" si="64"/>
        <v>1</v>
      </c>
      <c r="AF410">
        <f t="shared" si="65"/>
        <v>1</v>
      </c>
      <c r="AG410">
        <f t="shared" si="66"/>
        <v>7</v>
      </c>
      <c r="AH410">
        <f t="shared" ca="1" si="68"/>
        <v>1.4386183548270157E-3</v>
      </c>
      <c r="AI410">
        <f>IF(ROW($AA410) - $AA$51 &lt; ($H$16+1)^5, IF(AG410 &gt;= FreeSpinsBonus!$C$16, AG410*FreeSpinsBonus!$E$31, 0), "")</f>
        <v>10.201107548819586</v>
      </c>
      <c r="AJ410">
        <f t="shared" ca="1" si="67"/>
        <v>1.4675500559296282E-2</v>
      </c>
    </row>
    <row r="411" spans="28:36" x14ac:dyDescent="0.3">
      <c r="AB411">
        <f t="shared" si="61"/>
        <v>3</v>
      </c>
      <c r="AC411">
        <f t="shared" si="62"/>
        <v>1</v>
      </c>
      <c r="AD411">
        <f t="shared" si="63"/>
        <v>2</v>
      </c>
      <c r="AE411">
        <f t="shared" si="64"/>
        <v>1</v>
      </c>
      <c r="AF411">
        <f t="shared" si="65"/>
        <v>1</v>
      </c>
      <c r="AG411">
        <f t="shared" si="66"/>
        <v>8</v>
      </c>
      <c r="AH411">
        <f t="shared" ca="1" si="68"/>
        <v>0</v>
      </c>
      <c r="AI411">
        <f>IF(ROW($AA411) - $AA$51 &lt; ($H$16+1)^5, IF(AG411 &gt;= FreeSpinsBonus!$C$16, AG411*FreeSpinsBonus!$E$31, 0), "")</f>
        <v>11.658408627222384</v>
      </c>
      <c r="AJ411">
        <f t="shared" ca="1" si="67"/>
        <v>0</v>
      </c>
    </row>
    <row r="412" spans="28:36" x14ac:dyDescent="0.3">
      <c r="AB412">
        <f t="shared" si="61"/>
        <v>0</v>
      </c>
      <c r="AC412">
        <f t="shared" si="62"/>
        <v>2</v>
      </c>
      <c r="AD412">
        <f t="shared" si="63"/>
        <v>2</v>
      </c>
      <c r="AE412">
        <f t="shared" si="64"/>
        <v>1</v>
      </c>
      <c r="AF412">
        <f t="shared" si="65"/>
        <v>1</v>
      </c>
      <c r="AG412">
        <f t="shared" si="66"/>
        <v>6</v>
      </c>
      <c r="AH412">
        <f t="shared" ca="1" si="68"/>
        <v>2.5895130386886281E-3</v>
      </c>
      <c r="AI412">
        <f>IF(ROW($AA412) - $AA$51 &lt; ($H$16+1)^5, IF(AG412 &gt;= FreeSpinsBonus!$C$16, AG412*FreeSpinsBonus!$E$31, 0), "")</f>
        <v>8.7438064704167875</v>
      </c>
      <c r="AJ412">
        <f t="shared" ca="1" si="67"/>
        <v>2.2642200862914262E-2</v>
      </c>
    </row>
    <row r="413" spans="28:36" x14ac:dyDescent="0.3">
      <c r="AB413">
        <f t="shared" si="61"/>
        <v>1</v>
      </c>
      <c r="AC413">
        <f t="shared" si="62"/>
        <v>2</v>
      </c>
      <c r="AD413">
        <f t="shared" si="63"/>
        <v>2</v>
      </c>
      <c r="AE413">
        <f t="shared" si="64"/>
        <v>1</v>
      </c>
      <c r="AF413">
        <f t="shared" si="65"/>
        <v>1</v>
      </c>
      <c r="AG413">
        <f t="shared" si="66"/>
        <v>7</v>
      </c>
      <c r="AH413">
        <f t="shared" ca="1" si="68"/>
        <v>2.7333748741713297E-3</v>
      </c>
      <c r="AI413">
        <f>IF(ROW($AA413) - $AA$51 &lt; ($H$16+1)^5, IF(AG413 &gt;= FreeSpinsBonus!$C$16, AG413*FreeSpinsBonus!$E$31, 0), "")</f>
        <v>10.201107548819586</v>
      </c>
      <c r="AJ413">
        <f t="shared" ca="1" si="67"/>
        <v>2.7883451062662937E-2</v>
      </c>
    </row>
    <row r="414" spans="28:36" x14ac:dyDescent="0.3">
      <c r="AB414">
        <f t="shared" si="61"/>
        <v>2</v>
      </c>
      <c r="AC414">
        <f t="shared" si="62"/>
        <v>2</v>
      </c>
      <c r="AD414">
        <f t="shared" si="63"/>
        <v>2</v>
      </c>
      <c r="AE414">
        <f t="shared" si="64"/>
        <v>1</v>
      </c>
      <c r="AF414">
        <f t="shared" si="65"/>
        <v>1</v>
      </c>
      <c r="AG414">
        <f t="shared" si="66"/>
        <v>8</v>
      </c>
      <c r="AH414">
        <f t="shared" ca="1" si="68"/>
        <v>1.4386183548270157E-3</v>
      </c>
      <c r="AI414">
        <f>IF(ROW($AA414) - $AA$51 &lt; ($H$16+1)^5, IF(AG414 &gt;= FreeSpinsBonus!$C$16, AG414*FreeSpinsBonus!$E$31, 0), "")</f>
        <v>11.658408627222384</v>
      </c>
      <c r="AJ414">
        <f t="shared" ca="1" si="67"/>
        <v>1.6772000639195751E-2</v>
      </c>
    </row>
    <row r="415" spans="28:36" x14ac:dyDescent="0.3">
      <c r="AB415">
        <f t="shared" si="61"/>
        <v>3</v>
      </c>
      <c r="AC415">
        <f t="shared" si="62"/>
        <v>2</v>
      </c>
      <c r="AD415">
        <f t="shared" si="63"/>
        <v>2</v>
      </c>
      <c r="AE415">
        <f t="shared" si="64"/>
        <v>1</v>
      </c>
      <c r="AF415">
        <f t="shared" si="65"/>
        <v>1</v>
      </c>
      <c r="AG415">
        <f t="shared" si="66"/>
        <v>9</v>
      </c>
      <c r="AH415">
        <f t="shared" ca="1" si="68"/>
        <v>0</v>
      </c>
      <c r="AI415">
        <f>IF(ROW($AA415) - $AA$51 &lt; ($H$16+1)^5, IF(AG415 &gt;= FreeSpinsBonus!$C$16, AG415*FreeSpinsBonus!$E$31, 0), "")</f>
        <v>13.115709705625182</v>
      </c>
      <c r="AJ415">
        <f t="shared" ca="1" si="67"/>
        <v>0</v>
      </c>
    </row>
    <row r="416" spans="28:36" x14ac:dyDescent="0.3">
      <c r="AB416">
        <f t="shared" si="61"/>
        <v>0</v>
      </c>
      <c r="AC416">
        <f t="shared" si="62"/>
        <v>3</v>
      </c>
      <c r="AD416">
        <f t="shared" si="63"/>
        <v>2</v>
      </c>
      <c r="AE416">
        <f t="shared" si="64"/>
        <v>1</v>
      </c>
      <c r="AF416">
        <f t="shared" si="65"/>
        <v>1</v>
      </c>
      <c r="AG416">
        <f t="shared" si="66"/>
        <v>7</v>
      </c>
      <c r="AH416">
        <f t="shared" ca="1" si="68"/>
        <v>9.1394577836069241E-4</v>
      </c>
      <c r="AI416">
        <f>IF(ROW($AA416) - $AA$51 &lt; ($H$16+1)^5, IF(AG416 &gt;= FreeSpinsBonus!$C$16, AG416*FreeSpinsBonus!$E$31, 0), "")</f>
        <v>10.201107548819586</v>
      </c>
      <c r="AJ416">
        <f t="shared" ca="1" si="67"/>
        <v>9.3232591788470504E-3</v>
      </c>
    </row>
    <row r="417" spans="28:36" x14ac:dyDescent="0.3">
      <c r="AB417">
        <f t="shared" si="61"/>
        <v>1</v>
      </c>
      <c r="AC417">
        <f t="shared" si="62"/>
        <v>3</v>
      </c>
      <c r="AD417">
        <f t="shared" si="63"/>
        <v>2</v>
      </c>
      <c r="AE417">
        <f t="shared" si="64"/>
        <v>1</v>
      </c>
      <c r="AF417">
        <f t="shared" si="65"/>
        <v>1</v>
      </c>
      <c r="AG417">
        <f t="shared" si="66"/>
        <v>8</v>
      </c>
      <c r="AH417">
        <f t="shared" ca="1" si="68"/>
        <v>9.6472054382517518E-4</v>
      </c>
      <c r="AI417">
        <f>IF(ROW($AA417) - $AA$51 &lt; ($H$16+1)^5, IF(AG417 &gt;= FreeSpinsBonus!$C$16, AG417*FreeSpinsBonus!$E$31, 0), "")</f>
        <v>11.658408627222384</v>
      </c>
      <c r="AJ417">
        <f t="shared" ca="1" si="67"/>
        <v>1.1247106310990093E-2</v>
      </c>
    </row>
    <row r="418" spans="28:36" x14ac:dyDescent="0.3">
      <c r="AB418">
        <f t="shared" si="61"/>
        <v>2</v>
      </c>
      <c r="AC418">
        <f t="shared" si="62"/>
        <v>3</v>
      </c>
      <c r="AD418">
        <f t="shared" si="63"/>
        <v>2</v>
      </c>
      <c r="AE418">
        <f t="shared" si="64"/>
        <v>1</v>
      </c>
      <c r="AF418">
        <f t="shared" si="65"/>
        <v>1</v>
      </c>
      <c r="AG418">
        <f t="shared" si="66"/>
        <v>9</v>
      </c>
      <c r="AH418">
        <f t="shared" ca="1" si="68"/>
        <v>5.0774765464482903E-4</v>
      </c>
      <c r="AI418">
        <f>IF(ROW($AA418) - $AA$51 &lt; ($H$16+1)^5, IF(AG418 &gt;= FreeSpinsBonus!$C$16, AG418*FreeSpinsBonus!$E$31, 0), "")</f>
        <v>13.115709705625182</v>
      </c>
      <c r="AJ418">
        <f t="shared" ca="1" si="67"/>
        <v>6.6594708420336076E-3</v>
      </c>
    </row>
    <row r="419" spans="28:36" x14ac:dyDescent="0.3">
      <c r="AB419">
        <f t="shared" si="61"/>
        <v>3</v>
      </c>
      <c r="AC419">
        <f t="shared" si="62"/>
        <v>3</v>
      </c>
      <c r="AD419">
        <f t="shared" si="63"/>
        <v>2</v>
      </c>
      <c r="AE419">
        <f t="shared" si="64"/>
        <v>1</v>
      </c>
      <c r="AF419">
        <f t="shared" si="65"/>
        <v>1</v>
      </c>
      <c r="AG419">
        <f t="shared" si="66"/>
        <v>10</v>
      </c>
      <c r="AH419">
        <f t="shared" ca="1" si="68"/>
        <v>0</v>
      </c>
      <c r="AI419">
        <f>IF(ROW($AA419) - $AA$51 &lt; ($H$16+1)^5, IF(AG419 &gt;= FreeSpinsBonus!$C$16, AG419*FreeSpinsBonus!$E$31, 0), "")</f>
        <v>14.57301078402798</v>
      </c>
      <c r="AJ419">
        <f t="shared" ca="1" si="67"/>
        <v>0</v>
      </c>
    </row>
    <row r="420" spans="28:36" x14ac:dyDescent="0.3">
      <c r="AB420">
        <f t="shared" si="61"/>
        <v>0</v>
      </c>
      <c r="AC420">
        <f t="shared" si="62"/>
        <v>0</v>
      </c>
      <c r="AD420">
        <f t="shared" si="63"/>
        <v>3</v>
      </c>
      <c r="AE420">
        <f t="shared" si="64"/>
        <v>1</v>
      </c>
      <c r="AF420">
        <f t="shared" si="65"/>
        <v>1</v>
      </c>
      <c r="AG420">
        <f t="shared" si="66"/>
        <v>5</v>
      </c>
      <c r="AH420">
        <f t="shared" ca="1" si="68"/>
        <v>2.3541027624442073E-4</v>
      </c>
      <c r="AI420">
        <f>IF(ROW($AA420) - $AA$51 &lt; ($H$16+1)^5, IF(AG420 &gt;= FreeSpinsBonus!$C$16, AG420*FreeSpinsBonus!$E$31, 0), "")</f>
        <v>7.2865053920139902</v>
      </c>
      <c r="AJ420">
        <f t="shared" ca="1" si="67"/>
        <v>1.7153182471904747E-3</v>
      </c>
    </row>
    <row r="421" spans="28:36" x14ac:dyDescent="0.3">
      <c r="AB421">
        <f t="shared" si="61"/>
        <v>1</v>
      </c>
      <c r="AC421">
        <f t="shared" si="62"/>
        <v>0</v>
      </c>
      <c r="AD421">
        <f t="shared" si="63"/>
        <v>3</v>
      </c>
      <c r="AE421">
        <f t="shared" si="64"/>
        <v>1</v>
      </c>
      <c r="AF421">
        <f t="shared" si="65"/>
        <v>1</v>
      </c>
      <c r="AG421">
        <f t="shared" si="66"/>
        <v>6</v>
      </c>
      <c r="AH421">
        <f t="shared" ca="1" si="68"/>
        <v>2.4848862492466626E-4</v>
      </c>
      <c r="AI421">
        <f>IF(ROW($AA421) - $AA$51 &lt; ($H$16+1)^5, IF(AG421 &gt;= FreeSpinsBonus!$C$16, AG421*FreeSpinsBonus!$E$31, 0), "")</f>
        <v>8.7438064704167875</v>
      </c>
      <c r="AJ421">
        <f t="shared" ca="1" si="67"/>
        <v>2.172736446441267E-3</v>
      </c>
    </row>
    <row r="422" spans="28:36" x14ac:dyDescent="0.3">
      <c r="AB422">
        <f t="shared" si="61"/>
        <v>2</v>
      </c>
      <c r="AC422">
        <f t="shared" si="62"/>
        <v>0</v>
      </c>
      <c r="AD422">
        <f t="shared" si="63"/>
        <v>3</v>
      </c>
      <c r="AE422">
        <f t="shared" si="64"/>
        <v>1</v>
      </c>
      <c r="AF422">
        <f t="shared" si="65"/>
        <v>1</v>
      </c>
      <c r="AG422">
        <f t="shared" si="66"/>
        <v>7</v>
      </c>
      <c r="AH422">
        <f t="shared" ca="1" si="68"/>
        <v>1.3078348680245597E-4</v>
      </c>
      <c r="AI422">
        <f>IF(ROW($AA422) - $AA$51 &lt; ($H$16+1)^5, IF(AG422 &gt;= FreeSpinsBonus!$C$16, AG422*FreeSpinsBonus!$E$31, 0), "")</f>
        <v>10.201107548819586</v>
      </c>
      <c r="AJ422">
        <f t="shared" ca="1" si="67"/>
        <v>1.3341364144814803E-3</v>
      </c>
    </row>
    <row r="423" spans="28:36" x14ac:dyDescent="0.3">
      <c r="AB423">
        <f t="shared" si="61"/>
        <v>3</v>
      </c>
      <c r="AC423">
        <f t="shared" si="62"/>
        <v>0</v>
      </c>
      <c r="AD423">
        <f t="shared" si="63"/>
        <v>3</v>
      </c>
      <c r="AE423">
        <f t="shared" si="64"/>
        <v>1</v>
      </c>
      <c r="AF423">
        <f t="shared" si="65"/>
        <v>1</v>
      </c>
      <c r="AG423">
        <f t="shared" si="66"/>
        <v>8</v>
      </c>
      <c r="AH423">
        <f t="shared" ca="1" si="68"/>
        <v>0</v>
      </c>
      <c r="AI423">
        <f>IF(ROW($AA423) - $AA$51 &lt; ($H$16+1)^5, IF(AG423 &gt;= FreeSpinsBonus!$C$16, AG423*FreeSpinsBonus!$E$31, 0), "")</f>
        <v>11.658408627222384</v>
      </c>
      <c r="AJ423">
        <f t="shared" ca="1" si="67"/>
        <v>0</v>
      </c>
    </row>
    <row r="424" spans="28:36" x14ac:dyDescent="0.3">
      <c r="AB424">
        <f t="shared" si="61"/>
        <v>0</v>
      </c>
      <c r="AC424">
        <f t="shared" si="62"/>
        <v>1</v>
      </c>
      <c r="AD424">
        <f t="shared" si="63"/>
        <v>3</v>
      </c>
      <c r="AE424">
        <f t="shared" si="64"/>
        <v>1</v>
      </c>
      <c r="AF424">
        <f t="shared" si="65"/>
        <v>1</v>
      </c>
      <c r="AG424">
        <f t="shared" si="66"/>
        <v>6</v>
      </c>
      <c r="AH424">
        <f t="shared" ca="1" si="68"/>
        <v>2.3541027624442073E-4</v>
      </c>
      <c r="AI424">
        <f>IF(ROW($AA424) - $AA$51 &lt; ($H$16+1)^5, IF(AG424 &gt;= FreeSpinsBonus!$C$16, AG424*FreeSpinsBonus!$E$31, 0), "")</f>
        <v>8.7438064704167875</v>
      </c>
      <c r="AJ424">
        <f t="shared" ca="1" si="67"/>
        <v>2.0583818966285693E-3</v>
      </c>
    </row>
    <row r="425" spans="28:36" x14ac:dyDescent="0.3">
      <c r="AB425">
        <f t="shared" si="61"/>
        <v>1</v>
      </c>
      <c r="AC425">
        <f t="shared" si="62"/>
        <v>1</v>
      </c>
      <c r="AD425">
        <f t="shared" si="63"/>
        <v>3</v>
      </c>
      <c r="AE425">
        <f t="shared" si="64"/>
        <v>1</v>
      </c>
      <c r="AF425">
        <f t="shared" si="65"/>
        <v>1</v>
      </c>
      <c r="AG425">
        <f t="shared" si="66"/>
        <v>7</v>
      </c>
      <c r="AH425">
        <f t="shared" ca="1" si="68"/>
        <v>2.4848862492466626E-4</v>
      </c>
      <c r="AI425">
        <f>IF(ROW($AA425) - $AA$51 &lt; ($H$16+1)^5, IF(AG425 &gt;= FreeSpinsBonus!$C$16, AG425*FreeSpinsBonus!$E$31, 0), "")</f>
        <v>10.201107548819586</v>
      </c>
      <c r="AJ425">
        <f t="shared" ca="1" si="67"/>
        <v>2.5348591875148118E-3</v>
      </c>
    </row>
    <row r="426" spans="28:36" x14ac:dyDescent="0.3">
      <c r="AB426">
        <f t="shared" si="61"/>
        <v>2</v>
      </c>
      <c r="AC426">
        <f t="shared" si="62"/>
        <v>1</v>
      </c>
      <c r="AD426">
        <f t="shared" si="63"/>
        <v>3</v>
      </c>
      <c r="AE426">
        <f t="shared" si="64"/>
        <v>1</v>
      </c>
      <c r="AF426">
        <f t="shared" si="65"/>
        <v>1</v>
      </c>
      <c r="AG426">
        <f t="shared" si="66"/>
        <v>8</v>
      </c>
      <c r="AH426">
        <f t="shared" ca="1" si="68"/>
        <v>1.3078348680245597E-4</v>
      </c>
      <c r="AI426">
        <f>IF(ROW($AA426) - $AA$51 &lt; ($H$16+1)^5, IF(AG426 &gt;= FreeSpinsBonus!$C$16, AG426*FreeSpinsBonus!$E$31, 0), "")</f>
        <v>11.658408627222384</v>
      </c>
      <c r="AJ426">
        <f t="shared" ca="1" si="67"/>
        <v>1.5247273308359776E-3</v>
      </c>
    </row>
    <row r="427" spans="28:36" x14ac:dyDescent="0.3">
      <c r="AB427">
        <f t="shared" si="61"/>
        <v>3</v>
      </c>
      <c r="AC427">
        <f t="shared" si="62"/>
        <v>1</v>
      </c>
      <c r="AD427">
        <f t="shared" si="63"/>
        <v>3</v>
      </c>
      <c r="AE427">
        <f t="shared" si="64"/>
        <v>1</v>
      </c>
      <c r="AF427">
        <f t="shared" si="65"/>
        <v>1</v>
      </c>
      <c r="AG427">
        <f t="shared" si="66"/>
        <v>9</v>
      </c>
      <c r="AH427">
        <f t="shared" ca="1" si="68"/>
        <v>0</v>
      </c>
      <c r="AI427">
        <f>IF(ROW($AA427) - $AA$51 &lt; ($H$16+1)^5, IF(AG427 &gt;= FreeSpinsBonus!$C$16, AG427*FreeSpinsBonus!$E$31, 0), "")</f>
        <v>13.115709705625182</v>
      </c>
      <c r="AJ427">
        <f t="shared" ca="1" si="67"/>
        <v>0</v>
      </c>
    </row>
    <row r="428" spans="28:36" x14ac:dyDescent="0.3">
      <c r="AB428">
        <f t="shared" si="61"/>
        <v>0</v>
      </c>
      <c r="AC428">
        <f t="shared" si="62"/>
        <v>2</v>
      </c>
      <c r="AD428">
        <f t="shared" si="63"/>
        <v>3</v>
      </c>
      <c r="AE428">
        <f t="shared" si="64"/>
        <v>1</v>
      </c>
      <c r="AF428">
        <f t="shared" si="65"/>
        <v>1</v>
      </c>
      <c r="AG428">
        <f t="shared" si="66"/>
        <v>7</v>
      </c>
      <c r="AH428">
        <f t="shared" ca="1" si="68"/>
        <v>2.3541027624442073E-4</v>
      </c>
      <c r="AI428">
        <f>IF(ROW($AA428) - $AA$51 &lt; ($H$16+1)^5, IF(AG428 &gt;= FreeSpinsBonus!$C$16, AG428*FreeSpinsBonus!$E$31, 0), "")</f>
        <v>10.201107548819586</v>
      </c>
      <c r="AJ428">
        <f t="shared" ca="1" si="67"/>
        <v>2.4014455460666644E-3</v>
      </c>
    </row>
    <row r="429" spans="28:36" x14ac:dyDescent="0.3">
      <c r="AB429">
        <f t="shared" si="61"/>
        <v>1</v>
      </c>
      <c r="AC429">
        <f t="shared" si="62"/>
        <v>2</v>
      </c>
      <c r="AD429">
        <f t="shared" si="63"/>
        <v>3</v>
      </c>
      <c r="AE429">
        <f t="shared" si="64"/>
        <v>1</v>
      </c>
      <c r="AF429">
        <f t="shared" si="65"/>
        <v>1</v>
      </c>
      <c r="AG429">
        <f t="shared" si="66"/>
        <v>8</v>
      </c>
      <c r="AH429">
        <f t="shared" ca="1" si="68"/>
        <v>2.4848862492466626E-4</v>
      </c>
      <c r="AI429">
        <f>IF(ROW($AA429) - $AA$51 &lt; ($H$16+1)^5, IF(AG429 &gt;= FreeSpinsBonus!$C$16, AG429*FreeSpinsBonus!$E$31, 0), "")</f>
        <v>11.658408627222384</v>
      </c>
      <c r="AJ429">
        <f t="shared" ca="1" si="67"/>
        <v>2.8969819285883562E-3</v>
      </c>
    </row>
    <row r="430" spans="28:36" x14ac:dyDescent="0.3">
      <c r="AB430">
        <f t="shared" si="61"/>
        <v>2</v>
      </c>
      <c r="AC430">
        <f t="shared" si="62"/>
        <v>2</v>
      </c>
      <c r="AD430">
        <f t="shared" si="63"/>
        <v>3</v>
      </c>
      <c r="AE430">
        <f t="shared" si="64"/>
        <v>1</v>
      </c>
      <c r="AF430">
        <f t="shared" si="65"/>
        <v>1</v>
      </c>
      <c r="AG430">
        <f t="shared" si="66"/>
        <v>9</v>
      </c>
      <c r="AH430">
        <f t="shared" ca="1" si="68"/>
        <v>1.3078348680245597E-4</v>
      </c>
      <c r="AI430">
        <f>IF(ROW($AA430) - $AA$51 &lt; ($H$16+1)^5, IF(AG430 &gt;= FreeSpinsBonus!$C$16, AG430*FreeSpinsBonus!$E$31, 0), "")</f>
        <v>13.115709705625182</v>
      </c>
      <c r="AJ430">
        <f t="shared" ca="1" si="67"/>
        <v>1.7153182471904747E-3</v>
      </c>
    </row>
    <row r="431" spans="28:36" x14ac:dyDescent="0.3">
      <c r="AB431">
        <f t="shared" si="61"/>
        <v>3</v>
      </c>
      <c r="AC431">
        <f t="shared" si="62"/>
        <v>2</v>
      </c>
      <c r="AD431">
        <f t="shared" si="63"/>
        <v>3</v>
      </c>
      <c r="AE431">
        <f t="shared" si="64"/>
        <v>1</v>
      </c>
      <c r="AF431">
        <f t="shared" si="65"/>
        <v>1</v>
      </c>
      <c r="AG431">
        <f t="shared" si="66"/>
        <v>10</v>
      </c>
      <c r="AH431">
        <f t="shared" ca="1" si="68"/>
        <v>0</v>
      </c>
      <c r="AI431">
        <f>IF(ROW($AA431) - $AA$51 &lt; ($H$16+1)^5, IF(AG431 &gt;= FreeSpinsBonus!$C$16, AG431*FreeSpinsBonus!$E$31, 0), "")</f>
        <v>14.57301078402798</v>
      </c>
      <c r="AJ431">
        <f t="shared" ca="1" si="67"/>
        <v>0</v>
      </c>
    </row>
    <row r="432" spans="28:36" x14ac:dyDescent="0.3">
      <c r="AB432">
        <f t="shared" si="61"/>
        <v>0</v>
      </c>
      <c r="AC432">
        <f t="shared" si="62"/>
        <v>3</v>
      </c>
      <c r="AD432">
        <f t="shared" si="63"/>
        <v>3</v>
      </c>
      <c r="AE432">
        <f t="shared" si="64"/>
        <v>1</v>
      </c>
      <c r="AF432">
        <f t="shared" si="65"/>
        <v>1</v>
      </c>
      <c r="AG432">
        <f t="shared" si="66"/>
        <v>8</v>
      </c>
      <c r="AH432">
        <f t="shared" ca="1" si="68"/>
        <v>8.308597985097203E-5</v>
      </c>
      <c r="AI432">
        <f>IF(ROW($AA432) - $AA$51 &lt; ($H$16+1)^5, IF(AG432 &gt;= FreeSpinsBonus!$C$16, AG432*FreeSpinsBonus!$E$31, 0), "")</f>
        <v>11.658408627222384</v>
      </c>
      <c r="AJ432">
        <f t="shared" ca="1" si="67"/>
        <v>9.6865030429579748E-4</v>
      </c>
    </row>
    <row r="433" spans="28:36" x14ac:dyDescent="0.3">
      <c r="AB433">
        <f t="shared" si="61"/>
        <v>1</v>
      </c>
      <c r="AC433">
        <f t="shared" si="62"/>
        <v>3</v>
      </c>
      <c r="AD433">
        <f t="shared" si="63"/>
        <v>3</v>
      </c>
      <c r="AE433">
        <f t="shared" si="64"/>
        <v>1</v>
      </c>
      <c r="AF433">
        <f t="shared" si="65"/>
        <v>1</v>
      </c>
      <c r="AG433">
        <f t="shared" si="66"/>
        <v>9</v>
      </c>
      <c r="AH433">
        <f t="shared" ca="1" si="68"/>
        <v>8.7701867620470456E-5</v>
      </c>
      <c r="AI433">
        <f>IF(ROW($AA433) - $AA$51 &lt; ($H$16+1)^5, IF(AG433 &gt;= FreeSpinsBonus!$C$16, AG433*FreeSpinsBonus!$E$31, 0), "")</f>
        <v>13.115709705625182</v>
      </c>
      <c r="AJ433">
        <f t="shared" ca="1" si="67"/>
        <v>1.1502722363512592E-3</v>
      </c>
    </row>
    <row r="434" spans="28:36" x14ac:dyDescent="0.3">
      <c r="AB434">
        <f t="shared" si="61"/>
        <v>2</v>
      </c>
      <c r="AC434">
        <f t="shared" si="62"/>
        <v>3</v>
      </c>
      <c r="AD434">
        <f t="shared" si="63"/>
        <v>3</v>
      </c>
      <c r="AE434">
        <f t="shared" si="64"/>
        <v>1</v>
      </c>
      <c r="AF434">
        <f t="shared" si="65"/>
        <v>1</v>
      </c>
      <c r="AG434">
        <f t="shared" si="66"/>
        <v>10</v>
      </c>
      <c r="AH434">
        <f t="shared" ca="1" si="68"/>
        <v>4.6158877694984462E-5</v>
      </c>
      <c r="AI434">
        <f>IF(ROW($AA434) - $AA$51 &lt; ($H$16+1)^5, IF(AG434 &gt;= FreeSpinsBonus!$C$16, AG434*FreeSpinsBonus!$E$31, 0), "")</f>
        <v>14.57301078402798</v>
      </c>
      <c r="AJ434">
        <f t="shared" ca="1" si="67"/>
        <v>6.7267382242763721E-4</v>
      </c>
    </row>
    <row r="435" spans="28:36" x14ac:dyDescent="0.3">
      <c r="AB435">
        <f t="shared" si="61"/>
        <v>3</v>
      </c>
      <c r="AC435">
        <f t="shared" si="62"/>
        <v>3</v>
      </c>
      <c r="AD435">
        <f t="shared" si="63"/>
        <v>3</v>
      </c>
      <c r="AE435">
        <f t="shared" si="64"/>
        <v>1</v>
      </c>
      <c r="AF435">
        <f t="shared" si="65"/>
        <v>1</v>
      </c>
      <c r="AG435">
        <f t="shared" si="66"/>
        <v>11</v>
      </c>
      <c r="AH435">
        <f t="shared" ca="1" si="68"/>
        <v>0</v>
      </c>
      <c r="AI435">
        <f>IF(ROW($AA435) - $AA$51 &lt; ($H$16+1)^5, IF(AG435 &gt;= FreeSpinsBonus!$C$16, AG435*FreeSpinsBonus!$E$31, 0), "")</f>
        <v>16.030311862430779</v>
      </c>
      <c r="AJ435">
        <f t="shared" ca="1" si="67"/>
        <v>0</v>
      </c>
    </row>
    <row r="436" spans="28:36" x14ac:dyDescent="0.3">
      <c r="AB436">
        <f t="shared" ref="AB436:AB499" si="69">IF(ROW()-$AA$51 &lt; (H$16+1)^5, MOD(_xlfn.FLOOR.MATH((ROW()-$AA$51)/AB$50), H$16+1), "")</f>
        <v>0</v>
      </c>
      <c r="AC436">
        <f t="shared" ref="AC436:AC499" si="70">IF(ROW()-$AA$51 &lt; (I$16+1)^5, MOD(_xlfn.FLOOR.MATH((ROW()-$AA$51)/AC$50), I$16+1), "")</f>
        <v>0</v>
      </c>
      <c r="AD436">
        <f t="shared" ref="AD436:AD499" si="71">IF(ROW()-$AA$51 &lt; (J$16+1)^5, MOD(_xlfn.FLOOR.MATH((ROW()-$AA$51)/AD$50), J$16+1), "")</f>
        <v>0</v>
      </c>
      <c r="AE436">
        <f t="shared" ref="AE436:AE499" si="72">IF(ROW()-$AA$51 &lt; (K$16+1)^5, MOD(_xlfn.FLOOR.MATH((ROW()-$AA$51)/AE$50), K$16+1), "")</f>
        <v>2</v>
      </c>
      <c r="AF436">
        <f t="shared" ref="AF436:AF499" si="73">IF(ROW()-$AA$51 &lt; (L$16+1)^5, MOD(_xlfn.FLOOR.MATH((ROW()-$AA$51)/AF$50), L$16+1), "")</f>
        <v>1</v>
      </c>
      <c r="AG436">
        <f t="shared" ref="AG436:AG499" si="74">IF(ROW($AA436) - $AA$51 &lt; ($H$16+1)^5, SUM(AB436:AF436), "")</f>
        <v>3</v>
      </c>
      <c r="AH436">
        <f t="shared" ca="1" si="68"/>
        <v>2.7393195781168955E-3</v>
      </c>
      <c r="AI436">
        <f>IF(ROW($AA436) - $AA$51 &lt; ($H$16+1)^5, IF(AG436 &gt;= FreeSpinsBonus!$C$16, AG436*FreeSpinsBonus!$E$31, 0), "")</f>
        <v>0</v>
      </c>
      <c r="AJ436">
        <f t="shared" ref="AJ436:AJ499" ca="1" si="75">IF(ROW($AA436) - $AA$51 &lt; ($H$16+1)^5, AH436*AI436, "")</f>
        <v>0</v>
      </c>
    </row>
    <row r="437" spans="28:36" x14ac:dyDescent="0.3">
      <c r="AB437">
        <f t="shared" si="69"/>
        <v>1</v>
      </c>
      <c r="AC437">
        <f t="shared" si="70"/>
        <v>0</v>
      </c>
      <c r="AD437">
        <f t="shared" si="71"/>
        <v>0</v>
      </c>
      <c r="AE437">
        <f t="shared" si="72"/>
        <v>2</v>
      </c>
      <c r="AF437">
        <f t="shared" si="73"/>
        <v>1</v>
      </c>
      <c r="AG437">
        <f t="shared" si="74"/>
        <v>4</v>
      </c>
      <c r="AH437">
        <f t="shared" ref="AH437:AH500" ca="1" si="76">IF(ROW($AA437) - $AA$51 &lt; (4)^5,
    (_xlfn.XLOOKUP(AB437,$T$51:$T$55,U$51:U$55,0)/U$28) * (_xlfn.XLOOKUP(AC437,$T$51:$T$55,V$51:V$55,0)/V$28) * (_xlfn.XLOOKUP(AD437,$T$51:$T$55,W$51:W$55,0)/W$28) * (_xlfn.XLOOKUP(AE437,$T$51:$T$55,X$51:X$55,0)/X$28) * (_xlfn.XLOOKUP(AF437,$T$51:$T$55,Y$51:Y$55,0)/Y$28),
"")</f>
        <v>2.8915039991233892E-3</v>
      </c>
      <c r="AI437">
        <f>IF(ROW($AA437) - $AA$51 &lt; ($H$16+1)^5, IF(AG437 &gt;= FreeSpinsBonus!$C$16, AG437*FreeSpinsBonus!$E$31, 0), "")</f>
        <v>0</v>
      </c>
      <c r="AJ437">
        <f t="shared" ca="1" si="75"/>
        <v>0</v>
      </c>
    </row>
    <row r="438" spans="28:36" x14ac:dyDescent="0.3">
      <c r="AB438">
        <f t="shared" si="69"/>
        <v>2</v>
      </c>
      <c r="AC438">
        <f t="shared" si="70"/>
        <v>0</v>
      </c>
      <c r="AD438">
        <f t="shared" si="71"/>
        <v>0</v>
      </c>
      <c r="AE438">
        <f t="shared" si="72"/>
        <v>2</v>
      </c>
      <c r="AF438">
        <f t="shared" si="73"/>
        <v>1</v>
      </c>
      <c r="AG438">
        <f t="shared" si="74"/>
        <v>5</v>
      </c>
      <c r="AH438">
        <f t="shared" ca="1" si="76"/>
        <v>1.5218442100649423E-3</v>
      </c>
      <c r="AI438">
        <f>IF(ROW($AA438) - $AA$51 &lt; ($H$16+1)^5, IF(AG438 &gt;= FreeSpinsBonus!$C$16, AG438*FreeSpinsBonus!$E$31, 0), "")</f>
        <v>7.2865053920139902</v>
      </c>
      <c r="AJ438">
        <f t="shared" ca="1" si="75"/>
        <v>1.1088926042443473E-2</v>
      </c>
    </row>
    <row r="439" spans="28:36" x14ac:dyDescent="0.3">
      <c r="AB439">
        <f t="shared" si="69"/>
        <v>3</v>
      </c>
      <c r="AC439">
        <f t="shared" si="70"/>
        <v>0</v>
      </c>
      <c r="AD439">
        <f t="shared" si="71"/>
        <v>0</v>
      </c>
      <c r="AE439">
        <f t="shared" si="72"/>
        <v>2</v>
      </c>
      <c r="AF439">
        <f t="shared" si="73"/>
        <v>1</v>
      </c>
      <c r="AG439">
        <f t="shared" si="74"/>
        <v>6</v>
      </c>
      <c r="AH439">
        <f t="shared" ca="1" si="76"/>
        <v>0</v>
      </c>
      <c r="AI439">
        <f>IF(ROW($AA439) - $AA$51 &lt; ($H$16+1)^5, IF(AG439 &gt;= FreeSpinsBonus!$C$16, AG439*FreeSpinsBonus!$E$31, 0), "")</f>
        <v>8.7438064704167875</v>
      </c>
      <c r="AJ439">
        <f t="shared" ca="1" si="75"/>
        <v>0</v>
      </c>
    </row>
    <row r="440" spans="28:36" x14ac:dyDescent="0.3">
      <c r="AB440">
        <f t="shared" si="69"/>
        <v>0</v>
      </c>
      <c r="AC440">
        <f t="shared" si="70"/>
        <v>1</v>
      </c>
      <c r="AD440">
        <f t="shared" si="71"/>
        <v>0</v>
      </c>
      <c r="AE440">
        <f t="shared" si="72"/>
        <v>2</v>
      </c>
      <c r="AF440">
        <f t="shared" si="73"/>
        <v>1</v>
      </c>
      <c r="AG440">
        <f t="shared" si="74"/>
        <v>4</v>
      </c>
      <c r="AH440">
        <f t="shared" ca="1" si="76"/>
        <v>2.7393195781168955E-3</v>
      </c>
      <c r="AI440">
        <f>IF(ROW($AA440) - $AA$51 &lt; ($H$16+1)^5, IF(AG440 &gt;= FreeSpinsBonus!$C$16, AG440*FreeSpinsBonus!$E$31, 0), "")</f>
        <v>0</v>
      </c>
      <c r="AJ440">
        <f t="shared" ca="1" si="75"/>
        <v>0</v>
      </c>
    </row>
    <row r="441" spans="28:36" x14ac:dyDescent="0.3">
      <c r="AB441">
        <f t="shared" si="69"/>
        <v>1</v>
      </c>
      <c r="AC441">
        <f t="shared" si="70"/>
        <v>1</v>
      </c>
      <c r="AD441">
        <f t="shared" si="71"/>
        <v>0</v>
      </c>
      <c r="AE441">
        <f t="shared" si="72"/>
        <v>2</v>
      </c>
      <c r="AF441">
        <f t="shared" si="73"/>
        <v>1</v>
      </c>
      <c r="AG441">
        <f t="shared" si="74"/>
        <v>5</v>
      </c>
      <c r="AH441">
        <f t="shared" ca="1" si="76"/>
        <v>2.8915039991233892E-3</v>
      </c>
      <c r="AI441">
        <f>IF(ROW($AA441) - $AA$51 &lt; ($H$16+1)^5, IF(AG441 &gt;= FreeSpinsBonus!$C$16, AG441*FreeSpinsBonus!$E$31, 0), "")</f>
        <v>7.2865053920139902</v>
      </c>
      <c r="AJ441">
        <f t="shared" ca="1" si="75"/>
        <v>2.106895948064259E-2</v>
      </c>
    </row>
    <row r="442" spans="28:36" x14ac:dyDescent="0.3">
      <c r="AB442">
        <f t="shared" si="69"/>
        <v>2</v>
      </c>
      <c r="AC442">
        <f t="shared" si="70"/>
        <v>1</v>
      </c>
      <c r="AD442">
        <f t="shared" si="71"/>
        <v>0</v>
      </c>
      <c r="AE442">
        <f t="shared" si="72"/>
        <v>2</v>
      </c>
      <c r="AF442">
        <f t="shared" si="73"/>
        <v>1</v>
      </c>
      <c r="AG442">
        <f t="shared" si="74"/>
        <v>6</v>
      </c>
      <c r="AH442">
        <f t="shared" ca="1" si="76"/>
        <v>1.5218442100649423E-3</v>
      </c>
      <c r="AI442">
        <f>IF(ROW($AA442) - $AA$51 &lt; ($H$16+1)^5, IF(AG442 &gt;= FreeSpinsBonus!$C$16, AG442*FreeSpinsBonus!$E$31, 0), "")</f>
        <v>8.7438064704167875</v>
      </c>
      <c r="AJ442">
        <f t="shared" ca="1" si="75"/>
        <v>1.3306711250932166E-2</v>
      </c>
    </row>
    <row r="443" spans="28:36" x14ac:dyDescent="0.3">
      <c r="AB443">
        <f t="shared" si="69"/>
        <v>3</v>
      </c>
      <c r="AC443">
        <f t="shared" si="70"/>
        <v>1</v>
      </c>
      <c r="AD443">
        <f t="shared" si="71"/>
        <v>0</v>
      </c>
      <c r="AE443">
        <f t="shared" si="72"/>
        <v>2</v>
      </c>
      <c r="AF443">
        <f t="shared" si="73"/>
        <v>1</v>
      </c>
      <c r="AG443">
        <f t="shared" si="74"/>
        <v>7</v>
      </c>
      <c r="AH443">
        <f t="shared" ca="1" si="76"/>
        <v>0</v>
      </c>
      <c r="AI443">
        <f>IF(ROW($AA443) - $AA$51 &lt; ($H$16+1)^5, IF(AG443 &gt;= FreeSpinsBonus!$C$16, AG443*FreeSpinsBonus!$E$31, 0), "")</f>
        <v>10.201107548819586</v>
      </c>
      <c r="AJ443">
        <f t="shared" ca="1" si="75"/>
        <v>0</v>
      </c>
    </row>
    <row r="444" spans="28:36" x14ac:dyDescent="0.3">
      <c r="AB444">
        <f t="shared" si="69"/>
        <v>0</v>
      </c>
      <c r="AC444">
        <f t="shared" si="70"/>
        <v>2</v>
      </c>
      <c r="AD444">
        <f t="shared" si="71"/>
        <v>0</v>
      </c>
      <c r="AE444">
        <f t="shared" si="72"/>
        <v>2</v>
      </c>
      <c r="AF444">
        <f t="shared" si="73"/>
        <v>1</v>
      </c>
      <c r="AG444">
        <f t="shared" si="74"/>
        <v>5</v>
      </c>
      <c r="AH444">
        <f t="shared" ca="1" si="76"/>
        <v>2.7393195781168955E-3</v>
      </c>
      <c r="AI444">
        <f>IF(ROW($AA444) - $AA$51 &lt; ($H$16+1)^5, IF(AG444 &gt;= FreeSpinsBonus!$C$16, AG444*FreeSpinsBonus!$E$31, 0), "")</f>
        <v>7.2865053920139902</v>
      </c>
      <c r="AJ444">
        <f t="shared" ca="1" si="75"/>
        <v>1.9960066876398248E-2</v>
      </c>
    </row>
    <row r="445" spans="28:36" x14ac:dyDescent="0.3">
      <c r="AB445">
        <f t="shared" si="69"/>
        <v>1</v>
      </c>
      <c r="AC445">
        <f t="shared" si="70"/>
        <v>2</v>
      </c>
      <c r="AD445">
        <f t="shared" si="71"/>
        <v>0</v>
      </c>
      <c r="AE445">
        <f t="shared" si="72"/>
        <v>2</v>
      </c>
      <c r="AF445">
        <f t="shared" si="73"/>
        <v>1</v>
      </c>
      <c r="AG445">
        <f t="shared" si="74"/>
        <v>6</v>
      </c>
      <c r="AH445">
        <f t="shared" ca="1" si="76"/>
        <v>2.8915039991233892E-3</v>
      </c>
      <c r="AI445">
        <f>IF(ROW($AA445) - $AA$51 &lt; ($H$16+1)^5, IF(AG445 &gt;= FreeSpinsBonus!$C$16, AG445*FreeSpinsBonus!$E$31, 0), "")</f>
        <v>8.7438064704167875</v>
      </c>
      <c r="AJ445">
        <f t="shared" ca="1" si="75"/>
        <v>2.5282751376771107E-2</v>
      </c>
    </row>
    <row r="446" spans="28:36" x14ac:dyDescent="0.3">
      <c r="AB446">
        <f t="shared" si="69"/>
        <v>2</v>
      </c>
      <c r="AC446">
        <f t="shared" si="70"/>
        <v>2</v>
      </c>
      <c r="AD446">
        <f t="shared" si="71"/>
        <v>0</v>
      </c>
      <c r="AE446">
        <f t="shared" si="72"/>
        <v>2</v>
      </c>
      <c r="AF446">
        <f t="shared" si="73"/>
        <v>1</v>
      </c>
      <c r="AG446">
        <f t="shared" si="74"/>
        <v>7</v>
      </c>
      <c r="AH446">
        <f t="shared" ca="1" si="76"/>
        <v>1.5218442100649423E-3</v>
      </c>
      <c r="AI446">
        <f>IF(ROW($AA446) - $AA$51 &lt; ($H$16+1)^5, IF(AG446 &gt;= FreeSpinsBonus!$C$16, AG446*FreeSpinsBonus!$E$31, 0), "")</f>
        <v>10.201107548819586</v>
      </c>
      <c r="AJ446">
        <f t="shared" ca="1" si="75"/>
        <v>1.5524496459420861E-2</v>
      </c>
    </row>
    <row r="447" spans="28:36" x14ac:dyDescent="0.3">
      <c r="AB447">
        <f t="shared" si="69"/>
        <v>3</v>
      </c>
      <c r="AC447">
        <f t="shared" si="70"/>
        <v>2</v>
      </c>
      <c r="AD447">
        <f t="shared" si="71"/>
        <v>0</v>
      </c>
      <c r="AE447">
        <f t="shared" si="72"/>
        <v>2</v>
      </c>
      <c r="AF447">
        <f t="shared" si="73"/>
        <v>1</v>
      </c>
      <c r="AG447">
        <f t="shared" si="74"/>
        <v>8</v>
      </c>
      <c r="AH447">
        <f t="shared" ca="1" si="76"/>
        <v>0</v>
      </c>
      <c r="AI447">
        <f>IF(ROW($AA447) - $AA$51 &lt; ($H$16+1)^5, IF(AG447 &gt;= FreeSpinsBonus!$C$16, AG447*FreeSpinsBonus!$E$31, 0), "")</f>
        <v>11.658408627222384</v>
      </c>
      <c r="AJ447">
        <f t="shared" ca="1" si="75"/>
        <v>0</v>
      </c>
    </row>
    <row r="448" spans="28:36" x14ac:dyDescent="0.3">
      <c r="AB448">
        <f t="shared" si="69"/>
        <v>0</v>
      </c>
      <c r="AC448">
        <f t="shared" si="70"/>
        <v>3</v>
      </c>
      <c r="AD448">
        <f t="shared" si="71"/>
        <v>0</v>
      </c>
      <c r="AE448">
        <f t="shared" si="72"/>
        <v>2</v>
      </c>
      <c r="AF448">
        <f t="shared" si="73"/>
        <v>1</v>
      </c>
      <c r="AG448">
        <f t="shared" si="74"/>
        <v>6</v>
      </c>
      <c r="AH448">
        <f t="shared" ca="1" si="76"/>
        <v>9.6681867462949272E-4</v>
      </c>
      <c r="AI448">
        <f>IF(ROW($AA448) - $AA$51 &lt; ($H$16+1)^5, IF(AG448 &gt;= FreeSpinsBonus!$C$16, AG448*FreeSpinsBonus!$E$31, 0), "")</f>
        <v>8.7438064704167875</v>
      </c>
      <c r="AJ448">
        <f t="shared" ca="1" si="75"/>
        <v>8.4536753829451416E-3</v>
      </c>
    </row>
    <row r="449" spans="28:36" x14ac:dyDescent="0.3">
      <c r="AB449">
        <f t="shared" si="69"/>
        <v>1</v>
      </c>
      <c r="AC449">
        <f t="shared" si="70"/>
        <v>3</v>
      </c>
      <c r="AD449">
        <f t="shared" si="71"/>
        <v>0</v>
      </c>
      <c r="AE449">
        <f t="shared" si="72"/>
        <v>2</v>
      </c>
      <c r="AF449">
        <f t="shared" si="73"/>
        <v>1</v>
      </c>
      <c r="AG449">
        <f t="shared" si="74"/>
        <v>7</v>
      </c>
      <c r="AH449">
        <f t="shared" ca="1" si="76"/>
        <v>1.0205308232200199E-3</v>
      </c>
      <c r="AI449">
        <f>IF(ROW($AA449) - $AA$51 &lt; ($H$16+1)^5, IF(AG449 &gt;= FreeSpinsBonus!$C$16, AG449*FreeSpinsBonus!$E$31, 0), "")</f>
        <v>10.201107548819586</v>
      </c>
      <c r="AJ449">
        <f t="shared" ca="1" si="75"/>
        <v>1.0410544684552811E-2</v>
      </c>
    </row>
    <row r="450" spans="28:36" x14ac:dyDescent="0.3">
      <c r="AB450">
        <f t="shared" si="69"/>
        <v>2</v>
      </c>
      <c r="AC450">
        <f t="shared" si="70"/>
        <v>3</v>
      </c>
      <c r="AD450">
        <f t="shared" si="71"/>
        <v>0</v>
      </c>
      <c r="AE450">
        <f t="shared" si="72"/>
        <v>2</v>
      </c>
      <c r="AF450">
        <f t="shared" si="73"/>
        <v>1</v>
      </c>
      <c r="AG450">
        <f t="shared" si="74"/>
        <v>8</v>
      </c>
      <c r="AH450">
        <f t="shared" ca="1" si="76"/>
        <v>5.371214859052737E-4</v>
      </c>
      <c r="AI450">
        <f>IF(ROW($AA450) - $AA$51 &lt; ($H$16+1)^5, IF(AG450 &gt;= FreeSpinsBonus!$C$16, AG450*FreeSpinsBonus!$E$31, 0), "")</f>
        <v>11.658408627222384</v>
      </c>
      <c r="AJ450">
        <f t="shared" ca="1" si="75"/>
        <v>6.2619817651445491E-3</v>
      </c>
    </row>
    <row r="451" spans="28:36" x14ac:dyDescent="0.3">
      <c r="AB451">
        <f t="shared" si="69"/>
        <v>3</v>
      </c>
      <c r="AC451">
        <f t="shared" si="70"/>
        <v>3</v>
      </c>
      <c r="AD451">
        <f t="shared" si="71"/>
        <v>0</v>
      </c>
      <c r="AE451">
        <f t="shared" si="72"/>
        <v>2</v>
      </c>
      <c r="AF451">
        <f t="shared" si="73"/>
        <v>1</v>
      </c>
      <c r="AG451">
        <f t="shared" si="74"/>
        <v>9</v>
      </c>
      <c r="AH451">
        <f t="shared" ca="1" si="76"/>
        <v>0</v>
      </c>
      <c r="AI451">
        <f>IF(ROW($AA451) - $AA$51 &lt; ($H$16+1)^5, IF(AG451 &gt;= FreeSpinsBonus!$C$16, AG451*FreeSpinsBonus!$E$31, 0), "")</f>
        <v>13.115709705625182</v>
      </c>
      <c r="AJ451">
        <f t="shared" ca="1" si="75"/>
        <v>0</v>
      </c>
    </row>
    <row r="452" spans="28:36" x14ac:dyDescent="0.3">
      <c r="AB452">
        <f t="shared" si="69"/>
        <v>0</v>
      </c>
      <c r="AC452">
        <f t="shared" si="70"/>
        <v>0</v>
      </c>
      <c r="AD452">
        <f t="shared" si="71"/>
        <v>1</v>
      </c>
      <c r="AE452">
        <f t="shared" si="72"/>
        <v>2</v>
      </c>
      <c r="AF452">
        <f t="shared" si="73"/>
        <v>1</v>
      </c>
      <c r="AG452">
        <f t="shared" si="74"/>
        <v>4</v>
      </c>
      <c r="AH452">
        <f t="shared" ca="1" si="76"/>
        <v>3.4241494726461202E-3</v>
      </c>
      <c r="AI452">
        <f>IF(ROW($AA452) - $AA$51 &lt; ($H$16+1)^5, IF(AG452 &gt;= FreeSpinsBonus!$C$16, AG452*FreeSpinsBonus!$E$31, 0), "")</f>
        <v>0</v>
      </c>
      <c r="AJ452">
        <f t="shared" ca="1" si="75"/>
        <v>0</v>
      </c>
    </row>
    <row r="453" spans="28:36" x14ac:dyDescent="0.3">
      <c r="AB453">
        <f t="shared" si="69"/>
        <v>1</v>
      </c>
      <c r="AC453">
        <f t="shared" si="70"/>
        <v>0</v>
      </c>
      <c r="AD453">
        <f t="shared" si="71"/>
        <v>1</v>
      </c>
      <c r="AE453">
        <f t="shared" si="72"/>
        <v>2</v>
      </c>
      <c r="AF453">
        <f t="shared" si="73"/>
        <v>1</v>
      </c>
      <c r="AG453">
        <f t="shared" si="74"/>
        <v>5</v>
      </c>
      <c r="AH453">
        <f t="shared" ca="1" si="76"/>
        <v>3.614379998904238E-3</v>
      </c>
      <c r="AI453">
        <f>IF(ROW($AA453) - $AA$51 &lt; ($H$16+1)^5, IF(AG453 &gt;= FreeSpinsBonus!$C$16, AG453*FreeSpinsBonus!$E$31, 0), "")</f>
        <v>7.2865053920139902</v>
      </c>
      <c r="AJ453">
        <f t="shared" ca="1" si="75"/>
        <v>2.6336199350803249E-2</v>
      </c>
    </row>
    <row r="454" spans="28:36" x14ac:dyDescent="0.3">
      <c r="AB454">
        <f t="shared" si="69"/>
        <v>2</v>
      </c>
      <c r="AC454">
        <f t="shared" si="70"/>
        <v>0</v>
      </c>
      <c r="AD454">
        <f t="shared" si="71"/>
        <v>1</v>
      </c>
      <c r="AE454">
        <f t="shared" si="72"/>
        <v>2</v>
      </c>
      <c r="AF454">
        <f t="shared" si="73"/>
        <v>1</v>
      </c>
      <c r="AG454">
        <f t="shared" si="74"/>
        <v>6</v>
      </c>
      <c r="AH454">
        <f t="shared" ca="1" si="76"/>
        <v>1.9023052625811777E-3</v>
      </c>
      <c r="AI454">
        <f>IF(ROW($AA454) - $AA$51 &lt; ($H$16+1)^5, IF(AG454 &gt;= FreeSpinsBonus!$C$16, AG454*FreeSpinsBonus!$E$31, 0), "")</f>
        <v>8.7438064704167875</v>
      </c>
      <c r="AJ454">
        <f t="shared" ca="1" si="75"/>
        <v>1.6633389063665207E-2</v>
      </c>
    </row>
    <row r="455" spans="28:36" x14ac:dyDescent="0.3">
      <c r="AB455">
        <f t="shared" si="69"/>
        <v>3</v>
      </c>
      <c r="AC455">
        <f t="shared" si="70"/>
        <v>0</v>
      </c>
      <c r="AD455">
        <f t="shared" si="71"/>
        <v>1</v>
      </c>
      <c r="AE455">
        <f t="shared" si="72"/>
        <v>2</v>
      </c>
      <c r="AF455">
        <f t="shared" si="73"/>
        <v>1</v>
      </c>
      <c r="AG455">
        <f t="shared" si="74"/>
        <v>7</v>
      </c>
      <c r="AH455">
        <f t="shared" ca="1" si="76"/>
        <v>0</v>
      </c>
      <c r="AI455">
        <f>IF(ROW($AA455) - $AA$51 &lt; ($H$16+1)^5, IF(AG455 &gt;= FreeSpinsBonus!$C$16, AG455*FreeSpinsBonus!$E$31, 0), "")</f>
        <v>10.201107548819586</v>
      </c>
      <c r="AJ455">
        <f t="shared" ca="1" si="75"/>
        <v>0</v>
      </c>
    </row>
    <row r="456" spans="28:36" x14ac:dyDescent="0.3">
      <c r="AB456">
        <f t="shared" si="69"/>
        <v>0</v>
      </c>
      <c r="AC456">
        <f t="shared" si="70"/>
        <v>1</v>
      </c>
      <c r="AD456">
        <f t="shared" si="71"/>
        <v>1</v>
      </c>
      <c r="AE456">
        <f t="shared" si="72"/>
        <v>2</v>
      </c>
      <c r="AF456">
        <f t="shared" si="73"/>
        <v>1</v>
      </c>
      <c r="AG456">
        <f t="shared" si="74"/>
        <v>5</v>
      </c>
      <c r="AH456">
        <f t="shared" ca="1" si="76"/>
        <v>3.4241494726461202E-3</v>
      </c>
      <c r="AI456">
        <f>IF(ROW($AA456) - $AA$51 &lt; ($H$16+1)^5, IF(AG456 &gt;= FreeSpinsBonus!$C$16, AG456*FreeSpinsBonus!$E$31, 0), "")</f>
        <v>7.2865053920139902</v>
      </c>
      <c r="AJ456">
        <f t="shared" ca="1" si="75"/>
        <v>2.4950083595497816E-2</v>
      </c>
    </row>
    <row r="457" spans="28:36" x14ac:dyDescent="0.3">
      <c r="AB457">
        <f t="shared" si="69"/>
        <v>1</v>
      </c>
      <c r="AC457">
        <f t="shared" si="70"/>
        <v>1</v>
      </c>
      <c r="AD457">
        <f t="shared" si="71"/>
        <v>1</v>
      </c>
      <c r="AE457">
        <f t="shared" si="72"/>
        <v>2</v>
      </c>
      <c r="AF457">
        <f t="shared" si="73"/>
        <v>1</v>
      </c>
      <c r="AG457">
        <f t="shared" si="74"/>
        <v>6</v>
      </c>
      <c r="AH457">
        <f t="shared" ca="1" si="76"/>
        <v>3.614379998904238E-3</v>
      </c>
      <c r="AI457">
        <f>IF(ROW($AA457) - $AA$51 &lt; ($H$16+1)^5, IF(AG457 &gt;= FreeSpinsBonus!$C$16, AG457*FreeSpinsBonus!$E$31, 0), "")</f>
        <v>8.7438064704167875</v>
      </c>
      <c r="AJ457">
        <f t="shared" ca="1" si="75"/>
        <v>3.1603439220963897E-2</v>
      </c>
    </row>
    <row r="458" spans="28:36" x14ac:dyDescent="0.3">
      <c r="AB458">
        <f t="shared" si="69"/>
        <v>2</v>
      </c>
      <c r="AC458">
        <f t="shared" si="70"/>
        <v>1</v>
      </c>
      <c r="AD458">
        <f t="shared" si="71"/>
        <v>1</v>
      </c>
      <c r="AE458">
        <f t="shared" si="72"/>
        <v>2</v>
      </c>
      <c r="AF458">
        <f t="shared" si="73"/>
        <v>1</v>
      </c>
      <c r="AG458">
        <f t="shared" si="74"/>
        <v>7</v>
      </c>
      <c r="AH458">
        <f t="shared" ca="1" si="76"/>
        <v>1.9023052625811777E-3</v>
      </c>
      <c r="AI458">
        <f>IF(ROW($AA458) - $AA$51 &lt; ($H$16+1)^5, IF(AG458 &gt;= FreeSpinsBonus!$C$16, AG458*FreeSpinsBonus!$E$31, 0), "")</f>
        <v>10.201107548819586</v>
      </c>
      <c r="AJ458">
        <f t="shared" ca="1" si="75"/>
        <v>1.9405620574276077E-2</v>
      </c>
    </row>
    <row r="459" spans="28:36" x14ac:dyDescent="0.3">
      <c r="AB459">
        <f t="shared" si="69"/>
        <v>3</v>
      </c>
      <c r="AC459">
        <f t="shared" si="70"/>
        <v>1</v>
      </c>
      <c r="AD459">
        <f t="shared" si="71"/>
        <v>1</v>
      </c>
      <c r="AE459">
        <f t="shared" si="72"/>
        <v>2</v>
      </c>
      <c r="AF459">
        <f t="shared" si="73"/>
        <v>1</v>
      </c>
      <c r="AG459">
        <f t="shared" si="74"/>
        <v>8</v>
      </c>
      <c r="AH459">
        <f t="shared" ca="1" si="76"/>
        <v>0</v>
      </c>
      <c r="AI459">
        <f>IF(ROW($AA459) - $AA$51 &lt; ($H$16+1)^5, IF(AG459 &gt;= FreeSpinsBonus!$C$16, AG459*FreeSpinsBonus!$E$31, 0), "")</f>
        <v>11.658408627222384</v>
      </c>
      <c r="AJ459">
        <f t="shared" ca="1" si="75"/>
        <v>0</v>
      </c>
    </row>
    <row r="460" spans="28:36" x14ac:dyDescent="0.3">
      <c r="AB460">
        <f t="shared" si="69"/>
        <v>0</v>
      </c>
      <c r="AC460">
        <f t="shared" si="70"/>
        <v>2</v>
      </c>
      <c r="AD460">
        <f t="shared" si="71"/>
        <v>1</v>
      </c>
      <c r="AE460">
        <f t="shared" si="72"/>
        <v>2</v>
      </c>
      <c r="AF460">
        <f t="shared" si="73"/>
        <v>1</v>
      </c>
      <c r="AG460">
        <f t="shared" si="74"/>
        <v>6</v>
      </c>
      <c r="AH460">
        <f t="shared" ca="1" si="76"/>
        <v>3.4241494726461202E-3</v>
      </c>
      <c r="AI460">
        <f>IF(ROW($AA460) - $AA$51 &lt; ($H$16+1)^5, IF(AG460 &gt;= FreeSpinsBonus!$C$16, AG460*FreeSpinsBonus!$E$31, 0), "")</f>
        <v>8.7438064704167875</v>
      </c>
      <c r="AJ460">
        <f t="shared" ca="1" si="75"/>
        <v>2.9940100314597377E-2</v>
      </c>
    </row>
    <row r="461" spans="28:36" x14ac:dyDescent="0.3">
      <c r="AB461">
        <f t="shared" si="69"/>
        <v>1</v>
      </c>
      <c r="AC461">
        <f t="shared" si="70"/>
        <v>2</v>
      </c>
      <c r="AD461">
        <f t="shared" si="71"/>
        <v>1</v>
      </c>
      <c r="AE461">
        <f t="shared" si="72"/>
        <v>2</v>
      </c>
      <c r="AF461">
        <f t="shared" si="73"/>
        <v>1</v>
      </c>
      <c r="AG461">
        <f t="shared" si="74"/>
        <v>7</v>
      </c>
      <c r="AH461">
        <f t="shared" ca="1" si="76"/>
        <v>3.614379998904238E-3</v>
      </c>
      <c r="AI461">
        <f>IF(ROW($AA461) - $AA$51 &lt; ($H$16+1)^5, IF(AG461 &gt;= FreeSpinsBonus!$C$16, AG461*FreeSpinsBonus!$E$31, 0), "")</f>
        <v>10.201107548819586</v>
      </c>
      <c r="AJ461">
        <f t="shared" ca="1" si="75"/>
        <v>3.6870679091124549E-2</v>
      </c>
    </row>
    <row r="462" spans="28:36" x14ac:dyDescent="0.3">
      <c r="AB462">
        <f t="shared" si="69"/>
        <v>2</v>
      </c>
      <c r="AC462">
        <f t="shared" si="70"/>
        <v>2</v>
      </c>
      <c r="AD462">
        <f t="shared" si="71"/>
        <v>1</v>
      </c>
      <c r="AE462">
        <f t="shared" si="72"/>
        <v>2</v>
      </c>
      <c r="AF462">
        <f t="shared" si="73"/>
        <v>1</v>
      </c>
      <c r="AG462">
        <f t="shared" si="74"/>
        <v>8</v>
      </c>
      <c r="AH462">
        <f t="shared" ca="1" si="76"/>
        <v>1.9023052625811777E-3</v>
      </c>
      <c r="AI462">
        <f>IF(ROW($AA462) - $AA$51 &lt; ($H$16+1)^5, IF(AG462 &gt;= FreeSpinsBonus!$C$16, AG462*FreeSpinsBonus!$E$31, 0), "")</f>
        <v>11.658408627222384</v>
      </c>
      <c r="AJ462">
        <f t="shared" ca="1" si="75"/>
        <v>2.2177852084886946E-2</v>
      </c>
    </row>
    <row r="463" spans="28:36" x14ac:dyDescent="0.3">
      <c r="AB463">
        <f t="shared" si="69"/>
        <v>3</v>
      </c>
      <c r="AC463">
        <f t="shared" si="70"/>
        <v>2</v>
      </c>
      <c r="AD463">
        <f t="shared" si="71"/>
        <v>1</v>
      </c>
      <c r="AE463">
        <f t="shared" si="72"/>
        <v>2</v>
      </c>
      <c r="AF463">
        <f t="shared" si="73"/>
        <v>1</v>
      </c>
      <c r="AG463">
        <f t="shared" si="74"/>
        <v>9</v>
      </c>
      <c r="AH463">
        <f t="shared" ca="1" si="76"/>
        <v>0</v>
      </c>
      <c r="AI463">
        <f>IF(ROW($AA463) - $AA$51 &lt; ($H$16+1)^5, IF(AG463 &gt;= FreeSpinsBonus!$C$16, AG463*FreeSpinsBonus!$E$31, 0), "")</f>
        <v>13.115709705625182</v>
      </c>
      <c r="AJ463">
        <f t="shared" ca="1" si="75"/>
        <v>0</v>
      </c>
    </row>
    <row r="464" spans="28:36" x14ac:dyDescent="0.3">
      <c r="AB464">
        <f t="shared" si="69"/>
        <v>0</v>
      </c>
      <c r="AC464">
        <f t="shared" si="70"/>
        <v>3</v>
      </c>
      <c r="AD464">
        <f t="shared" si="71"/>
        <v>1</v>
      </c>
      <c r="AE464">
        <f t="shared" si="72"/>
        <v>2</v>
      </c>
      <c r="AF464">
        <f t="shared" si="73"/>
        <v>1</v>
      </c>
      <c r="AG464">
        <f t="shared" si="74"/>
        <v>7</v>
      </c>
      <c r="AH464">
        <f t="shared" ca="1" si="76"/>
        <v>1.2085233432868659E-3</v>
      </c>
      <c r="AI464">
        <f>IF(ROW($AA464) - $AA$51 &lt; ($H$16+1)^5, IF(AG464 &gt;= FreeSpinsBonus!$C$16, AG464*FreeSpinsBonus!$E$31, 0), "")</f>
        <v>10.201107548819586</v>
      </c>
      <c r="AJ464">
        <f t="shared" ca="1" si="75"/>
        <v>1.2328276600128332E-2</v>
      </c>
    </row>
    <row r="465" spans="28:36" x14ac:dyDescent="0.3">
      <c r="AB465">
        <f t="shared" si="69"/>
        <v>1</v>
      </c>
      <c r="AC465">
        <f t="shared" si="70"/>
        <v>3</v>
      </c>
      <c r="AD465">
        <f t="shared" si="71"/>
        <v>1</v>
      </c>
      <c r="AE465">
        <f t="shared" si="72"/>
        <v>2</v>
      </c>
      <c r="AF465">
        <f t="shared" si="73"/>
        <v>1</v>
      </c>
      <c r="AG465">
        <f t="shared" si="74"/>
        <v>8</v>
      </c>
      <c r="AH465">
        <f t="shared" ca="1" si="76"/>
        <v>1.2756635290250252E-3</v>
      </c>
      <c r="AI465">
        <f>IF(ROW($AA465) - $AA$51 &lt; ($H$16+1)^5, IF(AG465 &gt;= FreeSpinsBonus!$C$16, AG465*FreeSpinsBonus!$E$31, 0), "")</f>
        <v>11.658408627222384</v>
      </c>
      <c r="AJ465">
        <f t="shared" ca="1" si="75"/>
        <v>1.4872206692218306E-2</v>
      </c>
    </row>
    <row r="466" spans="28:36" x14ac:dyDescent="0.3">
      <c r="AB466">
        <f t="shared" si="69"/>
        <v>2</v>
      </c>
      <c r="AC466">
        <f t="shared" si="70"/>
        <v>3</v>
      </c>
      <c r="AD466">
        <f t="shared" si="71"/>
        <v>1</v>
      </c>
      <c r="AE466">
        <f t="shared" si="72"/>
        <v>2</v>
      </c>
      <c r="AF466">
        <f t="shared" si="73"/>
        <v>1</v>
      </c>
      <c r="AG466">
        <f t="shared" si="74"/>
        <v>9</v>
      </c>
      <c r="AH466">
        <f t="shared" ca="1" si="76"/>
        <v>6.7140185738159212E-4</v>
      </c>
      <c r="AI466">
        <f>IF(ROW($AA466) - $AA$51 &lt; ($H$16+1)^5, IF(AG466 &gt;= FreeSpinsBonus!$C$16, AG466*FreeSpinsBonus!$E$31, 0), "")</f>
        <v>13.115709705625182</v>
      </c>
      <c r="AJ466">
        <f t="shared" ca="1" si="75"/>
        <v>8.8059118572345225E-3</v>
      </c>
    </row>
    <row r="467" spans="28:36" x14ac:dyDescent="0.3">
      <c r="AB467">
        <f t="shared" si="69"/>
        <v>3</v>
      </c>
      <c r="AC467">
        <f t="shared" si="70"/>
        <v>3</v>
      </c>
      <c r="AD467">
        <f t="shared" si="71"/>
        <v>1</v>
      </c>
      <c r="AE467">
        <f t="shared" si="72"/>
        <v>2</v>
      </c>
      <c r="AF467">
        <f t="shared" si="73"/>
        <v>1</v>
      </c>
      <c r="AG467">
        <f t="shared" si="74"/>
        <v>10</v>
      </c>
      <c r="AH467">
        <f t="shared" ca="1" si="76"/>
        <v>0</v>
      </c>
      <c r="AI467">
        <f>IF(ROW($AA467) - $AA$51 &lt; ($H$16+1)^5, IF(AG467 &gt;= FreeSpinsBonus!$C$16, AG467*FreeSpinsBonus!$E$31, 0), "")</f>
        <v>14.57301078402798</v>
      </c>
      <c r="AJ467">
        <f t="shared" ca="1" si="75"/>
        <v>0</v>
      </c>
    </row>
    <row r="468" spans="28:36" x14ac:dyDescent="0.3">
      <c r="AB468">
        <f t="shared" si="69"/>
        <v>0</v>
      </c>
      <c r="AC468">
        <f t="shared" si="70"/>
        <v>0</v>
      </c>
      <c r="AD468">
        <f t="shared" si="71"/>
        <v>2</v>
      </c>
      <c r="AE468">
        <f t="shared" si="72"/>
        <v>2</v>
      </c>
      <c r="AF468">
        <f t="shared" si="73"/>
        <v>1</v>
      </c>
      <c r="AG468">
        <f t="shared" si="74"/>
        <v>5</v>
      </c>
      <c r="AH468">
        <f t="shared" ca="1" si="76"/>
        <v>1.8832822099553658E-3</v>
      </c>
      <c r="AI468">
        <f>IF(ROW($AA468) - $AA$51 &lt; ($H$16+1)^5, IF(AG468 &gt;= FreeSpinsBonus!$C$16, AG468*FreeSpinsBonus!$E$31, 0), "")</f>
        <v>7.2865053920139902</v>
      </c>
      <c r="AJ468">
        <f t="shared" ca="1" si="75"/>
        <v>1.3722545977523797E-2</v>
      </c>
    </row>
    <row r="469" spans="28:36" x14ac:dyDescent="0.3">
      <c r="AB469">
        <f t="shared" si="69"/>
        <v>1</v>
      </c>
      <c r="AC469">
        <f t="shared" si="70"/>
        <v>0</v>
      </c>
      <c r="AD469">
        <f t="shared" si="71"/>
        <v>2</v>
      </c>
      <c r="AE469">
        <f t="shared" si="72"/>
        <v>2</v>
      </c>
      <c r="AF469">
        <f t="shared" si="73"/>
        <v>1</v>
      </c>
      <c r="AG469">
        <f t="shared" si="74"/>
        <v>6</v>
      </c>
      <c r="AH469">
        <f t="shared" ca="1" si="76"/>
        <v>1.9879089993973306E-3</v>
      </c>
      <c r="AI469">
        <f>IF(ROW($AA469) - $AA$51 &lt; ($H$16+1)^5, IF(AG469 &gt;= FreeSpinsBonus!$C$16, AG469*FreeSpinsBonus!$E$31, 0), "")</f>
        <v>8.7438064704167875</v>
      </c>
      <c r="AJ469">
        <f t="shared" ca="1" si="75"/>
        <v>1.7381891571530139E-2</v>
      </c>
    </row>
    <row r="470" spans="28:36" x14ac:dyDescent="0.3">
      <c r="AB470">
        <f t="shared" si="69"/>
        <v>2</v>
      </c>
      <c r="AC470">
        <f t="shared" si="70"/>
        <v>0</v>
      </c>
      <c r="AD470">
        <f t="shared" si="71"/>
        <v>2</v>
      </c>
      <c r="AE470">
        <f t="shared" si="72"/>
        <v>2</v>
      </c>
      <c r="AF470">
        <f t="shared" si="73"/>
        <v>1</v>
      </c>
      <c r="AG470">
        <f t="shared" si="74"/>
        <v>7</v>
      </c>
      <c r="AH470">
        <f t="shared" ca="1" si="76"/>
        <v>1.0462678944196478E-3</v>
      </c>
      <c r="AI470">
        <f>IF(ROW($AA470) - $AA$51 &lt; ($H$16+1)^5, IF(AG470 &gt;= FreeSpinsBonus!$C$16, AG470*FreeSpinsBonus!$E$31, 0), "")</f>
        <v>10.201107548819586</v>
      </c>
      <c r="AJ470">
        <f t="shared" ca="1" si="75"/>
        <v>1.0673091315851842E-2</v>
      </c>
    </row>
    <row r="471" spans="28:36" x14ac:dyDescent="0.3">
      <c r="AB471">
        <f t="shared" si="69"/>
        <v>3</v>
      </c>
      <c r="AC471">
        <f t="shared" si="70"/>
        <v>0</v>
      </c>
      <c r="AD471">
        <f t="shared" si="71"/>
        <v>2</v>
      </c>
      <c r="AE471">
        <f t="shared" si="72"/>
        <v>2</v>
      </c>
      <c r="AF471">
        <f t="shared" si="73"/>
        <v>1</v>
      </c>
      <c r="AG471">
        <f t="shared" si="74"/>
        <v>8</v>
      </c>
      <c r="AH471">
        <f t="shared" ca="1" si="76"/>
        <v>0</v>
      </c>
      <c r="AI471">
        <f>IF(ROW($AA471) - $AA$51 &lt; ($H$16+1)^5, IF(AG471 &gt;= FreeSpinsBonus!$C$16, AG471*FreeSpinsBonus!$E$31, 0), "")</f>
        <v>11.658408627222384</v>
      </c>
      <c r="AJ471">
        <f t="shared" ca="1" si="75"/>
        <v>0</v>
      </c>
    </row>
    <row r="472" spans="28:36" x14ac:dyDescent="0.3">
      <c r="AB472">
        <f t="shared" si="69"/>
        <v>0</v>
      </c>
      <c r="AC472">
        <f t="shared" si="70"/>
        <v>1</v>
      </c>
      <c r="AD472">
        <f t="shared" si="71"/>
        <v>2</v>
      </c>
      <c r="AE472">
        <f t="shared" si="72"/>
        <v>2</v>
      </c>
      <c r="AF472">
        <f t="shared" si="73"/>
        <v>1</v>
      </c>
      <c r="AG472">
        <f t="shared" si="74"/>
        <v>6</v>
      </c>
      <c r="AH472">
        <f t="shared" ca="1" si="76"/>
        <v>1.8832822099553658E-3</v>
      </c>
      <c r="AI472">
        <f>IF(ROW($AA472) - $AA$51 &lt; ($H$16+1)^5, IF(AG472 &gt;= FreeSpinsBonus!$C$16, AG472*FreeSpinsBonus!$E$31, 0), "")</f>
        <v>8.7438064704167875</v>
      </c>
      <c r="AJ472">
        <f t="shared" ca="1" si="75"/>
        <v>1.6467055173028555E-2</v>
      </c>
    </row>
    <row r="473" spans="28:36" x14ac:dyDescent="0.3">
      <c r="AB473">
        <f t="shared" si="69"/>
        <v>1</v>
      </c>
      <c r="AC473">
        <f t="shared" si="70"/>
        <v>1</v>
      </c>
      <c r="AD473">
        <f t="shared" si="71"/>
        <v>2</v>
      </c>
      <c r="AE473">
        <f t="shared" si="72"/>
        <v>2</v>
      </c>
      <c r="AF473">
        <f t="shared" si="73"/>
        <v>1</v>
      </c>
      <c r="AG473">
        <f t="shared" si="74"/>
        <v>7</v>
      </c>
      <c r="AH473">
        <f t="shared" ca="1" si="76"/>
        <v>1.9879089993973306E-3</v>
      </c>
      <c r="AI473">
        <f>IF(ROW($AA473) - $AA$51 &lt; ($H$16+1)^5, IF(AG473 &gt;= FreeSpinsBonus!$C$16, AG473*FreeSpinsBonus!$E$31, 0), "")</f>
        <v>10.201107548819586</v>
      </c>
      <c r="AJ473">
        <f t="shared" ca="1" si="75"/>
        <v>2.0278873500118498E-2</v>
      </c>
    </row>
    <row r="474" spans="28:36" x14ac:dyDescent="0.3">
      <c r="AB474">
        <f t="shared" si="69"/>
        <v>2</v>
      </c>
      <c r="AC474">
        <f t="shared" si="70"/>
        <v>1</v>
      </c>
      <c r="AD474">
        <f t="shared" si="71"/>
        <v>2</v>
      </c>
      <c r="AE474">
        <f t="shared" si="72"/>
        <v>2</v>
      </c>
      <c r="AF474">
        <f t="shared" si="73"/>
        <v>1</v>
      </c>
      <c r="AG474">
        <f t="shared" si="74"/>
        <v>8</v>
      </c>
      <c r="AH474">
        <f t="shared" ca="1" si="76"/>
        <v>1.0462678944196478E-3</v>
      </c>
      <c r="AI474">
        <f>IF(ROW($AA474) - $AA$51 &lt; ($H$16+1)^5, IF(AG474 &gt;= FreeSpinsBonus!$C$16, AG474*FreeSpinsBonus!$E$31, 0), "")</f>
        <v>11.658408627222384</v>
      </c>
      <c r="AJ474">
        <f t="shared" ca="1" si="75"/>
        <v>1.2197818646687821E-2</v>
      </c>
    </row>
    <row r="475" spans="28:36" x14ac:dyDescent="0.3">
      <c r="AB475">
        <f t="shared" si="69"/>
        <v>3</v>
      </c>
      <c r="AC475">
        <f t="shared" si="70"/>
        <v>1</v>
      </c>
      <c r="AD475">
        <f t="shared" si="71"/>
        <v>2</v>
      </c>
      <c r="AE475">
        <f t="shared" si="72"/>
        <v>2</v>
      </c>
      <c r="AF475">
        <f t="shared" si="73"/>
        <v>1</v>
      </c>
      <c r="AG475">
        <f t="shared" si="74"/>
        <v>9</v>
      </c>
      <c r="AH475">
        <f t="shared" ca="1" si="76"/>
        <v>0</v>
      </c>
      <c r="AI475">
        <f>IF(ROW($AA475) - $AA$51 &lt; ($H$16+1)^5, IF(AG475 &gt;= FreeSpinsBonus!$C$16, AG475*FreeSpinsBonus!$E$31, 0), "")</f>
        <v>13.115709705625182</v>
      </c>
      <c r="AJ475">
        <f t="shared" ca="1" si="75"/>
        <v>0</v>
      </c>
    </row>
    <row r="476" spans="28:36" x14ac:dyDescent="0.3">
      <c r="AB476">
        <f t="shared" si="69"/>
        <v>0</v>
      </c>
      <c r="AC476">
        <f t="shared" si="70"/>
        <v>2</v>
      </c>
      <c r="AD476">
        <f t="shared" si="71"/>
        <v>2</v>
      </c>
      <c r="AE476">
        <f t="shared" si="72"/>
        <v>2</v>
      </c>
      <c r="AF476">
        <f t="shared" si="73"/>
        <v>1</v>
      </c>
      <c r="AG476">
        <f t="shared" si="74"/>
        <v>7</v>
      </c>
      <c r="AH476">
        <f t="shared" ca="1" si="76"/>
        <v>1.8832822099553658E-3</v>
      </c>
      <c r="AI476">
        <f>IF(ROW($AA476) - $AA$51 &lt; ($H$16+1)^5, IF(AG476 &gt;= FreeSpinsBonus!$C$16, AG476*FreeSpinsBonus!$E$31, 0), "")</f>
        <v>10.201107548819586</v>
      </c>
      <c r="AJ476">
        <f t="shared" ca="1" si="75"/>
        <v>1.9211564368533315E-2</v>
      </c>
    </row>
    <row r="477" spans="28:36" x14ac:dyDescent="0.3">
      <c r="AB477">
        <f t="shared" si="69"/>
        <v>1</v>
      </c>
      <c r="AC477">
        <f t="shared" si="70"/>
        <v>2</v>
      </c>
      <c r="AD477">
        <f t="shared" si="71"/>
        <v>2</v>
      </c>
      <c r="AE477">
        <f t="shared" si="72"/>
        <v>2</v>
      </c>
      <c r="AF477">
        <f t="shared" si="73"/>
        <v>1</v>
      </c>
      <c r="AG477">
        <f t="shared" si="74"/>
        <v>8</v>
      </c>
      <c r="AH477">
        <f t="shared" ca="1" si="76"/>
        <v>1.9879089993973306E-3</v>
      </c>
      <c r="AI477">
        <f>IF(ROW($AA477) - $AA$51 &lt; ($H$16+1)^5, IF(AG477 &gt;= FreeSpinsBonus!$C$16, AG477*FreeSpinsBonus!$E$31, 0), "")</f>
        <v>11.658408627222384</v>
      </c>
      <c r="AJ477">
        <f t="shared" ca="1" si="75"/>
        <v>2.3175855428706857E-2</v>
      </c>
    </row>
    <row r="478" spans="28:36" x14ac:dyDescent="0.3">
      <c r="AB478">
        <f t="shared" si="69"/>
        <v>2</v>
      </c>
      <c r="AC478">
        <f t="shared" si="70"/>
        <v>2</v>
      </c>
      <c r="AD478">
        <f t="shared" si="71"/>
        <v>2</v>
      </c>
      <c r="AE478">
        <f t="shared" si="72"/>
        <v>2</v>
      </c>
      <c r="AF478">
        <f t="shared" si="73"/>
        <v>1</v>
      </c>
      <c r="AG478">
        <f t="shared" si="74"/>
        <v>9</v>
      </c>
      <c r="AH478">
        <f t="shared" ca="1" si="76"/>
        <v>1.0462678944196478E-3</v>
      </c>
      <c r="AI478">
        <f>IF(ROW($AA478) - $AA$51 &lt; ($H$16+1)^5, IF(AG478 &gt;= FreeSpinsBonus!$C$16, AG478*FreeSpinsBonus!$E$31, 0), "")</f>
        <v>13.115709705625182</v>
      </c>
      <c r="AJ478">
        <f t="shared" ca="1" si="75"/>
        <v>1.3722545977523797E-2</v>
      </c>
    </row>
    <row r="479" spans="28:36" x14ac:dyDescent="0.3">
      <c r="AB479">
        <f t="shared" si="69"/>
        <v>3</v>
      </c>
      <c r="AC479">
        <f t="shared" si="70"/>
        <v>2</v>
      </c>
      <c r="AD479">
        <f t="shared" si="71"/>
        <v>2</v>
      </c>
      <c r="AE479">
        <f t="shared" si="72"/>
        <v>2</v>
      </c>
      <c r="AF479">
        <f t="shared" si="73"/>
        <v>1</v>
      </c>
      <c r="AG479">
        <f t="shared" si="74"/>
        <v>10</v>
      </c>
      <c r="AH479">
        <f t="shared" ca="1" si="76"/>
        <v>0</v>
      </c>
      <c r="AI479">
        <f>IF(ROW($AA479) - $AA$51 &lt; ($H$16+1)^5, IF(AG479 &gt;= FreeSpinsBonus!$C$16, AG479*FreeSpinsBonus!$E$31, 0), "")</f>
        <v>14.57301078402798</v>
      </c>
      <c r="AJ479">
        <f t="shared" ca="1" si="75"/>
        <v>0</v>
      </c>
    </row>
    <row r="480" spans="28:36" x14ac:dyDescent="0.3">
      <c r="AB480">
        <f t="shared" si="69"/>
        <v>0</v>
      </c>
      <c r="AC480">
        <f t="shared" si="70"/>
        <v>3</v>
      </c>
      <c r="AD480">
        <f t="shared" si="71"/>
        <v>2</v>
      </c>
      <c r="AE480">
        <f t="shared" si="72"/>
        <v>2</v>
      </c>
      <c r="AF480">
        <f t="shared" si="73"/>
        <v>1</v>
      </c>
      <c r="AG480">
        <f t="shared" si="74"/>
        <v>8</v>
      </c>
      <c r="AH480">
        <f t="shared" ca="1" si="76"/>
        <v>6.6468783880777624E-4</v>
      </c>
      <c r="AI480">
        <f>IF(ROW($AA480) - $AA$51 &lt; ($H$16+1)^5, IF(AG480 &gt;= FreeSpinsBonus!$C$16, AG480*FreeSpinsBonus!$E$31, 0), "")</f>
        <v>11.658408627222384</v>
      </c>
      <c r="AJ480">
        <f t="shared" ca="1" si="75"/>
        <v>7.7492024343663798E-3</v>
      </c>
    </row>
    <row r="481" spans="28:36" x14ac:dyDescent="0.3">
      <c r="AB481">
        <f t="shared" si="69"/>
        <v>1</v>
      </c>
      <c r="AC481">
        <f t="shared" si="70"/>
        <v>3</v>
      </c>
      <c r="AD481">
        <f t="shared" si="71"/>
        <v>2</v>
      </c>
      <c r="AE481">
        <f t="shared" si="72"/>
        <v>2</v>
      </c>
      <c r="AF481">
        <f t="shared" si="73"/>
        <v>1</v>
      </c>
      <c r="AG481">
        <f t="shared" si="74"/>
        <v>9</v>
      </c>
      <c r="AH481">
        <f t="shared" ca="1" si="76"/>
        <v>7.0161494096376376E-4</v>
      </c>
      <c r="AI481">
        <f>IF(ROW($AA481) - $AA$51 &lt; ($H$16+1)^5, IF(AG481 &gt;= FreeSpinsBonus!$C$16, AG481*FreeSpinsBonus!$E$31, 0), "")</f>
        <v>13.115709705625182</v>
      </c>
      <c r="AJ481">
        <f t="shared" ca="1" si="75"/>
        <v>9.2021778908100756E-3</v>
      </c>
    </row>
    <row r="482" spans="28:36" x14ac:dyDescent="0.3">
      <c r="AB482">
        <f t="shared" si="69"/>
        <v>2</v>
      </c>
      <c r="AC482">
        <f t="shared" si="70"/>
        <v>3</v>
      </c>
      <c r="AD482">
        <f t="shared" si="71"/>
        <v>2</v>
      </c>
      <c r="AE482">
        <f t="shared" si="72"/>
        <v>2</v>
      </c>
      <c r="AF482">
        <f t="shared" si="73"/>
        <v>1</v>
      </c>
      <c r="AG482">
        <f t="shared" si="74"/>
        <v>10</v>
      </c>
      <c r="AH482">
        <f t="shared" ca="1" si="76"/>
        <v>3.6927102155987569E-4</v>
      </c>
      <c r="AI482">
        <f>IF(ROW($AA482) - $AA$51 &lt; ($H$16+1)^5, IF(AG482 &gt;= FreeSpinsBonus!$C$16, AG482*FreeSpinsBonus!$E$31, 0), "")</f>
        <v>14.57301078402798</v>
      </c>
      <c r="AJ482">
        <f t="shared" ca="1" si="75"/>
        <v>5.3813905794210977E-3</v>
      </c>
    </row>
    <row r="483" spans="28:36" x14ac:dyDescent="0.3">
      <c r="AB483">
        <f t="shared" si="69"/>
        <v>3</v>
      </c>
      <c r="AC483">
        <f t="shared" si="70"/>
        <v>3</v>
      </c>
      <c r="AD483">
        <f t="shared" si="71"/>
        <v>2</v>
      </c>
      <c r="AE483">
        <f t="shared" si="72"/>
        <v>2</v>
      </c>
      <c r="AF483">
        <f t="shared" si="73"/>
        <v>1</v>
      </c>
      <c r="AG483">
        <f t="shared" si="74"/>
        <v>11</v>
      </c>
      <c r="AH483">
        <f t="shared" ca="1" si="76"/>
        <v>0</v>
      </c>
      <c r="AI483">
        <f>IF(ROW($AA483) - $AA$51 &lt; ($H$16+1)^5, IF(AG483 &gt;= FreeSpinsBonus!$C$16, AG483*FreeSpinsBonus!$E$31, 0), "")</f>
        <v>16.030311862430779</v>
      </c>
      <c r="AJ483">
        <f t="shared" ca="1" si="75"/>
        <v>0</v>
      </c>
    </row>
    <row r="484" spans="28:36" x14ac:dyDescent="0.3">
      <c r="AB484">
        <f t="shared" si="69"/>
        <v>0</v>
      </c>
      <c r="AC484">
        <f t="shared" si="70"/>
        <v>0</v>
      </c>
      <c r="AD484">
        <f t="shared" si="71"/>
        <v>3</v>
      </c>
      <c r="AE484">
        <f t="shared" si="72"/>
        <v>2</v>
      </c>
      <c r="AF484">
        <f t="shared" si="73"/>
        <v>1</v>
      </c>
      <c r="AG484">
        <f t="shared" si="74"/>
        <v>6</v>
      </c>
      <c r="AH484">
        <f t="shared" ca="1" si="76"/>
        <v>1.7120747363230597E-4</v>
      </c>
      <c r="AI484">
        <f>IF(ROW($AA484) - $AA$51 &lt; ($H$16+1)^5, IF(AG484 &gt;= FreeSpinsBonus!$C$16, AG484*FreeSpinsBonus!$E$31, 0), "")</f>
        <v>8.7438064704167875</v>
      </c>
      <c r="AJ484">
        <f t="shared" ca="1" si="75"/>
        <v>1.4970050157298684E-3</v>
      </c>
    </row>
    <row r="485" spans="28:36" x14ac:dyDescent="0.3">
      <c r="AB485">
        <f t="shared" si="69"/>
        <v>1</v>
      </c>
      <c r="AC485">
        <f t="shared" si="70"/>
        <v>0</v>
      </c>
      <c r="AD485">
        <f t="shared" si="71"/>
        <v>3</v>
      </c>
      <c r="AE485">
        <f t="shared" si="72"/>
        <v>2</v>
      </c>
      <c r="AF485">
        <f t="shared" si="73"/>
        <v>1</v>
      </c>
      <c r="AG485">
        <f t="shared" si="74"/>
        <v>7</v>
      </c>
      <c r="AH485">
        <f t="shared" ca="1" si="76"/>
        <v>1.8071899994521182E-4</v>
      </c>
      <c r="AI485">
        <f>IF(ROW($AA485) - $AA$51 &lt; ($H$16+1)^5, IF(AG485 &gt;= FreeSpinsBonus!$C$16, AG485*FreeSpinsBonus!$E$31, 0), "")</f>
        <v>10.201107548819586</v>
      </c>
      <c r="AJ485">
        <f t="shared" ca="1" si="75"/>
        <v>1.8435339545562267E-3</v>
      </c>
    </row>
    <row r="486" spans="28:36" x14ac:dyDescent="0.3">
      <c r="AB486">
        <f t="shared" si="69"/>
        <v>2</v>
      </c>
      <c r="AC486">
        <f t="shared" si="70"/>
        <v>0</v>
      </c>
      <c r="AD486">
        <f t="shared" si="71"/>
        <v>3</v>
      </c>
      <c r="AE486">
        <f t="shared" si="72"/>
        <v>2</v>
      </c>
      <c r="AF486">
        <f t="shared" si="73"/>
        <v>1</v>
      </c>
      <c r="AG486">
        <f t="shared" si="74"/>
        <v>8</v>
      </c>
      <c r="AH486">
        <f t="shared" ca="1" si="76"/>
        <v>9.5115263129058893E-5</v>
      </c>
      <c r="AI486">
        <f>IF(ROW($AA486) - $AA$51 &lt; ($H$16+1)^5, IF(AG486 &gt;= FreeSpinsBonus!$C$16, AG486*FreeSpinsBonus!$E$31, 0), "")</f>
        <v>11.658408627222384</v>
      </c>
      <c r="AJ486">
        <f t="shared" ca="1" si="75"/>
        <v>1.1088926042443473E-3</v>
      </c>
    </row>
    <row r="487" spans="28:36" x14ac:dyDescent="0.3">
      <c r="AB487">
        <f t="shared" si="69"/>
        <v>3</v>
      </c>
      <c r="AC487">
        <f t="shared" si="70"/>
        <v>0</v>
      </c>
      <c r="AD487">
        <f t="shared" si="71"/>
        <v>3</v>
      </c>
      <c r="AE487">
        <f t="shared" si="72"/>
        <v>2</v>
      </c>
      <c r="AF487">
        <f t="shared" si="73"/>
        <v>1</v>
      </c>
      <c r="AG487">
        <f t="shared" si="74"/>
        <v>9</v>
      </c>
      <c r="AH487">
        <f t="shared" ca="1" si="76"/>
        <v>0</v>
      </c>
      <c r="AI487">
        <f>IF(ROW($AA487) - $AA$51 &lt; ($H$16+1)^5, IF(AG487 &gt;= FreeSpinsBonus!$C$16, AG487*FreeSpinsBonus!$E$31, 0), "")</f>
        <v>13.115709705625182</v>
      </c>
      <c r="AJ487">
        <f t="shared" ca="1" si="75"/>
        <v>0</v>
      </c>
    </row>
    <row r="488" spans="28:36" x14ac:dyDescent="0.3">
      <c r="AB488">
        <f t="shared" si="69"/>
        <v>0</v>
      </c>
      <c r="AC488">
        <f t="shared" si="70"/>
        <v>1</v>
      </c>
      <c r="AD488">
        <f t="shared" si="71"/>
        <v>3</v>
      </c>
      <c r="AE488">
        <f t="shared" si="72"/>
        <v>2</v>
      </c>
      <c r="AF488">
        <f t="shared" si="73"/>
        <v>1</v>
      </c>
      <c r="AG488">
        <f t="shared" si="74"/>
        <v>7</v>
      </c>
      <c r="AH488">
        <f t="shared" ca="1" si="76"/>
        <v>1.7120747363230597E-4</v>
      </c>
      <c r="AI488">
        <f>IF(ROW($AA488) - $AA$51 &lt; ($H$16+1)^5, IF(AG488 &gt;= FreeSpinsBonus!$C$16, AG488*FreeSpinsBonus!$E$31, 0), "")</f>
        <v>10.201107548819586</v>
      </c>
      <c r="AJ488">
        <f t="shared" ca="1" si="75"/>
        <v>1.7465058516848465E-3</v>
      </c>
    </row>
    <row r="489" spans="28:36" x14ac:dyDescent="0.3">
      <c r="AB489">
        <f t="shared" si="69"/>
        <v>1</v>
      </c>
      <c r="AC489">
        <f t="shared" si="70"/>
        <v>1</v>
      </c>
      <c r="AD489">
        <f t="shared" si="71"/>
        <v>3</v>
      </c>
      <c r="AE489">
        <f t="shared" si="72"/>
        <v>2</v>
      </c>
      <c r="AF489">
        <f t="shared" si="73"/>
        <v>1</v>
      </c>
      <c r="AG489">
        <f t="shared" si="74"/>
        <v>8</v>
      </c>
      <c r="AH489">
        <f t="shared" ca="1" si="76"/>
        <v>1.8071899994521182E-4</v>
      </c>
      <c r="AI489">
        <f>IF(ROW($AA489) - $AA$51 &lt; ($H$16+1)^5, IF(AG489 &gt;= FreeSpinsBonus!$C$16, AG489*FreeSpinsBonus!$E$31, 0), "")</f>
        <v>11.658408627222384</v>
      </c>
      <c r="AJ489">
        <f t="shared" ca="1" si="75"/>
        <v>2.1068959480642592E-3</v>
      </c>
    </row>
    <row r="490" spans="28:36" x14ac:dyDescent="0.3">
      <c r="AB490">
        <f t="shared" si="69"/>
        <v>2</v>
      </c>
      <c r="AC490">
        <f t="shared" si="70"/>
        <v>1</v>
      </c>
      <c r="AD490">
        <f t="shared" si="71"/>
        <v>3</v>
      </c>
      <c r="AE490">
        <f t="shared" si="72"/>
        <v>2</v>
      </c>
      <c r="AF490">
        <f t="shared" si="73"/>
        <v>1</v>
      </c>
      <c r="AG490">
        <f t="shared" si="74"/>
        <v>9</v>
      </c>
      <c r="AH490">
        <f t="shared" ca="1" si="76"/>
        <v>9.5115263129058893E-5</v>
      </c>
      <c r="AI490">
        <f>IF(ROW($AA490) - $AA$51 &lt; ($H$16+1)^5, IF(AG490 &gt;= FreeSpinsBonus!$C$16, AG490*FreeSpinsBonus!$E$31, 0), "")</f>
        <v>13.115709705625182</v>
      </c>
      <c r="AJ490">
        <f t="shared" ca="1" si="75"/>
        <v>1.2475041797748907E-3</v>
      </c>
    </row>
    <row r="491" spans="28:36" x14ac:dyDescent="0.3">
      <c r="AB491">
        <f t="shared" si="69"/>
        <v>3</v>
      </c>
      <c r="AC491">
        <f t="shared" si="70"/>
        <v>1</v>
      </c>
      <c r="AD491">
        <f t="shared" si="71"/>
        <v>3</v>
      </c>
      <c r="AE491">
        <f t="shared" si="72"/>
        <v>2</v>
      </c>
      <c r="AF491">
        <f t="shared" si="73"/>
        <v>1</v>
      </c>
      <c r="AG491">
        <f t="shared" si="74"/>
        <v>10</v>
      </c>
      <c r="AH491">
        <f t="shared" ca="1" si="76"/>
        <v>0</v>
      </c>
      <c r="AI491">
        <f>IF(ROW($AA491) - $AA$51 &lt; ($H$16+1)^5, IF(AG491 &gt;= FreeSpinsBonus!$C$16, AG491*FreeSpinsBonus!$E$31, 0), "")</f>
        <v>14.57301078402798</v>
      </c>
      <c r="AJ491">
        <f t="shared" ca="1" si="75"/>
        <v>0</v>
      </c>
    </row>
    <row r="492" spans="28:36" x14ac:dyDescent="0.3">
      <c r="AB492">
        <f t="shared" si="69"/>
        <v>0</v>
      </c>
      <c r="AC492">
        <f t="shared" si="70"/>
        <v>2</v>
      </c>
      <c r="AD492">
        <f t="shared" si="71"/>
        <v>3</v>
      </c>
      <c r="AE492">
        <f t="shared" si="72"/>
        <v>2</v>
      </c>
      <c r="AF492">
        <f t="shared" si="73"/>
        <v>1</v>
      </c>
      <c r="AG492">
        <f t="shared" si="74"/>
        <v>8</v>
      </c>
      <c r="AH492">
        <f t="shared" ca="1" si="76"/>
        <v>1.7120747363230597E-4</v>
      </c>
      <c r="AI492">
        <f>IF(ROW($AA492) - $AA$51 &lt; ($H$16+1)^5, IF(AG492 &gt;= FreeSpinsBonus!$C$16, AG492*FreeSpinsBonus!$E$31, 0), "")</f>
        <v>11.658408627222384</v>
      </c>
      <c r="AJ492">
        <f t="shared" ca="1" si="75"/>
        <v>1.9960066876398247E-3</v>
      </c>
    </row>
    <row r="493" spans="28:36" x14ac:dyDescent="0.3">
      <c r="AB493">
        <f t="shared" si="69"/>
        <v>1</v>
      </c>
      <c r="AC493">
        <f t="shared" si="70"/>
        <v>2</v>
      </c>
      <c r="AD493">
        <f t="shared" si="71"/>
        <v>3</v>
      </c>
      <c r="AE493">
        <f t="shared" si="72"/>
        <v>2</v>
      </c>
      <c r="AF493">
        <f t="shared" si="73"/>
        <v>1</v>
      </c>
      <c r="AG493">
        <f t="shared" si="74"/>
        <v>9</v>
      </c>
      <c r="AH493">
        <f t="shared" ca="1" si="76"/>
        <v>1.8071899994521182E-4</v>
      </c>
      <c r="AI493">
        <f>IF(ROW($AA493) - $AA$51 &lt; ($H$16+1)^5, IF(AG493 &gt;= FreeSpinsBonus!$C$16, AG493*FreeSpinsBonus!$E$31, 0), "")</f>
        <v>13.115709705625182</v>
      </c>
      <c r="AJ493">
        <f t="shared" ca="1" si="75"/>
        <v>2.3702579415722917E-3</v>
      </c>
    </row>
    <row r="494" spans="28:36" x14ac:dyDescent="0.3">
      <c r="AB494">
        <f t="shared" si="69"/>
        <v>2</v>
      </c>
      <c r="AC494">
        <f t="shared" si="70"/>
        <v>2</v>
      </c>
      <c r="AD494">
        <f t="shared" si="71"/>
        <v>3</v>
      </c>
      <c r="AE494">
        <f t="shared" si="72"/>
        <v>2</v>
      </c>
      <c r="AF494">
        <f t="shared" si="73"/>
        <v>1</v>
      </c>
      <c r="AG494">
        <f t="shared" si="74"/>
        <v>10</v>
      </c>
      <c r="AH494">
        <f t="shared" ca="1" si="76"/>
        <v>9.5115263129058893E-5</v>
      </c>
      <c r="AI494">
        <f>IF(ROW($AA494) - $AA$51 &lt; ($H$16+1)^5, IF(AG494 &gt;= FreeSpinsBonus!$C$16, AG494*FreeSpinsBonus!$E$31, 0), "")</f>
        <v>14.57301078402798</v>
      </c>
      <c r="AJ494">
        <f t="shared" ca="1" si="75"/>
        <v>1.3861157553054341E-3</v>
      </c>
    </row>
    <row r="495" spans="28:36" x14ac:dyDescent="0.3">
      <c r="AB495">
        <f t="shared" si="69"/>
        <v>3</v>
      </c>
      <c r="AC495">
        <f t="shared" si="70"/>
        <v>2</v>
      </c>
      <c r="AD495">
        <f t="shared" si="71"/>
        <v>3</v>
      </c>
      <c r="AE495">
        <f t="shared" si="72"/>
        <v>2</v>
      </c>
      <c r="AF495">
        <f t="shared" si="73"/>
        <v>1</v>
      </c>
      <c r="AG495">
        <f t="shared" si="74"/>
        <v>11</v>
      </c>
      <c r="AH495">
        <f t="shared" ca="1" si="76"/>
        <v>0</v>
      </c>
      <c r="AI495">
        <f>IF(ROW($AA495) - $AA$51 &lt; ($H$16+1)^5, IF(AG495 &gt;= FreeSpinsBonus!$C$16, AG495*FreeSpinsBonus!$E$31, 0), "")</f>
        <v>16.030311862430779</v>
      </c>
      <c r="AJ495">
        <f t="shared" ca="1" si="75"/>
        <v>0</v>
      </c>
    </row>
    <row r="496" spans="28:36" x14ac:dyDescent="0.3">
      <c r="AB496">
        <f t="shared" si="69"/>
        <v>0</v>
      </c>
      <c r="AC496">
        <f t="shared" si="70"/>
        <v>3</v>
      </c>
      <c r="AD496">
        <f t="shared" si="71"/>
        <v>3</v>
      </c>
      <c r="AE496">
        <f t="shared" si="72"/>
        <v>2</v>
      </c>
      <c r="AF496">
        <f t="shared" si="73"/>
        <v>1</v>
      </c>
      <c r="AG496">
        <f t="shared" si="74"/>
        <v>9</v>
      </c>
      <c r="AH496">
        <f t="shared" ca="1" si="76"/>
        <v>6.0426167164343295E-5</v>
      </c>
      <c r="AI496">
        <f>IF(ROW($AA496) - $AA$51 &lt; ($H$16+1)^5, IF(AG496 &gt;= FreeSpinsBonus!$C$16, AG496*FreeSpinsBonus!$E$31, 0), "")</f>
        <v>13.115709705625182</v>
      </c>
      <c r="AJ496">
        <f t="shared" ca="1" si="75"/>
        <v>7.9253206715110703E-4</v>
      </c>
    </row>
    <row r="497" spans="28:36" x14ac:dyDescent="0.3">
      <c r="AB497">
        <f t="shared" si="69"/>
        <v>1</v>
      </c>
      <c r="AC497">
        <f t="shared" si="70"/>
        <v>3</v>
      </c>
      <c r="AD497">
        <f t="shared" si="71"/>
        <v>3</v>
      </c>
      <c r="AE497">
        <f t="shared" si="72"/>
        <v>2</v>
      </c>
      <c r="AF497">
        <f t="shared" si="73"/>
        <v>1</v>
      </c>
      <c r="AG497">
        <f t="shared" si="74"/>
        <v>10</v>
      </c>
      <c r="AH497">
        <f t="shared" ca="1" si="76"/>
        <v>6.3783176451251243E-5</v>
      </c>
      <c r="AI497">
        <f>IF(ROW($AA497) - $AA$51 &lt; ($H$16+1)^5, IF(AG497 &gt;= FreeSpinsBonus!$C$16, AG497*FreeSpinsBonus!$E$31, 0), "")</f>
        <v>14.57301078402798</v>
      </c>
      <c r="AJ497">
        <f t="shared" ca="1" si="75"/>
        <v>9.295129182636439E-4</v>
      </c>
    </row>
    <row r="498" spans="28:36" x14ac:dyDescent="0.3">
      <c r="AB498">
        <f t="shared" si="69"/>
        <v>2</v>
      </c>
      <c r="AC498">
        <f t="shared" si="70"/>
        <v>3</v>
      </c>
      <c r="AD498">
        <f t="shared" si="71"/>
        <v>3</v>
      </c>
      <c r="AE498">
        <f t="shared" si="72"/>
        <v>2</v>
      </c>
      <c r="AF498">
        <f t="shared" si="73"/>
        <v>1</v>
      </c>
      <c r="AG498">
        <f t="shared" si="74"/>
        <v>11</v>
      </c>
      <c r="AH498">
        <f t="shared" ca="1" si="76"/>
        <v>3.3570092869079606E-5</v>
      </c>
      <c r="AI498">
        <f>IF(ROW($AA498) - $AA$51 &lt; ($H$16+1)^5, IF(AG498 &gt;= FreeSpinsBonus!$C$16, AG498*FreeSpinsBonus!$E$31, 0), "")</f>
        <v>16.030311862430779</v>
      </c>
      <c r="AJ498">
        <f t="shared" ca="1" si="75"/>
        <v>5.3813905794210975E-4</v>
      </c>
    </row>
    <row r="499" spans="28:36" x14ac:dyDescent="0.3">
      <c r="AB499">
        <f t="shared" si="69"/>
        <v>3</v>
      </c>
      <c r="AC499">
        <f t="shared" si="70"/>
        <v>3</v>
      </c>
      <c r="AD499">
        <f t="shared" si="71"/>
        <v>3</v>
      </c>
      <c r="AE499">
        <f t="shared" si="72"/>
        <v>2</v>
      </c>
      <c r="AF499">
        <f t="shared" si="73"/>
        <v>1</v>
      </c>
      <c r="AG499">
        <f t="shared" si="74"/>
        <v>12</v>
      </c>
      <c r="AH499">
        <f t="shared" ca="1" si="76"/>
        <v>0</v>
      </c>
      <c r="AI499">
        <f>IF(ROW($AA499) - $AA$51 &lt; ($H$16+1)^5, IF(AG499 &gt;= FreeSpinsBonus!$C$16, AG499*FreeSpinsBonus!$E$31, 0), "")</f>
        <v>17.487612940833575</v>
      </c>
      <c r="AJ499">
        <f t="shared" ca="1" si="75"/>
        <v>0</v>
      </c>
    </row>
    <row r="500" spans="28:36" x14ac:dyDescent="0.3">
      <c r="AB500">
        <f t="shared" ref="AB500:AB563" si="77">IF(ROW()-$AA$51 &lt; (H$16+1)^5, MOD(_xlfn.FLOOR.MATH((ROW()-$AA$51)/AB$50), H$16+1), "")</f>
        <v>0</v>
      </c>
      <c r="AC500">
        <f t="shared" ref="AC500:AC563" si="78">IF(ROW()-$AA$51 &lt; (I$16+1)^5, MOD(_xlfn.FLOOR.MATH((ROW()-$AA$51)/AC$50), I$16+1), "")</f>
        <v>0</v>
      </c>
      <c r="AD500">
        <f t="shared" ref="AD500:AD563" si="79">IF(ROW()-$AA$51 &lt; (J$16+1)^5, MOD(_xlfn.FLOOR.MATH((ROW()-$AA$51)/AD$50), J$16+1), "")</f>
        <v>0</v>
      </c>
      <c r="AE500">
        <f t="shared" ref="AE500:AE563" si="80">IF(ROW()-$AA$51 &lt; (K$16+1)^5, MOD(_xlfn.FLOOR.MATH((ROW()-$AA$51)/AE$50), K$16+1), "")</f>
        <v>3</v>
      </c>
      <c r="AF500">
        <f t="shared" ref="AF500:AF563" si="81">IF(ROW()-$AA$51 &lt; (L$16+1)^5, MOD(_xlfn.FLOOR.MATH((ROW()-$AA$51)/AF$50), L$16+1), "")</f>
        <v>1</v>
      </c>
      <c r="AG500">
        <f t="shared" ref="AG500:AG563" si="82">IF(ROW($AA500) - $AA$51 &lt; ($H$16+1)^5, SUM(AB500:AF500), "")</f>
        <v>4</v>
      </c>
      <c r="AH500">
        <f t="shared" ca="1" si="76"/>
        <v>1.1984523154261418E-3</v>
      </c>
      <c r="AI500">
        <f>IF(ROW($AA500) - $AA$51 &lt; ($H$16+1)^5, IF(AG500 &gt;= FreeSpinsBonus!$C$16, AG500*FreeSpinsBonus!$E$31, 0), "")</f>
        <v>0</v>
      </c>
      <c r="AJ500">
        <f t="shared" ref="AJ500:AJ563" ca="1" si="83">IF(ROW($AA500) - $AA$51 &lt; ($H$16+1)^5, AH500*AI500, "")</f>
        <v>0</v>
      </c>
    </row>
    <row r="501" spans="28:36" x14ac:dyDescent="0.3">
      <c r="AB501">
        <f t="shared" si="77"/>
        <v>1</v>
      </c>
      <c r="AC501">
        <f t="shared" si="78"/>
        <v>0</v>
      </c>
      <c r="AD501">
        <f t="shared" si="79"/>
        <v>0</v>
      </c>
      <c r="AE501">
        <f t="shared" si="80"/>
        <v>3</v>
      </c>
      <c r="AF501">
        <f t="shared" si="81"/>
        <v>1</v>
      </c>
      <c r="AG501">
        <f t="shared" si="82"/>
        <v>5</v>
      </c>
      <c r="AH501">
        <f t="shared" ref="AH501:AH564" ca="1" si="84">IF(ROW($AA501) - $AA$51 &lt; (4)^5,
    (_xlfn.XLOOKUP(AB501,$T$51:$T$55,U$51:U$55,0)/U$28) * (_xlfn.XLOOKUP(AC501,$T$51:$T$55,V$51:V$55,0)/V$28) * (_xlfn.XLOOKUP(AD501,$T$51:$T$55,W$51:W$55,0)/W$28) * (_xlfn.XLOOKUP(AE501,$T$51:$T$55,X$51:X$55,0)/X$28) * (_xlfn.XLOOKUP(AF501,$T$51:$T$55,Y$51:Y$55,0)/Y$28),
"")</f>
        <v>1.2650329996164828E-3</v>
      </c>
      <c r="AI501">
        <f>IF(ROW($AA501) - $AA$51 &lt; ($H$16+1)^5, IF(AG501 &gt;= FreeSpinsBonus!$C$16, AG501*FreeSpinsBonus!$E$31, 0), "")</f>
        <v>7.2865053920139902</v>
      </c>
      <c r="AJ501">
        <f t="shared" ca="1" si="83"/>
        <v>9.2176697727811337E-3</v>
      </c>
    </row>
    <row r="502" spans="28:36" x14ac:dyDescent="0.3">
      <c r="AB502">
        <f t="shared" si="77"/>
        <v>2</v>
      </c>
      <c r="AC502">
        <f t="shared" si="78"/>
        <v>0</v>
      </c>
      <c r="AD502">
        <f t="shared" si="79"/>
        <v>0</v>
      </c>
      <c r="AE502">
        <f t="shared" si="80"/>
        <v>3</v>
      </c>
      <c r="AF502">
        <f t="shared" si="81"/>
        <v>1</v>
      </c>
      <c r="AG502">
        <f t="shared" si="82"/>
        <v>6</v>
      </c>
      <c r="AH502">
        <f t="shared" ca="1" si="84"/>
        <v>6.6580684190341223E-4</v>
      </c>
      <c r="AI502">
        <f>IF(ROW($AA502) - $AA$51 &lt; ($H$16+1)^5, IF(AG502 &gt;= FreeSpinsBonus!$C$16, AG502*FreeSpinsBonus!$E$31, 0), "")</f>
        <v>8.7438064704167875</v>
      </c>
      <c r="AJ502">
        <f t="shared" ca="1" si="83"/>
        <v>5.821686172282823E-3</v>
      </c>
    </row>
    <row r="503" spans="28:36" x14ac:dyDescent="0.3">
      <c r="AB503">
        <f t="shared" si="77"/>
        <v>3</v>
      </c>
      <c r="AC503">
        <f t="shared" si="78"/>
        <v>0</v>
      </c>
      <c r="AD503">
        <f t="shared" si="79"/>
        <v>0</v>
      </c>
      <c r="AE503">
        <f t="shared" si="80"/>
        <v>3</v>
      </c>
      <c r="AF503">
        <f t="shared" si="81"/>
        <v>1</v>
      </c>
      <c r="AG503">
        <f t="shared" si="82"/>
        <v>7</v>
      </c>
      <c r="AH503">
        <f t="shared" ca="1" si="84"/>
        <v>0</v>
      </c>
      <c r="AI503">
        <f>IF(ROW($AA503) - $AA$51 &lt; ($H$16+1)^5, IF(AG503 &gt;= FreeSpinsBonus!$C$16, AG503*FreeSpinsBonus!$E$31, 0), "")</f>
        <v>10.201107548819586</v>
      </c>
      <c r="AJ503">
        <f t="shared" ca="1" si="83"/>
        <v>0</v>
      </c>
    </row>
    <row r="504" spans="28:36" x14ac:dyDescent="0.3">
      <c r="AB504">
        <f t="shared" si="77"/>
        <v>0</v>
      </c>
      <c r="AC504">
        <f t="shared" si="78"/>
        <v>1</v>
      </c>
      <c r="AD504">
        <f t="shared" si="79"/>
        <v>0</v>
      </c>
      <c r="AE504">
        <f t="shared" si="80"/>
        <v>3</v>
      </c>
      <c r="AF504">
        <f t="shared" si="81"/>
        <v>1</v>
      </c>
      <c r="AG504">
        <f t="shared" si="82"/>
        <v>5</v>
      </c>
      <c r="AH504">
        <f t="shared" ca="1" si="84"/>
        <v>1.1984523154261418E-3</v>
      </c>
      <c r="AI504">
        <f>IF(ROW($AA504) - $AA$51 &lt; ($H$16+1)^5, IF(AG504 &gt;= FreeSpinsBonus!$C$16, AG504*FreeSpinsBonus!$E$31, 0), "")</f>
        <v>7.2865053920139902</v>
      </c>
      <c r="AJ504">
        <f t="shared" ca="1" si="83"/>
        <v>8.7325292584242344E-3</v>
      </c>
    </row>
    <row r="505" spans="28:36" x14ac:dyDescent="0.3">
      <c r="AB505">
        <f t="shared" si="77"/>
        <v>1</v>
      </c>
      <c r="AC505">
        <f t="shared" si="78"/>
        <v>1</v>
      </c>
      <c r="AD505">
        <f t="shared" si="79"/>
        <v>0</v>
      </c>
      <c r="AE505">
        <f t="shared" si="80"/>
        <v>3</v>
      </c>
      <c r="AF505">
        <f t="shared" si="81"/>
        <v>1</v>
      </c>
      <c r="AG505">
        <f t="shared" si="82"/>
        <v>6</v>
      </c>
      <c r="AH505">
        <f t="shared" ca="1" si="84"/>
        <v>1.2650329996164828E-3</v>
      </c>
      <c r="AI505">
        <f>IF(ROW($AA505) - $AA$51 &lt; ($H$16+1)^5, IF(AG505 &gt;= FreeSpinsBonus!$C$16, AG505*FreeSpinsBonus!$E$31, 0), "")</f>
        <v>8.7438064704167875</v>
      </c>
      <c r="AJ505">
        <f t="shared" ca="1" si="83"/>
        <v>1.1061203727337359E-2</v>
      </c>
    </row>
    <row r="506" spans="28:36" x14ac:dyDescent="0.3">
      <c r="AB506">
        <f t="shared" si="77"/>
        <v>2</v>
      </c>
      <c r="AC506">
        <f t="shared" si="78"/>
        <v>1</v>
      </c>
      <c r="AD506">
        <f t="shared" si="79"/>
        <v>0</v>
      </c>
      <c r="AE506">
        <f t="shared" si="80"/>
        <v>3</v>
      </c>
      <c r="AF506">
        <f t="shared" si="81"/>
        <v>1</v>
      </c>
      <c r="AG506">
        <f t="shared" si="82"/>
        <v>7</v>
      </c>
      <c r="AH506">
        <f t="shared" ca="1" si="84"/>
        <v>6.6580684190341223E-4</v>
      </c>
      <c r="AI506">
        <f>IF(ROW($AA506) - $AA$51 &lt; ($H$16+1)^5, IF(AG506 &gt;= FreeSpinsBonus!$C$16, AG506*FreeSpinsBonus!$E$31, 0), "")</f>
        <v>10.201107548819586</v>
      </c>
      <c r="AJ506">
        <f t="shared" ca="1" si="83"/>
        <v>6.7919672009966268E-3</v>
      </c>
    </row>
    <row r="507" spans="28:36" x14ac:dyDescent="0.3">
      <c r="AB507">
        <f t="shared" si="77"/>
        <v>3</v>
      </c>
      <c r="AC507">
        <f t="shared" si="78"/>
        <v>1</v>
      </c>
      <c r="AD507">
        <f t="shared" si="79"/>
        <v>0</v>
      </c>
      <c r="AE507">
        <f t="shared" si="80"/>
        <v>3</v>
      </c>
      <c r="AF507">
        <f t="shared" si="81"/>
        <v>1</v>
      </c>
      <c r="AG507">
        <f t="shared" si="82"/>
        <v>8</v>
      </c>
      <c r="AH507">
        <f t="shared" ca="1" si="84"/>
        <v>0</v>
      </c>
      <c r="AI507">
        <f>IF(ROW($AA507) - $AA$51 &lt; ($H$16+1)^5, IF(AG507 &gt;= FreeSpinsBonus!$C$16, AG507*FreeSpinsBonus!$E$31, 0), "")</f>
        <v>11.658408627222384</v>
      </c>
      <c r="AJ507">
        <f t="shared" ca="1" si="83"/>
        <v>0</v>
      </c>
    </row>
    <row r="508" spans="28:36" x14ac:dyDescent="0.3">
      <c r="AB508">
        <f t="shared" si="77"/>
        <v>0</v>
      </c>
      <c r="AC508">
        <f t="shared" si="78"/>
        <v>2</v>
      </c>
      <c r="AD508">
        <f t="shared" si="79"/>
        <v>0</v>
      </c>
      <c r="AE508">
        <f t="shared" si="80"/>
        <v>3</v>
      </c>
      <c r="AF508">
        <f t="shared" si="81"/>
        <v>1</v>
      </c>
      <c r="AG508">
        <f t="shared" si="82"/>
        <v>6</v>
      </c>
      <c r="AH508">
        <f t="shared" ca="1" si="84"/>
        <v>1.1984523154261418E-3</v>
      </c>
      <c r="AI508">
        <f>IF(ROW($AA508) - $AA$51 &lt; ($H$16+1)^5, IF(AG508 &gt;= FreeSpinsBonus!$C$16, AG508*FreeSpinsBonus!$E$31, 0), "")</f>
        <v>8.7438064704167875</v>
      </c>
      <c r="AJ508">
        <f t="shared" ca="1" si="83"/>
        <v>1.0479035110109079E-2</v>
      </c>
    </row>
    <row r="509" spans="28:36" x14ac:dyDescent="0.3">
      <c r="AB509">
        <f t="shared" si="77"/>
        <v>1</v>
      </c>
      <c r="AC509">
        <f t="shared" si="78"/>
        <v>2</v>
      </c>
      <c r="AD509">
        <f t="shared" si="79"/>
        <v>0</v>
      </c>
      <c r="AE509">
        <f t="shared" si="80"/>
        <v>3</v>
      </c>
      <c r="AF509">
        <f t="shared" si="81"/>
        <v>1</v>
      </c>
      <c r="AG509">
        <f t="shared" si="82"/>
        <v>7</v>
      </c>
      <c r="AH509">
        <f t="shared" ca="1" si="84"/>
        <v>1.2650329996164828E-3</v>
      </c>
      <c r="AI509">
        <f>IF(ROW($AA509) - $AA$51 &lt; ($H$16+1)^5, IF(AG509 &gt;= FreeSpinsBonus!$C$16, AG509*FreeSpinsBonus!$E$31, 0), "")</f>
        <v>10.201107548819586</v>
      </c>
      <c r="AJ509">
        <f t="shared" ca="1" si="83"/>
        <v>1.2904737681893586E-2</v>
      </c>
    </row>
    <row r="510" spans="28:36" x14ac:dyDescent="0.3">
      <c r="AB510">
        <f t="shared" si="77"/>
        <v>2</v>
      </c>
      <c r="AC510">
        <f t="shared" si="78"/>
        <v>2</v>
      </c>
      <c r="AD510">
        <f t="shared" si="79"/>
        <v>0</v>
      </c>
      <c r="AE510">
        <f t="shared" si="80"/>
        <v>3</v>
      </c>
      <c r="AF510">
        <f t="shared" si="81"/>
        <v>1</v>
      </c>
      <c r="AG510">
        <f t="shared" si="82"/>
        <v>8</v>
      </c>
      <c r="AH510">
        <f t="shared" ca="1" si="84"/>
        <v>6.6580684190341223E-4</v>
      </c>
      <c r="AI510">
        <f>IF(ROW($AA510) - $AA$51 &lt; ($H$16+1)^5, IF(AG510 &gt;= FreeSpinsBonus!$C$16, AG510*FreeSpinsBonus!$E$31, 0), "")</f>
        <v>11.658408627222384</v>
      </c>
      <c r="AJ510">
        <f t="shared" ca="1" si="83"/>
        <v>7.7622482297104306E-3</v>
      </c>
    </row>
    <row r="511" spans="28:36" x14ac:dyDescent="0.3">
      <c r="AB511">
        <f t="shared" si="77"/>
        <v>3</v>
      </c>
      <c r="AC511">
        <f t="shared" si="78"/>
        <v>2</v>
      </c>
      <c r="AD511">
        <f t="shared" si="79"/>
        <v>0</v>
      </c>
      <c r="AE511">
        <f t="shared" si="80"/>
        <v>3</v>
      </c>
      <c r="AF511">
        <f t="shared" si="81"/>
        <v>1</v>
      </c>
      <c r="AG511">
        <f t="shared" si="82"/>
        <v>9</v>
      </c>
      <c r="AH511">
        <f t="shared" ca="1" si="84"/>
        <v>0</v>
      </c>
      <c r="AI511">
        <f>IF(ROW($AA511) - $AA$51 &lt; ($H$16+1)^5, IF(AG511 &gt;= FreeSpinsBonus!$C$16, AG511*FreeSpinsBonus!$E$31, 0), "")</f>
        <v>13.115709705625182</v>
      </c>
      <c r="AJ511">
        <f t="shared" ca="1" si="83"/>
        <v>0</v>
      </c>
    </row>
    <row r="512" spans="28:36" x14ac:dyDescent="0.3">
      <c r="AB512">
        <f t="shared" si="77"/>
        <v>0</v>
      </c>
      <c r="AC512">
        <f t="shared" si="78"/>
        <v>3</v>
      </c>
      <c r="AD512">
        <f t="shared" si="79"/>
        <v>0</v>
      </c>
      <c r="AE512">
        <f t="shared" si="80"/>
        <v>3</v>
      </c>
      <c r="AF512">
        <f t="shared" si="81"/>
        <v>1</v>
      </c>
      <c r="AG512">
        <f t="shared" si="82"/>
        <v>7</v>
      </c>
      <c r="AH512">
        <f t="shared" ca="1" si="84"/>
        <v>4.2298317015040303E-4</v>
      </c>
      <c r="AI512">
        <f>IF(ROW($AA512) - $AA$51 &lt; ($H$16+1)^5, IF(AG512 &gt;= FreeSpinsBonus!$C$16, AG512*FreeSpinsBonus!$E$31, 0), "")</f>
        <v>10.201107548819586</v>
      </c>
      <c r="AJ512">
        <f t="shared" ca="1" si="83"/>
        <v>4.3148968100449152E-3</v>
      </c>
    </row>
    <row r="513" spans="28:36" x14ac:dyDescent="0.3">
      <c r="AB513">
        <f t="shared" si="77"/>
        <v>1</v>
      </c>
      <c r="AC513">
        <f t="shared" si="78"/>
        <v>3</v>
      </c>
      <c r="AD513">
        <f t="shared" si="79"/>
        <v>0</v>
      </c>
      <c r="AE513">
        <f t="shared" si="80"/>
        <v>3</v>
      </c>
      <c r="AF513">
        <f t="shared" si="81"/>
        <v>1</v>
      </c>
      <c r="AG513">
        <f t="shared" si="82"/>
        <v>8</v>
      </c>
      <c r="AH513">
        <f t="shared" ca="1" si="84"/>
        <v>4.4648223515875868E-4</v>
      </c>
      <c r="AI513">
        <f>IF(ROW($AA513) - $AA$51 &lt; ($H$16+1)^5, IF(AG513 &gt;= FreeSpinsBonus!$C$16, AG513*FreeSpinsBonus!$E$31, 0), "")</f>
        <v>11.658408627222384</v>
      </c>
      <c r="AJ513">
        <f t="shared" ca="1" si="83"/>
        <v>5.2052723422764055E-3</v>
      </c>
    </row>
    <row r="514" spans="28:36" x14ac:dyDescent="0.3">
      <c r="AB514">
        <f t="shared" si="77"/>
        <v>2</v>
      </c>
      <c r="AC514">
        <f t="shared" si="78"/>
        <v>3</v>
      </c>
      <c r="AD514">
        <f t="shared" si="79"/>
        <v>0</v>
      </c>
      <c r="AE514">
        <f t="shared" si="80"/>
        <v>3</v>
      </c>
      <c r="AF514">
        <f t="shared" si="81"/>
        <v>1</v>
      </c>
      <c r="AG514">
        <f t="shared" si="82"/>
        <v>9</v>
      </c>
      <c r="AH514">
        <f t="shared" ca="1" si="84"/>
        <v>2.3499065008355724E-4</v>
      </c>
      <c r="AI514">
        <f>IF(ROW($AA514) - $AA$51 &lt; ($H$16+1)^5, IF(AG514 &gt;= FreeSpinsBonus!$C$16, AG514*FreeSpinsBonus!$E$31, 0), "")</f>
        <v>13.115709705625182</v>
      </c>
      <c r="AJ514">
        <f t="shared" ca="1" si="83"/>
        <v>3.0820691500320829E-3</v>
      </c>
    </row>
    <row r="515" spans="28:36" x14ac:dyDescent="0.3">
      <c r="AB515">
        <f t="shared" si="77"/>
        <v>3</v>
      </c>
      <c r="AC515">
        <f t="shared" si="78"/>
        <v>3</v>
      </c>
      <c r="AD515">
        <f t="shared" si="79"/>
        <v>0</v>
      </c>
      <c r="AE515">
        <f t="shared" si="80"/>
        <v>3</v>
      </c>
      <c r="AF515">
        <f t="shared" si="81"/>
        <v>1</v>
      </c>
      <c r="AG515">
        <f t="shared" si="82"/>
        <v>10</v>
      </c>
      <c r="AH515">
        <f t="shared" ca="1" si="84"/>
        <v>0</v>
      </c>
      <c r="AI515">
        <f>IF(ROW($AA515) - $AA$51 &lt; ($H$16+1)^5, IF(AG515 &gt;= FreeSpinsBonus!$C$16, AG515*FreeSpinsBonus!$E$31, 0), "")</f>
        <v>14.57301078402798</v>
      </c>
      <c r="AJ515">
        <f t="shared" ca="1" si="83"/>
        <v>0</v>
      </c>
    </row>
    <row r="516" spans="28:36" x14ac:dyDescent="0.3">
      <c r="AB516">
        <f t="shared" si="77"/>
        <v>0</v>
      </c>
      <c r="AC516">
        <f t="shared" si="78"/>
        <v>0</v>
      </c>
      <c r="AD516">
        <f t="shared" si="79"/>
        <v>1</v>
      </c>
      <c r="AE516">
        <f t="shared" si="80"/>
        <v>3</v>
      </c>
      <c r="AF516">
        <f t="shared" si="81"/>
        <v>1</v>
      </c>
      <c r="AG516">
        <f t="shared" si="82"/>
        <v>5</v>
      </c>
      <c r="AH516">
        <f t="shared" ca="1" si="84"/>
        <v>1.4980653942826777E-3</v>
      </c>
      <c r="AI516">
        <f>IF(ROW($AA516) - $AA$51 &lt; ($H$16+1)^5, IF(AG516 &gt;= FreeSpinsBonus!$C$16, AG516*FreeSpinsBonus!$E$31, 0), "")</f>
        <v>7.2865053920139902</v>
      </c>
      <c r="AJ516">
        <f t="shared" ca="1" si="83"/>
        <v>1.0915661573030295E-2</v>
      </c>
    </row>
    <row r="517" spans="28:36" x14ac:dyDescent="0.3">
      <c r="AB517">
        <f t="shared" si="77"/>
        <v>1</v>
      </c>
      <c r="AC517">
        <f t="shared" si="78"/>
        <v>0</v>
      </c>
      <c r="AD517">
        <f t="shared" si="79"/>
        <v>1</v>
      </c>
      <c r="AE517">
        <f t="shared" si="80"/>
        <v>3</v>
      </c>
      <c r="AF517">
        <f t="shared" si="81"/>
        <v>1</v>
      </c>
      <c r="AG517">
        <f t="shared" si="82"/>
        <v>6</v>
      </c>
      <c r="AH517">
        <f t="shared" ca="1" si="84"/>
        <v>1.5812912495206041E-3</v>
      </c>
      <c r="AI517">
        <f>IF(ROW($AA517) - $AA$51 &lt; ($H$16+1)^5, IF(AG517 &gt;= FreeSpinsBonus!$C$16, AG517*FreeSpinsBonus!$E$31, 0), "")</f>
        <v>8.7438064704167875</v>
      </c>
      <c r="AJ517">
        <f t="shared" ca="1" si="83"/>
        <v>1.3826504659171705E-2</v>
      </c>
    </row>
    <row r="518" spans="28:36" x14ac:dyDescent="0.3">
      <c r="AB518">
        <f t="shared" si="77"/>
        <v>2</v>
      </c>
      <c r="AC518">
        <f t="shared" si="78"/>
        <v>0</v>
      </c>
      <c r="AD518">
        <f t="shared" si="79"/>
        <v>1</v>
      </c>
      <c r="AE518">
        <f t="shared" si="80"/>
        <v>3</v>
      </c>
      <c r="AF518">
        <f t="shared" si="81"/>
        <v>1</v>
      </c>
      <c r="AG518">
        <f t="shared" si="82"/>
        <v>7</v>
      </c>
      <c r="AH518">
        <f t="shared" ca="1" si="84"/>
        <v>8.3225855237926527E-4</v>
      </c>
      <c r="AI518">
        <f>IF(ROW($AA518) - $AA$51 &lt; ($H$16+1)^5, IF(AG518 &gt;= FreeSpinsBonus!$C$16, AG518*FreeSpinsBonus!$E$31, 0), "")</f>
        <v>10.201107548819586</v>
      </c>
      <c r="AJ518">
        <f t="shared" ca="1" si="83"/>
        <v>8.489959001245783E-3</v>
      </c>
    </row>
    <row r="519" spans="28:36" x14ac:dyDescent="0.3">
      <c r="AB519">
        <f t="shared" si="77"/>
        <v>3</v>
      </c>
      <c r="AC519">
        <f t="shared" si="78"/>
        <v>0</v>
      </c>
      <c r="AD519">
        <f t="shared" si="79"/>
        <v>1</v>
      </c>
      <c r="AE519">
        <f t="shared" si="80"/>
        <v>3</v>
      </c>
      <c r="AF519">
        <f t="shared" si="81"/>
        <v>1</v>
      </c>
      <c r="AG519">
        <f t="shared" si="82"/>
        <v>8</v>
      </c>
      <c r="AH519">
        <f t="shared" ca="1" si="84"/>
        <v>0</v>
      </c>
      <c r="AI519">
        <f>IF(ROW($AA519) - $AA$51 &lt; ($H$16+1)^5, IF(AG519 &gt;= FreeSpinsBonus!$C$16, AG519*FreeSpinsBonus!$E$31, 0), "")</f>
        <v>11.658408627222384</v>
      </c>
      <c r="AJ519">
        <f t="shared" ca="1" si="83"/>
        <v>0</v>
      </c>
    </row>
    <row r="520" spans="28:36" x14ac:dyDescent="0.3">
      <c r="AB520">
        <f t="shared" si="77"/>
        <v>0</v>
      </c>
      <c r="AC520">
        <f t="shared" si="78"/>
        <v>1</v>
      </c>
      <c r="AD520">
        <f t="shared" si="79"/>
        <v>1</v>
      </c>
      <c r="AE520">
        <f t="shared" si="80"/>
        <v>3</v>
      </c>
      <c r="AF520">
        <f t="shared" si="81"/>
        <v>1</v>
      </c>
      <c r="AG520">
        <f t="shared" si="82"/>
        <v>6</v>
      </c>
      <c r="AH520">
        <f t="shared" ca="1" si="84"/>
        <v>1.4980653942826777E-3</v>
      </c>
      <c r="AI520">
        <f>IF(ROW($AA520) - $AA$51 &lt; ($H$16+1)^5, IF(AG520 &gt;= FreeSpinsBonus!$C$16, AG520*FreeSpinsBonus!$E$31, 0), "")</f>
        <v>8.7438064704167875</v>
      </c>
      <c r="AJ520">
        <f t="shared" ca="1" si="83"/>
        <v>1.3098793887636353E-2</v>
      </c>
    </row>
    <row r="521" spans="28:36" x14ac:dyDescent="0.3">
      <c r="AB521">
        <f t="shared" si="77"/>
        <v>1</v>
      </c>
      <c r="AC521">
        <f t="shared" si="78"/>
        <v>1</v>
      </c>
      <c r="AD521">
        <f t="shared" si="79"/>
        <v>1</v>
      </c>
      <c r="AE521">
        <f t="shared" si="80"/>
        <v>3</v>
      </c>
      <c r="AF521">
        <f t="shared" si="81"/>
        <v>1</v>
      </c>
      <c r="AG521">
        <f t="shared" si="82"/>
        <v>7</v>
      </c>
      <c r="AH521">
        <f t="shared" ca="1" si="84"/>
        <v>1.5812912495206041E-3</v>
      </c>
      <c r="AI521">
        <f>IF(ROW($AA521) - $AA$51 &lt; ($H$16+1)^5, IF(AG521 &gt;= FreeSpinsBonus!$C$16, AG521*FreeSpinsBonus!$E$31, 0), "")</f>
        <v>10.201107548819586</v>
      </c>
      <c r="AJ521">
        <f t="shared" ca="1" si="83"/>
        <v>1.6130922102366989E-2</v>
      </c>
    </row>
    <row r="522" spans="28:36" x14ac:dyDescent="0.3">
      <c r="AB522">
        <f t="shared" si="77"/>
        <v>2</v>
      </c>
      <c r="AC522">
        <f t="shared" si="78"/>
        <v>1</v>
      </c>
      <c r="AD522">
        <f t="shared" si="79"/>
        <v>1</v>
      </c>
      <c r="AE522">
        <f t="shared" si="80"/>
        <v>3</v>
      </c>
      <c r="AF522">
        <f t="shared" si="81"/>
        <v>1</v>
      </c>
      <c r="AG522">
        <f t="shared" si="82"/>
        <v>8</v>
      </c>
      <c r="AH522">
        <f t="shared" ca="1" si="84"/>
        <v>8.3225855237926527E-4</v>
      </c>
      <c r="AI522">
        <f>IF(ROW($AA522) - $AA$51 &lt; ($H$16+1)^5, IF(AG522 &gt;= FreeSpinsBonus!$C$16, AG522*FreeSpinsBonus!$E$31, 0), "")</f>
        <v>11.658408627222384</v>
      </c>
      <c r="AJ522">
        <f t="shared" ca="1" si="83"/>
        <v>9.7028102871380383E-3</v>
      </c>
    </row>
    <row r="523" spans="28:36" x14ac:dyDescent="0.3">
      <c r="AB523">
        <f t="shared" si="77"/>
        <v>3</v>
      </c>
      <c r="AC523">
        <f t="shared" si="78"/>
        <v>1</v>
      </c>
      <c r="AD523">
        <f t="shared" si="79"/>
        <v>1</v>
      </c>
      <c r="AE523">
        <f t="shared" si="80"/>
        <v>3</v>
      </c>
      <c r="AF523">
        <f t="shared" si="81"/>
        <v>1</v>
      </c>
      <c r="AG523">
        <f t="shared" si="82"/>
        <v>9</v>
      </c>
      <c r="AH523">
        <f t="shared" ca="1" si="84"/>
        <v>0</v>
      </c>
      <c r="AI523">
        <f>IF(ROW($AA523) - $AA$51 &lt; ($H$16+1)^5, IF(AG523 &gt;= FreeSpinsBonus!$C$16, AG523*FreeSpinsBonus!$E$31, 0), "")</f>
        <v>13.115709705625182</v>
      </c>
      <c r="AJ523">
        <f t="shared" ca="1" si="83"/>
        <v>0</v>
      </c>
    </row>
    <row r="524" spans="28:36" x14ac:dyDescent="0.3">
      <c r="AB524">
        <f t="shared" si="77"/>
        <v>0</v>
      </c>
      <c r="AC524">
        <f t="shared" si="78"/>
        <v>2</v>
      </c>
      <c r="AD524">
        <f t="shared" si="79"/>
        <v>1</v>
      </c>
      <c r="AE524">
        <f t="shared" si="80"/>
        <v>3</v>
      </c>
      <c r="AF524">
        <f t="shared" si="81"/>
        <v>1</v>
      </c>
      <c r="AG524">
        <f t="shared" si="82"/>
        <v>7</v>
      </c>
      <c r="AH524">
        <f t="shared" ca="1" si="84"/>
        <v>1.4980653942826777E-3</v>
      </c>
      <c r="AI524">
        <f>IF(ROW($AA524) - $AA$51 &lt; ($H$16+1)^5, IF(AG524 &gt;= FreeSpinsBonus!$C$16, AG524*FreeSpinsBonus!$E$31, 0), "")</f>
        <v>10.201107548819586</v>
      </c>
      <c r="AJ524">
        <f t="shared" ca="1" si="83"/>
        <v>1.5281926202242413E-2</v>
      </c>
    </row>
    <row r="525" spans="28:36" x14ac:dyDescent="0.3">
      <c r="AB525">
        <f t="shared" si="77"/>
        <v>1</v>
      </c>
      <c r="AC525">
        <f t="shared" si="78"/>
        <v>2</v>
      </c>
      <c r="AD525">
        <f t="shared" si="79"/>
        <v>1</v>
      </c>
      <c r="AE525">
        <f t="shared" si="80"/>
        <v>3</v>
      </c>
      <c r="AF525">
        <f t="shared" si="81"/>
        <v>1</v>
      </c>
      <c r="AG525">
        <f t="shared" si="82"/>
        <v>8</v>
      </c>
      <c r="AH525">
        <f t="shared" ca="1" si="84"/>
        <v>1.5812912495206041E-3</v>
      </c>
      <c r="AI525">
        <f>IF(ROW($AA525) - $AA$51 &lt; ($H$16+1)^5, IF(AG525 &gt;= FreeSpinsBonus!$C$16, AG525*FreeSpinsBonus!$E$31, 0), "")</f>
        <v>11.658408627222384</v>
      </c>
      <c r="AJ525">
        <f t="shared" ca="1" si="83"/>
        <v>1.8435339545562274E-2</v>
      </c>
    </row>
    <row r="526" spans="28:36" x14ac:dyDescent="0.3">
      <c r="AB526">
        <f t="shared" si="77"/>
        <v>2</v>
      </c>
      <c r="AC526">
        <f t="shared" si="78"/>
        <v>2</v>
      </c>
      <c r="AD526">
        <f t="shared" si="79"/>
        <v>1</v>
      </c>
      <c r="AE526">
        <f t="shared" si="80"/>
        <v>3</v>
      </c>
      <c r="AF526">
        <f t="shared" si="81"/>
        <v>1</v>
      </c>
      <c r="AG526">
        <f t="shared" si="82"/>
        <v>9</v>
      </c>
      <c r="AH526">
        <f t="shared" ca="1" si="84"/>
        <v>8.3225855237926527E-4</v>
      </c>
      <c r="AI526">
        <f>IF(ROW($AA526) - $AA$51 &lt; ($H$16+1)^5, IF(AG526 &gt;= FreeSpinsBonus!$C$16, AG526*FreeSpinsBonus!$E$31, 0), "")</f>
        <v>13.115709705625182</v>
      </c>
      <c r="AJ526">
        <f t="shared" ca="1" si="83"/>
        <v>1.0915661573030293E-2</v>
      </c>
    </row>
    <row r="527" spans="28:36" x14ac:dyDescent="0.3">
      <c r="AB527">
        <f t="shared" si="77"/>
        <v>3</v>
      </c>
      <c r="AC527">
        <f t="shared" si="78"/>
        <v>2</v>
      </c>
      <c r="AD527">
        <f t="shared" si="79"/>
        <v>1</v>
      </c>
      <c r="AE527">
        <f t="shared" si="80"/>
        <v>3</v>
      </c>
      <c r="AF527">
        <f t="shared" si="81"/>
        <v>1</v>
      </c>
      <c r="AG527">
        <f t="shared" si="82"/>
        <v>10</v>
      </c>
      <c r="AH527">
        <f t="shared" ca="1" si="84"/>
        <v>0</v>
      </c>
      <c r="AI527">
        <f>IF(ROW($AA527) - $AA$51 &lt; ($H$16+1)^5, IF(AG527 &gt;= FreeSpinsBonus!$C$16, AG527*FreeSpinsBonus!$E$31, 0), "")</f>
        <v>14.57301078402798</v>
      </c>
      <c r="AJ527">
        <f t="shared" ca="1" si="83"/>
        <v>0</v>
      </c>
    </row>
    <row r="528" spans="28:36" x14ac:dyDescent="0.3">
      <c r="AB528">
        <f t="shared" si="77"/>
        <v>0</v>
      </c>
      <c r="AC528">
        <f t="shared" si="78"/>
        <v>3</v>
      </c>
      <c r="AD528">
        <f t="shared" si="79"/>
        <v>1</v>
      </c>
      <c r="AE528">
        <f t="shared" si="80"/>
        <v>3</v>
      </c>
      <c r="AF528">
        <f t="shared" si="81"/>
        <v>1</v>
      </c>
      <c r="AG528">
        <f t="shared" si="82"/>
        <v>8</v>
      </c>
      <c r="AH528">
        <f t="shared" ca="1" si="84"/>
        <v>5.2872896268800387E-4</v>
      </c>
      <c r="AI528">
        <f>IF(ROW($AA528) - $AA$51 &lt; ($H$16+1)^5, IF(AG528 &gt;= FreeSpinsBonus!$C$16, AG528*FreeSpinsBonus!$E$31, 0), "")</f>
        <v>11.658408627222384</v>
      </c>
      <c r="AJ528">
        <f t="shared" ca="1" si="83"/>
        <v>6.1641383000641667E-3</v>
      </c>
    </row>
    <row r="529" spans="28:36" x14ac:dyDescent="0.3">
      <c r="AB529">
        <f t="shared" si="77"/>
        <v>1</v>
      </c>
      <c r="AC529">
        <f t="shared" si="78"/>
        <v>3</v>
      </c>
      <c r="AD529">
        <f t="shared" si="79"/>
        <v>1</v>
      </c>
      <c r="AE529">
        <f t="shared" si="80"/>
        <v>3</v>
      </c>
      <c r="AF529">
        <f t="shared" si="81"/>
        <v>1</v>
      </c>
      <c r="AG529">
        <f t="shared" si="82"/>
        <v>9</v>
      </c>
      <c r="AH529">
        <f t="shared" ca="1" si="84"/>
        <v>5.5810279394844843E-4</v>
      </c>
      <c r="AI529">
        <f>IF(ROW($AA529) - $AA$51 &lt; ($H$16+1)^5, IF(AG529 &gt;= FreeSpinsBonus!$C$16, AG529*FreeSpinsBonus!$E$31, 0), "")</f>
        <v>13.115709705625182</v>
      </c>
      <c r="AJ529">
        <f t="shared" ca="1" si="83"/>
        <v>7.3199142313261963E-3</v>
      </c>
    </row>
    <row r="530" spans="28:36" x14ac:dyDescent="0.3">
      <c r="AB530">
        <f t="shared" si="77"/>
        <v>2</v>
      </c>
      <c r="AC530">
        <f t="shared" si="78"/>
        <v>3</v>
      </c>
      <c r="AD530">
        <f t="shared" si="79"/>
        <v>1</v>
      </c>
      <c r="AE530">
        <f t="shared" si="80"/>
        <v>3</v>
      </c>
      <c r="AF530">
        <f t="shared" si="81"/>
        <v>1</v>
      </c>
      <c r="AG530">
        <f t="shared" si="82"/>
        <v>10</v>
      </c>
      <c r="AH530">
        <f t="shared" ca="1" si="84"/>
        <v>2.937383126044466E-4</v>
      </c>
      <c r="AI530">
        <f>IF(ROW($AA530) - $AA$51 &lt; ($H$16+1)^5, IF(AG530 &gt;= FreeSpinsBonus!$C$16, AG530*FreeSpinsBonus!$E$31, 0), "")</f>
        <v>14.57301078402798</v>
      </c>
      <c r="AJ530">
        <f t="shared" ca="1" si="83"/>
        <v>4.2806515972667819E-3</v>
      </c>
    </row>
    <row r="531" spans="28:36" x14ac:dyDescent="0.3">
      <c r="AB531">
        <f t="shared" si="77"/>
        <v>3</v>
      </c>
      <c r="AC531">
        <f t="shared" si="78"/>
        <v>3</v>
      </c>
      <c r="AD531">
        <f t="shared" si="79"/>
        <v>1</v>
      </c>
      <c r="AE531">
        <f t="shared" si="80"/>
        <v>3</v>
      </c>
      <c r="AF531">
        <f t="shared" si="81"/>
        <v>1</v>
      </c>
      <c r="AG531">
        <f t="shared" si="82"/>
        <v>11</v>
      </c>
      <c r="AH531">
        <f t="shared" ca="1" si="84"/>
        <v>0</v>
      </c>
      <c r="AI531">
        <f>IF(ROW($AA531) - $AA$51 &lt; ($H$16+1)^5, IF(AG531 &gt;= FreeSpinsBonus!$C$16, AG531*FreeSpinsBonus!$E$31, 0), "")</f>
        <v>16.030311862430779</v>
      </c>
      <c r="AJ531">
        <f t="shared" ca="1" si="83"/>
        <v>0</v>
      </c>
    </row>
    <row r="532" spans="28:36" x14ac:dyDescent="0.3">
      <c r="AB532">
        <f t="shared" si="77"/>
        <v>0</v>
      </c>
      <c r="AC532">
        <f t="shared" si="78"/>
        <v>0</v>
      </c>
      <c r="AD532">
        <f t="shared" si="79"/>
        <v>2</v>
      </c>
      <c r="AE532">
        <f t="shared" si="80"/>
        <v>3</v>
      </c>
      <c r="AF532">
        <f t="shared" si="81"/>
        <v>1</v>
      </c>
      <c r="AG532">
        <f t="shared" si="82"/>
        <v>6</v>
      </c>
      <c r="AH532">
        <f t="shared" ca="1" si="84"/>
        <v>8.2393596685547256E-4</v>
      </c>
      <c r="AI532">
        <f>IF(ROW($AA532) - $AA$51 &lt; ($H$16+1)^5, IF(AG532 &gt;= FreeSpinsBonus!$C$16, AG532*FreeSpinsBonus!$E$31, 0), "")</f>
        <v>8.7438064704167875</v>
      </c>
      <c r="AJ532">
        <f t="shared" ca="1" si="83"/>
        <v>7.2043366381999924E-3</v>
      </c>
    </row>
    <row r="533" spans="28:36" x14ac:dyDescent="0.3">
      <c r="AB533">
        <f t="shared" si="77"/>
        <v>1</v>
      </c>
      <c r="AC533">
        <f t="shared" si="78"/>
        <v>0</v>
      </c>
      <c r="AD533">
        <f t="shared" si="79"/>
        <v>2</v>
      </c>
      <c r="AE533">
        <f t="shared" si="80"/>
        <v>3</v>
      </c>
      <c r="AF533">
        <f t="shared" si="81"/>
        <v>1</v>
      </c>
      <c r="AG533">
        <f t="shared" si="82"/>
        <v>7</v>
      </c>
      <c r="AH533">
        <f t="shared" ca="1" si="84"/>
        <v>8.6971018723633212E-4</v>
      </c>
      <c r="AI533">
        <f>IF(ROW($AA533) - $AA$51 &lt; ($H$16+1)^5, IF(AG533 &gt;= FreeSpinsBonus!$C$16, AG533*FreeSpinsBonus!$E$31, 0), "")</f>
        <v>10.201107548819586</v>
      </c>
      <c r="AJ533">
        <f t="shared" ca="1" si="83"/>
        <v>8.8720071563018425E-3</v>
      </c>
    </row>
    <row r="534" spans="28:36" x14ac:dyDescent="0.3">
      <c r="AB534">
        <f t="shared" si="77"/>
        <v>2</v>
      </c>
      <c r="AC534">
        <f t="shared" si="78"/>
        <v>0</v>
      </c>
      <c r="AD534">
        <f t="shared" si="79"/>
        <v>2</v>
      </c>
      <c r="AE534">
        <f t="shared" si="80"/>
        <v>3</v>
      </c>
      <c r="AF534">
        <f t="shared" si="81"/>
        <v>1</v>
      </c>
      <c r="AG534">
        <f t="shared" si="82"/>
        <v>8</v>
      </c>
      <c r="AH534">
        <f t="shared" ca="1" si="84"/>
        <v>4.5774220380859589E-4</v>
      </c>
      <c r="AI534">
        <f>IF(ROW($AA534) - $AA$51 &lt; ($H$16+1)^5, IF(AG534 &gt;= FreeSpinsBonus!$C$16, AG534*FreeSpinsBonus!$E$31, 0), "")</f>
        <v>11.658408627222384</v>
      </c>
      <c r="AJ534">
        <f t="shared" ca="1" si="83"/>
        <v>5.336545657925921E-3</v>
      </c>
    </row>
    <row r="535" spans="28:36" x14ac:dyDescent="0.3">
      <c r="AB535">
        <f t="shared" si="77"/>
        <v>3</v>
      </c>
      <c r="AC535">
        <f t="shared" si="78"/>
        <v>0</v>
      </c>
      <c r="AD535">
        <f t="shared" si="79"/>
        <v>2</v>
      </c>
      <c r="AE535">
        <f t="shared" si="80"/>
        <v>3</v>
      </c>
      <c r="AF535">
        <f t="shared" si="81"/>
        <v>1</v>
      </c>
      <c r="AG535">
        <f t="shared" si="82"/>
        <v>9</v>
      </c>
      <c r="AH535">
        <f t="shared" ca="1" si="84"/>
        <v>0</v>
      </c>
      <c r="AI535">
        <f>IF(ROW($AA535) - $AA$51 &lt; ($H$16+1)^5, IF(AG535 &gt;= FreeSpinsBonus!$C$16, AG535*FreeSpinsBonus!$E$31, 0), "")</f>
        <v>13.115709705625182</v>
      </c>
      <c r="AJ535">
        <f t="shared" ca="1" si="83"/>
        <v>0</v>
      </c>
    </row>
    <row r="536" spans="28:36" x14ac:dyDescent="0.3">
      <c r="AB536">
        <f t="shared" si="77"/>
        <v>0</v>
      </c>
      <c r="AC536">
        <f t="shared" si="78"/>
        <v>1</v>
      </c>
      <c r="AD536">
        <f t="shared" si="79"/>
        <v>2</v>
      </c>
      <c r="AE536">
        <f t="shared" si="80"/>
        <v>3</v>
      </c>
      <c r="AF536">
        <f t="shared" si="81"/>
        <v>1</v>
      </c>
      <c r="AG536">
        <f t="shared" si="82"/>
        <v>7</v>
      </c>
      <c r="AH536">
        <f t="shared" ca="1" si="84"/>
        <v>8.2393596685547256E-4</v>
      </c>
      <c r="AI536">
        <f>IF(ROW($AA536) - $AA$51 &lt; ($H$16+1)^5, IF(AG536 &gt;= FreeSpinsBonus!$C$16, AG536*FreeSpinsBonus!$E$31, 0), "")</f>
        <v>10.201107548819586</v>
      </c>
      <c r="AJ536">
        <f t="shared" ca="1" si="83"/>
        <v>8.4050594112333246E-3</v>
      </c>
    </row>
    <row r="537" spans="28:36" x14ac:dyDescent="0.3">
      <c r="AB537">
        <f t="shared" si="77"/>
        <v>1</v>
      </c>
      <c r="AC537">
        <f t="shared" si="78"/>
        <v>1</v>
      </c>
      <c r="AD537">
        <f t="shared" si="79"/>
        <v>2</v>
      </c>
      <c r="AE537">
        <f t="shared" si="80"/>
        <v>3</v>
      </c>
      <c r="AF537">
        <f t="shared" si="81"/>
        <v>1</v>
      </c>
      <c r="AG537">
        <f t="shared" si="82"/>
        <v>8</v>
      </c>
      <c r="AH537">
        <f t="shared" ca="1" si="84"/>
        <v>8.6971018723633212E-4</v>
      </c>
      <c r="AI537">
        <f>IF(ROW($AA537) - $AA$51 &lt; ($H$16+1)^5, IF(AG537 &gt;= FreeSpinsBonus!$C$16, AG537*FreeSpinsBonus!$E$31, 0), "")</f>
        <v>11.658408627222384</v>
      </c>
      <c r="AJ537">
        <f t="shared" ca="1" si="83"/>
        <v>1.0139436750059249E-2</v>
      </c>
    </row>
    <row r="538" spans="28:36" x14ac:dyDescent="0.3">
      <c r="AB538">
        <f t="shared" si="77"/>
        <v>2</v>
      </c>
      <c r="AC538">
        <f t="shared" si="78"/>
        <v>1</v>
      </c>
      <c r="AD538">
        <f t="shared" si="79"/>
        <v>2</v>
      </c>
      <c r="AE538">
        <f t="shared" si="80"/>
        <v>3</v>
      </c>
      <c r="AF538">
        <f t="shared" si="81"/>
        <v>1</v>
      </c>
      <c r="AG538">
        <f t="shared" si="82"/>
        <v>9</v>
      </c>
      <c r="AH538">
        <f t="shared" ca="1" si="84"/>
        <v>4.5774220380859589E-4</v>
      </c>
      <c r="AI538">
        <f>IF(ROW($AA538) - $AA$51 &lt; ($H$16+1)^5, IF(AG538 &gt;= FreeSpinsBonus!$C$16, AG538*FreeSpinsBonus!$E$31, 0), "")</f>
        <v>13.115709705625182</v>
      </c>
      <c r="AJ538">
        <f t="shared" ca="1" si="83"/>
        <v>6.0036138651666611E-3</v>
      </c>
    </row>
    <row r="539" spans="28:36" x14ac:dyDescent="0.3">
      <c r="AB539">
        <f t="shared" si="77"/>
        <v>3</v>
      </c>
      <c r="AC539">
        <f t="shared" si="78"/>
        <v>1</v>
      </c>
      <c r="AD539">
        <f t="shared" si="79"/>
        <v>2</v>
      </c>
      <c r="AE539">
        <f t="shared" si="80"/>
        <v>3</v>
      </c>
      <c r="AF539">
        <f t="shared" si="81"/>
        <v>1</v>
      </c>
      <c r="AG539">
        <f t="shared" si="82"/>
        <v>10</v>
      </c>
      <c r="AH539">
        <f t="shared" ca="1" si="84"/>
        <v>0</v>
      </c>
      <c r="AI539">
        <f>IF(ROW($AA539) - $AA$51 &lt; ($H$16+1)^5, IF(AG539 &gt;= FreeSpinsBonus!$C$16, AG539*FreeSpinsBonus!$E$31, 0), "")</f>
        <v>14.57301078402798</v>
      </c>
      <c r="AJ539">
        <f t="shared" ca="1" si="83"/>
        <v>0</v>
      </c>
    </row>
    <row r="540" spans="28:36" x14ac:dyDescent="0.3">
      <c r="AB540">
        <f t="shared" si="77"/>
        <v>0</v>
      </c>
      <c r="AC540">
        <f t="shared" si="78"/>
        <v>2</v>
      </c>
      <c r="AD540">
        <f t="shared" si="79"/>
        <v>2</v>
      </c>
      <c r="AE540">
        <f t="shared" si="80"/>
        <v>3</v>
      </c>
      <c r="AF540">
        <f t="shared" si="81"/>
        <v>1</v>
      </c>
      <c r="AG540">
        <f t="shared" si="82"/>
        <v>8</v>
      </c>
      <c r="AH540">
        <f t="shared" ca="1" si="84"/>
        <v>8.2393596685547256E-4</v>
      </c>
      <c r="AI540">
        <f>IF(ROW($AA540) - $AA$51 &lt; ($H$16+1)^5, IF(AG540 &gt;= FreeSpinsBonus!$C$16, AG540*FreeSpinsBonus!$E$31, 0), "")</f>
        <v>11.658408627222384</v>
      </c>
      <c r="AJ540">
        <f t="shared" ca="1" si="83"/>
        <v>9.6057821842666577E-3</v>
      </c>
    </row>
    <row r="541" spans="28:36" x14ac:dyDescent="0.3">
      <c r="AB541">
        <f t="shared" si="77"/>
        <v>1</v>
      </c>
      <c r="AC541">
        <f t="shared" si="78"/>
        <v>2</v>
      </c>
      <c r="AD541">
        <f t="shared" si="79"/>
        <v>2</v>
      </c>
      <c r="AE541">
        <f t="shared" si="80"/>
        <v>3</v>
      </c>
      <c r="AF541">
        <f t="shared" si="81"/>
        <v>1</v>
      </c>
      <c r="AG541">
        <f t="shared" si="82"/>
        <v>9</v>
      </c>
      <c r="AH541">
        <f t="shared" ca="1" si="84"/>
        <v>8.6971018723633212E-4</v>
      </c>
      <c r="AI541">
        <f>IF(ROW($AA541) - $AA$51 &lt; ($H$16+1)^5, IF(AG541 &gt;= FreeSpinsBonus!$C$16, AG541*FreeSpinsBonus!$E$31, 0), "")</f>
        <v>13.115709705625182</v>
      </c>
      <c r="AJ541">
        <f t="shared" ca="1" si="83"/>
        <v>1.1406866343816656E-2</v>
      </c>
    </row>
    <row r="542" spans="28:36" x14ac:dyDescent="0.3">
      <c r="AB542">
        <f t="shared" si="77"/>
        <v>2</v>
      </c>
      <c r="AC542">
        <f t="shared" si="78"/>
        <v>2</v>
      </c>
      <c r="AD542">
        <f t="shared" si="79"/>
        <v>2</v>
      </c>
      <c r="AE542">
        <f t="shared" si="80"/>
        <v>3</v>
      </c>
      <c r="AF542">
        <f t="shared" si="81"/>
        <v>1</v>
      </c>
      <c r="AG542">
        <f t="shared" si="82"/>
        <v>10</v>
      </c>
      <c r="AH542">
        <f t="shared" ca="1" si="84"/>
        <v>4.5774220380859589E-4</v>
      </c>
      <c r="AI542">
        <f>IF(ROW($AA542) - $AA$51 &lt; ($H$16+1)^5, IF(AG542 &gt;= FreeSpinsBonus!$C$16, AG542*FreeSpinsBonus!$E$31, 0), "")</f>
        <v>14.57301078402798</v>
      </c>
      <c r="AJ542">
        <f t="shared" ca="1" si="83"/>
        <v>6.6706820724074019E-3</v>
      </c>
    </row>
    <row r="543" spans="28:36" x14ac:dyDescent="0.3">
      <c r="AB543">
        <f t="shared" si="77"/>
        <v>3</v>
      </c>
      <c r="AC543">
        <f t="shared" si="78"/>
        <v>2</v>
      </c>
      <c r="AD543">
        <f t="shared" si="79"/>
        <v>2</v>
      </c>
      <c r="AE543">
        <f t="shared" si="80"/>
        <v>3</v>
      </c>
      <c r="AF543">
        <f t="shared" si="81"/>
        <v>1</v>
      </c>
      <c r="AG543">
        <f t="shared" si="82"/>
        <v>11</v>
      </c>
      <c r="AH543">
        <f t="shared" ca="1" si="84"/>
        <v>0</v>
      </c>
      <c r="AI543">
        <f>IF(ROW($AA543) - $AA$51 &lt; ($H$16+1)^5, IF(AG543 &gt;= FreeSpinsBonus!$C$16, AG543*FreeSpinsBonus!$E$31, 0), "")</f>
        <v>16.030311862430779</v>
      </c>
      <c r="AJ543">
        <f t="shared" ca="1" si="83"/>
        <v>0</v>
      </c>
    </row>
    <row r="544" spans="28:36" x14ac:dyDescent="0.3">
      <c r="AB544">
        <f t="shared" si="77"/>
        <v>0</v>
      </c>
      <c r="AC544">
        <f t="shared" si="78"/>
        <v>3</v>
      </c>
      <c r="AD544">
        <f t="shared" si="79"/>
        <v>2</v>
      </c>
      <c r="AE544">
        <f t="shared" si="80"/>
        <v>3</v>
      </c>
      <c r="AF544">
        <f t="shared" si="81"/>
        <v>1</v>
      </c>
      <c r="AG544">
        <f t="shared" si="82"/>
        <v>9</v>
      </c>
      <c r="AH544">
        <f t="shared" ca="1" si="84"/>
        <v>2.9080092947840214E-4</v>
      </c>
      <c r="AI544">
        <f>IF(ROW($AA544) - $AA$51 &lt; ($H$16+1)^5, IF(AG544 &gt;= FreeSpinsBonus!$C$16, AG544*FreeSpinsBonus!$E$31, 0), "")</f>
        <v>13.115709705625182</v>
      </c>
      <c r="AJ544">
        <f t="shared" ca="1" si="83"/>
        <v>3.814060573164703E-3</v>
      </c>
    </row>
    <row r="545" spans="28:36" x14ac:dyDescent="0.3">
      <c r="AB545">
        <f t="shared" si="77"/>
        <v>1</v>
      </c>
      <c r="AC545">
        <f t="shared" si="78"/>
        <v>3</v>
      </c>
      <c r="AD545">
        <f t="shared" si="79"/>
        <v>2</v>
      </c>
      <c r="AE545">
        <f t="shared" si="80"/>
        <v>3</v>
      </c>
      <c r="AF545">
        <f t="shared" si="81"/>
        <v>1</v>
      </c>
      <c r="AG545">
        <f t="shared" si="82"/>
        <v>10</v>
      </c>
      <c r="AH545">
        <f t="shared" ca="1" si="84"/>
        <v>3.0695653667164668E-4</v>
      </c>
      <c r="AI545">
        <f>IF(ROW($AA545) - $AA$51 &lt; ($H$16+1)^5, IF(AG545 &gt;= FreeSpinsBonus!$C$16, AG545*FreeSpinsBonus!$E$31, 0), "")</f>
        <v>14.57301078402798</v>
      </c>
      <c r="AJ545">
        <f t="shared" ca="1" si="83"/>
        <v>4.4732809191437876E-3</v>
      </c>
    </row>
    <row r="546" spans="28:36" x14ac:dyDescent="0.3">
      <c r="AB546">
        <f t="shared" si="77"/>
        <v>2</v>
      </c>
      <c r="AC546">
        <f t="shared" si="78"/>
        <v>3</v>
      </c>
      <c r="AD546">
        <f t="shared" si="79"/>
        <v>2</v>
      </c>
      <c r="AE546">
        <f t="shared" si="80"/>
        <v>3</v>
      </c>
      <c r="AF546">
        <f t="shared" si="81"/>
        <v>1</v>
      </c>
      <c r="AG546">
        <f t="shared" si="82"/>
        <v>11</v>
      </c>
      <c r="AH546">
        <f t="shared" ca="1" si="84"/>
        <v>1.6155607193244561E-4</v>
      </c>
      <c r="AI546">
        <f>IF(ROW($AA546) - $AA$51 &lt; ($H$16+1)^5, IF(AG546 &gt;= FreeSpinsBonus!$C$16, AG546*FreeSpinsBonus!$E$31, 0), "")</f>
        <v>16.030311862430779</v>
      </c>
      <c r="AJ546">
        <f t="shared" ca="1" si="83"/>
        <v>2.5897942163464029E-3</v>
      </c>
    </row>
    <row r="547" spans="28:36" x14ac:dyDescent="0.3">
      <c r="AB547">
        <f t="shared" si="77"/>
        <v>3</v>
      </c>
      <c r="AC547">
        <f t="shared" si="78"/>
        <v>3</v>
      </c>
      <c r="AD547">
        <f t="shared" si="79"/>
        <v>2</v>
      </c>
      <c r="AE547">
        <f t="shared" si="80"/>
        <v>3</v>
      </c>
      <c r="AF547">
        <f t="shared" si="81"/>
        <v>1</v>
      </c>
      <c r="AG547">
        <f t="shared" si="82"/>
        <v>12</v>
      </c>
      <c r="AH547">
        <f t="shared" ca="1" si="84"/>
        <v>0</v>
      </c>
      <c r="AI547">
        <f>IF(ROW($AA547) - $AA$51 &lt; ($H$16+1)^5, IF(AG547 &gt;= FreeSpinsBonus!$C$16, AG547*FreeSpinsBonus!$E$31, 0), "")</f>
        <v>17.487612940833575</v>
      </c>
      <c r="AJ547">
        <f t="shared" ca="1" si="83"/>
        <v>0</v>
      </c>
    </row>
    <row r="548" spans="28:36" x14ac:dyDescent="0.3">
      <c r="AB548">
        <f t="shared" si="77"/>
        <v>0</v>
      </c>
      <c r="AC548">
        <f t="shared" si="78"/>
        <v>0</v>
      </c>
      <c r="AD548">
        <f t="shared" si="79"/>
        <v>3</v>
      </c>
      <c r="AE548">
        <f t="shared" si="80"/>
        <v>3</v>
      </c>
      <c r="AF548">
        <f t="shared" si="81"/>
        <v>1</v>
      </c>
      <c r="AG548">
        <f t="shared" si="82"/>
        <v>7</v>
      </c>
      <c r="AH548">
        <f t="shared" ca="1" si="84"/>
        <v>7.4903269714133864E-5</v>
      </c>
      <c r="AI548">
        <f>IF(ROW($AA548) - $AA$51 &lt; ($H$16+1)^5, IF(AG548 &gt;= FreeSpinsBonus!$C$16, AG548*FreeSpinsBonus!$E$31, 0), "")</f>
        <v>10.201107548819586</v>
      </c>
      <c r="AJ548">
        <f t="shared" ca="1" si="83"/>
        <v>7.6409631011212036E-4</v>
      </c>
    </row>
    <row r="549" spans="28:36" x14ac:dyDescent="0.3">
      <c r="AB549">
        <f t="shared" si="77"/>
        <v>1</v>
      </c>
      <c r="AC549">
        <f t="shared" si="78"/>
        <v>0</v>
      </c>
      <c r="AD549">
        <f t="shared" si="79"/>
        <v>3</v>
      </c>
      <c r="AE549">
        <f t="shared" si="80"/>
        <v>3</v>
      </c>
      <c r="AF549">
        <f t="shared" si="81"/>
        <v>1</v>
      </c>
      <c r="AG549">
        <f t="shared" si="82"/>
        <v>8</v>
      </c>
      <c r="AH549">
        <f t="shared" ca="1" si="84"/>
        <v>7.9064562476030176E-5</v>
      </c>
      <c r="AI549">
        <f>IF(ROW($AA549) - $AA$51 &lt; ($H$16+1)^5, IF(AG549 &gt;= FreeSpinsBonus!$C$16, AG549*FreeSpinsBonus!$E$31, 0), "")</f>
        <v>11.658408627222384</v>
      </c>
      <c r="AJ549">
        <f t="shared" ca="1" si="83"/>
        <v>9.2176697727811333E-4</v>
      </c>
    </row>
    <row r="550" spans="28:36" x14ac:dyDescent="0.3">
      <c r="AB550">
        <f t="shared" si="77"/>
        <v>2</v>
      </c>
      <c r="AC550">
        <f t="shared" si="78"/>
        <v>0</v>
      </c>
      <c r="AD550">
        <f t="shared" si="79"/>
        <v>3</v>
      </c>
      <c r="AE550">
        <f t="shared" si="80"/>
        <v>3</v>
      </c>
      <c r="AF550">
        <f t="shared" si="81"/>
        <v>1</v>
      </c>
      <c r="AG550">
        <f t="shared" si="82"/>
        <v>9</v>
      </c>
      <c r="AH550">
        <f t="shared" ca="1" si="84"/>
        <v>4.1612927618963265E-5</v>
      </c>
      <c r="AI550">
        <f>IF(ROW($AA550) - $AA$51 &lt; ($H$16+1)^5, IF(AG550 &gt;= FreeSpinsBonus!$C$16, AG550*FreeSpinsBonus!$E$31, 0), "")</f>
        <v>13.115709705625182</v>
      </c>
      <c r="AJ550">
        <f t="shared" ca="1" si="83"/>
        <v>5.4578307865151465E-4</v>
      </c>
    </row>
    <row r="551" spans="28:36" x14ac:dyDescent="0.3">
      <c r="AB551">
        <f t="shared" si="77"/>
        <v>3</v>
      </c>
      <c r="AC551">
        <f t="shared" si="78"/>
        <v>0</v>
      </c>
      <c r="AD551">
        <f t="shared" si="79"/>
        <v>3</v>
      </c>
      <c r="AE551">
        <f t="shared" si="80"/>
        <v>3</v>
      </c>
      <c r="AF551">
        <f t="shared" si="81"/>
        <v>1</v>
      </c>
      <c r="AG551">
        <f t="shared" si="82"/>
        <v>10</v>
      </c>
      <c r="AH551">
        <f t="shared" ca="1" si="84"/>
        <v>0</v>
      </c>
      <c r="AI551">
        <f>IF(ROW($AA551) - $AA$51 &lt; ($H$16+1)^5, IF(AG551 &gt;= FreeSpinsBonus!$C$16, AG551*FreeSpinsBonus!$E$31, 0), "")</f>
        <v>14.57301078402798</v>
      </c>
      <c r="AJ551">
        <f t="shared" ca="1" si="83"/>
        <v>0</v>
      </c>
    </row>
    <row r="552" spans="28:36" x14ac:dyDescent="0.3">
      <c r="AB552">
        <f t="shared" si="77"/>
        <v>0</v>
      </c>
      <c r="AC552">
        <f t="shared" si="78"/>
        <v>1</v>
      </c>
      <c r="AD552">
        <f t="shared" si="79"/>
        <v>3</v>
      </c>
      <c r="AE552">
        <f t="shared" si="80"/>
        <v>3</v>
      </c>
      <c r="AF552">
        <f t="shared" si="81"/>
        <v>1</v>
      </c>
      <c r="AG552">
        <f t="shared" si="82"/>
        <v>8</v>
      </c>
      <c r="AH552">
        <f t="shared" ca="1" si="84"/>
        <v>7.4903269714133864E-5</v>
      </c>
      <c r="AI552">
        <f>IF(ROW($AA552) - $AA$51 &lt; ($H$16+1)^5, IF(AG552 &gt;= FreeSpinsBonus!$C$16, AG552*FreeSpinsBonus!$E$31, 0), "")</f>
        <v>11.658408627222384</v>
      </c>
      <c r="AJ552">
        <f t="shared" ca="1" si="83"/>
        <v>8.7325292584242338E-4</v>
      </c>
    </row>
    <row r="553" spans="28:36" x14ac:dyDescent="0.3">
      <c r="AB553">
        <f t="shared" si="77"/>
        <v>1</v>
      </c>
      <c r="AC553">
        <f t="shared" si="78"/>
        <v>1</v>
      </c>
      <c r="AD553">
        <f t="shared" si="79"/>
        <v>3</v>
      </c>
      <c r="AE553">
        <f t="shared" si="80"/>
        <v>3</v>
      </c>
      <c r="AF553">
        <f t="shared" si="81"/>
        <v>1</v>
      </c>
      <c r="AG553">
        <f t="shared" si="82"/>
        <v>9</v>
      </c>
      <c r="AH553">
        <f t="shared" ca="1" si="84"/>
        <v>7.9064562476030176E-5</v>
      </c>
      <c r="AI553">
        <f>IF(ROW($AA553) - $AA$51 &lt; ($H$16+1)^5, IF(AG553 &gt;= FreeSpinsBonus!$C$16, AG553*FreeSpinsBonus!$E$31, 0), "")</f>
        <v>13.115709705625182</v>
      </c>
      <c r="AJ553">
        <f t="shared" ca="1" si="83"/>
        <v>1.0369878494378775E-3</v>
      </c>
    </row>
    <row r="554" spans="28:36" x14ac:dyDescent="0.3">
      <c r="AB554">
        <f t="shared" si="77"/>
        <v>2</v>
      </c>
      <c r="AC554">
        <f t="shared" si="78"/>
        <v>1</v>
      </c>
      <c r="AD554">
        <f t="shared" si="79"/>
        <v>3</v>
      </c>
      <c r="AE554">
        <f t="shared" si="80"/>
        <v>3</v>
      </c>
      <c r="AF554">
        <f t="shared" si="81"/>
        <v>1</v>
      </c>
      <c r="AG554">
        <f t="shared" si="82"/>
        <v>10</v>
      </c>
      <c r="AH554">
        <f t="shared" ca="1" si="84"/>
        <v>4.1612927618963265E-5</v>
      </c>
      <c r="AI554">
        <f>IF(ROW($AA554) - $AA$51 &lt; ($H$16+1)^5, IF(AG554 &gt;= FreeSpinsBonus!$C$16, AG554*FreeSpinsBonus!$E$31, 0), "")</f>
        <v>14.57301078402798</v>
      </c>
      <c r="AJ554">
        <f t="shared" ca="1" si="83"/>
        <v>6.0642564294612739E-4</v>
      </c>
    </row>
    <row r="555" spans="28:36" x14ac:dyDescent="0.3">
      <c r="AB555">
        <f t="shared" si="77"/>
        <v>3</v>
      </c>
      <c r="AC555">
        <f t="shared" si="78"/>
        <v>1</v>
      </c>
      <c r="AD555">
        <f t="shared" si="79"/>
        <v>3</v>
      </c>
      <c r="AE555">
        <f t="shared" si="80"/>
        <v>3</v>
      </c>
      <c r="AF555">
        <f t="shared" si="81"/>
        <v>1</v>
      </c>
      <c r="AG555">
        <f t="shared" si="82"/>
        <v>11</v>
      </c>
      <c r="AH555">
        <f t="shared" ca="1" si="84"/>
        <v>0</v>
      </c>
      <c r="AI555">
        <f>IF(ROW($AA555) - $AA$51 &lt; ($H$16+1)^5, IF(AG555 &gt;= FreeSpinsBonus!$C$16, AG555*FreeSpinsBonus!$E$31, 0), "")</f>
        <v>16.030311862430779</v>
      </c>
      <c r="AJ555">
        <f t="shared" ca="1" si="83"/>
        <v>0</v>
      </c>
    </row>
    <row r="556" spans="28:36" x14ac:dyDescent="0.3">
      <c r="AB556">
        <f t="shared" si="77"/>
        <v>0</v>
      </c>
      <c r="AC556">
        <f t="shared" si="78"/>
        <v>2</v>
      </c>
      <c r="AD556">
        <f t="shared" si="79"/>
        <v>3</v>
      </c>
      <c r="AE556">
        <f t="shared" si="80"/>
        <v>3</v>
      </c>
      <c r="AF556">
        <f t="shared" si="81"/>
        <v>1</v>
      </c>
      <c r="AG556">
        <f t="shared" si="82"/>
        <v>9</v>
      </c>
      <c r="AH556">
        <f t="shared" ca="1" si="84"/>
        <v>7.4903269714133864E-5</v>
      </c>
      <c r="AI556">
        <f>IF(ROW($AA556) - $AA$51 &lt; ($H$16+1)^5, IF(AG556 &gt;= FreeSpinsBonus!$C$16, AG556*FreeSpinsBonus!$E$31, 0), "")</f>
        <v>13.115709705625182</v>
      </c>
      <c r="AJ556">
        <f t="shared" ca="1" si="83"/>
        <v>9.8240954157272618E-4</v>
      </c>
    </row>
    <row r="557" spans="28:36" x14ac:dyDescent="0.3">
      <c r="AB557">
        <f t="shared" si="77"/>
        <v>1</v>
      </c>
      <c r="AC557">
        <f t="shared" si="78"/>
        <v>2</v>
      </c>
      <c r="AD557">
        <f t="shared" si="79"/>
        <v>3</v>
      </c>
      <c r="AE557">
        <f t="shared" si="80"/>
        <v>3</v>
      </c>
      <c r="AF557">
        <f t="shared" si="81"/>
        <v>1</v>
      </c>
      <c r="AG557">
        <f t="shared" si="82"/>
        <v>10</v>
      </c>
      <c r="AH557">
        <f t="shared" ca="1" si="84"/>
        <v>7.9064562476030176E-5</v>
      </c>
      <c r="AI557">
        <f>IF(ROW($AA557) - $AA$51 &lt; ($H$16+1)^5, IF(AG557 &gt;= FreeSpinsBonus!$C$16, AG557*FreeSpinsBonus!$E$31, 0), "")</f>
        <v>14.57301078402798</v>
      </c>
      <c r="AJ557">
        <f t="shared" ca="1" si="83"/>
        <v>1.1522087215976417E-3</v>
      </c>
    </row>
    <row r="558" spans="28:36" x14ac:dyDescent="0.3">
      <c r="AB558">
        <f t="shared" si="77"/>
        <v>2</v>
      </c>
      <c r="AC558">
        <f t="shared" si="78"/>
        <v>2</v>
      </c>
      <c r="AD558">
        <f t="shared" si="79"/>
        <v>3</v>
      </c>
      <c r="AE558">
        <f t="shared" si="80"/>
        <v>3</v>
      </c>
      <c r="AF558">
        <f t="shared" si="81"/>
        <v>1</v>
      </c>
      <c r="AG558">
        <f t="shared" si="82"/>
        <v>11</v>
      </c>
      <c r="AH558">
        <f t="shared" ca="1" si="84"/>
        <v>4.1612927618963265E-5</v>
      </c>
      <c r="AI558">
        <f>IF(ROW($AA558) - $AA$51 &lt; ($H$16+1)^5, IF(AG558 &gt;= FreeSpinsBonus!$C$16, AG558*FreeSpinsBonus!$E$31, 0), "")</f>
        <v>16.030311862430779</v>
      </c>
      <c r="AJ558">
        <f t="shared" ca="1" si="83"/>
        <v>6.6706820724074024E-4</v>
      </c>
    </row>
    <row r="559" spans="28:36" x14ac:dyDescent="0.3">
      <c r="AB559">
        <f t="shared" si="77"/>
        <v>3</v>
      </c>
      <c r="AC559">
        <f t="shared" si="78"/>
        <v>2</v>
      </c>
      <c r="AD559">
        <f t="shared" si="79"/>
        <v>3</v>
      </c>
      <c r="AE559">
        <f t="shared" si="80"/>
        <v>3</v>
      </c>
      <c r="AF559">
        <f t="shared" si="81"/>
        <v>1</v>
      </c>
      <c r="AG559">
        <f t="shared" si="82"/>
        <v>12</v>
      </c>
      <c r="AH559">
        <f t="shared" ca="1" si="84"/>
        <v>0</v>
      </c>
      <c r="AI559">
        <f>IF(ROW($AA559) - $AA$51 &lt; ($H$16+1)^5, IF(AG559 &gt;= FreeSpinsBonus!$C$16, AG559*FreeSpinsBonus!$E$31, 0), "")</f>
        <v>17.487612940833575</v>
      </c>
      <c r="AJ559">
        <f t="shared" ca="1" si="83"/>
        <v>0</v>
      </c>
    </row>
    <row r="560" spans="28:36" x14ac:dyDescent="0.3">
      <c r="AB560">
        <f t="shared" si="77"/>
        <v>0</v>
      </c>
      <c r="AC560">
        <f t="shared" si="78"/>
        <v>3</v>
      </c>
      <c r="AD560">
        <f t="shared" si="79"/>
        <v>3</v>
      </c>
      <c r="AE560">
        <f t="shared" si="80"/>
        <v>3</v>
      </c>
      <c r="AF560">
        <f t="shared" si="81"/>
        <v>1</v>
      </c>
      <c r="AG560">
        <f t="shared" si="82"/>
        <v>10</v>
      </c>
      <c r="AH560">
        <f t="shared" ca="1" si="84"/>
        <v>2.6436448134400189E-5</v>
      </c>
      <c r="AI560">
        <f>IF(ROW($AA560) - $AA$51 &lt; ($H$16+1)^5, IF(AG560 &gt;= FreeSpinsBonus!$C$16, AG560*FreeSpinsBonus!$E$31, 0), "")</f>
        <v>14.57301078402798</v>
      </c>
      <c r="AJ560">
        <f t="shared" ca="1" si="83"/>
        <v>3.8525864375401036E-4</v>
      </c>
    </row>
    <row r="561" spans="28:36" x14ac:dyDescent="0.3">
      <c r="AB561">
        <f t="shared" si="77"/>
        <v>1</v>
      </c>
      <c r="AC561">
        <f t="shared" si="78"/>
        <v>3</v>
      </c>
      <c r="AD561">
        <f t="shared" si="79"/>
        <v>3</v>
      </c>
      <c r="AE561">
        <f t="shared" si="80"/>
        <v>3</v>
      </c>
      <c r="AF561">
        <f t="shared" si="81"/>
        <v>1</v>
      </c>
      <c r="AG561">
        <f t="shared" si="82"/>
        <v>11</v>
      </c>
      <c r="AH561">
        <f t="shared" ca="1" si="84"/>
        <v>2.7905139697422417E-5</v>
      </c>
      <c r="AI561">
        <f>IF(ROW($AA561) - $AA$51 &lt; ($H$16+1)^5, IF(AG561 &gt;= FreeSpinsBonus!$C$16, AG561*FreeSpinsBonus!$E$31, 0), "")</f>
        <v>16.030311862430779</v>
      </c>
      <c r="AJ561">
        <f t="shared" ca="1" si="83"/>
        <v>4.473280919143786E-4</v>
      </c>
    </row>
    <row r="562" spans="28:36" x14ac:dyDescent="0.3">
      <c r="AB562">
        <f t="shared" si="77"/>
        <v>2</v>
      </c>
      <c r="AC562">
        <f t="shared" si="78"/>
        <v>3</v>
      </c>
      <c r="AD562">
        <f t="shared" si="79"/>
        <v>3</v>
      </c>
      <c r="AE562">
        <f t="shared" si="80"/>
        <v>3</v>
      </c>
      <c r="AF562">
        <f t="shared" si="81"/>
        <v>1</v>
      </c>
      <c r="AG562">
        <f t="shared" si="82"/>
        <v>12</v>
      </c>
      <c r="AH562">
        <f t="shared" ca="1" si="84"/>
        <v>1.4686915630222328E-5</v>
      </c>
      <c r="AI562">
        <f>IF(ROW($AA562) - $AA$51 &lt; ($H$16+1)^5, IF(AG562 &gt;= FreeSpinsBonus!$C$16, AG562*FreeSpinsBonus!$E$31, 0), "")</f>
        <v>17.487612940833575</v>
      </c>
      <c r="AJ562">
        <f t="shared" ca="1" si="83"/>
        <v>2.5683909583600685E-4</v>
      </c>
    </row>
    <row r="563" spans="28:36" x14ac:dyDescent="0.3">
      <c r="AB563">
        <f t="shared" si="77"/>
        <v>3</v>
      </c>
      <c r="AC563">
        <f t="shared" si="78"/>
        <v>3</v>
      </c>
      <c r="AD563">
        <f t="shared" si="79"/>
        <v>3</v>
      </c>
      <c r="AE563">
        <f t="shared" si="80"/>
        <v>3</v>
      </c>
      <c r="AF563">
        <f t="shared" si="81"/>
        <v>1</v>
      </c>
      <c r="AG563">
        <f t="shared" si="82"/>
        <v>13</v>
      </c>
      <c r="AH563">
        <f t="shared" ca="1" si="84"/>
        <v>0</v>
      </c>
      <c r="AI563">
        <f>IF(ROW($AA563) - $AA$51 &lt; ($H$16+1)^5, IF(AG563 &gt;= FreeSpinsBonus!$C$16, AG563*FreeSpinsBonus!$E$31, 0), "")</f>
        <v>18.944914019236375</v>
      </c>
      <c r="AJ563">
        <f t="shared" ca="1" si="83"/>
        <v>0</v>
      </c>
    </row>
    <row r="564" spans="28:36" x14ac:dyDescent="0.3">
      <c r="AB564">
        <f t="shared" ref="AB564:AB627" si="85">IF(ROW()-$AA$51 &lt; (H$16+1)^5, MOD(_xlfn.FLOOR.MATH((ROW()-$AA$51)/AB$50), H$16+1), "")</f>
        <v>0</v>
      </c>
      <c r="AC564">
        <f t="shared" ref="AC564:AC627" si="86">IF(ROW()-$AA$51 &lt; (I$16+1)^5, MOD(_xlfn.FLOOR.MATH((ROW()-$AA$51)/AC$50), I$16+1), "")</f>
        <v>0</v>
      </c>
      <c r="AD564">
        <f t="shared" ref="AD564:AD627" si="87">IF(ROW()-$AA$51 &lt; (J$16+1)^5, MOD(_xlfn.FLOOR.MATH((ROW()-$AA$51)/AD$50), J$16+1), "")</f>
        <v>0</v>
      </c>
      <c r="AE564">
        <f t="shared" ref="AE564:AE627" si="88">IF(ROW()-$AA$51 &lt; (K$16+1)^5, MOD(_xlfn.FLOOR.MATH((ROW()-$AA$51)/AE$50), K$16+1), "")</f>
        <v>0</v>
      </c>
      <c r="AF564">
        <f t="shared" ref="AF564:AF627" si="89">IF(ROW()-$AA$51 &lt; (L$16+1)^5, MOD(_xlfn.FLOOR.MATH((ROW()-$AA$51)/AF$50), L$16+1), "")</f>
        <v>2</v>
      </c>
      <c r="AG564">
        <f t="shared" ref="AG564:AG627" si="90">IF(ROW($AA564) - $AA$51 &lt; ($H$16+1)^5, SUM(AB564:AF564), "")</f>
        <v>2</v>
      </c>
      <c r="AH564">
        <f t="shared" ca="1" si="84"/>
        <v>2.9500364687412716E-3</v>
      </c>
      <c r="AI564">
        <f>IF(ROW($AA564) - $AA$51 &lt; ($H$16+1)^5, IF(AG564 &gt;= FreeSpinsBonus!$C$16, AG564*FreeSpinsBonus!$E$31, 0), "")</f>
        <v>0</v>
      </c>
      <c r="AJ564">
        <f t="shared" ref="AJ564:AJ627" ca="1" si="91">IF(ROW($AA564) - $AA$51 &lt; ($H$16+1)^5, AH564*AI564, "")</f>
        <v>0</v>
      </c>
    </row>
    <row r="565" spans="28:36" x14ac:dyDescent="0.3">
      <c r="AB565">
        <f t="shared" si="85"/>
        <v>1</v>
      </c>
      <c r="AC565">
        <f t="shared" si="86"/>
        <v>0</v>
      </c>
      <c r="AD565">
        <f t="shared" si="87"/>
        <v>0</v>
      </c>
      <c r="AE565">
        <f t="shared" si="88"/>
        <v>0</v>
      </c>
      <c r="AF565">
        <f t="shared" si="89"/>
        <v>2</v>
      </c>
      <c r="AG565">
        <f t="shared" si="90"/>
        <v>3</v>
      </c>
      <c r="AH565">
        <f t="shared" ref="AH565:AH628" ca="1" si="92">IF(ROW($AA565) - $AA$51 &lt; (4)^5,
    (_xlfn.XLOOKUP(AB565,$T$51:$T$55,U$51:U$55,0)/U$28) * (_xlfn.XLOOKUP(AC565,$T$51:$T$55,V$51:V$55,0)/V$28) * (_xlfn.XLOOKUP(AD565,$T$51:$T$55,W$51:W$55,0)/W$28) * (_xlfn.XLOOKUP(AE565,$T$51:$T$55,X$51:X$55,0)/X$28) * (_xlfn.XLOOKUP(AF565,$T$51:$T$55,Y$51:Y$55,0)/Y$28),
"")</f>
        <v>3.1139273836713419E-3</v>
      </c>
      <c r="AI565">
        <f>IF(ROW($AA565) - $AA$51 &lt; ($H$16+1)^5, IF(AG565 &gt;= FreeSpinsBonus!$C$16, AG565*FreeSpinsBonus!$E$31, 0), "")</f>
        <v>0</v>
      </c>
      <c r="AJ565">
        <f t="shared" ca="1" si="91"/>
        <v>0</v>
      </c>
    </row>
    <row r="566" spans="28:36" x14ac:dyDescent="0.3">
      <c r="AB566">
        <f t="shared" si="85"/>
        <v>2</v>
      </c>
      <c r="AC566">
        <f t="shared" si="86"/>
        <v>0</v>
      </c>
      <c r="AD566">
        <f t="shared" si="87"/>
        <v>0</v>
      </c>
      <c r="AE566">
        <f t="shared" si="88"/>
        <v>0</v>
      </c>
      <c r="AF566">
        <f t="shared" si="89"/>
        <v>2</v>
      </c>
      <c r="AG566">
        <f t="shared" si="90"/>
        <v>4</v>
      </c>
      <c r="AH566">
        <f t="shared" ca="1" si="92"/>
        <v>1.6389091493007068E-3</v>
      </c>
      <c r="AI566">
        <f>IF(ROW($AA566) - $AA$51 &lt; ($H$16+1)^5, IF(AG566 &gt;= FreeSpinsBonus!$C$16, AG566*FreeSpinsBonus!$E$31, 0), "")</f>
        <v>0</v>
      </c>
      <c r="AJ566">
        <f t="shared" ca="1" si="91"/>
        <v>0</v>
      </c>
    </row>
    <row r="567" spans="28:36" x14ac:dyDescent="0.3">
      <c r="AB567">
        <f t="shared" si="85"/>
        <v>3</v>
      </c>
      <c r="AC567">
        <f t="shared" si="86"/>
        <v>0</v>
      </c>
      <c r="AD567">
        <f t="shared" si="87"/>
        <v>0</v>
      </c>
      <c r="AE567">
        <f t="shared" si="88"/>
        <v>0</v>
      </c>
      <c r="AF567">
        <f t="shared" si="89"/>
        <v>2</v>
      </c>
      <c r="AG567">
        <f t="shared" si="90"/>
        <v>5</v>
      </c>
      <c r="AH567">
        <f t="shared" ca="1" si="92"/>
        <v>0</v>
      </c>
      <c r="AI567">
        <f>IF(ROW($AA567) - $AA$51 &lt; ($H$16+1)^5, IF(AG567 &gt;= FreeSpinsBonus!$C$16, AG567*FreeSpinsBonus!$E$31, 0), "")</f>
        <v>7.2865053920139902</v>
      </c>
      <c r="AJ567">
        <f t="shared" ca="1" si="91"/>
        <v>0</v>
      </c>
    </row>
    <row r="568" spans="28:36" x14ac:dyDescent="0.3">
      <c r="AB568">
        <f t="shared" si="85"/>
        <v>0</v>
      </c>
      <c r="AC568">
        <f t="shared" si="86"/>
        <v>1</v>
      </c>
      <c r="AD568">
        <f t="shared" si="87"/>
        <v>0</v>
      </c>
      <c r="AE568">
        <f t="shared" si="88"/>
        <v>0</v>
      </c>
      <c r="AF568">
        <f t="shared" si="89"/>
        <v>2</v>
      </c>
      <c r="AG568">
        <f t="shared" si="90"/>
        <v>3</v>
      </c>
      <c r="AH568">
        <f t="shared" ca="1" si="92"/>
        <v>2.9500364687412716E-3</v>
      </c>
      <c r="AI568">
        <f>IF(ROW($AA568) - $AA$51 &lt; ($H$16+1)^5, IF(AG568 &gt;= FreeSpinsBonus!$C$16, AG568*FreeSpinsBonus!$E$31, 0), "")</f>
        <v>0</v>
      </c>
      <c r="AJ568">
        <f t="shared" ca="1" si="91"/>
        <v>0</v>
      </c>
    </row>
    <row r="569" spans="28:36" x14ac:dyDescent="0.3">
      <c r="AB569">
        <f t="shared" si="85"/>
        <v>1</v>
      </c>
      <c r="AC569">
        <f t="shared" si="86"/>
        <v>1</v>
      </c>
      <c r="AD569">
        <f t="shared" si="87"/>
        <v>0</v>
      </c>
      <c r="AE569">
        <f t="shared" si="88"/>
        <v>0</v>
      </c>
      <c r="AF569">
        <f t="shared" si="89"/>
        <v>2</v>
      </c>
      <c r="AG569">
        <f t="shared" si="90"/>
        <v>4</v>
      </c>
      <c r="AH569">
        <f t="shared" ca="1" si="92"/>
        <v>3.1139273836713419E-3</v>
      </c>
      <c r="AI569">
        <f>IF(ROW($AA569) - $AA$51 &lt; ($H$16+1)^5, IF(AG569 &gt;= FreeSpinsBonus!$C$16, AG569*FreeSpinsBonus!$E$31, 0), "")</f>
        <v>0</v>
      </c>
      <c r="AJ569">
        <f t="shared" ca="1" si="91"/>
        <v>0</v>
      </c>
    </row>
    <row r="570" spans="28:36" x14ac:dyDescent="0.3">
      <c r="AB570">
        <f t="shared" si="85"/>
        <v>2</v>
      </c>
      <c r="AC570">
        <f t="shared" si="86"/>
        <v>1</v>
      </c>
      <c r="AD570">
        <f t="shared" si="87"/>
        <v>0</v>
      </c>
      <c r="AE570">
        <f t="shared" si="88"/>
        <v>0</v>
      </c>
      <c r="AF570">
        <f t="shared" si="89"/>
        <v>2</v>
      </c>
      <c r="AG570">
        <f t="shared" si="90"/>
        <v>5</v>
      </c>
      <c r="AH570">
        <f t="shared" ca="1" si="92"/>
        <v>1.6389091493007068E-3</v>
      </c>
      <c r="AI570">
        <f>IF(ROW($AA570) - $AA$51 &lt; ($H$16+1)^5, IF(AG570 &gt;= FreeSpinsBonus!$C$16, AG570*FreeSpinsBonus!$E$31, 0), "")</f>
        <v>7.2865053920139902</v>
      </c>
      <c r="AJ570">
        <f t="shared" ca="1" si="91"/>
        <v>1.1941920353400661E-2</v>
      </c>
    </row>
    <row r="571" spans="28:36" x14ac:dyDescent="0.3">
      <c r="AB571">
        <f t="shared" si="85"/>
        <v>3</v>
      </c>
      <c r="AC571">
        <f t="shared" si="86"/>
        <v>1</v>
      </c>
      <c r="AD571">
        <f t="shared" si="87"/>
        <v>0</v>
      </c>
      <c r="AE571">
        <f t="shared" si="88"/>
        <v>0</v>
      </c>
      <c r="AF571">
        <f t="shared" si="89"/>
        <v>2</v>
      </c>
      <c r="AG571">
        <f t="shared" si="90"/>
        <v>6</v>
      </c>
      <c r="AH571">
        <f t="shared" ca="1" si="92"/>
        <v>0</v>
      </c>
      <c r="AI571">
        <f>IF(ROW($AA571) - $AA$51 &lt; ($H$16+1)^5, IF(AG571 &gt;= FreeSpinsBonus!$C$16, AG571*FreeSpinsBonus!$E$31, 0), "")</f>
        <v>8.7438064704167875</v>
      </c>
      <c r="AJ571">
        <f t="shared" ca="1" si="91"/>
        <v>0</v>
      </c>
    </row>
    <row r="572" spans="28:36" x14ac:dyDescent="0.3">
      <c r="AB572">
        <f t="shared" si="85"/>
        <v>0</v>
      </c>
      <c r="AC572">
        <f t="shared" si="86"/>
        <v>2</v>
      </c>
      <c r="AD572">
        <f t="shared" si="87"/>
        <v>0</v>
      </c>
      <c r="AE572">
        <f t="shared" si="88"/>
        <v>0</v>
      </c>
      <c r="AF572">
        <f t="shared" si="89"/>
        <v>2</v>
      </c>
      <c r="AG572">
        <f t="shared" si="90"/>
        <v>4</v>
      </c>
      <c r="AH572">
        <f t="shared" ca="1" si="92"/>
        <v>2.9500364687412716E-3</v>
      </c>
      <c r="AI572">
        <f>IF(ROW($AA572) - $AA$51 &lt; ($H$16+1)^5, IF(AG572 &gt;= FreeSpinsBonus!$C$16, AG572*FreeSpinsBonus!$E$31, 0), "")</f>
        <v>0</v>
      </c>
      <c r="AJ572">
        <f t="shared" ca="1" si="91"/>
        <v>0</v>
      </c>
    </row>
    <row r="573" spans="28:36" x14ac:dyDescent="0.3">
      <c r="AB573">
        <f t="shared" si="85"/>
        <v>1</v>
      </c>
      <c r="AC573">
        <f t="shared" si="86"/>
        <v>2</v>
      </c>
      <c r="AD573">
        <f t="shared" si="87"/>
        <v>0</v>
      </c>
      <c r="AE573">
        <f t="shared" si="88"/>
        <v>0</v>
      </c>
      <c r="AF573">
        <f t="shared" si="89"/>
        <v>2</v>
      </c>
      <c r="AG573">
        <f t="shared" si="90"/>
        <v>5</v>
      </c>
      <c r="AH573">
        <f t="shared" ca="1" si="92"/>
        <v>3.1139273836713419E-3</v>
      </c>
      <c r="AI573">
        <f>IF(ROW($AA573) - $AA$51 &lt; ($H$16+1)^5, IF(AG573 &gt;= FreeSpinsBonus!$C$16, AG573*FreeSpinsBonus!$E$31, 0), "")</f>
        <v>7.2865053920139902</v>
      </c>
      <c r="AJ573">
        <f t="shared" ca="1" si="91"/>
        <v>2.2689648671461251E-2</v>
      </c>
    </row>
    <row r="574" spans="28:36" x14ac:dyDescent="0.3">
      <c r="AB574">
        <f t="shared" si="85"/>
        <v>2</v>
      </c>
      <c r="AC574">
        <f t="shared" si="86"/>
        <v>2</v>
      </c>
      <c r="AD574">
        <f t="shared" si="87"/>
        <v>0</v>
      </c>
      <c r="AE574">
        <f t="shared" si="88"/>
        <v>0</v>
      </c>
      <c r="AF574">
        <f t="shared" si="89"/>
        <v>2</v>
      </c>
      <c r="AG574">
        <f t="shared" si="90"/>
        <v>6</v>
      </c>
      <c r="AH574">
        <f t="shared" ca="1" si="92"/>
        <v>1.6389091493007068E-3</v>
      </c>
      <c r="AI574">
        <f>IF(ROW($AA574) - $AA$51 &lt; ($H$16+1)^5, IF(AG574 &gt;= FreeSpinsBonus!$C$16, AG574*FreeSpinsBonus!$E$31, 0), "")</f>
        <v>8.7438064704167875</v>
      </c>
      <c r="AJ574">
        <f t="shared" ca="1" si="91"/>
        <v>1.4330304424080793E-2</v>
      </c>
    </row>
    <row r="575" spans="28:36" x14ac:dyDescent="0.3">
      <c r="AB575">
        <f t="shared" si="85"/>
        <v>3</v>
      </c>
      <c r="AC575">
        <f t="shared" si="86"/>
        <v>2</v>
      </c>
      <c r="AD575">
        <f t="shared" si="87"/>
        <v>0</v>
      </c>
      <c r="AE575">
        <f t="shared" si="88"/>
        <v>0</v>
      </c>
      <c r="AF575">
        <f t="shared" si="89"/>
        <v>2</v>
      </c>
      <c r="AG575">
        <f t="shared" si="90"/>
        <v>7</v>
      </c>
      <c r="AH575">
        <f t="shared" ca="1" si="92"/>
        <v>0</v>
      </c>
      <c r="AI575">
        <f>IF(ROW($AA575) - $AA$51 &lt; ($H$16+1)^5, IF(AG575 &gt;= FreeSpinsBonus!$C$16, AG575*FreeSpinsBonus!$E$31, 0), "")</f>
        <v>10.201107548819586</v>
      </c>
      <c r="AJ575">
        <f t="shared" ca="1" si="91"/>
        <v>0</v>
      </c>
    </row>
    <row r="576" spans="28:36" x14ac:dyDescent="0.3">
      <c r="AB576">
        <f t="shared" si="85"/>
        <v>0</v>
      </c>
      <c r="AC576">
        <f t="shared" si="86"/>
        <v>3</v>
      </c>
      <c r="AD576">
        <f t="shared" si="87"/>
        <v>0</v>
      </c>
      <c r="AE576">
        <f t="shared" si="88"/>
        <v>0</v>
      </c>
      <c r="AF576">
        <f t="shared" si="89"/>
        <v>2</v>
      </c>
      <c r="AG576">
        <f t="shared" si="90"/>
        <v>5</v>
      </c>
      <c r="AH576">
        <f t="shared" ca="1" si="92"/>
        <v>1.0411893419086844E-3</v>
      </c>
      <c r="AI576">
        <f>IF(ROW($AA576) - $AA$51 &lt; ($H$16+1)^5, IF(AG576 &gt;= FreeSpinsBonus!$C$16, AG576*FreeSpinsBonus!$E$31, 0), "")</f>
        <v>7.2865053920139902</v>
      </c>
      <c r="AJ576">
        <f t="shared" ca="1" si="91"/>
        <v>7.5866317539251271E-3</v>
      </c>
    </row>
    <row r="577" spans="28:36" x14ac:dyDescent="0.3">
      <c r="AB577">
        <f t="shared" si="85"/>
        <v>1</v>
      </c>
      <c r="AC577">
        <f t="shared" si="86"/>
        <v>3</v>
      </c>
      <c r="AD577">
        <f t="shared" si="87"/>
        <v>0</v>
      </c>
      <c r="AE577">
        <f t="shared" si="88"/>
        <v>0</v>
      </c>
      <c r="AF577">
        <f t="shared" si="89"/>
        <v>2</v>
      </c>
      <c r="AG577">
        <f t="shared" si="90"/>
        <v>6</v>
      </c>
      <c r="AH577">
        <f t="shared" ca="1" si="92"/>
        <v>1.0990331942369444E-3</v>
      </c>
      <c r="AI577">
        <f>IF(ROW($AA577) - $AA$51 &lt; ($H$16+1)^5, IF(AG577 &gt;= FreeSpinsBonus!$C$16, AG577*FreeSpinsBonus!$E$31, 0), "")</f>
        <v>8.7438064704167875</v>
      </c>
      <c r="AJ577">
        <f t="shared" ca="1" si="91"/>
        <v>9.6097335549718242E-3</v>
      </c>
    </row>
    <row r="578" spans="28:36" x14ac:dyDescent="0.3">
      <c r="AB578">
        <f t="shared" si="85"/>
        <v>2</v>
      </c>
      <c r="AC578">
        <f t="shared" si="86"/>
        <v>3</v>
      </c>
      <c r="AD578">
        <f t="shared" si="87"/>
        <v>0</v>
      </c>
      <c r="AE578">
        <f t="shared" si="88"/>
        <v>0</v>
      </c>
      <c r="AF578">
        <f t="shared" si="89"/>
        <v>2</v>
      </c>
      <c r="AG578">
        <f t="shared" si="90"/>
        <v>7</v>
      </c>
      <c r="AH578">
        <f t="shared" ca="1" si="92"/>
        <v>5.7843852328260238E-4</v>
      </c>
      <c r="AI578">
        <f>IF(ROW($AA578) - $AA$51 &lt; ($H$16+1)^5, IF(AG578 &gt;= FreeSpinsBonus!$C$16, AG578*FreeSpinsBonus!$E$31, 0), "")</f>
        <v>10.201107548819586</v>
      </c>
      <c r="AJ578">
        <f t="shared" ca="1" si="91"/>
        <v>5.9007135863862088E-3</v>
      </c>
    </row>
    <row r="579" spans="28:36" x14ac:dyDescent="0.3">
      <c r="AB579">
        <f t="shared" si="85"/>
        <v>3</v>
      </c>
      <c r="AC579">
        <f t="shared" si="86"/>
        <v>3</v>
      </c>
      <c r="AD579">
        <f t="shared" si="87"/>
        <v>0</v>
      </c>
      <c r="AE579">
        <f t="shared" si="88"/>
        <v>0</v>
      </c>
      <c r="AF579">
        <f t="shared" si="89"/>
        <v>2</v>
      </c>
      <c r="AG579">
        <f t="shared" si="90"/>
        <v>8</v>
      </c>
      <c r="AH579">
        <f t="shared" ca="1" si="92"/>
        <v>0</v>
      </c>
      <c r="AI579">
        <f>IF(ROW($AA579) - $AA$51 &lt; ($H$16+1)^5, IF(AG579 &gt;= FreeSpinsBonus!$C$16, AG579*FreeSpinsBonus!$E$31, 0), "")</f>
        <v>11.658408627222384</v>
      </c>
      <c r="AJ579">
        <f t="shared" ca="1" si="91"/>
        <v>0</v>
      </c>
    </row>
    <row r="580" spans="28:36" x14ac:dyDescent="0.3">
      <c r="AB580">
        <f t="shared" si="85"/>
        <v>0</v>
      </c>
      <c r="AC580">
        <f t="shared" si="86"/>
        <v>0</v>
      </c>
      <c r="AD580">
        <f t="shared" si="87"/>
        <v>1</v>
      </c>
      <c r="AE580">
        <f t="shared" si="88"/>
        <v>0</v>
      </c>
      <c r="AF580">
        <f t="shared" si="89"/>
        <v>2</v>
      </c>
      <c r="AG580">
        <f t="shared" si="90"/>
        <v>3</v>
      </c>
      <c r="AH580">
        <f t="shared" ca="1" si="92"/>
        <v>3.6875455859265906E-3</v>
      </c>
      <c r="AI580">
        <f>IF(ROW($AA580) - $AA$51 &lt; ($H$16+1)^5, IF(AG580 &gt;= FreeSpinsBonus!$C$16, AG580*FreeSpinsBonus!$E$31, 0), "")</f>
        <v>0</v>
      </c>
      <c r="AJ580">
        <f t="shared" ca="1" si="91"/>
        <v>0</v>
      </c>
    </row>
    <row r="581" spans="28:36" x14ac:dyDescent="0.3">
      <c r="AB581">
        <f t="shared" si="85"/>
        <v>1</v>
      </c>
      <c r="AC581">
        <f t="shared" si="86"/>
        <v>0</v>
      </c>
      <c r="AD581">
        <f t="shared" si="87"/>
        <v>1</v>
      </c>
      <c r="AE581">
        <f t="shared" si="88"/>
        <v>0</v>
      </c>
      <c r="AF581">
        <f t="shared" si="89"/>
        <v>2</v>
      </c>
      <c r="AG581">
        <f t="shared" si="90"/>
        <v>4</v>
      </c>
      <c r="AH581">
        <f t="shared" ca="1" si="92"/>
        <v>3.8924092295891787E-3</v>
      </c>
      <c r="AI581">
        <f>IF(ROW($AA581) - $AA$51 &lt; ($H$16+1)^5, IF(AG581 &gt;= FreeSpinsBonus!$C$16, AG581*FreeSpinsBonus!$E$31, 0), "")</f>
        <v>0</v>
      </c>
      <c r="AJ581">
        <f t="shared" ca="1" si="91"/>
        <v>0</v>
      </c>
    </row>
    <row r="582" spans="28:36" x14ac:dyDescent="0.3">
      <c r="AB582">
        <f t="shared" si="85"/>
        <v>2</v>
      </c>
      <c r="AC582">
        <f t="shared" si="86"/>
        <v>0</v>
      </c>
      <c r="AD582">
        <f t="shared" si="87"/>
        <v>1</v>
      </c>
      <c r="AE582">
        <f t="shared" si="88"/>
        <v>0</v>
      </c>
      <c r="AF582">
        <f t="shared" si="89"/>
        <v>2</v>
      </c>
      <c r="AG582">
        <f t="shared" si="90"/>
        <v>5</v>
      </c>
      <c r="AH582">
        <f t="shared" ca="1" si="92"/>
        <v>2.0486364366258834E-3</v>
      </c>
      <c r="AI582">
        <f>IF(ROW($AA582) - $AA$51 &lt; ($H$16+1)^5, IF(AG582 &gt;= FreeSpinsBonus!$C$16, AG582*FreeSpinsBonus!$E$31, 0), "")</f>
        <v>7.2865053920139902</v>
      </c>
      <c r="AJ582">
        <f t="shared" ca="1" si="91"/>
        <v>1.4927400441750827E-2</v>
      </c>
    </row>
    <row r="583" spans="28:36" x14ac:dyDescent="0.3">
      <c r="AB583">
        <f t="shared" si="85"/>
        <v>3</v>
      </c>
      <c r="AC583">
        <f t="shared" si="86"/>
        <v>0</v>
      </c>
      <c r="AD583">
        <f t="shared" si="87"/>
        <v>1</v>
      </c>
      <c r="AE583">
        <f t="shared" si="88"/>
        <v>0</v>
      </c>
      <c r="AF583">
        <f t="shared" si="89"/>
        <v>2</v>
      </c>
      <c r="AG583">
        <f t="shared" si="90"/>
        <v>6</v>
      </c>
      <c r="AH583">
        <f t="shared" ca="1" si="92"/>
        <v>0</v>
      </c>
      <c r="AI583">
        <f>IF(ROW($AA583) - $AA$51 &lt; ($H$16+1)^5, IF(AG583 &gt;= FreeSpinsBonus!$C$16, AG583*FreeSpinsBonus!$E$31, 0), "")</f>
        <v>8.7438064704167875</v>
      </c>
      <c r="AJ583">
        <f t="shared" ca="1" si="91"/>
        <v>0</v>
      </c>
    </row>
    <row r="584" spans="28:36" x14ac:dyDescent="0.3">
      <c r="AB584">
        <f t="shared" si="85"/>
        <v>0</v>
      </c>
      <c r="AC584">
        <f t="shared" si="86"/>
        <v>1</v>
      </c>
      <c r="AD584">
        <f t="shared" si="87"/>
        <v>1</v>
      </c>
      <c r="AE584">
        <f t="shared" si="88"/>
        <v>0</v>
      </c>
      <c r="AF584">
        <f t="shared" si="89"/>
        <v>2</v>
      </c>
      <c r="AG584">
        <f t="shared" si="90"/>
        <v>4</v>
      </c>
      <c r="AH584">
        <f t="shared" ca="1" si="92"/>
        <v>3.6875455859265906E-3</v>
      </c>
      <c r="AI584">
        <f>IF(ROW($AA584) - $AA$51 &lt; ($H$16+1)^5, IF(AG584 &gt;= FreeSpinsBonus!$C$16, AG584*FreeSpinsBonus!$E$31, 0), "")</f>
        <v>0</v>
      </c>
      <c r="AJ584">
        <f t="shared" ca="1" si="91"/>
        <v>0</v>
      </c>
    </row>
    <row r="585" spans="28:36" x14ac:dyDescent="0.3">
      <c r="AB585">
        <f t="shared" si="85"/>
        <v>1</v>
      </c>
      <c r="AC585">
        <f t="shared" si="86"/>
        <v>1</v>
      </c>
      <c r="AD585">
        <f t="shared" si="87"/>
        <v>1</v>
      </c>
      <c r="AE585">
        <f t="shared" si="88"/>
        <v>0</v>
      </c>
      <c r="AF585">
        <f t="shared" si="89"/>
        <v>2</v>
      </c>
      <c r="AG585">
        <f t="shared" si="90"/>
        <v>5</v>
      </c>
      <c r="AH585">
        <f t="shared" ca="1" si="92"/>
        <v>3.8924092295891787E-3</v>
      </c>
      <c r="AI585">
        <f>IF(ROW($AA585) - $AA$51 &lt; ($H$16+1)^5, IF(AG585 &gt;= FreeSpinsBonus!$C$16, AG585*FreeSpinsBonus!$E$31, 0), "")</f>
        <v>7.2865053920139902</v>
      </c>
      <c r="AJ585">
        <f t="shared" ca="1" si="91"/>
        <v>2.8362060839326571E-2</v>
      </c>
    </row>
    <row r="586" spans="28:36" x14ac:dyDescent="0.3">
      <c r="AB586">
        <f t="shared" si="85"/>
        <v>2</v>
      </c>
      <c r="AC586">
        <f t="shared" si="86"/>
        <v>1</v>
      </c>
      <c r="AD586">
        <f t="shared" si="87"/>
        <v>1</v>
      </c>
      <c r="AE586">
        <f t="shared" si="88"/>
        <v>0</v>
      </c>
      <c r="AF586">
        <f t="shared" si="89"/>
        <v>2</v>
      </c>
      <c r="AG586">
        <f t="shared" si="90"/>
        <v>6</v>
      </c>
      <c r="AH586">
        <f t="shared" ca="1" si="92"/>
        <v>2.0486364366258834E-3</v>
      </c>
      <c r="AI586">
        <f>IF(ROW($AA586) - $AA$51 &lt; ($H$16+1)^5, IF(AG586 &gt;= FreeSpinsBonus!$C$16, AG586*FreeSpinsBonus!$E$31, 0), "")</f>
        <v>8.7438064704167875</v>
      </c>
      <c r="AJ586">
        <f t="shared" ca="1" si="91"/>
        <v>1.791288053010099E-2</v>
      </c>
    </row>
    <row r="587" spans="28:36" x14ac:dyDescent="0.3">
      <c r="AB587">
        <f t="shared" si="85"/>
        <v>3</v>
      </c>
      <c r="AC587">
        <f t="shared" si="86"/>
        <v>1</v>
      </c>
      <c r="AD587">
        <f t="shared" si="87"/>
        <v>1</v>
      </c>
      <c r="AE587">
        <f t="shared" si="88"/>
        <v>0</v>
      </c>
      <c r="AF587">
        <f t="shared" si="89"/>
        <v>2</v>
      </c>
      <c r="AG587">
        <f t="shared" si="90"/>
        <v>7</v>
      </c>
      <c r="AH587">
        <f t="shared" ca="1" si="92"/>
        <v>0</v>
      </c>
      <c r="AI587">
        <f>IF(ROW($AA587) - $AA$51 &lt; ($H$16+1)^5, IF(AG587 &gt;= FreeSpinsBonus!$C$16, AG587*FreeSpinsBonus!$E$31, 0), "")</f>
        <v>10.201107548819586</v>
      </c>
      <c r="AJ587">
        <f t="shared" ca="1" si="91"/>
        <v>0</v>
      </c>
    </row>
    <row r="588" spans="28:36" x14ac:dyDescent="0.3">
      <c r="AB588">
        <f t="shared" si="85"/>
        <v>0</v>
      </c>
      <c r="AC588">
        <f t="shared" si="86"/>
        <v>2</v>
      </c>
      <c r="AD588">
        <f t="shared" si="87"/>
        <v>1</v>
      </c>
      <c r="AE588">
        <f t="shared" si="88"/>
        <v>0</v>
      </c>
      <c r="AF588">
        <f t="shared" si="89"/>
        <v>2</v>
      </c>
      <c r="AG588">
        <f t="shared" si="90"/>
        <v>5</v>
      </c>
      <c r="AH588">
        <f t="shared" ca="1" si="92"/>
        <v>3.6875455859265906E-3</v>
      </c>
      <c r="AI588">
        <f>IF(ROW($AA588) - $AA$51 &lt; ($H$16+1)^5, IF(AG588 &gt;= FreeSpinsBonus!$C$16, AG588*FreeSpinsBonus!$E$31, 0), "")</f>
        <v>7.2865053920139902</v>
      </c>
      <c r="AJ588">
        <f t="shared" ca="1" si="91"/>
        <v>2.6869320795151492E-2</v>
      </c>
    </row>
    <row r="589" spans="28:36" x14ac:dyDescent="0.3">
      <c r="AB589">
        <f t="shared" si="85"/>
        <v>1</v>
      </c>
      <c r="AC589">
        <f t="shared" si="86"/>
        <v>2</v>
      </c>
      <c r="AD589">
        <f t="shared" si="87"/>
        <v>1</v>
      </c>
      <c r="AE589">
        <f t="shared" si="88"/>
        <v>0</v>
      </c>
      <c r="AF589">
        <f t="shared" si="89"/>
        <v>2</v>
      </c>
      <c r="AG589">
        <f t="shared" si="90"/>
        <v>6</v>
      </c>
      <c r="AH589">
        <f t="shared" ca="1" si="92"/>
        <v>3.8924092295891787E-3</v>
      </c>
      <c r="AI589">
        <f>IF(ROW($AA589) - $AA$51 &lt; ($H$16+1)^5, IF(AG589 &gt;= FreeSpinsBonus!$C$16, AG589*FreeSpinsBonus!$E$31, 0), "")</f>
        <v>8.7438064704167875</v>
      </c>
      <c r="AJ589">
        <f t="shared" ca="1" si="91"/>
        <v>3.4034473007191882E-2</v>
      </c>
    </row>
    <row r="590" spans="28:36" x14ac:dyDescent="0.3">
      <c r="AB590">
        <f t="shared" si="85"/>
        <v>2</v>
      </c>
      <c r="AC590">
        <f t="shared" si="86"/>
        <v>2</v>
      </c>
      <c r="AD590">
        <f t="shared" si="87"/>
        <v>1</v>
      </c>
      <c r="AE590">
        <f t="shared" si="88"/>
        <v>0</v>
      </c>
      <c r="AF590">
        <f t="shared" si="89"/>
        <v>2</v>
      </c>
      <c r="AG590">
        <f t="shared" si="90"/>
        <v>7</v>
      </c>
      <c r="AH590">
        <f t="shared" ca="1" si="92"/>
        <v>2.0486364366258834E-3</v>
      </c>
      <c r="AI590">
        <f>IF(ROW($AA590) - $AA$51 &lt; ($H$16+1)^5, IF(AG590 &gt;= FreeSpinsBonus!$C$16, AG590*FreeSpinsBonus!$E$31, 0), "")</f>
        <v>10.201107548819586</v>
      </c>
      <c r="AJ590">
        <f t="shared" ca="1" si="91"/>
        <v>2.0898360618451156E-2</v>
      </c>
    </row>
    <row r="591" spans="28:36" x14ac:dyDescent="0.3">
      <c r="AB591">
        <f t="shared" si="85"/>
        <v>3</v>
      </c>
      <c r="AC591">
        <f t="shared" si="86"/>
        <v>2</v>
      </c>
      <c r="AD591">
        <f t="shared" si="87"/>
        <v>1</v>
      </c>
      <c r="AE591">
        <f t="shared" si="88"/>
        <v>0</v>
      </c>
      <c r="AF591">
        <f t="shared" si="89"/>
        <v>2</v>
      </c>
      <c r="AG591">
        <f t="shared" si="90"/>
        <v>8</v>
      </c>
      <c r="AH591">
        <f t="shared" ca="1" si="92"/>
        <v>0</v>
      </c>
      <c r="AI591">
        <f>IF(ROW($AA591) - $AA$51 &lt; ($H$16+1)^5, IF(AG591 &gt;= FreeSpinsBonus!$C$16, AG591*FreeSpinsBonus!$E$31, 0), "")</f>
        <v>11.658408627222384</v>
      </c>
      <c r="AJ591">
        <f t="shared" ca="1" si="91"/>
        <v>0</v>
      </c>
    </row>
    <row r="592" spans="28:36" x14ac:dyDescent="0.3">
      <c r="AB592">
        <f t="shared" si="85"/>
        <v>0</v>
      </c>
      <c r="AC592">
        <f t="shared" si="86"/>
        <v>3</v>
      </c>
      <c r="AD592">
        <f t="shared" si="87"/>
        <v>1</v>
      </c>
      <c r="AE592">
        <f t="shared" si="88"/>
        <v>0</v>
      </c>
      <c r="AF592">
        <f t="shared" si="89"/>
        <v>2</v>
      </c>
      <c r="AG592">
        <f t="shared" si="90"/>
        <v>6</v>
      </c>
      <c r="AH592">
        <f t="shared" ca="1" si="92"/>
        <v>1.3014866773858557E-3</v>
      </c>
      <c r="AI592">
        <f>IF(ROW($AA592) - $AA$51 &lt; ($H$16+1)^5, IF(AG592 &gt;= FreeSpinsBonus!$C$16, AG592*FreeSpinsBonus!$E$31, 0), "")</f>
        <v>8.7438064704167875</v>
      </c>
      <c r="AJ592">
        <f t="shared" ca="1" si="91"/>
        <v>1.1379947630887691E-2</v>
      </c>
    </row>
    <row r="593" spans="28:36" x14ac:dyDescent="0.3">
      <c r="AB593">
        <f t="shared" si="85"/>
        <v>1</v>
      </c>
      <c r="AC593">
        <f t="shared" si="86"/>
        <v>3</v>
      </c>
      <c r="AD593">
        <f t="shared" si="87"/>
        <v>1</v>
      </c>
      <c r="AE593">
        <f t="shared" si="88"/>
        <v>0</v>
      </c>
      <c r="AF593">
        <f t="shared" si="89"/>
        <v>2</v>
      </c>
      <c r="AG593">
        <f t="shared" si="90"/>
        <v>7</v>
      </c>
      <c r="AH593">
        <f t="shared" ca="1" si="92"/>
        <v>1.3737914927961805E-3</v>
      </c>
      <c r="AI593">
        <f>IF(ROW($AA593) - $AA$51 &lt; ($H$16+1)^5, IF(AG593 &gt;= FreeSpinsBonus!$C$16, AG593*FreeSpinsBonus!$E$31, 0), "")</f>
        <v>10.201107548819586</v>
      </c>
      <c r="AJ593">
        <f t="shared" ca="1" si="91"/>
        <v>1.4014194767667245E-2</v>
      </c>
    </row>
    <row r="594" spans="28:36" x14ac:dyDescent="0.3">
      <c r="AB594">
        <f t="shared" si="85"/>
        <v>2</v>
      </c>
      <c r="AC594">
        <f t="shared" si="86"/>
        <v>3</v>
      </c>
      <c r="AD594">
        <f t="shared" si="87"/>
        <v>1</v>
      </c>
      <c r="AE594">
        <f t="shared" si="88"/>
        <v>0</v>
      </c>
      <c r="AF594">
        <f t="shared" si="89"/>
        <v>2</v>
      </c>
      <c r="AG594">
        <f t="shared" si="90"/>
        <v>8</v>
      </c>
      <c r="AH594">
        <f t="shared" ca="1" si="92"/>
        <v>7.2304815410325295E-4</v>
      </c>
      <c r="AI594">
        <f>IF(ROW($AA594) - $AA$51 &lt; ($H$16+1)^5, IF(AG594 &gt;= FreeSpinsBonus!$C$16, AG594*FreeSpinsBonus!$E$31, 0), "")</f>
        <v>11.658408627222384</v>
      </c>
      <c r="AJ594">
        <f t="shared" ca="1" si="91"/>
        <v>8.4295908376945845E-3</v>
      </c>
    </row>
    <row r="595" spans="28:36" x14ac:dyDescent="0.3">
      <c r="AB595">
        <f t="shared" si="85"/>
        <v>3</v>
      </c>
      <c r="AC595">
        <f t="shared" si="86"/>
        <v>3</v>
      </c>
      <c r="AD595">
        <f t="shared" si="87"/>
        <v>1</v>
      </c>
      <c r="AE595">
        <f t="shared" si="88"/>
        <v>0</v>
      </c>
      <c r="AF595">
        <f t="shared" si="89"/>
        <v>2</v>
      </c>
      <c r="AG595">
        <f t="shared" si="90"/>
        <v>9</v>
      </c>
      <c r="AH595">
        <f t="shared" ca="1" si="92"/>
        <v>0</v>
      </c>
      <c r="AI595">
        <f>IF(ROW($AA595) - $AA$51 &lt; ($H$16+1)^5, IF(AG595 &gt;= FreeSpinsBonus!$C$16, AG595*FreeSpinsBonus!$E$31, 0), "")</f>
        <v>13.115709705625182</v>
      </c>
      <c r="AJ595">
        <f t="shared" ca="1" si="91"/>
        <v>0</v>
      </c>
    </row>
    <row r="596" spans="28:36" x14ac:dyDescent="0.3">
      <c r="AB596">
        <f t="shared" si="85"/>
        <v>0</v>
      </c>
      <c r="AC596">
        <f t="shared" si="86"/>
        <v>0</v>
      </c>
      <c r="AD596">
        <f t="shared" si="87"/>
        <v>2</v>
      </c>
      <c r="AE596">
        <f t="shared" si="88"/>
        <v>0</v>
      </c>
      <c r="AF596">
        <f t="shared" si="89"/>
        <v>2</v>
      </c>
      <c r="AG596">
        <f t="shared" si="90"/>
        <v>4</v>
      </c>
      <c r="AH596">
        <f t="shared" ca="1" si="92"/>
        <v>2.0281500722596243E-3</v>
      </c>
      <c r="AI596">
        <f>IF(ROW($AA596) - $AA$51 &lt; ($H$16+1)^5, IF(AG596 &gt;= FreeSpinsBonus!$C$16, AG596*FreeSpinsBonus!$E$31, 0), "")</f>
        <v>0</v>
      </c>
      <c r="AJ596">
        <f t="shared" ca="1" si="91"/>
        <v>0</v>
      </c>
    </row>
    <row r="597" spans="28:36" x14ac:dyDescent="0.3">
      <c r="AB597">
        <f t="shared" si="85"/>
        <v>1</v>
      </c>
      <c r="AC597">
        <f t="shared" si="86"/>
        <v>0</v>
      </c>
      <c r="AD597">
        <f t="shared" si="87"/>
        <v>2</v>
      </c>
      <c r="AE597">
        <f t="shared" si="88"/>
        <v>0</v>
      </c>
      <c r="AF597">
        <f t="shared" si="89"/>
        <v>2</v>
      </c>
      <c r="AG597">
        <f t="shared" si="90"/>
        <v>5</v>
      </c>
      <c r="AH597">
        <f t="shared" ca="1" si="92"/>
        <v>2.1408250762740481E-3</v>
      </c>
      <c r="AI597">
        <f>IF(ROW($AA597) - $AA$51 &lt; ($H$16+1)^5, IF(AG597 &gt;= FreeSpinsBonus!$C$16, AG597*FreeSpinsBonus!$E$31, 0), "")</f>
        <v>7.2865053920139902</v>
      </c>
      <c r="AJ597">
        <f t="shared" ca="1" si="91"/>
        <v>1.5599133461629614E-2</v>
      </c>
    </row>
    <row r="598" spans="28:36" x14ac:dyDescent="0.3">
      <c r="AB598">
        <f t="shared" si="85"/>
        <v>2</v>
      </c>
      <c r="AC598">
        <f t="shared" si="86"/>
        <v>0</v>
      </c>
      <c r="AD598">
        <f t="shared" si="87"/>
        <v>2</v>
      </c>
      <c r="AE598">
        <f t="shared" si="88"/>
        <v>0</v>
      </c>
      <c r="AF598">
        <f t="shared" si="89"/>
        <v>2</v>
      </c>
      <c r="AG598">
        <f t="shared" si="90"/>
        <v>6</v>
      </c>
      <c r="AH598">
        <f t="shared" ca="1" si="92"/>
        <v>1.1267500401442357E-3</v>
      </c>
      <c r="AI598">
        <f>IF(ROW($AA598) - $AA$51 &lt; ($H$16+1)^5, IF(AG598 &gt;= FreeSpinsBonus!$C$16, AG598*FreeSpinsBonus!$E$31, 0), "")</f>
        <v>8.7438064704167875</v>
      </c>
      <c r="AJ598">
        <f t="shared" ca="1" si="91"/>
        <v>9.8520842915555441E-3</v>
      </c>
    </row>
    <row r="599" spans="28:36" x14ac:dyDescent="0.3">
      <c r="AB599">
        <f t="shared" si="85"/>
        <v>3</v>
      </c>
      <c r="AC599">
        <f t="shared" si="86"/>
        <v>0</v>
      </c>
      <c r="AD599">
        <f t="shared" si="87"/>
        <v>2</v>
      </c>
      <c r="AE599">
        <f t="shared" si="88"/>
        <v>0</v>
      </c>
      <c r="AF599">
        <f t="shared" si="89"/>
        <v>2</v>
      </c>
      <c r="AG599">
        <f t="shared" si="90"/>
        <v>7</v>
      </c>
      <c r="AH599">
        <f t="shared" ca="1" si="92"/>
        <v>0</v>
      </c>
      <c r="AI599">
        <f>IF(ROW($AA599) - $AA$51 &lt; ($H$16+1)^5, IF(AG599 &gt;= FreeSpinsBonus!$C$16, AG599*FreeSpinsBonus!$E$31, 0), "")</f>
        <v>10.201107548819586</v>
      </c>
      <c r="AJ599">
        <f t="shared" ca="1" si="91"/>
        <v>0</v>
      </c>
    </row>
    <row r="600" spans="28:36" x14ac:dyDescent="0.3">
      <c r="AB600">
        <f t="shared" si="85"/>
        <v>0</v>
      </c>
      <c r="AC600">
        <f t="shared" si="86"/>
        <v>1</v>
      </c>
      <c r="AD600">
        <f t="shared" si="87"/>
        <v>2</v>
      </c>
      <c r="AE600">
        <f t="shared" si="88"/>
        <v>0</v>
      </c>
      <c r="AF600">
        <f t="shared" si="89"/>
        <v>2</v>
      </c>
      <c r="AG600">
        <f t="shared" si="90"/>
        <v>5</v>
      </c>
      <c r="AH600">
        <f t="shared" ca="1" si="92"/>
        <v>2.0281500722596243E-3</v>
      </c>
      <c r="AI600">
        <f>IF(ROW($AA600) - $AA$51 &lt; ($H$16+1)^5, IF(AG600 &gt;= FreeSpinsBonus!$C$16, AG600*FreeSpinsBonus!$E$31, 0), "")</f>
        <v>7.2865053920139902</v>
      </c>
      <c r="AJ600">
        <f t="shared" ca="1" si="91"/>
        <v>1.4778126437333316E-2</v>
      </c>
    </row>
    <row r="601" spans="28:36" x14ac:dyDescent="0.3">
      <c r="AB601">
        <f t="shared" si="85"/>
        <v>1</v>
      </c>
      <c r="AC601">
        <f t="shared" si="86"/>
        <v>1</v>
      </c>
      <c r="AD601">
        <f t="shared" si="87"/>
        <v>2</v>
      </c>
      <c r="AE601">
        <f t="shared" si="88"/>
        <v>0</v>
      </c>
      <c r="AF601">
        <f t="shared" si="89"/>
        <v>2</v>
      </c>
      <c r="AG601">
        <f t="shared" si="90"/>
        <v>6</v>
      </c>
      <c r="AH601">
        <f t="shared" ca="1" si="92"/>
        <v>2.1408250762740481E-3</v>
      </c>
      <c r="AI601">
        <f>IF(ROW($AA601) - $AA$51 &lt; ($H$16+1)^5, IF(AG601 &gt;= FreeSpinsBonus!$C$16, AG601*FreeSpinsBonus!$E$31, 0), "")</f>
        <v>8.7438064704167875</v>
      </c>
      <c r="AJ601">
        <f t="shared" ca="1" si="91"/>
        <v>1.8718960153955536E-2</v>
      </c>
    </row>
    <row r="602" spans="28:36" x14ac:dyDescent="0.3">
      <c r="AB602">
        <f t="shared" si="85"/>
        <v>2</v>
      </c>
      <c r="AC602">
        <f t="shared" si="86"/>
        <v>1</v>
      </c>
      <c r="AD602">
        <f t="shared" si="87"/>
        <v>2</v>
      </c>
      <c r="AE602">
        <f t="shared" si="88"/>
        <v>0</v>
      </c>
      <c r="AF602">
        <f t="shared" si="89"/>
        <v>2</v>
      </c>
      <c r="AG602">
        <f t="shared" si="90"/>
        <v>7</v>
      </c>
      <c r="AH602">
        <f t="shared" ca="1" si="92"/>
        <v>1.1267500401442357E-3</v>
      </c>
      <c r="AI602">
        <f>IF(ROW($AA602) - $AA$51 &lt; ($H$16+1)^5, IF(AG602 &gt;= FreeSpinsBonus!$C$16, AG602*FreeSpinsBonus!$E$31, 0), "")</f>
        <v>10.201107548819586</v>
      </c>
      <c r="AJ602">
        <f t="shared" ca="1" si="91"/>
        <v>1.1494098340148135E-2</v>
      </c>
    </row>
    <row r="603" spans="28:36" x14ac:dyDescent="0.3">
      <c r="AB603">
        <f t="shared" si="85"/>
        <v>3</v>
      </c>
      <c r="AC603">
        <f t="shared" si="86"/>
        <v>1</v>
      </c>
      <c r="AD603">
        <f t="shared" si="87"/>
        <v>2</v>
      </c>
      <c r="AE603">
        <f t="shared" si="88"/>
        <v>0</v>
      </c>
      <c r="AF603">
        <f t="shared" si="89"/>
        <v>2</v>
      </c>
      <c r="AG603">
        <f t="shared" si="90"/>
        <v>8</v>
      </c>
      <c r="AH603">
        <f t="shared" ca="1" si="92"/>
        <v>0</v>
      </c>
      <c r="AI603">
        <f>IF(ROW($AA603) - $AA$51 &lt; ($H$16+1)^5, IF(AG603 &gt;= FreeSpinsBonus!$C$16, AG603*FreeSpinsBonus!$E$31, 0), "")</f>
        <v>11.658408627222384</v>
      </c>
      <c r="AJ603">
        <f t="shared" ca="1" si="91"/>
        <v>0</v>
      </c>
    </row>
    <row r="604" spans="28:36" x14ac:dyDescent="0.3">
      <c r="AB604">
        <f t="shared" si="85"/>
        <v>0</v>
      </c>
      <c r="AC604">
        <f t="shared" si="86"/>
        <v>2</v>
      </c>
      <c r="AD604">
        <f t="shared" si="87"/>
        <v>2</v>
      </c>
      <c r="AE604">
        <f t="shared" si="88"/>
        <v>0</v>
      </c>
      <c r="AF604">
        <f t="shared" si="89"/>
        <v>2</v>
      </c>
      <c r="AG604">
        <f t="shared" si="90"/>
        <v>6</v>
      </c>
      <c r="AH604">
        <f t="shared" ca="1" si="92"/>
        <v>2.0281500722596243E-3</v>
      </c>
      <c r="AI604">
        <f>IF(ROW($AA604) - $AA$51 &lt; ($H$16+1)^5, IF(AG604 &gt;= FreeSpinsBonus!$C$16, AG604*FreeSpinsBonus!$E$31, 0), "")</f>
        <v>8.7438064704167875</v>
      </c>
      <c r="AJ604">
        <f t="shared" ca="1" si="91"/>
        <v>1.7733751724799979E-2</v>
      </c>
    </row>
    <row r="605" spans="28:36" x14ac:dyDescent="0.3">
      <c r="AB605">
        <f t="shared" si="85"/>
        <v>1</v>
      </c>
      <c r="AC605">
        <f t="shared" si="86"/>
        <v>2</v>
      </c>
      <c r="AD605">
        <f t="shared" si="87"/>
        <v>2</v>
      </c>
      <c r="AE605">
        <f t="shared" si="88"/>
        <v>0</v>
      </c>
      <c r="AF605">
        <f t="shared" si="89"/>
        <v>2</v>
      </c>
      <c r="AG605">
        <f t="shared" si="90"/>
        <v>7</v>
      </c>
      <c r="AH605">
        <f t="shared" ca="1" si="92"/>
        <v>2.1408250762740481E-3</v>
      </c>
      <c r="AI605">
        <f>IF(ROW($AA605) - $AA$51 &lt; ($H$16+1)^5, IF(AG605 &gt;= FreeSpinsBonus!$C$16, AG605*FreeSpinsBonus!$E$31, 0), "")</f>
        <v>10.201107548819586</v>
      </c>
      <c r="AJ605">
        <f t="shared" ca="1" si="91"/>
        <v>2.1838786846281457E-2</v>
      </c>
    </row>
    <row r="606" spans="28:36" x14ac:dyDescent="0.3">
      <c r="AB606">
        <f t="shared" si="85"/>
        <v>2</v>
      </c>
      <c r="AC606">
        <f t="shared" si="86"/>
        <v>2</v>
      </c>
      <c r="AD606">
        <f t="shared" si="87"/>
        <v>2</v>
      </c>
      <c r="AE606">
        <f t="shared" si="88"/>
        <v>0</v>
      </c>
      <c r="AF606">
        <f t="shared" si="89"/>
        <v>2</v>
      </c>
      <c r="AG606">
        <f t="shared" si="90"/>
        <v>8</v>
      </c>
      <c r="AH606">
        <f t="shared" ca="1" si="92"/>
        <v>1.1267500401442357E-3</v>
      </c>
      <c r="AI606">
        <f>IF(ROW($AA606) - $AA$51 &lt; ($H$16+1)^5, IF(AG606 &gt;= FreeSpinsBonus!$C$16, AG606*FreeSpinsBonus!$E$31, 0), "")</f>
        <v>11.658408627222384</v>
      </c>
      <c r="AJ606">
        <f t="shared" ca="1" si="91"/>
        <v>1.3136112388740726E-2</v>
      </c>
    </row>
    <row r="607" spans="28:36" x14ac:dyDescent="0.3">
      <c r="AB607">
        <f t="shared" si="85"/>
        <v>3</v>
      </c>
      <c r="AC607">
        <f t="shared" si="86"/>
        <v>2</v>
      </c>
      <c r="AD607">
        <f t="shared" si="87"/>
        <v>2</v>
      </c>
      <c r="AE607">
        <f t="shared" si="88"/>
        <v>0</v>
      </c>
      <c r="AF607">
        <f t="shared" si="89"/>
        <v>2</v>
      </c>
      <c r="AG607">
        <f t="shared" si="90"/>
        <v>9</v>
      </c>
      <c r="AH607">
        <f t="shared" ca="1" si="92"/>
        <v>0</v>
      </c>
      <c r="AI607">
        <f>IF(ROW($AA607) - $AA$51 &lt; ($H$16+1)^5, IF(AG607 &gt;= FreeSpinsBonus!$C$16, AG607*FreeSpinsBonus!$E$31, 0), "")</f>
        <v>13.115709705625182</v>
      </c>
      <c r="AJ607">
        <f t="shared" ca="1" si="91"/>
        <v>0</v>
      </c>
    </row>
    <row r="608" spans="28:36" x14ac:dyDescent="0.3">
      <c r="AB608">
        <f t="shared" si="85"/>
        <v>0</v>
      </c>
      <c r="AC608">
        <f t="shared" si="86"/>
        <v>3</v>
      </c>
      <c r="AD608">
        <f t="shared" si="87"/>
        <v>2</v>
      </c>
      <c r="AE608">
        <f t="shared" si="88"/>
        <v>0</v>
      </c>
      <c r="AF608">
        <f t="shared" si="89"/>
        <v>2</v>
      </c>
      <c r="AG608">
        <f t="shared" si="90"/>
        <v>7</v>
      </c>
      <c r="AH608">
        <f t="shared" ca="1" si="92"/>
        <v>7.1581767256222054E-4</v>
      </c>
      <c r="AI608">
        <f>IF(ROW($AA608) - $AA$51 &lt; ($H$16+1)^5, IF(AG608 &gt;= FreeSpinsBonus!$C$16, AG608*FreeSpinsBonus!$E$31, 0), "")</f>
        <v>10.201107548819586</v>
      </c>
      <c r="AJ608">
        <f t="shared" ca="1" si="91"/>
        <v>7.302133063152934E-3</v>
      </c>
    </row>
    <row r="609" spans="28:36" x14ac:dyDescent="0.3">
      <c r="AB609">
        <f t="shared" si="85"/>
        <v>1</v>
      </c>
      <c r="AC609">
        <f t="shared" si="86"/>
        <v>3</v>
      </c>
      <c r="AD609">
        <f t="shared" si="87"/>
        <v>2</v>
      </c>
      <c r="AE609">
        <f t="shared" si="88"/>
        <v>0</v>
      </c>
      <c r="AF609">
        <f t="shared" si="89"/>
        <v>2</v>
      </c>
      <c r="AG609">
        <f t="shared" si="90"/>
        <v>8</v>
      </c>
      <c r="AH609">
        <f t="shared" ca="1" si="92"/>
        <v>7.5558532103789941E-4</v>
      </c>
      <c r="AI609">
        <f>IF(ROW($AA609) - $AA$51 &lt; ($H$16+1)^5, IF(AG609 &gt;= FreeSpinsBonus!$C$16, AG609*FreeSpinsBonus!$E$31, 0), "")</f>
        <v>11.658408627222384</v>
      </c>
      <c r="AJ609">
        <f t="shared" ca="1" si="91"/>
        <v>8.8089224253908409E-3</v>
      </c>
    </row>
    <row r="610" spans="28:36" x14ac:dyDescent="0.3">
      <c r="AB610">
        <f t="shared" si="85"/>
        <v>2</v>
      </c>
      <c r="AC610">
        <f t="shared" si="86"/>
        <v>3</v>
      </c>
      <c r="AD610">
        <f t="shared" si="87"/>
        <v>2</v>
      </c>
      <c r="AE610">
        <f t="shared" si="88"/>
        <v>0</v>
      </c>
      <c r="AF610">
        <f t="shared" si="89"/>
        <v>2</v>
      </c>
      <c r="AG610">
        <f t="shared" si="90"/>
        <v>9</v>
      </c>
      <c r="AH610">
        <f t="shared" ca="1" si="92"/>
        <v>3.9767648475678909E-4</v>
      </c>
      <c r="AI610">
        <f>IF(ROW($AA610) - $AA$51 &lt; ($H$16+1)^5, IF(AG610 &gt;= FreeSpinsBonus!$C$16, AG610*FreeSpinsBonus!$E$31, 0), "")</f>
        <v>13.115709705625182</v>
      </c>
      <c r="AJ610">
        <f t="shared" ca="1" si="91"/>
        <v>5.2158093308235232E-3</v>
      </c>
    </row>
    <row r="611" spans="28:36" x14ac:dyDescent="0.3">
      <c r="AB611">
        <f t="shared" si="85"/>
        <v>3</v>
      </c>
      <c r="AC611">
        <f t="shared" si="86"/>
        <v>3</v>
      </c>
      <c r="AD611">
        <f t="shared" si="87"/>
        <v>2</v>
      </c>
      <c r="AE611">
        <f t="shared" si="88"/>
        <v>0</v>
      </c>
      <c r="AF611">
        <f t="shared" si="89"/>
        <v>2</v>
      </c>
      <c r="AG611">
        <f t="shared" si="90"/>
        <v>10</v>
      </c>
      <c r="AH611">
        <f t="shared" ca="1" si="92"/>
        <v>0</v>
      </c>
      <c r="AI611">
        <f>IF(ROW($AA611) - $AA$51 &lt; ($H$16+1)^5, IF(AG611 &gt;= FreeSpinsBonus!$C$16, AG611*FreeSpinsBonus!$E$31, 0), "")</f>
        <v>14.57301078402798</v>
      </c>
      <c r="AJ611">
        <f t="shared" ca="1" si="91"/>
        <v>0</v>
      </c>
    </row>
    <row r="612" spans="28:36" x14ac:dyDescent="0.3">
      <c r="AB612">
        <f t="shared" si="85"/>
        <v>0</v>
      </c>
      <c r="AC612">
        <f t="shared" si="86"/>
        <v>0</v>
      </c>
      <c r="AD612">
        <f t="shared" si="87"/>
        <v>3</v>
      </c>
      <c r="AE612">
        <f t="shared" si="88"/>
        <v>0</v>
      </c>
      <c r="AF612">
        <f t="shared" si="89"/>
        <v>2</v>
      </c>
      <c r="AG612">
        <f t="shared" si="90"/>
        <v>5</v>
      </c>
      <c r="AH612">
        <f t="shared" ca="1" si="92"/>
        <v>1.8437727929632947E-4</v>
      </c>
      <c r="AI612">
        <f>IF(ROW($AA612) - $AA$51 &lt; ($H$16+1)^5, IF(AG612 &gt;= FreeSpinsBonus!$C$16, AG612*FreeSpinsBonus!$E$31, 0), "")</f>
        <v>7.2865053920139902</v>
      </c>
      <c r="AJ612">
        <f t="shared" ca="1" si="91"/>
        <v>1.3434660397575742E-3</v>
      </c>
    </row>
    <row r="613" spans="28:36" x14ac:dyDescent="0.3">
      <c r="AB613">
        <f t="shared" si="85"/>
        <v>1</v>
      </c>
      <c r="AC613">
        <f t="shared" si="86"/>
        <v>0</v>
      </c>
      <c r="AD613">
        <f t="shared" si="87"/>
        <v>3</v>
      </c>
      <c r="AE613">
        <f t="shared" si="88"/>
        <v>0</v>
      </c>
      <c r="AF613">
        <f t="shared" si="89"/>
        <v>2</v>
      </c>
      <c r="AG613">
        <f t="shared" si="90"/>
        <v>6</v>
      </c>
      <c r="AH613">
        <f t="shared" ca="1" si="92"/>
        <v>1.9462046147945887E-4</v>
      </c>
      <c r="AI613">
        <f>IF(ROW($AA613) - $AA$51 &lt; ($H$16+1)^5, IF(AG613 &gt;= FreeSpinsBonus!$C$16, AG613*FreeSpinsBonus!$E$31, 0), "")</f>
        <v>8.7438064704167875</v>
      </c>
      <c r="AJ613">
        <f t="shared" ca="1" si="91"/>
        <v>1.7017236503595937E-3</v>
      </c>
    </row>
    <row r="614" spans="28:36" x14ac:dyDescent="0.3">
      <c r="AB614">
        <f t="shared" si="85"/>
        <v>2</v>
      </c>
      <c r="AC614">
        <f t="shared" si="86"/>
        <v>0</v>
      </c>
      <c r="AD614">
        <f t="shared" si="87"/>
        <v>3</v>
      </c>
      <c r="AE614">
        <f t="shared" si="88"/>
        <v>0</v>
      </c>
      <c r="AF614">
        <f t="shared" si="89"/>
        <v>2</v>
      </c>
      <c r="AG614">
        <f t="shared" si="90"/>
        <v>7</v>
      </c>
      <c r="AH614">
        <f t="shared" ca="1" si="92"/>
        <v>1.0243182183129418E-4</v>
      </c>
      <c r="AI614">
        <f>IF(ROW($AA614) - $AA$51 &lt; ($H$16+1)^5, IF(AG614 &gt;= FreeSpinsBonus!$C$16, AG614*FreeSpinsBonus!$E$31, 0), "")</f>
        <v>10.201107548819586</v>
      </c>
      <c r="AJ614">
        <f t="shared" ca="1" si="91"/>
        <v>1.0449180309225578E-3</v>
      </c>
    </row>
    <row r="615" spans="28:36" x14ac:dyDescent="0.3">
      <c r="AB615">
        <f t="shared" si="85"/>
        <v>3</v>
      </c>
      <c r="AC615">
        <f t="shared" si="86"/>
        <v>0</v>
      </c>
      <c r="AD615">
        <f t="shared" si="87"/>
        <v>3</v>
      </c>
      <c r="AE615">
        <f t="shared" si="88"/>
        <v>0</v>
      </c>
      <c r="AF615">
        <f t="shared" si="89"/>
        <v>2</v>
      </c>
      <c r="AG615">
        <f t="shared" si="90"/>
        <v>8</v>
      </c>
      <c r="AH615">
        <f t="shared" ca="1" si="92"/>
        <v>0</v>
      </c>
      <c r="AI615">
        <f>IF(ROW($AA615) - $AA$51 &lt; ($H$16+1)^5, IF(AG615 &gt;= FreeSpinsBonus!$C$16, AG615*FreeSpinsBonus!$E$31, 0), "")</f>
        <v>11.658408627222384</v>
      </c>
      <c r="AJ615">
        <f t="shared" ca="1" si="91"/>
        <v>0</v>
      </c>
    </row>
    <row r="616" spans="28:36" x14ac:dyDescent="0.3">
      <c r="AB616">
        <f t="shared" si="85"/>
        <v>0</v>
      </c>
      <c r="AC616">
        <f t="shared" si="86"/>
        <v>1</v>
      </c>
      <c r="AD616">
        <f t="shared" si="87"/>
        <v>3</v>
      </c>
      <c r="AE616">
        <f t="shared" si="88"/>
        <v>0</v>
      </c>
      <c r="AF616">
        <f t="shared" si="89"/>
        <v>2</v>
      </c>
      <c r="AG616">
        <f t="shared" si="90"/>
        <v>6</v>
      </c>
      <c r="AH616">
        <f t="shared" ca="1" si="92"/>
        <v>1.8437727929632947E-4</v>
      </c>
      <c r="AI616">
        <f>IF(ROW($AA616) - $AA$51 &lt; ($H$16+1)^5, IF(AG616 &gt;= FreeSpinsBonus!$C$16, AG616*FreeSpinsBonus!$E$31, 0), "")</f>
        <v>8.7438064704167875</v>
      </c>
      <c r="AJ616">
        <f t="shared" ca="1" si="91"/>
        <v>1.6121592477090889E-3</v>
      </c>
    </row>
    <row r="617" spans="28:36" x14ac:dyDescent="0.3">
      <c r="AB617">
        <f t="shared" si="85"/>
        <v>1</v>
      </c>
      <c r="AC617">
        <f t="shared" si="86"/>
        <v>1</v>
      </c>
      <c r="AD617">
        <f t="shared" si="87"/>
        <v>3</v>
      </c>
      <c r="AE617">
        <f t="shared" si="88"/>
        <v>0</v>
      </c>
      <c r="AF617">
        <f t="shared" si="89"/>
        <v>2</v>
      </c>
      <c r="AG617">
        <f t="shared" si="90"/>
        <v>7</v>
      </c>
      <c r="AH617">
        <f t="shared" ca="1" si="92"/>
        <v>1.9462046147945887E-4</v>
      </c>
      <c r="AI617">
        <f>IF(ROW($AA617) - $AA$51 &lt; ($H$16+1)^5, IF(AG617 &gt;= FreeSpinsBonus!$C$16, AG617*FreeSpinsBonus!$E$31, 0), "")</f>
        <v>10.201107548819586</v>
      </c>
      <c r="AJ617">
        <f t="shared" ca="1" si="91"/>
        <v>1.9853442587528594E-3</v>
      </c>
    </row>
    <row r="618" spans="28:36" x14ac:dyDescent="0.3">
      <c r="AB618">
        <f t="shared" si="85"/>
        <v>2</v>
      </c>
      <c r="AC618">
        <f t="shared" si="86"/>
        <v>1</v>
      </c>
      <c r="AD618">
        <f t="shared" si="87"/>
        <v>3</v>
      </c>
      <c r="AE618">
        <f t="shared" si="88"/>
        <v>0</v>
      </c>
      <c r="AF618">
        <f t="shared" si="89"/>
        <v>2</v>
      </c>
      <c r="AG618">
        <f t="shared" si="90"/>
        <v>8</v>
      </c>
      <c r="AH618">
        <f t="shared" ca="1" si="92"/>
        <v>1.0243182183129418E-4</v>
      </c>
      <c r="AI618">
        <f>IF(ROW($AA618) - $AA$51 &lt; ($H$16+1)^5, IF(AG618 &gt;= FreeSpinsBonus!$C$16, AG618*FreeSpinsBonus!$E$31, 0), "")</f>
        <v>11.658408627222384</v>
      </c>
      <c r="AJ618">
        <f t="shared" ca="1" si="91"/>
        <v>1.1941920353400661E-3</v>
      </c>
    </row>
    <row r="619" spans="28:36" x14ac:dyDescent="0.3">
      <c r="AB619">
        <f t="shared" si="85"/>
        <v>3</v>
      </c>
      <c r="AC619">
        <f t="shared" si="86"/>
        <v>1</v>
      </c>
      <c r="AD619">
        <f t="shared" si="87"/>
        <v>3</v>
      </c>
      <c r="AE619">
        <f t="shared" si="88"/>
        <v>0</v>
      </c>
      <c r="AF619">
        <f t="shared" si="89"/>
        <v>2</v>
      </c>
      <c r="AG619">
        <f t="shared" si="90"/>
        <v>9</v>
      </c>
      <c r="AH619">
        <f t="shared" ca="1" si="92"/>
        <v>0</v>
      </c>
      <c r="AI619">
        <f>IF(ROW($AA619) - $AA$51 &lt; ($H$16+1)^5, IF(AG619 &gt;= FreeSpinsBonus!$C$16, AG619*FreeSpinsBonus!$E$31, 0), "")</f>
        <v>13.115709705625182</v>
      </c>
      <c r="AJ619">
        <f t="shared" ca="1" si="91"/>
        <v>0</v>
      </c>
    </row>
    <row r="620" spans="28:36" x14ac:dyDescent="0.3">
      <c r="AB620">
        <f t="shared" si="85"/>
        <v>0</v>
      </c>
      <c r="AC620">
        <f t="shared" si="86"/>
        <v>2</v>
      </c>
      <c r="AD620">
        <f t="shared" si="87"/>
        <v>3</v>
      </c>
      <c r="AE620">
        <f t="shared" si="88"/>
        <v>0</v>
      </c>
      <c r="AF620">
        <f t="shared" si="89"/>
        <v>2</v>
      </c>
      <c r="AG620">
        <f t="shared" si="90"/>
        <v>7</v>
      </c>
      <c r="AH620">
        <f t="shared" ca="1" si="92"/>
        <v>1.8437727929632947E-4</v>
      </c>
      <c r="AI620">
        <f>IF(ROW($AA620) - $AA$51 &lt; ($H$16+1)^5, IF(AG620 &gt;= FreeSpinsBonus!$C$16, AG620*FreeSpinsBonus!$E$31, 0), "")</f>
        <v>10.201107548819586</v>
      </c>
      <c r="AJ620">
        <f t="shared" ca="1" si="91"/>
        <v>1.8808524556606038E-3</v>
      </c>
    </row>
    <row r="621" spans="28:36" x14ac:dyDescent="0.3">
      <c r="AB621">
        <f t="shared" si="85"/>
        <v>1</v>
      </c>
      <c r="AC621">
        <f t="shared" si="86"/>
        <v>2</v>
      </c>
      <c r="AD621">
        <f t="shared" si="87"/>
        <v>3</v>
      </c>
      <c r="AE621">
        <f t="shared" si="88"/>
        <v>0</v>
      </c>
      <c r="AF621">
        <f t="shared" si="89"/>
        <v>2</v>
      </c>
      <c r="AG621">
        <f t="shared" si="90"/>
        <v>8</v>
      </c>
      <c r="AH621">
        <f t="shared" ca="1" si="92"/>
        <v>1.9462046147945887E-4</v>
      </c>
      <c r="AI621">
        <f>IF(ROW($AA621) - $AA$51 &lt; ($H$16+1)^5, IF(AG621 &gt;= FreeSpinsBonus!$C$16, AG621*FreeSpinsBonus!$E$31, 0), "")</f>
        <v>11.658408627222384</v>
      </c>
      <c r="AJ621">
        <f t="shared" ca="1" si="91"/>
        <v>2.2689648671461249E-3</v>
      </c>
    </row>
    <row r="622" spans="28:36" x14ac:dyDescent="0.3">
      <c r="AB622">
        <f t="shared" si="85"/>
        <v>2</v>
      </c>
      <c r="AC622">
        <f t="shared" si="86"/>
        <v>2</v>
      </c>
      <c r="AD622">
        <f t="shared" si="87"/>
        <v>3</v>
      </c>
      <c r="AE622">
        <f t="shared" si="88"/>
        <v>0</v>
      </c>
      <c r="AF622">
        <f t="shared" si="89"/>
        <v>2</v>
      </c>
      <c r="AG622">
        <f t="shared" si="90"/>
        <v>9</v>
      </c>
      <c r="AH622">
        <f t="shared" ca="1" si="92"/>
        <v>1.0243182183129418E-4</v>
      </c>
      <c r="AI622">
        <f>IF(ROW($AA622) - $AA$51 &lt; ($H$16+1)^5, IF(AG622 &gt;= FreeSpinsBonus!$C$16, AG622*FreeSpinsBonus!$E$31, 0), "")</f>
        <v>13.115709705625182</v>
      </c>
      <c r="AJ622">
        <f t="shared" ca="1" si="91"/>
        <v>1.3434660397575744E-3</v>
      </c>
    </row>
    <row r="623" spans="28:36" x14ac:dyDescent="0.3">
      <c r="AB623">
        <f t="shared" si="85"/>
        <v>3</v>
      </c>
      <c r="AC623">
        <f t="shared" si="86"/>
        <v>2</v>
      </c>
      <c r="AD623">
        <f t="shared" si="87"/>
        <v>3</v>
      </c>
      <c r="AE623">
        <f t="shared" si="88"/>
        <v>0</v>
      </c>
      <c r="AF623">
        <f t="shared" si="89"/>
        <v>2</v>
      </c>
      <c r="AG623">
        <f t="shared" si="90"/>
        <v>10</v>
      </c>
      <c r="AH623">
        <f t="shared" ca="1" si="92"/>
        <v>0</v>
      </c>
      <c r="AI623">
        <f>IF(ROW($AA623) - $AA$51 &lt; ($H$16+1)^5, IF(AG623 &gt;= FreeSpinsBonus!$C$16, AG623*FreeSpinsBonus!$E$31, 0), "")</f>
        <v>14.57301078402798</v>
      </c>
      <c r="AJ623">
        <f t="shared" ca="1" si="91"/>
        <v>0</v>
      </c>
    </row>
    <row r="624" spans="28:36" x14ac:dyDescent="0.3">
      <c r="AB624">
        <f t="shared" si="85"/>
        <v>0</v>
      </c>
      <c r="AC624">
        <f t="shared" si="86"/>
        <v>3</v>
      </c>
      <c r="AD624">
        <f t="shared" si="87"/>
        <v>3</v>
      </c>
      <c r="AE624">
        <f t="shared" si="88"/>
        <v>0</v>
      </c>
      <c r="AF624">
        <f t="shared" si="89"/>
        <v>2</v>
      </c>
      <c r="AG624">
        <f t="shared" si="90"/>
        <v>8</v>
      </c>
      <c r="AH624">
        <f t="shared" ca="1" si="92"/>
        <v>6.5074333869292775E-5</v>
      </c>
      <c r="AI624">
        <f>IF(ROW($AA624) - $AA$51 &lt; ($H$16+1)^5, IF(AG624 &gt;= FreeSpinsBonus!$C$16, AG624*FreeSpinsBonus!$E$31, 0), "")</f>
        <v>11.658408627222384</v>
      </c>
      <c r="AJ624">
        <f t="shared" ca="1" si="91"/>
        <v>7.5866317539251271E-4</v>
      </c>
    </row>
    <row r="625" spans="28:36" x14ac:dyDescent="0.3">
      <c r="AB625">
        <f t="shared" si="85"/>
        <v>1</v>
      </c>
      <c r="AC625">
        <f t="shared" si="86"/>
        <v>3</v>
      </c>
      <c r="AD625">
        <f t="shared" si="87"/>
        <v>3</v>
      </c>
      <c r="AE625">
        <f t="shared" si="88"/>
        <v>0</v>
      </c>
      <c r="AF625">
        <f t="shared" si="89"/>
        <v>2</v>
      </c>
      <c r="AG625">
        <f t="shared" si="90"/>
        <v>9</v>
      </c>
      <c r="AH625">
        <f t="shared" ca="1" si="92"/>
        <v>6.8689574639809023E-5</v>
      </c>
      <c r="AI625">
        <f>IF(ROW($AA625) - $AA$51 &lt; ($H$16+1)^5, IF(AG625 &gt;= FreeSpinsBonus!$C$16, AG625*FreeSpinsBonus!$E$31, 0), "")</f>
        <v>13.115709705625182</v>
      </c>
      <c r="AJ625">
        <f t="shared" ca="1" si="91"/>
        <v>9.0091252077860852E-4</v>
      </c>
    </row>
    <row r="626" spans="28:36" x14ac:dyDescent="0.3">
      <c r="AB626">
        <f t="shared" si="85"/>
        <v>2</v>
      </c>
      <c r="AC626">
        <f t="shared" si="86"/>
        <v>3</v>
      </c>
      <c r="AD626">
        <f t="shared" si="87"/>
        <v>3</v>
      </c>
      <c r="AE626">
        <f t="shared" si="88"/>
        <v>0</v>
      </c>
      <c r="AF626">
        <f t="shared" si="89"/>
        <v>2</v>
      </c>
      <c r="AG626">
        <f t="shared" si="90"/>
        <v>10</v>
      </c>
      <c r="AH626">
        <f t="shared" ca="1" si="92"/>
        <v>3.6152407705162649E-5</v>
      </c>
      <c r="AI626">
        <f>IF(ROW($AA626) - $AA$51 &lt; ($H$16+1)^5, IF(AG626 &gt;= FreeSpinsBonus!$C$16, AG626*FreeSpinsBonus!$E$31, 0), "")</f>
        <v>14.57301078402798</v>
      </c>
      <c r="AJ626">
        <f t="shared" ca="1" si="91"/>
        <v>5.2684942735591153E-4</v>
      </c>
    </row>
    <row r="627" spans="28:36" x14ac:dyDescent="0.3">
      <c r="AB627">
        <f t="shared" si="85"/>
        <v>3</v>
      </c>
      <c r="AC627">
        <f t="shared" si="86"/>
        <v>3</v>
      </c>
      <c r="AD627">
        <f t="shared" si="87"/>
        <v>3</v>
      </c>
      <c r="AE627">
        <f t="shared" si="88"/>
        <v>0</v>
      </c>
      <c r="AF627">
        <f t="shared" si="89"/>
        <v>2</v>
      </c>
      <c r="AG627">
        <f t="shared" si="90"/>
        <v>11</v>
      </c>
      <c r="AH627">
        <f t="shared" ca="1" si="92"/>
        <v>0</v>
      </c>
      <c r="AI627">
        <f>IF(ROW($AA627) - $AA$51 &lt; ($H$16+1)^5, IF(AG627 &gt;= FreeSpinsBonus!$C$16, AG627*FreeSpinsBonus!$E$31, 0), "")</f>
        <v>16.030311862430779</v>
      </c>
      <c r="AJ627">
        <f t="shared" ca="1" si="91"/>
        <v>0</v>
      </c>
    </row>
    <row r="628" spans="28:36" x14ac:dyDescent="0.3">
      <c r="AB628">
        <f t="shared" ref="AB628:AB691" si="93">IF(ROW()-$AA$51 &lt; (H$16+1)^5, MOD(_xlfn.FLOOR.MATH((ROW()-$AA$51)/AB$50), H$16+1), "")</f>
        <v>0</v>
      </c>
      <c r="AC628">
        <f t="shared" ref="AC628:AC691" si="94">IF(ROW()-$AA$51 &lt; (I$16+1)^5, MOD(_xlfn.FLOOR.MATH((ROW()-$AA$51)/AC$50), I$16+1), "")</f>
        <v>0</v>
      </c>
      <c r="AD628">
        <f t="shared" ref="AD628:AD691" si="95">IF(ROW()-$AA$51 &lt; (J$16+1)^5, MOD(_xlfn.FLOOR.MATH((ROW()-$AA$51)/AD$50), J$16+1), "")</f>
        <v>0</v>
      </c>
      <c r="AE628">
        <f t="shared" ref="AE628:AE691" si="96">IF(ROW()-$AA$51 &lt; (K$16+1)^5, MOD(_xlfn.FLOOR.MATH((ROW()-$AA$51)/AE$50), K$16+1), "")</f>
        <v>1</v>
      </c>
      <c r="AF628">
        <f t="shared" ref="AF628:AF691" si="97">IF(ROW()-$AA$51 &lt; (L$16+1)^5, MOD(_xlfn.FLOOR.MATH((ROW()-$AA$51)/AF$50), L$16+1), "")</f>
        <v>2</v>
      </c>
      <c r="AG628">
        <f t="shared" ref="AG628:AG691" si="98">IF(ROW($AA628) - $AA$51 &lt; ($H$16+1)^5, SUM(AB628:AF628), "")</f>
        <v>3</v>
      </c>
      <c r="AH628">
        <f t="shared" ca="1" si="92"/>
        <v>4.6357715937362844E-3</v>
      </c>
      <c r="AI628">
        <f>IF(ROW($AA628) - $AA$51 &lt; ($H$16+1)^5, IF(AG628 &gt;= FreeSpinsBonus!$C$16, AG628*FreeSpinsBonus!$E$31, 0), "")</f>
        <v>0</v>
      </c>
      <c r="AJ628">
        <f t="shared" ref="AJ628:AJ691" ca="1" si="99">IF(ROW($AA628) - $AA$51 &lt; ($H$16+1)^5, AH628*AI628, "")</f>
        <v>0</v>
      </c>
    </row>
    <row r="629" spans="28:36" x14ac:dyDescent="0.3">
      <c r="AB629">
        <f t="shared" si="93"/>
        <v>1</v>
      </c>
      <c r="AC629">
        <f t="shared" si="94"/>
        <v>0</v>
      </c>
      <c r="AD629">
        <f t="shared" si="95"/>
        <v>0</v>
      </c>
      <c r="AE629">
        <f t="shared" si="96"/>
        <v>1</v>
      </c>
      <c r="AF629">
        <f t="shared" si="97"/>
        <v>2</v>
      </c>
      <c r="AG629">
        <f t="shared" si="98"/>
        <v>4</v>
      </c>
      <c r="AH629">
        <f t="shared" ref="AH629:AH692" ca="1" si="100">IF(ROW($AA629) - $AA$51 &lt; (4)^5,
    (_xlfn.XLOOKUP(AB629,$T$51:$T$55,U$51:U$55,0)/U$28) * (_xlfn.XLOOKUP(AC629,$T$51:$T$55,V$51:V$55,0)/V$28) * (_xlfn.XLOOKUP(AD629,$T$51:$T$55,W$51:W$55,0)/W$28) * (_xlfn.XLOOKUP(AE629,$T$51:$T$55,X$51:X$55,0)/X$28) * (_xlfn.XLOOKUP(AF629,$T$51:$T$55,Y$51:Y$55,0)/Y$28),
"")</f>
        <v>4.8933144600549656E-3</v>
      </c>
      <c r="AI629">
        <f>IF(ROW($AA629) - $AA$51 &lt; ($H$16+1)^5, IF(AG629 &gt;= FreeSpinsBonus!$C$16, AG629*FreeSpinsBonus!$E$31, 0), "")</f>
        <v>0</v>
      </c>
      <c r="AJ629">
        <f t="shared" ca="1" si="99"/>
        <v>0</v>
      </c>
    </row>
    <row r="630" spans="28:36" x14ac:dyDescent="0.3">
      <c r="AB630">
        <f t="shared" si="93"/>
        <v>2</v>
      </c>
      <c r="AC630">
        <f t="shared" si="94"/>
        <v>0</v>
      </c>
      <c r="AD630">
        <f t="shared" si="95"/>
        <v>0</v>
      </c>
      <c r="AE630">
        <f t="shared" si="96"/>
        <v>1</v>
      </c>
      <c r="AF630">
        <f t="shared" si="97"/>
        <v>2</v>
      </c>
      <c r="AG630">
        <f t="shared" si="98"/>
        <v>5</v>
      </c>
      <c r="AH630">
        <f t="shared" ca="1" si="100"/>
        <v>2.5754286631868247E-3</v>
      </c>
      <c r="AI630">
        <f>IF(ROW($AA630) - $AA$51 &lt; ($H$16+1)^5, IF(AG630 &gt;= FreeSpinsBonus!$C$16, AG630*FreeSpinsBonus!$E$31, 0), "")</f>
        <v>7.2865053920139902</v>
      </c>
      <c r="AJ630">
        <f t="shared" ca="1" si="99"/>
        <v>1.876587484105818E-2</v>
      </c>
    </row>
    <row r="631" spans="28:36" x14ac:dyDescent="0.3">
      <c r="AB631">
        <f t="shared" si="93"/>
        <v>3</v>
      </c>
      <c r="AC631">
        <f t="shared" si="94"/>
        <v>0</v>
      </c>
      <c r="AD631">
        <f t="shared" si="95"/>
        <v>0</v>
      </c>
      <c r="AE631">
        <f t="shared" si="96"/>
        <v>1</v>
      </c>
      <c r="AF631">
        <f t="shared" si="97"/>
        <v>2</v>
      </c>
      <c r="AG631">
        <f t="shared" si="98"/>
        <v>6</v>
      </c>
      <c r="AH631">
        <f t="shared" ca="1" si="100"/>
        <v>0</v>
      </c>
      <c r="AI631">
        <f>IF(ROW($AA631) - $AA$51 &lt; ($H$16+1)^5, IF(AG631 &gt;= FreeSpinsBonus!$C$16, AG631*FreeSpinsBonus!$E$31, 0), "")</f>
        <v>8.7438064704167875</v>
      </c>
      <c r="AJ631">
        <f t="shared" ca="1" si="99"/>
        <v>0</v>
      </c>
    </row>
    <row r="632" spans="28:36" x14ac:dyDescent="0.3">
      <c r="AB632">
        <f t="shared" si="93"/>
        <v>0</v>
      </c>
      <c r="AC632">
        <f t="shared" si="94"/>
        <v>1</v>
      </c>
      <c r="AD632">
        <f t="shared" si="95"/>
        <v>0</v>
      </c>
      <c r="AE632">
        <f t="shared" si="96"/>
        <v>1</v>
      </c>
      <c r="AF632">
        <f t="shared" si="97"/>
        <v>2</v>
      </c>
      <c r="AG632">
        <f t="shared" si="98"/>
        <v>4</v>
      </c>
      <c r="AH632">
        <f t="shared" ca="1" si="100"/>
        <v>4.6357715937362844E-3</v>
      </c>
      <c r="AI632">
        <f>IF(ROW($AA632) - $AA$51 &lt; ($H$16+1)^5, IF(AG632 &gt;= FreeSpinsBonus!$C$16, AG632*FreeSpinsBonus!$E$31, 0), "")</f>
        <v>0</v>
      </c>
      <c r="AJ632">
        <f t="shared" ca="1" si="99"/>
        <v>0</v>
      </c>
    </row>
    <row r="633" spans="28:36" x14ac:dyDescent="0.3">
      <c r="AB633">
        <f t="shared" si="93"/>
        <v>1</v>
      </c>
      <c r="AC633">
        <f t="shared" si="94"/>
        <v>1</v>
      </c>
      <c r="AD633">
        <f t="shared" si="95"/>
        <v>0</v>
      </c>
      <c r="AE633">
        <f t="shared" si="96"/>
        <v>1</v>
      </c>
      <c r="AF633">
        <f t="shared" si="97"/>
        <v>2</v>
      </c>
      <c r="AG633">
        <f t="shared" si="98"/>
        <v>5</v>
      </c>
      <c r="AH633">
        <f t="shared" ca="1" si="100"/>
        <v>4.8933144600549656E-3</v>
      </c>
      <c r="AI633">
        <f>IF(ROW($AA633) - $AA$51 &lt; ($H$16+1)^5, IF(AG633 &gt;= FreeSpinsBonus!$C$16, AG633*FreeSpinsBonus!$E$31, 0), "")</f>
        <v>7.2865053920139902</v>
      </c>
      <c r="AJ633">
        <f t="shared" ca="1" si="99"/>
        <v>3.5655162198010536E-2</v>
      </c>
    </row>
    <row r="634" spans="28:36" x14ac:dyDescent="0.3">
      <c r="AB634">
        <f t="shared" si="93"/>
        <v>2</v>
      </c>
      <c r="AC634">
        <f t="shared" si="94"/>
        <v>1</v>
      </c>
      <c r="AD634">
        <f t="shared" si="95"/>
        <v>0</v>
      </c>
      <c r="AE634">
        <f t="shared" si="96"/>
        <v>1</v>
      </c>
      <c r="AF634">
        <f t="shared" si="97"/>
        <v>2</v>
      </c>
      <c r="AG634">
        <f t="shared" si="98"/>
        <v>6</v>
      </c>
      <c r="AH634">
        <f t="shared" ca="1" si="100"/>
        <v>2.5754286631868247E-3</v>
      </c>
      <c r="AI634">
        <f>IF(ROW($AA634) - $AA$51 &lt; ($H$16+1)^5, IF(AG634 &gt;= FreeSpinsBonus!$C$16, AG634*FreeSpinsBonus!$E$31, 0), "")</f>
        <v>8.7438064704167875</v>
      </c>
      <c r="AJ634">
        <f t="shared" ca="1" si="99"/>
        <v>2.2519049809269814E-2</v>
      </c>
    </row>
    <row r="635" spans="28:36" x14ac:dyDescent="0.3">
      <c r="AB635">
        <f t="shared" si="93"/>
        <v>3</v>
      </c>
      <c r="AC635">
        <f t="shared" si="94"/>
        <v>1</v>
      </c>
      <c r="AD635">
        <f t="shared" si="95"/>
        <v>0</v>
      </c>
      <c r="AE635">
        <f t="shared" si="96"/>
        <v>1</v>
      </c>
      <c r="AF635">
        <f t="shared" si="97"/>
        <v>2</v>
      </c>
      <c r="AG635">
        <f t="shared" si="98"/>
        <v>7</v>
      </c>
      <c r="AH635">
        <f t="shared" ca="1" si="100"/>
        <v>0</v>
      </c>
      <c r="AI635">
        <f>IF(ROW($AA635) - $AA$51 &lt; ($H$16+1)^5, IF(AG635 &gt;= FreeSpinsBonus!$C$16, AG635*FreeSpinsBonus!$E$31, 0), "")</f>
        <v>10.201107548819586</v>
      </c>
      <c r="AJ635">
        <f t="shared" ca="1" si="99"/>
        <v>0</v>
      </c>
    </row>
    <row r="636" spans="28:36" x14ac:dyDescent="0.3">
      <c r="AB636">
        <f t="shared" si="93"/>
        <v>0</v>
      </c>
      <c r="AC636">
        <f t="shared" si="94"/>
        <v>2</v>
      </c>
      <c r="AD636">
        <f t="shared" si="95"/>
        <v>0</v>
      </c>
      <c r="AE636">
        <f t="shared" si="96"/>
        <v>1</v>
      </c>
      <c r="AF636">
        <f t="shared" si="97"/>
        <v>2</v>
      </c>
      <c r="AG636">
        <f t="shared" si="98"/>
        <v>5</v>
      </c>
      <c r="AH636">
        <f t="shared" ca="1" si="100"/>
        <v>4.6357715937362844E-3</v>
      </c>
      <c r="AI636">
        <f>IF(ROW($AA636) - $AA$51 &lt; ($H$16+1)^5, IF(AG636 &gt;= FreeSpinsBonus!$C$16, AG636*FreeSpinsBonus!$E$31, 0), "")</f>
        <v>7.2865053920139902</v>
      </c>
      <c r="AJ636">
        <f t="shared" ca="1" si="99"/>
        <v>3.3778574713904726E-2</v>
      </c>
    </row>
    <row r="637" spans="28:36" x14ac:dyDescent="0.3">
      <c r="AB637">
        <f t="shared" si="93"/>
        <v>1</v>
      </c>
      <c r="AC637">
        <f t="shared" si="94"/>
        <v>2</v>
      </c>
      <c r="AD637">
        <f t="shared" si="95"/>
        <v>0</v>
      </c>
      <c r="AE637">
        <f t="shared" si="96"/>
        <v>1</v>
      </c>
      <c r="AF637">
        <f t="shared" si="97"/>
        <v>2</v>
      </c>
      <c r="AG637">
        <f t="shared" si="98"/>
        <v>6</v>
      </c>
      <c r="AH637">
        <f t="shared" ca="1" si="100"/>
        <v>4.8933144600549656E-3</v>
      </c>
      <c r="AI637">
        <f>IF(ROW($AA637) - $AA$51 &lt; ($H$16+1)^5, IF(AG637 &gt;= FreeSpinsBonus!$C$16, AG637*FreeSpinsBonus!$E$31, 0), "")</f>
        <v>8.7438064704167875</v>
      </c>
      <c r="AJ637">
        <f t="shared" ca="1" si="99"/>
        <v>4.2786194637612636E-2</v>
      </c>
    </row>
    <row r="638" spans="28:36" x14ac:dyDescent="0.3">
      <c r="AB638">
        <f t="shared" si="93"/>
        <v>2</v>
      </c>
      <c r="AC638">
        <f t="shared" si="94"/>
        <v>2</v>
      </c>
      <c r="AD638">
        <f t="shared" si="95"/>
        <v>0</v>
      </c>
      <c r="AE638">
        <f t="shared" si="96"/>
        <v>1</v>
      </c>
      <c r="AF638">
        <f t="shared" si="97"/>
        <v>2</v>
      </c>
      <c r="AG638">
        <f t="shared" si="98"/>
        <v>7</v>
      </c>
      <c r="AH638">
        <f t="shared" ca="1" si="100"/>
        <v>2.5754286631868247E-3</v>
      </c>
      <c r="AI638">
        <f>IF(ROW($AA638) - $AA$51 &lt; ($H$16+1)^5, IF(AG638 &gt;= FreeSpinsBonus!$C$16, AG638*FreeSpinsBonus!$E$31, 0), "")</f>
        <v>10.201107548819586</v>
      </c>
      <c r="AJ638">
        <f t="shared" ca="1" si="99"/>
        <v>2.6272224777481451E-2</v>
      </c>
    </row>
    <row r="639" spans="28:36" x14ac:dyDescent="0.3">
      <c r="AB639">
        <f t="shared" si="93"/>
        <v>3</v>
      </c>
      <c r="AC639">
        <f t="shared" si="94"/>
        <v>2</v>
      </c>
      <c r="AD639">
        <f t="shared" si="95"/>
        <v>0</v>
      </c>
      <c r="AE639">
        <f t="shared" si="96"/>
        <v>1</v>
      </c>
      <c r="AF639">
        <f t="shared" si="97"/>
        <v>2</v>
      </c>
      <c r="AG639">
        <f t="shared" si="98"/>
        <v>8</v>
      </c>
      <c r="AH639">
        <f t="shared" ca="1" si="100"/>
        <v>0</v>
      </c>
      <c r="AI639">
        <f>IF(ROW($AA639) - $AA$51 &lt; ($H$16+1)^5, IF(AG639 &gt;= FreeSpinsBonus!$C$16, AG639*FreeSpinsBonus!$E$31, 0), "")</f>
        <v>11.658408627222384</v>
      </c>
      <c r="AJ639">
        <f t="shared" ca="1" si="99"/>
        <v>0</v>
      </c>
    </row>
    <row r="640" spans="28:36" x14ac:dyDescent="0.3">
      <c r="AB640">
        <f t="shared" si="93"/>
        <v>0</v>
      </c>
      <c r="AC640">
        <f t="shared" si="94"/>
        <v>3</v>
      </c>
      <c r="AD640">
        <f t="shared" si="95"/>
        <v>0</v>
      </c>
      <c r="AE640">
        <f t="shared" si="96"/>
        <v>1</v>
      </c>
      <c r="AF640">
        <f t="shared" si="97"/>
        <v>2</v>
      </c>
      <c r="AG640">
        <f t="shared" si="98"/>
        <v>6</v>
      </c>
      <c r="AH640">
        <f t="shared" ca="1" si="100"/>
        <v>1.6361546801422181E-3</v>
      </c>
      <c r="AI640">
        <f>IF(ROW($AA640) - $AA$51 &lt; ($H$16+1)^5, IF(AG640 &gt;= FreeSpinsBonus!$C$16, AG640*FreeSpinsBonus!$E$31, 0), "")</f>
        <v>8.7438064704167875</v>
      </c>
      <c r="AJ640">
        <f t="shared" ca="1" si="99"/>
        <v>1.4306219878830236E-2</v>
      </c>
    </row>
    <row r="641" spans="28:36" x14ac:dyDescent="0.3">
      <c r="AB641">
        <f t="shared" si="93"/>
        <v>1</v>
      </c>
      <c r="AC641">
        <f t="shared" si="94"/>
        <v>3</v>
      </c>
      <c r="AD641">
        <f t="shared" si="95"/>
        <v>0</v>
      </c>
      <c r="AE641">
        <f t="shared" si="96"/>
        <v>1</v>
      </c>
      <c r="AF641">
        <f t="shared" si="97"/>
        <v>2</v>
      </c>
      <c r="AG641">
        <f t="shared" si="98"/>
        <v>7</v>
      </c>
      <c r="AH641">
        <f t="shared" ca="1" si="100"/>
        <v>1.727052162372341E-3</v>
      </c>
      <c r="AI641">
        <f>IF(ROW($AA641) - $AA$51 &lt; ($H$16+1)^5, IF(AG641 &gt;= FreeSpinsBonus!$C$16, AG641*FreeSpinsBonus!$E$31, 0), "")</f>
        <v>10.201107548819586</v>
      </c>
      <c r="AJ641">
        <f t="shared" ca="1" si="99"/>
        <v>1.7617844850781678E-2</v>
      </c>
    </row>
    <row r="642" spans="28:36" x14ac:dyDescent="0.3">
      <c r="AB642">
        <f t="shared" si="93"/>
        <v>2</v>
      </c>
      <c r="AC642">
        <f t="shared" si="94"/>
        <v>3</v>
      </c>
      <c r="AD642">
        <f t="shared" si="95"/>
        <v>0</v>
      </c>
      <c r="AE642">
        <f t="shared" si="96"/>
        <v>1</v>
      </c>
      <c r="AF642">
        <f t="shared" si="97"/>
        <v>2</v>
      </c>
      <c r="AG642">
        <f t="shared" si="98"/>
        <v>8</v>
      </c>
      <c r="AH642">
        <f t="shared" ca="1" si="100"/>
        <v>9.0897482230123232E-4</v>
      </c>
      <c r="AI642">
        <f>IF(ROW($AA642) - $AA$51 &lt; ($H$16+1)^5, IF(AG642 &gt;= FreeSpinsBonus!$C$16, AG642*FreeSpinsBonus!$E$31, 0), "")</f>
        <v>11.658408627222384</v>
      </c>
      <c r="AJ642">
        <f t="shared" ca="1" si="99"/>
        <v>1.0597199910244621E-2</v>
      </c>
    </row>
    <row r="643" spans="28:36" x14ac:dyDescent="0.3">
      <c r="AB643">
        <f t="shared" si="93"/>
        <v>3</v>
      </c>
      <c r="AC643">
        <f t="shared" si="94"/>
        <v>3</v>
      </c>
      <c r="AD643">
        <f t="shared" si="95"/>
        <v>0</v>
      </c>
      <c r="AE643">
        <f t="shared" si="96"/>
        <v>1</v>
      </c>
      <c r="AF643">
        <f t="shared" si="97"/>
        <v>2</v>
      </c>
      <c r="AG643">
        <f t="shared" si="98"/>
        <v>9</v>
      </c>
      <c r="AH643">
        <f t="shared" ca="1" si="100"/>
        <v>0</v>
      </c>
      <c r="AI643">
        <f>IF(ROW($AA643) - $AA$51 &lt; ($H$16+1)^5, IF(AG643 &gt;= FreeSpinsBonus!$C$16, AG643*FreeSpinsBonus!$E$31, 0), "")</f>
        <v>13.115709705625182</v>
      </c>
      <c r="AJ643">
        <f t="shared" ca="1" si="99"/>
        <v>0</v>
      </c>
    </row>
    <row r="644" spans="28:36" x14ac:dyDescent="0.3">
      <c r="AB644">
        <f t="shared" si="93"/>
        <v>0</v>
      </c>
      <c r="AC644">
        <f t="shared" si="94"/>
        <v>0</v>
      </c>
      <c r="AD644">
        <f t="shared" si="95"/>
        <v>1</v>
      </c>
      <c r="AE644">
        <f t="shared" si="96"/>
        <v>1</v>
      </c>
      <c r="AF644">
        <f t="shared" si="97"/>
        <v>2</v>
      </c>
      <c r="AG644">
        <f t="shared" si="98"/>
        <v>4</v>
      </c>
      <c r="AH644">
        <f t="shared" ca="1" si="100"/>
        <v>5.794714492170356E-3</v>
      </c>
      <c r="AI644">
        <f>IF(ROW($AA644) - $AA$51 &lt; ($H$16+1)^5, IF(AG644 &gt;= FreeSpinsBonus!$C$16, AG644*FreeSpinsBonus!$E$31, 0), "")</f>
        <v>0</v>
      </c>
      <c r="AJ644">
        <f t="shared" ca="1" si="99"/>
        <v>0</v>
      </c>
    </row>
    <row r="645" spans="28:36" x14ac:dyDescent="0.3">
      <c r="AB645">
        <f t="shared" si="93"/>
        <v>1</v>
      </c>
      <c r="AC645">
        <f t="shared" si="94"/>
        <v>0</v>
      </c>
      <c r="AD645">
        <f t="shared" si="95"/>
        <v>1</v>
      </c>
      <c r="AE645">
        <f t="shared" si="96"/>
        <v>1</v>
      </c>
      <c r="AF645">
        <f t="shared" si="97"/>
        <v>2</v>
      </c>
      <c r="AG645">
        <f t="shared" si="98"/>
        <v>5</v>
      </c>
      <c r="AH645">
        <f t="shared" ca="1" si="100"/>
        <v>6.1166430750687088E-3</v>
      </c>
      <c r="AI645">
        <f>IF(ROW($AA645) - $AA$51 &lt; ($H$16+1)^5, IF(AG645 &gt;= FreeSpinsBonus!$C$16, AG645*FreeSpinsBonus!$E$31, 0), "")</f>
        <v>7.2865053920139902</v>
      </c>
      <c r="AJ645">
        <f t="shared" ca="1" si="99"/>
        <v>4.4568952747513178E-2</v>
      </c>
    </row>
    <row r="646" spans="28:36" x14ac:dyDescent="0.3">
      <c r="AB646">
        <f t="shared" si="93"/>
        <v>2</v>
      </c>
      <c r="AC646">
        <f t="shared" si="94"/>
        <v>0</v>
      </c>
      <c r="AD646">
        <f t="shared" si="95"/>
        <v>1</v>
      </c>
      <c r="AE646">
        <f t="shared" si="96"/>
        <v>1</v>
      </c>
      <c r="AF646">
        <f t="shared" si="97"/>
        <v>2</v>
      </c>
      <c r="AG646">
        <f t="shared" si="98"/>
        <v>6</v>
      </c>
      <c r="AH646">
        <f t="shared" ca="1" si="100"/>
        <v>3.2192858289835317E-3</v>
      </c>
      <c r="AI646">
        <f>IF(ROW($AA646) - $AA$51 &lt; ($H$16+1)^5, IF(AG646 &gt;= FreeSpinsBonus!$C$16, AG646*FreeSpinsBonus!$E$31, 0), "")</f>
        <v>8.7438064704167875</v>
      </c>
      <c r="AJ646">
        <f t="shared" ca="1" si="99"/>
        <v>2.8148812261587275E-2</v>
      </c>
    </row>
    <row r="647" spans="28:36" x14ac:dyDescent="0.3">
      <c r="AB647">
        <f t="shared" si="93"/>
        <v>3</v>
      </c>
      <c r="AC647">
        <f t="shared" si="94"/>
        <v>0</v>
      </c>
      <c r="AD647">
        <f t="shared" si="95"/>
        <v>1</v>
      </c>
      <c r="AE647">
        <f t="shared" si="96"/>
        <v>1</v>
      </c>
      <c r="AF647">
        <f t="shared" si="97"/>
        <v>2</v>
      </c>
      <c r="AG647">
        <f t="shared" si="98"/>
        <v>7</v>
      </c>
      <c r="AH647">
        <f t="shared" ca="1" si="100"/>
        <v>0</v>
      </c>
      <c r="AI647">
        <f>IF(ROW($AA647) - $AA$51 &lt; ($H$16+1)^5, IF(AG647 &gt;= FreeSpinsBonus!$C$16, AG647*FreeSpinsBonus!$E$31, 0), "")</f>
        <v>10.201107548819586</v>
      </c>
      <c r="AJ647">
        <f t="shared" ca="1" si="99"/>
        <v>0</v>
      </c>
    </row>
    <row r="648" spans="28:36" x14ac:dyDescent="0.3">
      <c r="AB648">
        <f t="shared" si="93"/>
        <v>0</v>
      </c>
      <c r="AC648">
        <f t="shared" si="94"/>
        <v>1</v>
      </c>
      <c r="AD648">
        <f t="shared" si="95"/>
        <v>1</v>
      </c>
      <c r="AE648">
        <f t="shared" si="96"/>
        <v>1</v>
      </c>
      <c r="AF648">
        <f t="shared" si="97"/>
        <v>2</v>
      </c>
      <c r="AG648">
        <f t="shared" si="98"/>
        <v>5</v>
      </c>
      <c r="AH648">
        <f t="shared" ca="1" si="100"/>
        <v>5.794714492170356E-3</v>
      </c>
      <c r="AI648">
        <f>IF(ROW($AA648) - $AA$51 &lt; ($H$16+1)^5, IF(AG648 &gt;= FreeSpinsBonus!$C$16, AG648*FreeSpinsBonus!$E$31, 0), "")</f>
        <v>7.2865053920139902</v>
      </c>
      <c r="AJ648">
        <f t="shared" ca="1" si="99"/>
        <v>4.2223218392380912E-2</v>
      </c>
    </row>
    <row r="649" spans="28:36" x14ac:dyDescent="0.3">
      <c r="AB649">
        <f t="shared" si="93"/>
        <v>1</v>
      </c>
      <c r="AC649">
        <f t="shared" si="94"/>
        <v>1</v>
      </c>
      <c r="AD649">
        <f t="shared" si="95"/>
        <v>1</v>
      </c>
      <c r="AE649">
        <f t="shared" si="96"/>
        <v>1</v>
      </c>
      <c r="AF649">
        <f t="shared" si="97"/>
        <v>2</v>
      </c>
      <c r="AG649">
        <f t="shared" si="98"/>
        <v>6</v>
      </c>
      <c r="AH649">
        <f t="shared" ca="1" si="100"/>
        <v>6.1166430750687088E-3</v>
      </c>
      <c r="AI649">
        <f>IF(ROW($AA649) - $AA$51 &lt; ($H$16+1)^5, IF(AG649 &gt;= FreeSpinsBonus!$C$16, AG649*FreeSpinsBonus!$E$31, 0), "")</f>
        <v>8.7438064704167875</v>
      </c>
      <c r="AJ649">
        <f t="shared" ca="1" si="99"/>
        <v>5.3482743297015814E-2</v>
      </c>
    </row>
    <row r="650" spans="28:36" x14ac:dyDescent="0.3">
      <c r="AB650">
        <f t="shared" si="93"/>
        <v>2</v>
      </c>
      <c r="AC650">
        <f t="shared" si="94"/>
        <v>1</v>
      </c>
      <c r="AD650">
        <f t="shared" si="95"/>
        <v>1</v>
      </c>
      <c r="AE650">
        <f t="shared" si="96"/>
        <v>1</v>
      </c>
      <c r="AF650">
        <f t="shared" si="97"/>
        <v>2</v>
      </c>
      <c r="AG650">
        <f t="shared" si="98"/>
        <v>7</v>
      </c>
      <c r="AH650">
        <f t="shared" ca="1" si="100"/>
        <v>3.2192858289835317E-3</v>
      </c>
      <c r="AI650">
        <f>IF(ROW($AA650) - $AA$51 &lt; ($H$16+1)^5, IF(AG650 &gt;= FreeSpinsBonus!$C$16, AG650*FreeSpinsBonus!$E$31, 0), "")</f>
        <v>10.201107548819586</v>
      </c>
      <c r="AJ650">
        <f t="shared" ca="1" si="99"/>
        <v>3.2840280971851821E-2</v>
      </c>
    </row>
    <row r="651" spans="28:36" x14ac:dyDescent="0.3">
      <c r="AB651">
        <f t="shared" si="93"/>
        <v>3</v>
      </c>
      <c r="AC651">
        <f t="shared" si="94"/>
        <v>1</v>
      </c>
      <c r="AD651">
        <f t="shared" si="95"/>
        <v>1</v>
      </c>
      <c r="AE651">
        <f t="shared" si="96"/>
        <v>1</v>
      </c>
      <c r="AF651">
        <f t="shared" si="97"/>
        <v>2</v>
      </c>
      <c r="AG651">
        <f t="shared" si="98"/>
        <v>8</v>
      </c>
      <c r="AH651">
        <f t="shared" ca="1" si="100"/>
        <v>0</v>
      </c>
      <c r="AI651">
        <f>IF(ROW($AA651) - $AA$51 &lt; ($H$16+1)^5, IF(AG651 &gt;= FreeSpinsBonus!$C$16, AG651*FreeSpinsBonus!$E$31, 0), "")</f>
        <v>11.658408627222384</v>
      </c>
      <c r="AJ651">
        <f t="shared" ca="1" si="99"/>
        <v>0</v>
      </c>
    </row>
    <row r="652" spans="28:36" x14ac:dyDescent="0.3">
      <c r="AB652">
        <f t="shared" si="93"/>
        <v>0</v>
      </c>
      <c r="AC652">
        <f t="shared" si="94"/>
        <v>2</v>
      </c>
      <c r="AD652">
        <f t="shared" si="95"/>
        <v>1</v>
      </c>
      <c r="AE652">
        <f t="shared" si="96"/>
        <v>1</v>
      </c>
      <c r="AF652">
        <f t="shared" si="97"/>
        <v>2</v>
      </c>
      <c r="AG652">
        <f t="shared" si="98"/>
        <v>6</v>
      </c>
      <c r="AH652">
        <f t="shared" ca="1" si="100"/>
        <v>5.794714492170356E-3</v>
      </c>
      <c r="AI652">
        <f>IF(ROW($AA652) - $AA$51 &lt; ($H$16+1)^5, IF(AG652 &gt;= FreeSpinsBonus!$C$16, AG652*FreeSpinsBonus!$E$31, 0), "")</f>
        <v>8.7438064704167875</v>
      </c>
      <c r="AJ652">
        <f t="shared" ca="1" si="99"/>
        <v>5.0667862070857085E-2</v>
      </c>
    </row>
    <row r="653" spans="28:36" x14ac:dyDescent="0.3">
      <c r="AB653">
        <f t="shared" si="93"/>
        <v>1</v>
      </c>
      <c r="AC653">
        <f t="shared" si="94"/>
        <v>2</v>
      </c>
      <c r="AD653">
        <f t="shared" si="95"/>
        <v>1</v>
      </c>
      <c r="AE653">
        <f t="shared" si="96"/>
        <v>1</v>
      </c>
      <c r="AF653">
        <f t="shared" si="97"/>
        <v>2</v>
      </c>
      <c r="AG653">
        <f t="shared" si="98"/>
        <v>7</v>
      </c>
      <c r="AH653">
        <f t="shared" ca="1" si="100"/>
        <v>6.1166430750687088E-3</v>
      </c>
      <c r="AI653">
        <f>IF(ROW($AA653) - $AA$51 &lt; ($H$16+1)^5, IF(AG653 &gt;= FreeSpinsBonus!$C$16, AG653*FreeSpinsBonus!$E$31, 0), "")</f>
        <v>10.201107548819586</v>
      </c>
      <c r="AJ653">
        <f t="shared" ca="1" si="99"/>
        <v>6.239653384651845E-2</v>
      </c>
    </row>
    <row r="654" spans="28:36" x14ac:dyDescent="0.3">
      <c r="AB654">
        <f t="shared" si="93"/>
        <v>2</v>
      </c>
      <c r="AC654">
        <f t="shared" si="94"/>
        <v>2</v>
      </c>
      <c r="AD654">
        <f t="shared" si="95"/>
        <v>1</v>
      </c>
      <c r="AE654">
        <f t="shared" si="96"/>
        <v>1</v>
      </c>
      <c r="AF654">
        <f t="shared" si="97"/>
        <v>2</v>
      </c>
      <c r="AG654">
        <f t="shared" si="98"/>
        <v>8</v>
      </c>
      <c r="AH654">
        <f t="shared" ca="1" si="100"/>
        <v>3.2192858289835317E-3</v>
      </c>
      <c r="AI654">
        <f>IF(ROW($AA654) - $AA$51 &lt; ($H$16+1)^5, IF(AG654 &gt;= FreeSpinsBonus!$C$16, AG654*FreeSpinsBonus!$E$31, 0), "")</f>
        <v>11.658408627222384</v>
      </c>
      <c r="AJ654">
        <f t="shared" ca="1" si="99"/>
        <v>3.7531749682116367E-2</v>
      </c>
    </row>
    <row r="655" spans="28:36" x14ac:dyDescent="0.3">
      <c r="AB655">
        <f t="shared" si="93"/>
        <v>3</v>
      </c>
      <c r="AC655">
        <f t="shared" si="94"/>
        <v>2</v>
      </c>
      <c r="AD655">
        <f t="shared" si="95"/>
        <v>1</v>
      </c>
      <c r="AE655">
        <f t="shared" si="96"/>
        <v>1</v>
      </c>
      <c r="AF655">
        <f t="shared" si="97"/>
        <v>2</v>
      </c>
      <c r="AG655">
        <f t="shared" si="98"/>
        <v>9</v>
      </c>
      <c r="AH655">
        <f t="shared" ca="1" si="100"/>
        <v>0</v>
      </c>
      <c r="AI655">
        <f>IF(ROW($AA655) - $AA$51 &lt; ($H$16+1)^5, IF(AG655 &gt;= FreeSpinsBonus!$C$16, AG655*FreeSpinsBonus!$E$31, 0), "")</f>
        <v>13.115709705625182</v>
      </c>
      <c r="AJ655">
        <f t="shared" ca="1" si="99"/>
        <v>0</v>
      </c>
    </row>
    <row r="656" spans="28:36" x14ac:dyDescent="0.3">
      <c r="AB656">
        <f t="shared" si="93"/>
        <v>0</v>
      </c>
      <c r="AC656">
        <f t="shared" si="94"/>
        <v>3</v>
      </c>
      <c r="AD656">
        <f t="shared" si="95"/>
        <v>1</v>
      </c>
      <c r="AE656">
        <f t="shared" si="96"/>
        <v>1</v>
      </c>
      <c r="AF656">
        <f t="shared" si="97"/>
        <v>2</v>
      </c>
      <c r="AG656">
        <f t="shared" si="98"/>
        <v>7</v>
      </c>
      <c r="AH656">
        <f t="shared" ca="1" si="100"/>
        <v>2.0451933501777729E-3</v>
      </c>
      <c r="AI656">
        <f>IF(ROW($AA656) - $AA$51 &lt; ($H$16+1)^5, IF(AG656 &gt;= FreeSpinsBonus!$C$16, AG656*FreeSpinsBonus!$E$31, 0), "")</f>
        <v>10.201107548819586</v>
      </c>
      <c r="AJ656">
        <f t="shared" ca="1" si="99"/>
        <v>2.0863237323294096E-2</v>
      </c>
    </row>
    <row r="657" spans="28:36" x14ac:dyDescent="0.3">
      <c r="AB657">
        <f t="shared" si="93"/>
        <v>1</v>
      </c>
      <c r="AC657">
        <f t="shared" si="94"/>
        <v>3</v>
      </c>
      <c r="AD657">
        <f t="shared" si="95"/>
        <v>1</v>
      </c>
      <c r="AE657">
        <f t="shared" si="96"/>
        <v>1</v>
      </c>
      <c r="AF657">
        <f t="shared" si="97"/>
        <v>2</v>
      </c>
      <c r="AG657">
        <f t="shared" si="98"/>
        <v>8</v>
      </c>
      <c r="AH657">
        <f t="shared" ca="1" si="100"/>
        <v>2.1588152029654267E-3</v>
      </c>
      <c r="AI657">
        <f>IF(ROW($AA657) - $AA$51 &lt; ($H$16+1)^5, IF(AG657 &gt;= FreeSpinsBonus!$C$16, AG657*FreeSpinsBonus!$E$31, 0), "")</f>
        <v>11.658408627222384</v>
      </c>
      <c r="AJ657">
        <f t="shared" ca="1" si="99"/>
        <v>2.5168349786830971E-2</v>
      </c>
    </row>
    <row r="658" spans="28:36" x14ac:dyDescent="0.3">
      <c r="AB658">
        <f t="shared" si="93"/>
        <v>2</v>
      </c>
      <c r="AC658">
        <f t="shared" si="94"/>
        <v>3</v>
      </c>
      <c r="AD658">
        <f t="shared" si="95"/>
        <v>1</v>
      </c>
      <c r="AE658">
        <f t="shared" si="96"/>
        <v>1</v>
      </c>
      <c r="AF658">
        <f t="shared" si="97"/>
        <v>2</v>
      </c>
      <c r="AG658">
        <f t="shared" si="98"/>
        <v>9</v>
      </c>
      <c r="AH658">
        <f t="shared" ca="1" si="100"/>
        <v>1.1362185278765403E-3</v>
      </c>
      <c r="AI658">
        <f>IF(ROW($AA658) - $AA$51 &lt; ($H$16+1)^5, IF(AG658 &gt;= FreeSpinsBonus!$C$16, AG658*FreeSpinsBonus!$E$31, 0), "")</f>
        <v>13.115709705625182</v>
      </c>
      <c r="AJ658">
        <f t="shared" ca="1" si="99"/>
        <v>1.4902312373781496E-2</v>
      </c>
    </row>
    <row r="659" spans="28:36" x14ac:dyDescent="0.3">
      <c r="AB659">
        <f t="shared" si="93"/>
        <v>3</v>
      </c>
      <c r="AC659">
        <f t="shared" si="94"/>
        <v>3</v>
      </c>
      <c r="AD659">
        <f t="shared" si="95"/>
        <v>1</v>
      </c>
      <c r="AE659">
        <f t="shared" si="96"/>
        <v>1</v>
      </c>
      <c r="AF659">
        <f t="shared" si="97"/>
        <v>2</v>
      </c>
      <c r="AG659">
        <f t="shared" si="98"/>
        <v>10</v>
      </c>
      <c r="AH659">
        <f t="shared" ca="1" si="100"/>
        <v>0</v>
      </c>
      <c r="AI659">
        <f>IF(ROW($AA659) - $AA$51 &lt; ($H$16+1)^5, IF(AG659 &gt;= FreeSpinsBonus!$C$16, AG659*FreeSpinsBonus!$E$31, 0), "")</f>
        <v>14.57301078402798</v>
      </c>
      <c r="AJ659">
        <f t="shared" ca="1" si="99"/>
        <v>0</v>
      </c>
    </row>
    <row r="660" spans="28:36" x14ac:dyDescent="0.3">
      <c r="AB660">
        <f t="shared" si="93"/>
        <v>0</v>
      </c>
      <c r="AC660">
        <f t="shared" si="94"/>
        <v>0</v>
      </c>
      <c r="AD660">
        <f t="shared" si="95"/>
        <v>2</v>
      </c>
      <c r="AE660">
        <f t="shared" si="96"/>
        <v>1</v>
      </c>
      <c r="AF660">
        <f t="shared" si="97"/>
        <v>2</v>
      </c>
      <c r="AG660">
        <f t="shared" si="98"/>
        <v>5</v>
      </c>
      <c r="AH660">
        <f t="shared" ca="1" si="100"/>
        <v>3.1870929706936954E-3</v>
      </c>
      <c r="AI660">
        <f>IF(ROW($AA660) - $AA$51 &lt; ($H$16+1)^5, IF(AG660 &gt;= FreeSpinsBonus!$C$16, AG660*FreeSpinsBonus!$E$31, 0), "")</f>
        <v>7.2865053920139902</v>
      </c>
      <c r="AJ660">
        <f t="shared" ca="1" si="99"/>
        <v>2.3222770115809498E-2</v>
      </c>
    </row>
    <row r="661" spans="28:36" x14ac:dyDescent="0.3">
      <c r="AB661">
        <f t="shared" si="93"/>
        <v>1</v>
      </c>
      <c r="AC661">
        <f t="shared" si="94"/>
        <v>0</v>
      </c>
      <c r="AD661">
        <f t="shared" si="95"/>
        <v>2</v>
      </c>
      <c r="AE661">
        <f t="shared" si="96"/>
        <v>1</v>
      </c>
      <c r="AF661">
        <f t="shared" si="97"/>
        <v>2</v>
      </c>
      <c r="AG661">
        <f t="shared" si="98"/>
        <v>6</v>
      </c>
      <c r="AH661">
        <f t="shared" ca="1" si="100"/>
        <v>3.36415369128779E-3</v>
      </c>
      <c r="AI661">
        <f>IF(ROW($AA661) - $AA$51 &lt; ($H$16+1)^5, IF(AG661 &gt;= FreeSpinsBonus!$C$16, AG661*FreeSpinsBonus!$E$31, 0), "")</f>
        <v>8.7438064704167875</v>
      </c>
      <c r="AJ661">
        <f t="shared" ca="1" si="99"/>
        <v>2.9415508813358696E-2</v>
      </c>
    </row>
    <row r="662" spans="28:36" x14ac:dyDescent="0.3">
      <c r="AB662">
        <f t="shared" si="93"/>
        <v>2</v>
      </c>
      <c r="AC662">
        <f t="shared" si="94"/>
        <v>0</v>
      </c>
      <c r="AD662">
        <f t="shared" si="95"/>
        <v>2</v>
      </c>
      <c r="AE662">
        <f t="shared" si="96"/>
        <v>1</v>
      </c>
      <c r="AF662">
        <f t="shared" si="97"/>
        <v>2</v>
      </c>
      <c r="AG662">
        <f t="shared" si="98"/>
        <v>7</v>
      </c>
      <c r="AH662">
        <f t="shared" ca="1" si="100"/>
        <v>1.7706072059409422E-3</v>
      </c>
      <c r="AI662">
        <f>IF(ROW($AA662) - $AA$51 &lt; ($H$16+1)^5, IF(AG662 &gt;= FreeSpinsBonus!$C$16, AG662*FreeSpinsBonus!$E$31, 0), "")</f>
        <v>10.201107548819586</v>
      </c>
      <c r="AJ662">
        <f t="shared" ca="1" si="99"/>
        <v>1.8062154534518499E-2</v>
      </c>
    </row>
    <row r="663" spans="28:36" x14ac:dyDescent="0.3">
      <c r="AB663">
        <f t="shared" si="93"/>
        <v>3</v>
      </c>
      <c r="AC663">
        <f t="shared" si="94"/>
        <v>0</v>
      </c>
      <c r="AD663">
        <f t="shared" si="95"/>
        <v>2</v>
      </c>
      <c r="AE663">
        <f t="shared" si="96"/>
        <v>1</v>
      </c>
      <c r="AF663">
        <f t="shared" si="97"/>
        <v>2</v>
      </c>
      <c r="AG663">
        <f t="shared" si="98"/>
        <v>8</v>
      </c>
      <c r="AH663">
        <f t="shared" ca="1" si="100"/>
        <v>0</v>
      </c>
      <c r="AI663">
        <f>IF(ROW($AA663) - $AA$51 &lt; ($H$16+1)^5, IF(AG663 &gt;= FreeSpinsBonus!$C$16, AG663*FreeSpinsBonus!$E$31, 0), "")</f>
        <v>11.658408627222384</v>
      </c>
      <c r="AJ663">
        <f t="shared" ca="1" si="99"/>
        <v>0</v>
      </c>
    </row>
    <row r="664" spans="28:36" x14ac:dyDescent="0.3">
      <c r="AB664">
        <f t="shared" si="93"/>
        <v>0</v>
      </c>
      <c r="AC664">
        <f t="shared" si="94"/>
        <v>1</v>
      </c>
      <c r="AD664">
        <f t="shared" si="95"/>
        <v>2</v>
      </c>
      <c r="AE664">
        <f t="shared" si="96"/>
        <v>1</v>
      </c>
      <c r="AF664">
        <f t="shared" si="97"/>
        <v>2</v>
      </c>
      <c r="AG664">
        <f t="shared" si="98"/>
        <v>6</v>
      </c>
      <c r="AH664">
        <f t="shared" ca="1" si="100"/>
        <v>3.1870929706936954E-3</v>
      </c>
      <c r="AI664">
        <f>IF(ROW($AA664) - $AA$51 &lt; ($H$16+1)^5, IF(AG664 &gt;= FreeSpinsBonus!$C$16, AG664*FreeSpinsBonus!$E$31, 0), "")</f>
        <v>8.7438064704167875</v>
      </c>
      <c r="AJ664">
        <f t="shared" ca="1" si="99"/>
        <v>2.7867324138971396E-2</v>
      </c>
    </row>
    <row r="665" spans="28:36" x14ac:dyDescent="0.3">
      <c r="AB665">
        <f t="shared" si="93"/>
        <v>1</v>
      </c>
      <c r="AC665">
        <f t="shared" si="94"/>
        <v>1</v>
      </c>
      <c r="AD665">
        <f t="shared" si="95"/>
        <v>2</v>
      </c>
      <c r="AE665">
        <f t="shared" si="96"/>
        <v>1</v>
      </c>
      <c r="AF665">
        <f t="shared" si="97"/>
        <v>2</v>
      </c>
      <c r="AG665">
        <f t="shared" si="98"/>
        <v>7</v>
      </c>
      <c r="AH665">
        <f t="shared" ca="1" si="100"/>
        <v>3.36415369128779E-3</v>
      </c>
      <c r="AI665">
        <f>IF(ROW($AA665) - $AA$51 &lt; ($H$16+1)^5, IF(AG665 &gt;= FreeSpinsBonus!$C$16, AG665*FreeSpinsBonus!$E$31, 0), "")</f>
        <v>10.201107548819586</v>
      </c>
      <c r="AJ665">
        <f t="shared" ca="1" si="99"/>
        <v>3.4318093615585146E-2</v>
      </c>
    </row>
    <row r="666" spans="28:36" x14ac:dyDescent="0.3">
      <c r="AB666">
        <f t="shared" si="93"/>
        <v>2</v>
      </c>
      <c r="AC666">
        <f t="shared" si="94"/>
        <v>1</v>
      </c>
      <c r="AD666">
        <f t="shared" si="95"/>
        <v>2</v>
      </c>
      <c r="AE666">
        <f t="shared" si="96"/>
        <v>1</v>
      </c>
      <c r="AF666">
        <f t="shared" si="97"/>
        <v>2</v>
      </c>
      <c r="AG666">
        <f t="shared" si="98"/>
        <v>8</v>
      </c>
      <c r="AH666">
        <f t="shared" ca="1" si="100"/>
        <v>1.7706072059409422E-3</v>
      </c>
      <c r="AI666">
        <f>IF(ROW($AA666) - $AA$51 &lt; ($H$16+1)^5, IF(AG666 &gt;= FreeSpinsBonus!$C$16, AG666*FreeSpinsBonus!$E$31, 0), "")</f>
        <v>11.658408627222384</v>
      </c>
      <c r="AJ666">
        <f t="shared" ca="1" si="99"/>
        <v>2.0642462325164E-2</v>
      </c>
    </row>
    <row r="667" spans="28:36" x14ac:dyDescent="0.3">
      <c r="AB667">
        <f t="shared" si="93"/>
        <v>3</v>
      </c>
      <c r="AC667">
        <f t="shared" si="94"/>
        <v>1</v>
      </c>
      <c r="AD667">
        <f t="shared" si="95"/>
        <v>2</v>
      </c>
      <c r="AE667">
        <f t="shared" si="96"/>
        <v>1</v>
      </c>
      <c r="AF667">
        <f t="shared" si="97"/>
        <v>2</v>
      </c>
      <c r="AG667">
        <f t="shared" si="98"/>
        <v>9</v>
      </c>
      <c r="AH667">
        <f t="shared" ca="1" si="100"/>
        <v>0</v>
      </c>
      <c r="AI667">
        <f>IF(ROW($AA667) - $AA$51 &lt; ($H$16+1)^5, IF(AG667 &gt;= FreeSpinsBonus!$C$16, AG667*FreeSpinsBonus!$E$31, 0), "")</f>
        <v>13.115709705625182</v>
      </c>
      <c r="AJ667">
        <f t="shared" ca="1" si="99"/>
        <v>0</v>
      </c>
    </row>
    <row r="668" spans="28:36" x14ac:dyDescent="0.3">
      <c r="AB668">
        <f t="shared" si="93"/>
        <v>0</v>
      </c>
      <c r="AC668">
        <f t="shared" si="94"/>
        <v>2</v>
      </c>
      <c r="AD668">
        <f t="shared" si="95"/>
        <v>2</v>
      </c>
      <c r="AE668">
        <f t="shared" si="96"/>
        <v>1</v>
      </c>
      <c r="AF668">
        <f t="shared" si="97"/>
        <v>2</v>
      </c>
      <c r="AG668">
        <f t="shared" si="98"/>
        <v>7</v>
      </c>
      <c r="AH668">
        <f t="shared" ca="1" si="100"/>
        <v>3.1870929706936954E-3</v>
      </c>
      <c r="AI668">
        <f>IF(ROW($AA668) - $AA$51 &lt; ($H$16+1)^5, IF(AG668 &gt;= FreeSpinsBonus!$C$16, AG668*FreeSpinsBonus!$E$31, 0), "")</f>
        <v>10.201107548819586</v>
      </c>
      <c r="AJ668">
        <f t="shared" ca="1" si="99"/>
        <v>3.2511878162133294E-2</v>
      </c>
    </row>
    <row r="669" spans="28:36" x14ac:dyDescent="0.3">
      <c r="AB669">
        <f t="shared" si="93"/>
        <v>1</v>
      </c>
      <c r="AC669">
        <f t="shared" si="94"/>
        <v>2</v>
      </c>
      <c r="AD669">
        <f t="shared" si="95"/>
        <v>2</v>
      </c>
      <c r="AE669">
        <f t="shared" si="96"/>
        <v>1</v>
      </c>
      <c r="AF669">
        <f t="shared" si="97"/>
        <v>2</v>
      </c>
      <c r="AG669">
        <f t="shared" si="98"/>
        <v>8</v>
      </c>
      <c r="AH669">
        <f t="shared" ca="1" si="100"/>
        <v>3.36415369128779E-3</v>
      </c>
      <c r="AI669">
        <f>IF(ROW($AA669) - $AA$51 &lt; ($H$16+1)^5, IF(AG669 &gt;= FreeSpinsBonus!$C$16, AG669*FreeSpinsBonus!$E$31, 0), "")</f>
        <v>11.658408627222384</v>
      </c>
      <c r="AJ669">
        <f t="shared" ca="1" si="99"/>
        <v>3.92206784178116E-2</v>
      </c>
    </row>
    <row r="670" spans="28:36" x14ac:dyDescent="0.3">
      <c r="AB670">
        <f t="shared" si="93"/>
        <v>2</v>
      </c>
      <c r="AC670">
        <f t="shared" si="94"/>
        <v>2</v>
      </c>
      <c r="AD670">
        <f t="shared" si="95"/>
        <v>2</v>
      </c>
      <c r="AE670">
        <f t="shared" si="96"/>
        <v>1</v>
      </c>
      <c r="AF670">
        <f t="shared" si="97"/>
        <v>2</v>
      </c>
      <c r="AG670">
        <f t="shared" si="98"/>
        <v>9</v>
      </c>
      <c r="AH670">
        <f t="shared" ca="1" si="100"/>
        <v>1.7706072059409422E-3</v>
      </c>
      <c r="AI670">
        <f>IF(ROW($AA670) - $AA$51 &lt; ($H$16+1)^5, IF(AG670 &gt;= FreeSpinsBonus!$C$16, AG670*FreeSpinsBonus!$E$31, 0), "")</f>
        <v>13.115709705625182</v>
      </c>
      <c r="AJ670">
        <f t="shared" ca="1" si="99"/>
        <v>2.3222770115809501E-2</v>
      </c>
    </row>
    <row r="671" spans="28:36" x14ac:dyDescent="0.3">
      <c r="AB671">
        <f t="shared" si="93"/>
        <v>3</v>
      </c>
      <c r="AC671">
        <f t="shared" si="94"/>
        <v>2</v>
      </c>
      <c r="AD671">
        <f t="shared" si="95"/>
        <v>2</v>
      </c>
      <c r="AE671">
        <f t="shared" si="96"/>
        <v>1</v>
      </c>
      <c r="AF671">
        <f t="shared" si="97"/>
        <v>2</v>
      </c>
      <c r="AG671">
        <f t="shared" si="98"/>
        <v>10</v>
      </c>
      <c r="AH671">
        <f t="shared" ca="1" si="100"/>
        <v>0</v>
      </c>
      <c r="AI671">
        <f>IF(ROW($AA671) - $AA$51 &lt; ($H$16+1)^5, IF(AG671 &gt;= FreeSpinsBonus!$C$16, AG671*FreeSpinsBonus!$E$31, 0), "")</f>
        <v>14.57301078402798</v>
      </c>
      <c r="AJ671">
        <f t="shared" ca="1" si="99"/>
        <v>0</v>
      </c>
    </row>
    <row r="672" spans="28:36" x14ac:dyDescent="0.3">
      <c r="AB672">
        <f t="shared" si="93"/>
        <v>0</v>
      </c>
      <c r="AC672">
        <f t="shared" si="94"/>
        <v>3</v>
      </c>
      <c r="AD672">
        <f t="shared" si="95"/>
        <v>2</v>
      </c>
      <c r="AE672">
        <f t="shared" si="96"/>
        <v>1</v>
      </c>
      <c r="AF672">
        <f t="shared" si="97"/>
        <v>2</v>
      </c>
      <c r="AG672">
        <f t="shared" si="98"/>
        <v>8</v>
      </c>
      <c r="AH672">
        <f t="shared" ca="1" si="100"/>
        <v>1.1248563425977751E-3</v>
      </c>
      <c r="AI672">
        <f>IF(ROW($AA672) - $AA$51 &lt; ($H$16+1)^5, IF(AG672 &gt;= FreeSpinsBonus!$C$16, AG672*FreeSpinsBonus!$E$31, 0), "")</f>
        <v>11.658408627222384</v>
      </c>
      <c r="AJ672">
        <f t="shared" ca="1" si="99"/>
        <v>1.3114034888927718E-2</v>
      </c>
    </row>
    <row r="673" spans="28:36" x14ac:dyDescent="0.3">
      <c r="AB673">
        <f t="shared" si="93"/>
        <v>1</v>
      </c>
      <c r="AC673">
        <f t="shared" si="94"/>
        <v>3</v>
      </c>
      <c r="AD673">
        <f t="shared" si="95"/>
        <v>2</v>
      </c>
      <c r="AE673">
        <f t="shared" si="96"/>
        <v>1</v>
      </c>
      <c r="AF673">
        <f t="shared" si="97"/>
        <v>2</v>
      </c>
      <c r="AG673">
        <f t="shared" si="98"/>
        <v>9</v>
      </c>
      <c r="AH673">
        <f t="shared" ca="1" si="100"/>
        <v>1.1873483616309847E-3</v>
      </c>
      <c r="AI673">
        <f>IF(ROW($AA673) - $AA$51 &lt; ($H$16+1)^5, IF(AG673 &gt;= FreeSpinsBonus!$C$16, AG673*FreeSpinsBonus!$E$31, 0), "")</f>
        <v>13.115709705625182</v>
      </c>
      <c r="AJ673">
        <f t="shared" ca="1" si="99"/>
        <v>1.5572916430601665E-2</v>
      </c>
    </row>
    <row r="674" spans="28:36" x14ac:dyDescent="0.3">
      <c r="AB674">
        <f t="shared" si="93"/>
        <v>2</v>
      </c>
      <c r="AC674">
        <f t="shared" si="94"/>
        <v>3</v>
      </c>
      <c r="AD674">
        <f t="shared" si="95"/>
        <v>2</v>
      </c>
      <c r="AE674">
        <f t="shared" si="96"/>
        <v>1</v>
      </c>
      <c r="AF674">
        <f t="shared" si="97"/>
        <v>2</v>
      </c>
      <c r="AG674">
        <f t="shared" si="98"/>
        <v>10</v>
      </c>
      <c r="AH674">
        <f t="shared" ca="1" si="100"/>
        <v>6.2492019033209714E-4</v>
      </c>
      <c r="AI674">
        <f>IF(ROW($AA674) - $AA$51 &lt; ($H$16+1)^5, IF(AG674 &gt;= FreeSpinsBonus!$C$16, AG674*FreeSpinsBonus!$E$31, 0), "")</f>
        <v>14.57301078402798</v>
      </c>
      <c r="AJ674">
        <f t="shared" ca="1" si="99"/>
        <v>9.1069686728664691E-3</v>
      </c>
    </row>
    <row r="675" spans="28:36" x14ac:dyDescent="0.3">
      <c r="AB675">
        <f t="shared" si="93"/>
        <v>3</v>
      </c>
      <c r="AC675">
        <f t="shared" si="94"/>
        <v>3</v>
      </c>
      <c r="AD675">
        <f t="shared" si="95"/>
        <v>2</v>
      </c>
      <c r="AE675">
        <f t="shared" si="96"/>
        <v>1</v>
      </c>
      <c r="AF675">
        <f t="shared" si="97"/>
        <v>2</v>
      </c>
      <c r="AG675">
        <f t="shared" si="98"/>
        <v>11</v>
      </c>
      <c r="AH675">
        <f t="shared" ca="1" si="100"/>
        <v>0</v>
      </c>
      <c r="AI675">
        <f>IF(ROW($AA675) - $AA$51 &lt; ($H$16+1)^5, IF(AG675 &gt;= FreeSpinsBonus!$C$16, AG675*FreeSpinsBonus!$E$31, 0), "")</f>
        <v>16.030311862430779</v>
      </c>
      <c r="AJ675">
        <f t="shared" ca="1" si="99"/>
        <v>0</v>
      </c>
    </row>
    <row r="676" spans="28:36" x14ac:dyDescent="0.3">
      <c r="AB676">
        <f t="shared" si="93"/>
        <v>0</v>
      </c>
      <c r="AC676">
        <f t="shared" si="94"/>
        <v>0</v>
      </c>
      <c r="AD676">
        <f t="shared" si="95"/>
        <v>3</v>
      </c>
      <c r="AE676">
        <f t="shared" si="96"/>
        <v>1</v>
      </c>
      <c r="AF676">
        <f t="shared" si="97"/>
        <v>2</v>
      </c>
      <c r="AG676">
        <f t="shared" si="98"/>
        <v>6</v>
      </c>
      <c r="AH676">
        <f t="shared" ca="1" si="100"/>
        <v>2.8973572460851778E-4</v>
      </c>
      <c r="AI676">
        <f>IF(ROW($AA676) - $AA$51 &lt; ($H$16+1)^5, IF(AG676 &gt;= FreeSpinsBonus!$C$16, AG676*FreeSpinsBonus!$E$31, 0), "")</f>
        <v>8.7438064704167875</v>
      </c>
      <c r="AJ676">
        <f t="shared" ca="1" si="99"/>
        <v>2.5333931035428541E-3</v>
      </c>
    </row>
    <row r="677" spans="28:36" x14ac:dyDescent="0.3">
      <c r="AB677">
        <f t="shared" si="93"/>
        <v>1</v>
      </c>
      <c r="AC677">
        <f t="shared" si="94"/>
        <v>0</v>
      </c>
      <c r="AD677">
        <f t="shared" si="95"/>
        <v>3</v>
      </c>
      <c r="AE677">
        <f t="shared" si="96"/>
        <v>1</v>
      </c>
      <c r="AF677">
        <f t="shared" si="97"/>
        <v>2</v>
      </c>
      <c r="AG677">
        <f t="shared" si="98"/>
        <v>7</v>
      </c>
      <c r="AH677">
        <f t="shared" ca="1" si="100"/>
        <v>3.0583215375343535E-4</v>
      </c>
      <c r="AI677">
        <f>IF(ROW($AA677) - $AA$51 &lt; ($H$16+1)^5, IF(AG677 &gt;= FreeSpinsBonus!$C$16, AG677*FreeSpinsBonus!$E$31, 0), "")</f>
        <v>10.201107548819586</v>
      </c>
      <c r="AJ677">
        <f t="shared" ca="1" si="99"/>
        <v>3.1198266923259214E-3</v>
      </c>
    </row>
    <row r="678" spans="28:36" x14ac:dyDescent="0.3">
      <c r="AB678">
        <f t="shared" si="93"/>
        <v>2</v>
      </c>
      <c r="AC678">
        <f t="shared" si="94"/>
        <v>0</v>
      </c>
      <c r="AD678">
        <f t="shared" si="95"/>
        <v>3</v>
      </c>
      <c r="AE678">
        <f t="shared" si="96"/>
        <v>1</v>
      </c>
      <c r="AF678">
        <f t="shared" si="97"/>
        <v>2</v>
      </c>
      <c r="AG678">
        <f t="shared" si="98"/>
        <v>8</v>
      </c>
      <c r="AH678">
        <f t="shared" ca="1" si="100"/>
        <v>1.6096429144917655E-4</v>
      </c>
      <c r="AI678">
        <f>IF(ROW($AA678) - $AA$51 &lt; ($H$16+1)^5, IF(AG678 &gt;= FreeSpinsBonus!$C$16, AG678*FreeSpinsBonus!$E$31, 0), "")</f>
        <v>11.658408627222384</v>
      </c>
      <c r="AJ678">
        <f t="shared" ca="1" si="99"/>
        <v>1.876587484105818E-3</v>
      </c>
    </row>
    <row r="679" spans="28:36" x14ac:dyDescent="0.3">
      <c r="AB679">
        <f t="shared" si="93"/>
        <v>3</v>
      </c>
      <c r="AC679">
        <f t="shared" si="94"/>
        <v>0</v>
      </c>
      <c r="AD679">
        <f t="shared" si="95"/>
        <v>3</v>
      </c>
      <c r="AE679">
        <f t="shared" si="96"/>
        <v>1</v>
      </c>
      <c r="AF679">
        <f t="shared" si="97"/>
        <v>2</v>
      </c>
      <c r="AG679">
        <f t="shared" si="98"/>
        <v>9</v>
      </c>
      <c r="AH679">
        <f t="shared" ca="1" si="100"/>
        <v>0</v>
      </c>
      <c r="AI679">
        <f>IF(ROW($AA679) - $AA$51 &lt; ($H$16+1)^5, IF(AG679 &gt;= FreeSpinsBonus!$C$16, AG679*FreeSpinsBonus!$E$31, 0), "")</f>
        <v>13.115709705625182</v>
      </c>
      <c r="AJ679">
        <f t="shared" ca="1" si="99"/>
        <v>0</v>
      </c>
    </row>
    <row r="680" spans="28:36" x14ac:dyDescent="0.3">
      <c r="AB680">
        <f t="shared" si="93"/>
        <v>0</v>
      </c>
      <c r="AC680">
        <f t="shared" si="94"/>
        <v>1</v>
      </c>
      <c r="AD680">
        <f t="shared" si="95"/>
        <v>3</v>
      </c>
      <c r="AE680">
        <f t="shared" si="96"/>
        <v>1</v>
      </c>
      <c r="AF680">
        <f t="shared" si="97"/>
        <v>2</v>
      </c>
      <c r="AG680">
        <f t="shared" si="98"/>
        <v>7</v>
      </c>
      <c r="AH680">
        <f t="shared" ca="1" si="100"/>
        <v>2.8973572460851778E-4</v>
      </c>
      <c r="AI680">
        <f>IF(ROW($AA680) - $AA$51 &lt; ($H$16+1)^5, IF(AG680 &gt;= FreeSpinsBonus!$C$16, AG680*FreeSpinsBonus!$E$31, 0), "")</f>
        <v>10.201107548819586</v>
      </c>
      <c r="AJ680">
        <f t="shared" ca="1" si="99"/>
        <v>2.9556252874666632E-3</v>
      </c>
    </row>
    <row r="681" spans="28:36" x14ac:dyDescent="0.3">
      <c r="AB681">
        <f t="shared" si="93"/>
        <v>1</v>
      </c>
      <c r="AC681">
        <f t="shared" si="94"/>
        <v>1</v>
      </c>
      <c r="AD681">
        <f t="shared" si="95"/>
        <v>3</v>
      </c>
      <c r="AE681">
        <f t="shared" si="96"/>
        <v>1</v>
      </c>
      <c r="AF681">
        <f t="shared" si="97"/>
        <v>2</v>
      </c>
      <c r="AG681">
        <f t="shared" si="98"/>
        <v>8</v>
      </c>
      <c r="AH681">
        <f t="shared" ca="1" si="100"/>
        <v>3.0583215375343535E-4</v>
      </c>
      <c r="AI681">
        <f>IF(ROW($AA681) - $AA$51 &lt; ($H$16+1)^5, IF(AG681 &gt;= FreeSpinsBonus!$C$16, AG681*FreeSpinsBonus!$E$31, 0), "")</f>
        <v>11.658408627222384</v>
      </c>
      <c r="AJ681">
        <f t="shared" ca="1" si="99"/>
        <v>3.5655162198010531E-3</v>
      </c>
    </row>
    <row r="682" spans="28:36" x14ac:dyDescent="0.3">
      <c r="AB682">
        <f t="shared" si="93"/>
        <v>2</v>
      </c>
      <c r="AC682">
        <f t="shared" si="94"/>
        <v>1</v>
      </c>
      <c r="AD682">
        <f t="shared" si="95"/>
        <v>3</v>
      </c>
      <c r="AE682">
        <f t="shared" si="96"/>
        <v>1</v>
      </c>
      <c r="AF682">
        <f t="shared" si="97"/>
        <v>2</v>
      </c>
      <c r="AG682">
        <f t="shared" si="98"/>
        <v>9</v>
      </c>
      <c r="AH682">
        <f t="shared" ca="1" si="100"/>
        <v>1.6096429144917655E-4</v>
      </c>
      <c r="AI682">
        <f>IF(ROW($AA682) - $AA$51 &lt; ($H$16+1)^5, IF(AG682 &gt;= FreeSpinsBonus!$C$16, AG682*FreeSpinsBonus!$E$31, 0), "")</f>
        <v>13.115709705625182</v>
      </c>
      <c r="AJ682">
        <f t="shared" ca="1" si="99"/>
        <v>2.1111609196190454E-3</v>
      </c>
    </row>
    <row r="683" spans="28:36" x14ac:dyDescent="0.3">
      <c r="AB683">
        <f t="shared" si="93"/>
        <v>3</v>
      </c>
      <c r="AC683">
        <f t="shared" si="94"/>
        <v>1</v>
      </c>
      <c r="AD683">
        <f t="shared" si="95"/>
        <v>3</v>
      </c>
      <c r="AE683">
        <f t="shared" si="96"/>
        <v>1</v>
      </c>
      <c r="AF683">
        <f t="shared" si="97"/>
        <v>2</v>
      </c>
      <c r="AG683">
        <f t="shared" si="98"/>
        <v>10</v>
      </c>
      <c r="AH683">
        <f t="shared" ca="1" si="100"/>
        <v>0</v>
      </c>
      <c r="AI683">
        <f>IF(ROW($AA683) - $AA$51 &lt; ($H$16+1)^5, IF(AG683 &gt;= FreeSpinsBonus!$C$16, AG683*FreeSpinsBonus!$E$31, 0), "")</f>
        <v>14.57301078402798</v>
      </c>
      <c r="AJ683">
        <f t="shared" ca="1" si="99"/>
        <v>0</v>
      </c>
    </row>
    <row r="684" spans="28:36" x14ac:dyDescent="0.3">
      <c r="AB684">
        <f t="shared" si="93"/>
        <v>0</v>
      </c>
      <c r="AC684">
        <f t="shared" si="94"/>
        <v>2</v>
      </c>
      <c r="AD684">
        <f t="shared" si="95"/>
        <v>3</v>
      </c>
      <c r="AE684">
        <f t="shared" si="96"/>
        <v>1</v>
      </c>
      <c r="AF684">
        <f t="shared" si="97"/>
        <v>2</v>
      </c>
      <c r="AG684">
        <f t="shared" si="98"/>
        <v>8</v>
      </c>
      <c r="AH684">
        <f t="shared" ca="1" si="100"/>
        <v>2.8973572460851778E-4</v>
      </c>
      <c r="AI684">
        <f>IF(ROW($AA684) - $AA$51 &lt; ($H$16+1)^5, IF(AG684 &gt;= FreeSpinsBonus!$C$16, AG684*FreeSpinsBonus!$E$31, 0), "")</f>
        <v>11.658408627222384</v>
      </c>
      <c r="AJ684">
        <f t="shared" ca="1" si="99"/>
        <v>3.3778574713904724E-3</v>
      </c>
    </row>
    <row r="685" spans="28:36" x14ac:dyDescent="0.3">
      <c r="AB685">
        <f t="shared" si="93"/>
        <v>1</v>
      </c>
      <c r="AC685">
        <f t="shared" si="94"/>
        <v>2</v>
      </c>
      <c r="AD685">
        <f t="shared" si="95"/>
        <v>3</v>
      </c>
      <c r="AE685">
        <f t="shared" si="96"/>
        <v>1</v>
      </c>
      <c r="AF685">
        <f t="shared" si="97"/>
        <v>2</v>
      </c>
      <c r="AG685">
        <f t="shared" si="98"/>
        <v>9</v>
      </c>
      <c r="AH685">
        <f t="shared" ca="1" si="100"/>
        <v>3.0583215375343535E-4</v>
      </c>
      <c r="AI685">
        <f>IF(ROW($AA685) - $AA$51 &lt; ($H$16+1)^5, IF(AG685 &gt;= FreeSpinsBonus!$C$16, AG685*FreeSpinsBonus!$E$31, 0), "")</f>
        <v>13.115709705625182</v>
      </c>
      <c r="AJ685">
        <f t="shared" ca="1" si="99"/>
        <v>4.0112057472761848E-3</v>
      </c>
    </row>
    <row r="686" spans="28:36" x14ac:dyDescent="0.3">
      <c r="AB686">
        <f t="shared" si="93"/>
        <v>2</v>
      </c>
      <c r="AC686">
        <f t="shared" si="94"/>
        <v>2</v>
      </c>
      <c r="AD686">
        <f t="shared" si="95"/>
        <v>3</v>
      </c>
      <c r="AE686">
        <f t="shared" si="96"/>
        <v>1</v>
      </c>
      <c r="AF686">
        <f t="shared" si="97"/>
        <v>2</v>
      </c>
      <c r="AG686">
        <f t="shared" si="98"/>
        <v>10</v>
      </c>
      <c r="AH686">
        <f t="shared" ca="1" si="100"/>
        <v>1.6096429144917655E-4</v>
      </c>
      <c r="AI686">
        <f>IF(ROW($AA686) - $AA$51 &lt; ($H$16+1)^5, IF(AG686 &gt;= FreeSpinsBonus!$C$16, AG686*FreeSpinsBonus!$E$31, 0), "")</f>
        <v>14.57301078402798</v>
      </c>
      <c r="AJ686">
        <f t="shared" ca="1" si="99"/>
        <v>2.3457343551322725E-3</v>
      </c>
    </row>
    <row r="687" spans="28:36" x14ac:dyDescent="0.3">
      <c r="AB687">
        <f t="shared" si="93"/>
        <v>3</v>
      </c>
      <c r="AC687">
        <f t="shared" si="94"/>
        <v>2</v>
      </c>
      <c r="AD687">
        <f t="shared" si="95"/>
        <v>3</v>
      </c>
      <c r="AE687">
        <f t="shared" si="96"/>
        <v>1</v>
      </c>
      <c r="AF687">
        <f t="shared" si="97"/>
        <v>2</v>
      </c>
      <c r="AG687">
        <f t="shared" si="98"/>
        <v>11</v>
      </c>
      <c r="AH687">
        <f t="shared" ca="1" si="100"/>
        <v>0</v>
      </c>
      <c r="AI687">
        <f>IF(ROW($AA687) - $AA$51 &lt; ($H$16+1)^5, IF(AG687 &gt;= FreeSpinsBonus!$C$16, AG687*FreeSpinsBonus!$E$31, 0), "")</f>
        <v>16.030311862430779</v>
      </c>
      <c r="AJ687">
        <f t="shared" ca="1" si="99"/>
        <v>0</v>
      </c>
    </row>
    <row r="688" spans="28:36" x14ac:dyDescent="0.3">
      <c r="AB688">
        <f t="shared" si="93"/>
        <v>0</v>
      </c>
      <c r="AC688">
        <f t="shared" si="94"/>
        <v>3</v>
      </c>
      <c r="AD688">
        <f t="shared" si="95"/>
        <v>3</v>
      </c>
      <c r="AE688">
        <f t="shared" si="96"/>
        <v>1</v>
      </c>
      <c r="AF688">
        <f t="shared" si="97"/>
        <v>2</v>
      </c>
      <c r="AG688">
        <f t="shared" si="98"/>
        <v>9</v>
      </c>
      <c r="AH688">
        <f t="shared" ca="1" si="100"/>
        <v>1.0225966750888863E-4</v>
      </c>
      <c r="AI688">
        <f>IF(ROW($AA688) - $AA$51 &lt; ($H$16+1)^5, IF(AG688 &gt;= FreeSpinsBonus!$C$16, AG688*FreeSpinsBonus!$E$31, 0), "")</f>
        <v>13.115709705625182</v>
      </c>
      <c r="AJ688">
        <f t="shared" ca="1" si="99"/>
        <v>1.3412081136403348E-3</v>
      </c>
    </row>
    <row r="689" spans="28:36" x14ac:dyDescent="0.3">
      <c r="AB689">
        <f t="shared" si="93"/>
        <v>1</v>
      </c>
      <c r="AC689">
        <f t="shared" si="94"/>
        <v>3</v>
      </c>
      <c r="AD689">
        <f t="shared" si="95"/>
        <v>3</v>
      </c>
      <c r="AE689">
        <f t="shared" si="96"/>
        <v>1</v>
      </c>
      <c r="AF689">
        <f t="shared" si="97"/>
        <v>2</v>
      </c>
      <c r="AG689">
        <f t="shared" si="98"/>
        <v>10</v>
      </c>
      <c r="AH689">
        <f t="shared" ca="1" si="100"/>
        <v>1.0794076014827131E-4</v>
      </c>
      <c r="AI689">
        <f>IF(ROW($AA689) - $AA$51 &lt; ($H$16+1)^5, IF(AG689 &gt;= FreeSpinsBonus!$C$16, AG689*FreeSpinsBonus!$E$31, 0), "")</f>
        <v>14.57301078402798</v>
      </c>
      <c r="AJ689">
        <f t="shared" ca="1" si="99"/>
        <v>1.5730218616769355E-3</v>
      </c>
    </row>
    <row r="690" spans="28:36" x14ac:dyDescent="0.3">
      <c r="AB690">
        <f t="shared" si="93"/>
        <v>2</v>
      </c>
      <c r="AC690">
        <f t="shared" si="94"/>
        <v>3</v>
      </c>
      <c r="AD690">
        <f t="shared" si="95"/>
        <v>3</v>
      </c>
      <c r="AE690">
        <f t="shared" si="96"/>
        <v>1</v>
      </c>
      <c r="AF690">
        <f t="shared" si="97"/>
        <v>2</v>
      </c>
      <c r="AG690">
        <f t="shared" si="98"/>
        <v>11</v>
      </c>
      <c r="AH690">
        <f t="shared" ca="1" si="100"/>
        <v>5.681092639382702E-5</v>
      </c>
      <c r="AI690">
        <f>IF(ROW($AA690) - $AA$51 &lt; ($H$16+1)^5, IF(AG690 &gt;= FreeSpinsBonus!$C$16, AG690*FreeSpinsBonus!$E$31, 0), "")</f>
        <v>16.030311862430779</v>
      </c>
      <c r="AJ690">
        <f t="shared" ca="1" si="99"/>
        <v>9.1069686728664713E-4</v>
      </c>
    </row>
    <row r="691" spans="28:36" x14ac:dyDescent="0.3">
      <c r="AB691">
        <f t="shared" si="93"/>
        <v>3</v>
      </c>
      <c r="AC691">
        <f t="shared" si="94"/>
        <v>3</v>
      </c>
      <c r="AD691">
        <f t="shared" si="95"/>
        <v>3</v>
      </c>
      <c r="AE691">
        <f t="shared" si="96"/>
        <v>1</v>
      </c>
      <c r="AF691">
        <f t="shared" si="97"/>
        <v>2</v>
      </c>
      <c r="AG691">
        <f t="shared" si="98"/>
        <v>12</v>
      </c>
      <c r="AH691">
        <f t="shared" ca="1" si="100"/>
        <v>0</v>
      </c>
      <c r="AI691">
        <f>IF(ROW($AA691) - $AA$51 &lt; ($H$16+1)^5, IF(AG691 &gt;= FreeSpinsBonus!$C$16, AG691*FreeSpinsBonus!$E$31, 0), "")</f>
        <v>17.487612940833575</v>
      </c>
      <c r="AJ691">
        <f t="shared" ca="1" si="99"/>
        <v>0</v>
      </c>
    </row>
    <row r="692" spans="28:36" x14ac:dyDescent="0.3">
      <c r="AB692">
        <f t="shared" ref="AB692:AB755" si="101">IF(ROW()-$AA$51 &lt; (H$16+1)^5, MOD(_xlfn.FLOOR.MATH((ROW()-$AA$51)/AB$50), H$16+1), "")</f>
        <v>0</v>
      </c>
      <c r="AC692">
        <f t="shared" ref="AC692:AC755" si="102">IF(ROW()-$AA$51 &lt; (I$16+1)^5, MOD(_xlfn.FLOOR.MATH((ROW()-$AA$51)/AC$50), I$16+1), "")</f>
        <v>0</v>
      </c>
      <c r="AD692">
        <f t="shared" ref="AD692:AD755" si="103">IF(ROW()-$AA$51 &lt; (J$16+1)^5, MOD(_xlfn.FLOOR.MATH((ROW()-$AA$51)/AD$50), J$16+1), "")</f>
        <v>0</v>
      </c>
      <c r="AE692">
        <f t="shared" ref="AE692:AE755" si="104">IF(ROW()-$AA$51 &lt; (K$16+1)^5, MOD(_xlfn.FLOOR.MATH((ROW()-$AA$51)/AE$50), K$16+1), "")</f>
        <v>2</v>
      </c>
      <c r="AF692">
        <f t="shared" ref="AF692:AF755" si="105">IF(ROW()-$AA$51 &lt; (L$16+1)^5, MOD(_xlfn.FLOOR.MATH((ROW()-$AA$51)/AF$50), L$16+1), "")</f>
        <v>2</v>
      </c>
      <c r="AG692">
        <f t="shared" ref="AG692:AG755" si="106">IF(ROW($AA692) - $AA$51 &lt; ($H$16+1)^5, SUM(AB692:AF692), "")</f>
        <v>4</v>
      </c>
      <c r="AH692">
        <f t="shared" ca="1" si="100"/>
        <v>3.3714702499900249E-3</v>
      </c>
      <c r="AI692">
        <f>IF(ROW($AA692) - $AA$51 &lt; ($H$16+1)^5, IF(AG692 &gt;= FreeSpinsBonus!$C$16, AG692*FreeSpinsBonus!$E$31, 0), "")</f>
        <v>0</v>
      </c>
      <c r="AJ692">
        <f t="shared" ref="AJ692:AJ755" ca="1" si="107">IF(ROW($AA692) - $AA$51 &lt; ($H$16+1)^5, AH692*AI692, "")</f>
        <v>0</v>
      </c>
    </row>
    <row r="693" spans="28:36" x14ac:dyDescent="0.3">
      <c r="AB693">
        <f t="shared" si="101"/>
        <v>1</v>
      </c>
      <c r="AC693">
        <f t="shared" si="102"/>
        <v>0</v>
      </c>
      <c r="AD693">
        <f t="shared" si="103"/>
        <v>0</v>
      </c>
      <c r="AE693">
        <f t="shared" si="104"/>
        <v>2</v>
      </c>
      <c r="AF693">
        <f t="shared" si="105"/>
        <v>2</v>
      </c>
      <c r="AG693">
        <f t="shared" si="106"/>
        <v>5</v>
      </c>
      <c r="AH693">
        <f t="shared" ref="AH693:AH756" ca="1" si="108">IF(ROW($AA693) - $AA$51 &lt; (4)^5,
    (_xlfn.XLOOKUP(AB693,$T$51:$T$55,U$51:U$55,0)/U$28) * (_xlfn.XLOOKUP(AC693,$T$51:$T$55,V$51:V$55,0)/V$28) * (_xlfn.XLOOKUP(AD693,$T$51:$T$55,W$51:W$55,0)/W$28) * (_xlfn.XLOOKUP(AE693,$T$51:$T$55,X$51:X$55,0)/X$28) * (_xlfn.XLOOKUP(AF693,$T$51:$T$55,Y$51:Y$55,0)/Y$28),
"")</f>
        <v>3.5587741527672479E-3</v>
      </c>
      <c r="AI693">
        <f>IF(ROW($AA693) - $AA$51 &lt; ($H$16+1)^5, IF(AG693 &gt;= FreeSpinsBonus!$C$16, AG693*FreeSpinsBonus!$E$31, 0), "")</f>
        <v>7.2865053920139902</v>
      </c>
      <c r="AJ693">
        <f t="shared" ca="1" si="107"/>
        <v>2.593102705309857E-2</v>
      </c>
    </row>
    <row r="694" spans="28:36" x14ac:dyDescent="0.3">
      <c r="AB694">
        <f t="shared" si="101"/>
        <v>2</v>
      </c>
      <c r="AC694">
        <f t="shared" si="102"/>
        <v>0</v>
      </c>
      <c r="AD694">
        <f t="shared" si="103"/>
        <v>0</v>
      </c>
      <c r="AE694">
        <f t="shared" si="104"/>
        <v>2</v>
      </c>
      <c r="AF694">
        <f t="shared" si="105"/>
        <v>2</v>
      </c>
      <c r="AG694">
        <f t="shared" si="106"/>
        <v>6</v>
      </c>
      <c r="AH694">
        <f t="shared" ca="1" si="108"/>
        <v>1.8730390277722363E-3</v>
      </c>
      <c r="AI694">
        <f>IF(ROW($AA694) - $AA$51 &lt; ($H$16+1)^5, IF(AG694 &gt;= FreeSpinsBonus!$C$16, AG694*FreeSpinsBonus!$E$31, 0), "")</f>
        <v>8.7438064704167875</v>
      </c>
      <c r="AJ694">
        <f t="shared" ca="1" si="107"/>
        <v>1.6377490770378048E-2</v>
      </c>
    </row>
    <row r="695" spans="28:36" x14ac:dyDescent="0.3">
      <c r="AB695">
        <f t="shared" si="101"/>
        <v>3</v>
      </c>
      <c r="AC695">
        <f t="shared" si="102"/>
        <v>0</v>
      </c>
      <c r="AD695">
        <f t="shared" si="103"/>
        <v>0</v>
      </c>
      <c r="AE695">
        <f t="shared" si="104"/>
        <v>2</v>
      </c>
      <c r="AF695">
        <f t="shared" si="105"/>
        <v>2</v>
      </c>
      <c r="AG695">
        <f t="shared" si="106"/>
        <v>7</v>
      </c>
      <c r="AH695">
        <f t="shared" ca="1" si="108"/>
        <v>0</v>
      </c>
      <c r="AI695">
        <f>IF(ROW($AA695) - $AA$51 &lt; ($H$16+1)^5, IF(AG695 &gt;= FreeSpinsBonus!$C$16, AG695*FreeSpinsBonus!$E$31, 0), "")</f>
        <v>10.201107548819586</v>
      </c>
      <c r="AJ695">
        <f t="shared" ca="1" si="107"/>
        <v>0</v>
      </c>
    </row>
    <row r="696" spans="28:36" x14ac:dyDescent="0.3">
      <c r="AB696">
        <f t="shared" si="101"/>
        <v>0</v>
      </c>
      <c r="AC696">
        <f t="shared" si="102"/>
        <v>1</v>
      </c>
      <c r="AD696">
        <f t="shared" si="103"/>
        <v>0</v>
      </c>
      <c r="AE696">
        <f t="shared" si="104"/>
        <v>2</v>
      </c>
      <c r="AF696">
        <f t="shared" si="105"/>
        <v>2</v>
      </c>
      <c r="AG696">
        <f t="shared" si="106"/>
        <v>5</v>
      </c>
      <c r="AH696">
        <f t="shared" ca="1" si="108"/>
        <v>3.3714702499900249E-3</v>
      </c>
      <c r="AI696">
        <f>IF(ROW($AA696) - $AA$51 &lt; ($H$16+1)^5, IF(AG696 &gt;= FreeSpinsBonus!$C$16, AG696*FreeSpinsBonus!$E$31, 0), "")</f>
        <v>7.2865053920139902</v>
      </c>
      <c r="AJ696">
        <f t="shared" ca="1" si="107"/>
        <v>2.4566236155567071E-2</v>
      </c>
    </row>
    <row r="697" spans="28:36" x14ac:dyDescent="0.3">
      <c r="AB697">
        <f t="shared" si="101"/>
        <v>1</v>
      </c>
      <c r="AC697">
        <f t="shared" si="102"/>
        <v>1</v>
      </c>
      <c r="AD697">
        <f t="shared" si="103"/>
        <v>0</v>
      </c>
      <c r="AE697">
        <f t="shared" si="104"/>
        <v>2</v>
      </c>
      <c r="AF697">
        <f t="shared" si="105"/>
        <v>2</v>
      </c>
      <c r="AG697">
        <f t="shared" si="106"/>
        <v>6</v>
      </c>
      <c r="AH697">
        <f t="shared" ca="1" si="108"/>
        <v>3.5587741527672479E-3</v>
      </c>
      <c r="AI697">
        <f>IF(ROW($AA697) - $AA$51 &lt; ($H$16+1)^5, IF(AG697 &gt;= FreeSpinsBonus!$C$16, AG697*FreeSpinsBonus!$E$31, 0), "")</f>
        <v>8.7438064704167875</v>
      </c>
      <c r="AJ697">
        <f t="shared" ca="1" si="107"/>
        <v>3.1117232463718284E-2</v>
      </c>
    </row>
    <row r="698" spans="28:36" x14ac:dyDescent="0.3">
      <c r="AB698">
        <f t="shared" si="101"/>
        <v>2</v>
      </c>
      <c r="AC698">
        <f t="shared" si="102"/>
        <v>1</v>
      </c>
      <c r="AD698">
        <f t="shared" si="103"/>
        <v>0</v>
      </c>
      <c r="AE698">
        <f t="shared" si="104"/>
        <v>2</v>
      </c>
      <c r="AF698">
        <f t="shared" si="105"/>
        <v>2</v>
      </c>
      <c r="AG698">
        <f t="shared" si="106"/>
        <v>7</v>
      </c>
      <c r="AH698">
        <f t="shared" ca="1" si="108"/>
        <v>1.8730390277722363E-3</v>
      </c>
      <c r="AI698">
        <f>IF(ROW($AA698) - $AA$51 &lt; ($H$16+1)^5, IF(AG698 &gt;= FreeSpinsBonus!$C$16, AG698*FreeSpinsBonus!$E$31, 0), "")</f>
        <v>10.201107548819586</v>
      </c>
      <c r="AJ698">
        <f t="shared" ca="1" si="107"/>
        <v>1.9107072565441058E-2</v>
      </c>
    </row>
    <row r="699" spans="28:36" x14ac:dyDescent="0.3">
      <c r="AB699">
        <f t="shared" si="101"/>
        <v>3</v>
      </c>
      <c r="AC699">
        <f t="shared" si="102"/>
        <v>1</v>
      </c>
      <c r="AD699">
        <f t="shared" si="103"/>
        <v>0</v>
      </c>
      <c r="AE699">
        <f t="shared" si="104"/>
        <v>2</v>
      </c>
      <c r="AF699">
        <f t="shared" si="105"/>
        <v>2</v>
      </c>
      <c r="AG699">
        <f t="shared" si="106"/>
        <v>8</v>
      </c>
      <c r="AH699">
        <f t="shared" ca="1" si="108"/>
        <v>0</v>
      </c>
      <c r="AI699">
        <f>IF(ROW($AA699) - $AA$51 &lt; ($H$16+1)^5, IF(AG699 &gt;= FreeSpinsBonus!$C$16, AG699*FreeSpinsBonus!$E$31, 0), "")</f>
        <v>11.658408627222384</v>
      </c>
      <c r="AJ699">
        <f t="shared" ca="1" si="107"/>
        <v>0</v>
      </c>
    </row>
    <row r="700" spans="28:36" x14ac:dyDescent="0.3">
      <c r="AB700">
        <f t="shared" si="101"/>
        <v>0</v>
      </c>
      <c r="AC700">
        <f t="shared" si="102"/>
        <v>2</v>
      </c>
      <c r="AD700">
        <f t="shared" si="103"/>
        <v>0</v>
      </c>
      <c r="AE700">
        <f t="shared" si="104"/>
        <v>2</v>
      </c>
      <c r="AF700">
        <f t="shared" si="105"/>
        <v>2</v>
      </c>
      <c r="AG700">
        <f t="shared" si="106"/>
        <v>6</v>
      </c>
      <c r="AH700">
        <f t="shared" ca="1" si="108"/>
        <v>3.3714702499900249E-3</v>
      </c>
      <c r="AI700">
        <f>IF(ROW($AA700) - $AA$51 &lt; ($H$16+1)^5, IF(AG700 &gt;= FreeSpinsBonus!$C$16, AG700*FreeSpinsBonus!$E$31, 0), "")</f>
        <v>8.7438064704167875</v>
      </c>
      <c r="AJ700">
        <f t="shared" ca="1" si="107"/>
        <v>2.9479483386680484E-2</v>
      </c>
    </row>
    <row r="701" spans="28:36" x14ac:dyDescent="0.3">
      <c r="AB701">
        <f t="shared" si="101"/>
        <v>1</v>
      </c>
      <c r="AC701">
        <f t="shared" si="102"/>
        <v>2</v>
      </c>
      <c r="AD701">
        <f t="shared" si="103"/>
        <v>0</v>
      </c>
      <c r="AE701">
        <f t="shared" si="104"/>
        <v>2</v>
      </c>
      <c r="AF701">
        <f t="shared" si="105"/>
        <v>2</v>
      </c>
      <c r="AG701">
        <f t="shared" si="106"/>
        <v>7</v>
      </c>
      <c r="AH701">
        <f t="shared" ca="1" si="108"/>
        <v>3.5587741527672479E-3</v>
      </c>
      <c r="AI701">
        <f>IF(ROW($AA701) - $AA$51 &lt; ($H$16+1)^5, IF(AG701 &gt;= FreeSpinsBonus!$C$16, AG701*FreeSpinsBonus!$E$31, 0), "")</f>
        <v>10.201107548819586</v>
      </c>
      <c r="AJ701">
        <f t="shared" ca="1" si="107"/>
        <v>3.6303437874337999E-2</v>
      </c>
    </row>
    <row r="702" spans="28:36" x14ac:dyDescent="0.3">
      <c r="AB702">
        <f t="shared" si="101"/>
        <v>2</v>
      </c>
      <c r="AC702">
        <f t="shared" si="102"/>
        <v>2</v>
      </c>
      <c r="AD702">
        <f t="shared" si="103"/>
        <v>0</v>
      </c>
      <c r="AE702">
        <f t="shared" si="104"/>
        <v>2</v>
      </c>
      <c r="AF702">
        <f t="shared" si="105"/>
        <v>2</v>
      </c>
      <c r="AG702">
        <f t="shared" si="106"/>
        <v>8</v>
      </c>
      <c r="AH702">
        <f t="shared" ca="1" si="108"/>
        <v>1.8730390277722363E-3</v>
      </c>
      <c r="AI702">
        <f>IF(ROW($AA702) - $AA$51 &lt; ($H$16+1)^5, IF(AG702 &gt;= FreeSpinsBonus!$C$16, AG702*FreeSpinsBonus!$E$31, 0), "")</f>
        <v>11.658408627222384</v>
      </c>
      <c r="AJ702">
        <f t="shared" ca="1" si="107"/>
        <v>2.1836654360504065E-2</v>
      </c>
    </row>
    <row r="703" spans="28:36" x14ac:dyDescent="0.3">
      <c r="AB703">
        <f t="shared" si="101"/>
        <v>3</v>
      </c>
      <c r="AC703">
        <f t="shared" si="102"/>
        <v>2</v>
      </c>
      <c r="AD703">
        <f t="shared" si="103"/>
        <v>0</v>
      </c>
      <c r="AE703">
        <f t="shared" si="104"/>
        <v>2</v>
      </c>
      <c r="AF703">
        <f t="shared" si="105"/>
        <v>2</v>
      </c>
      <c r="AG703">
        <f t="shared" si="106"/>
        <v>9</v>
      </c>
      <c r="AH703">
        <f t="shared" ca="1" si="108"/>
        <v>0</v>
      </c>
      <c r="AI703">
        <f>IF(ROW($AA703) - $AA$51 &lt; ($H$16+1)^5, IF(AG703 &gt;= FreeSpinsBonus!$C$16, AG703*FreeSpinsBonus!$E$31, 0), "")</f>
        <v>13.115709705625182</v>
      </c>
      <c r="AJ703">
        <f t="shared" ca="1" si="107"/>
        <v>0</v>
      </c>
    </row>
    <row r="704" spans="28:36" x14ac:dyDescent="0.3">
      <c r="AB704">
        <f t="shared" si="101"/>
        <v>0</v>
      </c>
      <c r="AC704">
        <f t="shared" si="102"/>
        <v>3</v>
      </c>
      <c r="AD704">
        <f t="shared" si="103"/>
        <v>0</v>
      </c>
      <c r="AE704">
        <f t="shared" si="104"/>
        <v>2</v>
      </c>
      <c r="AF704">
        <f t="shared" si="105"/>
        <v>2</v>
      </c>
      <c r="AG704">
        <f t="shared" si="106"/>
        <v>7</v>
      </c>
      <c r="AH704">
        <f t="shared" ca="1" si="108"/>
        <v>1.1899306764670678E-3</v>
      </c>
      <c r="AI704">
        <f>IF(ROW($AA704) - $AA$51 &lt; ($H$16+1)^5, IF(AG704 &gt;= FreeSpinsBonus!$C$16, AG704*FreeSpinsBonus!$E$31, 0), "")</f>
        <v>10.201107548819586</v>
      </c>
      <c r="AJ704">
        <f t="shared" ca="1" si="107"/>
        <v>1.2138610806280202E-2</v>
      </c>
    </row>
    <row r="705" spans="28:36" x14ac:dyDescent="0.3">
      <c r="AB705">
        <f t="shared" si="101"/>
        <v>1</v>
      </c>
      <c r="AC705">
        <f t="shared" si="102"/>
        <v>3</v>
      </c>
      <c r="AD705">
        <f t="shared" si="103"/>
        <v>0</v>
      </c>
      <c r="AE705">
        <f t="shared" si="104"/>
        <v>2</v>
      </c>
      <c r="AF705">
        <f t="shared" si="105"/>
        <v>2</v>
      </c>
      <c r="AG705">
        <f t="shared" si="106"/>
        <v>8</v>
      </c>
      <c r="AH705">
        <f t="shared" ca="1" si="108"/>
        <v>1.2560379362707935E-3</v>
      </c>
      <c r="AI705">
        <f>IF(ROW($AA705) - $AA$51 &lt; ($H$16+1)^5, IF(AG705 &gt;= FreeSpinsBonus!$C$16, AG705*FreeSpinsBonus!$E$31, 0), "")</f>
        <v>11.658408627222384</v>
      </c>
      <c r="AJ705">
        <f t="shared" ca="1" si="107"/>
        <v>1.4643403512338019E-2</v>
      </c>
    </row>
    <row r="706" spans="28:36" x14ac:dyDescent="0.3">
      <c r="AB706">
        <f t="shared" si="101"/>
        <v>2</v>
      </c>
      <c r="AC706">
        <f t="shared" si="102"/>
        <v>3</v>
      </c>
      <c r="AD706">
        <f t="shared" si="103"/>
        <v>0</v>
      </c>
      <c r="AE706">
        <f t="shared" si="104"/>
        <v>2</v>
      </c>
      <c r="AF706">
        <f t="shared" si="105"/>
        <v>2</v>
      </c>
      <c r="AG706">
        <f t="shared" si="106"/>
        <v>9</v>
      </c>
      <c r="AH706">
        <f t="shared" ca="1" si="108"/>
        <v>6.6107259803725987E-4</v>
      </c>
      <c r="AI706">
        <f>IF(ROW($AA706) - $AA$51 &lt; ($H$16+1)^5, IF(AG706 &gt;= FreeSpinsBonus!$C$16, AG706*FreeSpinsBonus!$E$31, 0), "")</f>
        <v>13.115709705625182</v>
      </c>
      <c r="AJ706">
        <f t="shared" ca="1" si="107"/>
        <v>8.6704362902001435E-3</v>
      </c>
    </row>
    <row r="707" spans="28:36" x14ac:dyDescent="0.3">
      <c r="AB707">
        <f t="shared" si="101"/>
        <v>3</v>
      </c>
      <c r="AC707">
        <f t="shared" si="102"/>
        <v>3</v>
      </c>
      <c r="AD707">
        <f t="shared" si="103"/>
        <v>0</v>
      </c>
      <c r="AE707">
        <f t="shared" si="104"/>
        <v>2</v>
      </c>
      <c r="AF707">
        <f t="shared" si="105"/>
        <v>2</v>
      </c>
      <c r="AG707">
        <f t="shared" si="106"/>
        <v>10</v>
      </c>
      <c r="AH707">
        <f t="shared" ca="1" si="108"/>
        <v>0</v>
      </c>
      <c r="AI707">
        <f>IF(ROW($AA707) - $AA$51 &lt; ($H$16+1)^5, IF(AG707 &gt;= FreeSpinsBonus!$C$16, AG707*FreeSpinsBonus!$E$31, 0), "")</f>
        <v>14.57301078402798</v>
      </c>
      <c r="AJ707">
        <f t="shared" ca="1" si="107"/>
        <v>0</v>
      </c>
    </row>
    <row r="708" spans="28:36" x14ac:dyDescent="0.3">
      <c r="AB708">
        <f t="shared" si="101"/>
        <v>0</v>
      </c>
      <c r="AC708">
        <f t="shared" si="102"/>
        <v>0</v>
      </c>
      <c r="AD708">
        <f t="shared" si="103"/>
        <v>1</v>
      </c>
      <c r="AE708">
        <f t="shared" si="104"/>
        <v>2</v>
      </c>
      <c r="AF708">
        <f t="shared" si="105"/>
        <v>2</v>
      </c>
      <c r="AG708">
        <f t="shared" si="106"/>
        <v>5</v>
      </c>
      <c r="AH708">
        <f t="shared" ca="1" si="108"/>
        <v>4.2143378124875324E-3</v>
      </c>
      <c r="AI708">
        <f>IF(ROW($AA708) - $AA$51 &lt; ($H$16+1)^5, IF(AG708 &gt;= FreeSpinsBonus!$C$16, AG708*FreeSpinsBonus!$E$31, 0), "")</f>
        <v>7.2865053920139902</v>
      </c>
      <c r="AJ708">
        <f t="shared" ca="1" si="107"/>
        <v>3.0707795194458848E-2</v>
      </c>
    </row>
    <row r="709" spans="28:36" x14ac:dyDescent="0.3">
      <c r="AB709">
        <f t="shared" si="101"/>
        <v>1</v>
      </c>
      <c r="AC709">
        <f t="shared" si="102"/>
        <v>0</v>
      </c>
      <c r="AD709">
        <f t="shared" si="103"/>
        <v>1</v>
      </c>
      <c r="AE709">
        <f t="shared" si="104"/>
        <v>2</v>
      </c>
      <c r="AF709">
        <f t="shared" si="105"/>
        <v>2</v>
      </c>
      <c r="AG709">
        <f t="shared" si="106"/>
        <v>6</v>
      </c>
      <c r="AH709">
        <f t="shared" ca="1" si="108"/>
        <v>4.448467690959061E-3</v>
      </c>
      <c r="AI709">
        <f>IF(ROW($AA709) - $AA$51 &lt; ($H$16+1)^5, IF(AG709 &gt;= FreeSpinsBonus!$C$16, AG709*FreeSpinsBonus!$E$31, 0), "")</f>
        <v>8.7438064704167875</v>
      </c>
      <c r="AJ709">
        <f t="shared" ca="1" si="107"/>
        <v>3.8896540579647865E-2</v>
      </c>
    </row>
    <row r="710" spans="28:36" x14ac:dyDescent="0.3">
      <c r="AB710">
        <f t="shared" si="101"/>
        <v>2</v>
      </c>
      <c r="AC710">
        <f t="shared" si="102"/>
        <v>0</v>
      </c>
      <c r="AD710">
        <f t="shared" si="103"/>
        <v>1</v>
      </c>
      <c r="AE710">
        <f t="shared" si="104"/>
        <v>2</v>
      </c>
      <c r="AF710">
        <f t="shared" si="105"/>
        <v>2</v>
      </c>
      <c r="AG710">
        <f t="shared" si="106"/>
        <v>7</v>
      </c>
      <c r="AH710">
        <f t="shared" ca="1" si="108"/>
        <v>2.3412987847152953E-3</v>
      </c>
      <c r="AI710">
        <f>IF(ROW($AA710) - $AA$51 &lt; ($H$16+1)^5, IF(AG710 &gt;= FreeSpinsBonus!$C$16, AG710*FreeSpinsBonus!$E$31, 0), "")</f>
        <v>10.201107548819586</v>
      </c>
      <c r="AJ710">
        <f t="shared" ca="1" si="107"/>
        <v>2.3883840706801319E-2</v>
      </c>
    </row>
    <row r="711" spans="28:36" x14ac:dyDescent="0.3">
      <c r="AB711">
        <f t="shared" si="101"/>
        <v>3</v>
      </c>
      <c r="AC711">
        <f t="shared" si="102"/>
        <v>0</v>
      </c>
      <c r="AD711">
        <f t="shared" si="103"/>
        <v>1</v>
      </c>
      <c r="AE711">
        <f t="shared" si="104"/>
        <v>2</v>
      </c>
      <c r="AF711">
        <f t="shared" si="105"/>
        <v>2</v>
      </c>
      <c r="AG711">
        <f t="shared" si="106"/>
        <v>8</v>
      </c>
      <c r="AH711">
        <f t="shared" ca="1" si="108"/>
        <v>0</v>
      </c>
      <c r="AI711">
        <f>IF(ROW($AA711) - $AA$51 &lt; ($H$16+1)^5, IF(AG711 &gt;= FreeSpinsBonus!$C$16, AG711*FreeSpinsBonus!$E$31, 0), "")</f>
        <v>11.658408627222384</v>
      </c>
      <c r="AJ711">
        <f t="shared" ca="1" si="107"/>
        <v>0</v>
      </c>
    </row>
    <row r="712" spans="28:36" x14ac:dyDescent="0.3">
      <c r="AB712">
        <f t="shared" si="101"/>
        <v>0</v>
      </c>
      <c r="AC712">
        <f t="shared" si="102"/>
        <v>1</v>
      </c>
      <c r="AD712">
        <f t="shared" si="103"/>
        <v>1</v>
      </c>
      <c r="AE712">
        <f t="shared" si="104"/>
        <v>2</v>
      </c>
      <c r="AF712">
        <f t="shared" si="105"/>
        <v>2</v>
      </c>
      <c r="AG712">
        <f t="shared" si="106"/>
        <v>6</v>
      </c>
      <c r="AH712">
        <f t="shared" ca="1" si="108"/>
        <v>4.2143378124875324E-3</v>
      </c>
      <c r="AI712">
        <f>IF(ROW($AA712) - $AA$51 &lt; ($H$16+1)^5, IF(AG712 &gt;= FreeSpinsBonus!$C$16, AG712*FreeSpinsBonus!$E$31, 0), "")</f>
        <v>8.7438064704167875</v>
      </c>
      <c r="AJ712">
        <f t="shared" ca="1" si="107"/>
        <v>3.6849354233350617E-2</v>
      </c>
    </row>
    <row r="713" spans="28:36" x14ac:dyDescent="0.3">
      <c r="AB713">
        <f t="shared" si="101"/>
        <v>1</v>
      </c>
      <c r="AC713">
        <f t="shared" si="102"/>
        <v>1</v>
      </c>
      <c r="AD713">
        <f t="shared" si="103"/>
        <v>1</v>
      </c>
      <c r="AE713">
        <f t="shared" si="104"/>
        <v>2</v>
      </c>
      <c r="AF713">
        <f t="shared" si="105"/>
        <v>2</v>
      </c>
      <c r="AG713">
        <f t="shared" si="106"/>
        <v>7</v>
      </c>
      <c r="AH713">
        <f t="shared" ca="1" si="108"/>
        <v>4.448467690959061E-3</v>
      </c>
      <c r="AI713">
        <f>IF(ROW($AA713) - $AA$51 &lt; ($H$16+1)^5, IF(AG713 &gt;= FreeSpinsBonus!$C$16, AG713*FreeSpinsBonus!$E$31, 0), "")</f>
        <v>10.201107548819586</v>
      </c>
      <c r="AJ713">
        <f t="shared" ca="1" si="107"/>
        <v>4.5379297342922509E-2</v>
      </c>
    </row>
    <row r="714" spans="28:36" x14ac:dyDescent="0.3">
      <c r="AB714">
        <f t="shared" si="101"/>
        <v>2</v>
      </c>
      <c r="AC714">
        <f t="shared" si="102"/>
        <v>1</v>
      </c>
      <c r="AD714">
        <f t="shared" si="103"/>
        <v>1</v>
      </c>
      <c r="AE714">
        <f t="shared" si="104"/>
        <v>2</v>
      </c>
      <c r="AF714">
        <f t="shared" si="105"/>
        <v>2</v>
      </c>
      <c r="AG714">
        <f t="shared" si="106"/>
        <v>8</v>
      </c>
      <c r="AH714">
        <f t="shared" ca="1" si="108"/>
        <v>2.3412987847152953E-3</v>
      </c>
      <c r="AI714">
        <f>IF(ROW($AA714) - $AA$51 &lt; ($H$16+1)^5, IF(AG714 &gt;= FreeSpinsBonus!$C$16, AG714*FreeSpinsBonus!$E$31, 0), "")</f>
        <v>11.658408627222384</v>
      </c>
      <c r="AJ714">
        <f t="shared" ca="1" si="107"/>
        <v>2.7295817950630082E-2</v>
      </c>
    </row>
    <row r="715" spans="28:36" x14ac:dyDescent="0.3">
      <c r="AB715">
        <f t="shared" si="101"/>
        <v>3</v>
      </c>
      <c r="AC715">
        <f t="shared" si="102"/>
        <v>1</v>
      </c>
      <c r="AD715">
        <f t="shared" si="103"/>
        <v>1</v>
      </c>
      <c r="AE715">
        <f t="shared" si="104"/>
        <v>2</v>
      </c>
      <c r="AF715">
        <f t="shared" si="105"/>
        <v>2</v>
      </c>
      <c r="AG715">
        <f t="shared" si="106"/>
        <v>9</v>
      </c>
      <c r="AH715">
        <f t="shared" ca="1" si="108"/>
        <v>0</v>
      </c>
      <c r="AI715">
        <f>IF(ROW($AA715) - $AA$51 &lt; ($H$16+1)^5, IF(AG715 &gt;= FreeSpinsBonus!$C$16, AG715*FreeSpinsBonus!$E$31, 0), "")</f>
        <v>13.115709705625182</v>
      </c>
      <c r="AJ715">
        <f t="shared" ca="1" si="107"/>
        <v>0</v>
      </c>
    </row>
    <row r="716" spans="28:36" x14ac:dyDescent="0.3">
      <c r="AB716">
        <f t="shared" si="101"/>
        <v>0</v>
      </c>
      <c r="AC716">
        <f t="shared" si="102"/>
        <v>2</v>
      </c>
      <c r="AD716">
        <f t="shared" si="103"/>
        <v>1</v>
      </c>
      <c r="AE716">
        <f t="shared" si="104"/>
        <v>2</v>
      </c>
      <c r="AF716">
        <f t="shared" si="105"/>
        <v>2</v>
      </c>
      <c r="AG716">
        <f t="shared" si="106"/>
        <v>7</v>
      </c>
      <c r="AH716">
        <f t="shared" ca="1" si="108"/>
        <v>4.2143378124875324E-3</v>
      </c>
      <c r="AI716">
        <f>IF(ROW($AA716) - $AA$51 &lt; ($H$16+1)^5, IF(AG716 &gt;= FreeSpinsBonus!$C$16, AG716*FreeSpinsBonus!$E$31, 0), "")</f>
        <v>10.201107548819586</v>
      </c>
      <c r="AJ716">
        <f t="shared" ca="1" si="107"/>
        <v>4.2990913272242387E-2</v>
      </c>
    </row>
    <row r="717" spans="28:36" x14ac:dyDescent="0.3">
      <c r="AB717">
        <f t="shared" si="101"/>
        <v>1</v>
      </c>
      <c r="AC717">
        <f t="shared" si="102"/>
        <v>2</v>
      </c>
      <c r="AD717">
        <f t="shared" si="103"/>
        <v>1</v>
      </c>
      <c r="AE717">
        <f t="shared" si="104"/>
        <v>2</v>
      </c>
      <c r="AF717">
        <f t="shared" si="105"/>
        <v>2</v>
      </c>
      <c r="AG717">
        <f t="shared" si="106"/>
        <v>8</v>
      </c>
      <c r="AH717">
        <f t="shared" ca="1" si="108"/>
        <v>4.448467690959061E-3</v>
      </c>
      <c r="AI717">
        <f>IF(ROW($AA717) - $AA$51 &lt; ($H$16+1)^5, IF(AG717 &gt;= FreeSpinsBonus!$C$16, AG717*FreeSpinsBonus!$E$31, 0), "")</f>
        <v>11.658408627222384</v>
      </c>
      <c r="AJ717">
        <f t="shared" ca="1" si="107"/>
        <v>5.1862054106197153E-2</v>
      </c>
    </row>
    <row r="718" spans="28:36" x14ac:dyDescent="0.3">
      <c r="AB718">
        <f t="shared" si="101"/>
        <v>2</v>
      </c>
      <c r="AC718">
        <f t="shared" si="102"/>
        <v>2</v>
      </c>
      <c r="AD718">
        <f t="shared" si="103"/>
        <v>1</v>
      </c>
      <c r="AE718">
        <f t="shared" si="104"/>
        <v>2</v>
      </c>
      <c r="AF718">
        <f t="shared" si="105"/>
        <v>2</v>
      </c>
      <c r="AG718">
        <f t="shared" si="106"/>
        <v>9</v>
      </c>
      <c r="AH718">
        <f t="shared" ca="1" si="108"/>
        <v>2.3412987847152953E-3</v>
      </c>
      <c r="AI718">
        <f>IF(ROW($AA718) - $AA$51 &lt; ($H$16+1)^5, IF(AG718 &gt;= FreeSpinsBonus!$C$16, AG718*FreeSpinsBonus!$E$31, 0), "")</f>
        <v>13.115709705625182</v>
      </c>
      <c r="AJ718">
        <f t="shared" ca="1" si="107"/>
        <v>3.0707795194458841E-2</v>
      </c>
    </row>
    <row r="719" spans="28:36" x14ac:dyDescent="0.3">
      <c r="AB719">
        <f t="shared" si="101"/>
        <v>3</v>
      </c>
      <c r="AC719">
        <f t="shared" si="102"/>
        <v>2</v>
      </c>
      <c r="AD719">
        <f t="shared" si="103"/>
        <v>1</v>
      </c>
      <c r="AE719">
        <f t="shared" si="104"/>
        <v>2</v>
      </c>
      <c r="AF719">
        <f t="shared" si="105"/>
        <v>2</v>
      </c>
      <c r="AG719">
        <f t="shared" si="106"/>
        <v>10</v>
      </c>
      <c r="AH719">
        <f t="shared" ca="1" si="108"/>
        <v>0</v>
      </c>
      <c r="AI719">
        <f>IF(ROW($AA719) - $AA$51 &lt; ($H$16+1)^5, IF(AG719 &gt;= FreeSpinsBonus!$C$16, AG719*FreeSpinsBonus!$E$31, 0), "")</f>
        <v>14.57301078402798</v>
      </c>
      <c r="AJ719">
        <f t="shared" ca="1" si="107"/>
        <v>0</v>
      </c>
    </row>
    <row r="720" spans="28:36" x14ac:dyDescent="0.3">
      <c r="AB720">
        <f t="shared" si="101"/>
        <v>0</v>
      </c>
      <c r="AC720">
        <f t="shared" si="102"/>
        <v>3</v>
      </c>
      <c r="AD720">
        <f t="shared" si="103"/>
        <v>1</v>
      </c>
      <c r="AE720">
        <f t="shared" si="104"/>
        <v>2</v>
      </c>
      <c r="AF720">
        <f t="shared" si="105"/>
        <v>2</v>
      </c>
      <c r="AG720">
        <f t="shared" si="106"/>
        <v>8</v>
      </c>
      <c r="AH720">
        <f t="shared" ca="1" si="108"/>
        <v>1.4874133455838347E-3</v>
      </c>
      <c r="AI720">
        <f>IF(ROW($AA720) - $AA$51 &lt; ($H$16+1)^5, IF(AG720 &gt;= FreeSpinsBonus!$C$16, AG720*FreeSpinsBonus!$E$31, 0), "")</f>
        <v>11.658408627222384</v>
      </c>
      <c r="AJ720">
        <f t="shared" ca="1" si="107"/>
        <v>1.7340872580400287E-2</v>
      </c>
    </row>
    <row r="721" spans="28:36" x14ac:dyDescent="0.3">
      <c r="AB721">
        <f t="shared" si="101"/>
        <v>1</v>
      </c>
      <c r="AC721">
        <f t="shared" si="102"/>
        <v>3</v>
      </c>
      <c r="AD721">
        <f t="shared" si="103"/>
        <v>1</v>
      </c>
      <c r="AE721">
        <f t="shared" si="104"/>
        <v>2</v>
      </c>
      <c r="AF721">
        <f t="shared" si="105"/>
        <v>2</v>
      </c>
      <c r="AG721">
        <f t="shared" si="106"/>
        <v>9</v>
      </c>
      <c r="AH721">
        <f t="shared" ca="1" si="108"/>
        <v>1.5700474203384923E-3</v>
      </c>
      <c r="AI721">
        <f>IF(ROW($AA721) - $AA$51 &lt; ($H$16+1)^5, IF(AG721 &gt;= FreeSpinsBonus!$C$16, AG721*FreeSpinsBonus!$E$31, 0), "")</f>
        <v>13.115709705625182</v>
      </c>
      <c r="AJ721">
        <f t="shared" ca="1" si="107"/>
        <v>2.0592286189225342E-2</v>
      </c>
    </row>
    <row r="722" spans="28:36" x14ac:dyDescent="0.3">
      <c r="AB722">
        <f t="shared" si="101"/>
        <v>2</v>
      </c>
      <c r="AC722">
        <f t="shared" si="102"/>
        <v>3</v>
      </c>
      <c r="AD722">
        <f t="shared" si="103"/>
        <v>1</v>
      </c>
      <c r="AE722">
        <f t="shared" si="104"/>
        <v>2</v>
      </c>
      <c r="AF722">
        <f t="shared" si="105"/>
        <v>2</v>
      </c>
      <c r="AG722">
        <f t="shared" si="106"/>
        <v>10</v>
      </c>
      <c r="AH722">
        <f t="shared" ca="1" si="108"/>
        <v>8.2634074754657483E-4</v>
      </c>
      <c r="AI722">
        <f>IF(ROW($AA722) - $AA$51 &lt; ($H$16+1)^5, IF(AG722 &gt;= FreeSpinsBonus!$C$16, AG722*FreeSpinsBonus!$E$31, 0), "")</f>
        <v>14.57301078402798</v>
      </c>
      <c r="AJ722">
        <f t="shared" ca="1" si="107"/>
        <v>1.2042272625277978E-2</v>
      </c>
    </row>
    <row r="723" spans="28:36" x14ac:dyDescent="0.3">
      <c r="AB723">
        <f t="shared" si="101"/>
        <v>3</v>
      </c>
      <c r="AC723">
        <f t="shared" si="102"/>
        <v>3</v>
      </c>
      <c r="AD723">
        <f t="shared" si="103"/>
        <v>1</v>
      </c>
      <c r="AE723">
        <f t="shared" si="104"/>
        <v>2</v>
      </c>
      <c r="AF723">
        <f t="shared" si="105"/>
        <v>2</v>
      </c>
      <c r="AG723">
        <f t="shared" si="106"/>
        <v>11</v>
      </c>
      <c r="AH723">
        <f t="shared" ca="1" si="108"/>
        <v>0</v>
      </c>
      <c r="AI723">
        <f>IF(ROW($AA723) - $AA$51 &lt; ($H$16+1)^5, IF(AG723 &gt;= FreeSpinsBonus!$C$16, AG723*FreeSpinsBonus!$E$31, 0), "")</f>
        <v>16.030311862430779</v>
      </c>
      <c r="AJ723">
        <f t="shared" ca="1" si="107"/>
        <v>0</v>
      </c>
    </row>
    <row r="724" spans="28:36" x14ac:dyDescent="0.3">
      <c r="AB724">
        <f t="shared" si="101"/>
        <v>0</v>
      </c>
      <c r="AC724">
        <f t="shared" si="102"/>
        <v>0</v>
      </c>
      <c r="AD724">
        <f t="shared" si="103"/>
        <v>2</v>
      </c>
      <c r="AE724">
        <f t="shared" si="104"/>
        <v>2</v>
      </c>
      <c r="AF724">
        <f t="shared" si="105"/>
        <v>2</v>
      </c>
      <c r="AG724">
        <f t="shared" si="106"/>
        <v>6</v>
      </c>
      <c r="AH724">
        <f t="shared" ca="1" si="108"/>
        <v>2.3178857968681422E-3</v>
      </c>
      <c r="AI724">
        <f>IF(ROW($AA724) - $AA$51 &lt; ($H$16+1)^5, IF(AG724 &gt;= FreeSpinsBonus!$C$16, AG724*FreeSpinsBonus!$E$31, 0), "")</f>
        <v>8.7438064704167875</v>
      </c>
      <c r="AJ724">
        <f t="shared" ca="1" si="107"/>
        <v>2.0267144828342833E-2</v>
      </c>
    </row>
    <row r="725" spans="28:36" x14ac:dyDescent="0.3">
      <c r="AB725">
        <f t="shared" si="101"/>
        <v>1</v>
      </c>
      <c r="AC725">
        <f t="shared" si="102"/>
        <v>0</v>
      </c>
      <c r="AD725">
        <f t="shared" si="103"/>
        <v>2</v>
      </c>
      <c r="AE725">
        <f t="shared" si="104"/>
        <v>2</v>
      </c>
      <c r="AF725">
        <f t="shared" si="105"/>
        <v>2</v>
      </c>
      <c r="AG725">
        <f t="shared" si="106"/>
        <v>7</v>
      </c>
      <c r="AH725">
        <f t="shared" ca="1" si="108"/>
        <v>2.4466572300274833E-3</v>
      </c>
      <c r="AI725">
        <f>IF(ROW($AA725) - $AA$51 &lt; ($H$16+1)^5, IF(AG725 &gt;= FreeSpinsBonus!$C$16, AG725*FreeSpinsBonus!$E$31, 0), "")</f>
        <v>10.201107548819586</v>
      </c>
      <c r="AJ725">
        <f t="shared" ca="1" si="107"/>
        <v>2.4958613538607378E-2</v>
      </c>
    </row>
    <row r="726" spans="28:36" x14ac:dyDescent="0.3">
      <c r="AB726">
        <f t="shared" si="101"/>
        <v>2</v>
      </c>
      <c r="AC726">
        <f t="shared" si="102"/>
        <v>0</v>
      </c>
      <c r="AD726">
        <f t="shared" si="103"/>
        <v>2</v>
      </c>
      <c r="AE726">
        <f t="shared" si="104"/>
        <v>2</v>
      </c>
      <c r="AF726">
        <f t="shared" si="105"/>
        <v>2</v>
      </c>
      <c r="AG726">
        <f t="shared" si="106"/>
        <v>8</v>
      </c>
      <c r="AH726">
        <f t="shared" ca="1" si="108"/>
        <v>1.2877143315934124E-3</v>
      </c>
      <c r="AI726">
        <f>IF(ROW($AA726) - $AA$51 &lt; ($H$16+1)^5, IF(AG726 &gt;= FreeSpinsBonus!$C$16, AG726*FreeSpinsBonus!$E$31, 0), "")</f>
        <v>11.658408627222384</v>
      </c>
      <c r="AJ726">
        <f t="shared" ca="1" si="107"/>
        <v>1.5012699872846544E-2</v>
      </c>
    </row>
    <row r="727" spans="28:36" x14ac:dyDescent="0.3">
      <c r="AB727">
        <f t="shared" si="101"/>
        <v>3</v>
      </c>
      <c r="AC727">
        <f t="shared" si="102"/>
        <v>0</v>
      </c>
      <c r="AD727">
        <f t="shared" si="103"/>
        <v>2</v>
      </c>
      <c r="AE727">
        <f t="shared" si="104"/>
        <v>2</v>
      </c>
      <c r="AF727">
        <f t="shared" si="105"/>
        <v>2</v>
      </c>
      <c r="AG727">
        <f t="shared" si="106"/>
        <v>9</v>
      </c>
      <c r="AH727">
        <f t="shared" ca="1" si="108"/>
        <v>0</v>
      </c>
      <c r="AI727">
        <f>IF(ROW($AA727) - $AA$51 &lt; ($H$16+1)^5, IF(AG727 &gt;= FreeSpinsBonus!$C$16, AG727*FreeSpinsBonus!$E$31, 0), "")</f>
        <v>13.115709705625182</v>
      </c>
      <c r="AJ727">
        <f t="shared" ca="1" si="107"/>
        <v>0</v>
      </c>
    </row>
    <row r="728" spans="28:36" x14ac:dyDescent="0.3">
      <c r="AB728">
        <f t="shared" si="101"/>
        <v>0</v>
      </c>
      <c r="AC728">
        <f t="shared" si="102"/>
        <v>1</v>
      </c>
      <c r="AD728">
        <f t="shared" si="103"/>
        <v>2</v>
      </c>
      <c r="AE728">
        <f t="shared" si="104"/>
        <v>2</v>
      </c>
      <c r="AF728">
        <f t="shared" si="105"/>
        <v>2</v>
      </c>
      <c r="AG728">
        <f t="shared" si="106"/>
        <v>7</v>
      </c>
      <c r="AH728">
        <f t="shared" ca="1" si="108"/>
        <v>2.3178857968681422E-3</v>
      </c>
      <c r="AI728">
        <f>IF(ROW($AA728) - $AA$51 &lt; ($H$16+1)^5, IF(AG728 &gt;= FreeSpinsBonus!$C$16, AG728*FreeSpinsBonus!$E$31, 0), "")</f>
        <v>10.201107548819586</v>
      </c>
      <c r="AJ728">
        <f t="shared" ca="1" si="107"/>
        <v>2.3645002299733306E-2</v>
      </c>
    </row>
    <row r="729" spans="28:36" x14ac:dyDescent="0.3">
      <c r="AB729">
        <f t="shared" si="101"/>
        <v>1</v>
      </c>
      <c r="AC729">
        <f t="shared" si="102"/>
        <v>1</v>
      </c>
      <c r="AD729">
        <f t="shared" si="103"/>
        <v>2</v>
      </c>
      <c r="AE729">
        <f t="shared" si="104"/>
        <v>2</v>
      </c>
      <c r="AF729">
        <f t="shared" si="105"/>
        <v>2</v>
      </c>
      <c r="AG729">
        <f t="shared" si="106"/>
        <v>8</v>
      </c>
      <c r="AH729">
        <f t="shared" ca="1" si="108"/>
        <v>2.4466572300274833E-3</v>
      </c>
      <c r="AI729">
        <f>IF(ROW($AA729) - $AA$51 &lt; ($H$16+1)^5, IF(AG729 &gt;= FreeSpinsBonus!$C$16, AG729*FreeSpinsBonus!$E$31, 0), "")</f>
        <v>11.658408627222384</v>
      </c>
      <c r="AJ729">
        <f t="shared" ca="1" si="107"/>
        <v>2.8524129758408432E-2</v>
      </c>
    </row>
    <row r="730" spans="28:36" x14ac:dyDescent="0.3">
      <c r="AB730">
        <f t="shared" si="101"/>
        <v>2</v>
      </c>
      <c r="AC730">
        <f t="shared" si="102"/>
        <v>1</v>
      </c>
      <c r="AD730">
        <f t="shared" si="103"/>
        <v>2</v>
      </c>
      <c r="AE730">
        <f t="shared" si="104"/>
        <v>2</v>
      </c>
      <c r="AF730">
        <f t="shared" si="105"/>
        <v>2</v>
      </c>
      <c r="AG730">
        <f t="shared" si="106"/>
        <v>9</v>
      </c>
      <c r="AH730">
        <f t="shared" ca="1" si="108"/>
        <v>1.2877143315934124E-3</v>
      </c>
      <c r="AI730">
        <f>IF(ROW($AA730) - $AA$51 &lt; ($H$16+1)^5, IF(AG730 &gt;= FreeSpinsBonus!$C$16, AG730*FreeSpinsBonus!$E$31, 0), "")</f>
        <v>13.115709705625182</v>
      </c>
      <c r="AJ730">
        <f t="shared" ca="1" si="107"/>
        <v>1.6889287356952363E-2</v>
      </c>
    </row>
    <row r="731" spans="28:36" x14ac:dyDescent="0.3">
      <c r="AB731">
        <f t="shared" si="101"/>
        <v>3</v>
      </c>
      <c r="AC731">
        <f t="shared" si="102"/>
        <v>1</v>
      </c>
      <c r="AD731">
        <f t="shared" si="103"/>
        <v>2</v>
      </c>
      <c r="AE731">
        <f t="shared" si="104"/>
        <v>2</v>
      </c>
      <c r="AF731">
        <f t="shared" si="105"/>
        <v>2</v>
      </c>
      <c r="AG731">
        <f t="shared" si="106"/>
        <v>10</v>
      </c>
      <c r="AH731">
        <f t="shared" ca="1" si="108"/>
        <v>0</v>
      </c>
      <c r="AI731">
        <f>IF(ROW($AA731) - $AA$51 &lt; ($H$16+1)^5, IF(AG731 &gt;= FreeSpinsBonus!$C$16, AG731*FreeSpinsBonus!$E$31, 0), "")</f>
        <v>14.57301078402798</v>
      </c>
      <c r="AJ731">
        <f t="shared" ca="1" si="107"/>
        <v>0</v>
      </c>
    </row>
    <row r="732" spans="28:36" x14ac:dyDescent="0.3">
      <c r="AB732">
        <f t="shared" si="101"/>
        <v>0</v>
      </c>
      <c r="AC732">
        <f t="shared" si="102"/>
        <v>2</v>
      </c>
      <c r="AD732">
        <f t="shared" si="103"/>
        <v>2</v>
      </c>
      <c r="AE732">
        <f t="shared" si="104"/>
        <v>2</v>
      </c>
      <c r="AF732">
        <f t="shared" si="105"/>
        <v>2</v>
      </c>
      <c r="AG732">
        <f t="shared" si="106"/>
        <v>8</v>
      </c>
      <c r="AH732">
        <f t="shared" ca="1" si="108"/>
        <v>2.3178857968681422E-3</v>
      </c>
      <c r="AI732">
        <f>IF(ROW($AA732) - $AA$51 &lt; ($H$16+1)^5, IF(AG732 &gt;= FreeSpinsBonus!$C$16, AG732*FreeSpinsBonus!$E$31, 0), "")</f>
        <v>11.658408627222384</v>
      </c>
      <c r="AJ732">
        <f t="shared" ca="1" si="107"/>
        <v>2.7022859771123779E-2</v>
      </c>
    </row>
    <row r="733" spans="28:36" x14ac:dyDescent="0.3">
      <c r="AB733">
        <f t="shared" si="101"/>
        <v>1</v>
      </c>
      <c r="AC733">
        <f t="shared" si="102"/>
        <v>2</v>
      </c>
      <c r="AD733">
        <f t="shared" si="103"/>
        <v>2</v>
      </c>
      <c r="AE733">
        <f t="shared" si="104"/>
        <v>2</v>
      </c>
      <c r="AF733">
        <f t="shared" si="105"/>
        <v>2</v>
      </c>
      <c r="AG733">
        <f t="shared" si="106"/>
        <v>9</v>
      </c>
      <c r="AH733">
        <f t="shared" ca="1" si="108"/>
        <v>2.4466572300274833E-3</v>
      </c>
      <c r="AI733">
        <f>IF(ROW($AA733) - $AA$51 &lt; ($H$16+1)^5, IF(AG733 &gt;= FreeSpinsBonus!$C$16, AG733*FreeSpinsBonus!$E$31, 0), "")</f>
        <v>13.115709705625182</v>
      </c>
      <c r="AJ733">
        <f t="shared" ca="1" si="107"/>
        <v>3.2089645978209486E-2</v>
      </c>
    </row>
    <row r="734" spans="28:36" x14ac:dyDescent="0.3">
      <c r="AB734">
        <f t="shared" si="101"/>
        <v>2</v>
      </c>
      <c r="AC734">
        <f t="shared" si="102"/>
        <v>2</v>
      </c>
      <c r="AD734">
        <f t="shared" si="103"/>
        <v>2</v>
      </c>
      <c r="AE734">
        <f t="shared" si="104"/>
        <v>2</v>
      </c>
      <c r="AF734">
        <f t="shared" si="105"/>
        <v>2</v>
      </c>
      <c r="AG734">
        <f t="shared" si="106"/>
        <v>10</v>
      </c>
      <c r="AH734">
        <f t="shared" ca="1" si="108"/>
        <v>1.2877143315934124E-3</v>
      </c>
      <c r="AI734">
        <f>IF(ROW($AA734) - $AA$51 &lt; ($H$16+1)^5, IF(AG734 &gt;= FreeSpinsBonus!$C$16, AG734*FreeSpinsBonus!$E$31, 0), "")</f>
        <v>14.57301078402798</v>
      </c>
      <c r="AJ734">
        <f t="shared" ca="1" si="107"/>
        <v>1.876587484105818E-2</v>
      </c>
    </row>
    <row r="735" spans="28:36" x14ac:dyDescent="0.3">
      <c r="AB735">
        <f t="shared" si="101"/>
        <v>3</v>
      </c>
      <c r="AC735">
        <f t="shared" si="102"/>
        <v>2</v>
      </c>
      <c r="AD735">
        <f t="shared" si="103"/>
        <v>2</v>
      </c>
      <c r="AE735">
        <f t="shared" si="104"/>
        <v>2</v>
      </c>
      <c r="AF735">
        <f t="shared" si="105"/>
        <v>2</v>
      </c>
      <c r="AG735">
        <f t="shared" si="106"/>
        <v>11</v>
      </c>
      <c r="AH735">
        <f t="shared" ca="1" si="108"/>
        <v>0</v>
      </c>
      <c r="AI735">
        <f>IF(ROW($AA735) - $AA$51 &lt; ($H$16+1)^5, IF(AG735 &gt;= FreeSpinsBonus!$C$16, AG735*FreeSpinsBonus!$E$31, 0), "")</f>
        <v>16.030311862430779</v>
      </c>
      <c r="AJ735">
        <f t="shared" ca="1" si="107"/>
        <v>0</v>
      </c>
    </row>
    <row r="736" spans="28:36" x14ac:dyDescent="0.3">
      <c r="AB736">
        <f t="shared" si="101"/>
        <v>0</v>
      </c>
      <c r="AC736">
        <f t="shared" si="102"/>
        <v>3</v>
      </c>
      <c r="AD736">
        <f t="shared" si="103"/>
        <v>2</v>
      </c>
      <c r="AE736">
        <f t="shared" si="104"/>
        <v>2</v>
      </c>
      <c r="AF736">
        <f t="shared" si="105"/>
        <v>2</v>
      </c>
      <c r="AG736">
        <f t="shared" si="106"/>
        <v>9</v>
      </c>
      <c r="AH736">
        <f t="shared" ca="1" si="108"/>
        <v>8.1807734007110903E-4</v>
      </c>
      <c r="AI736">
        <f>IF(ROW($AA736) - $AA$51 &lt; ($H$16+1)^5, IF(AG736 &gt;= FreeSpinsBonus!$C$16, AG736*FreeSpinsBonus!$E$31, 0), "")</f>
        <v>13.115709705625182</v>
      </c>
      <c r="AJ736">
        <f t="shared" ca="1" si="107"/>
        <v>1.0729664909122678E-2</v>
      </c>
    </row>
    <row r="737" spans="28:36" x14ac:dyDescent="0.3">
      <c r="AB737">
        <f t="shared" si="101"/>
        <v>1</v>
      </c>
      <c r="AC737">
        <f t="shared" si="102"/>
        <v>3</v>
      </c>
      <c r="AD737">
        <f t="shared" si="103"/>
        <v>2</v>
      </c>
      <c r="AE737">
        <f t="shared" si="104"/>
        <v>2</v>
      </c>
      <c r="AF737">
        <f t="shared" si="105"/>
        <v>2</v>
      </c>
      <c r="AG737">
        <f t="shared" si="106"/>
        <v>10</v>
      </c>
      <c r="AH737">
        <f t="shared" ca="1" si="108"/>
        <v>8.6352608118617062E-4</v>
      </c>
      <c r="AI737">
        <f>IF(ROW($AA737) - $AA$51 &lt; ($H$16+1)^5, IF(AG737 &gt;= FreeSpinsBonus!$C$16, AG737*FreeSpinsBonus!$E$31, 0), "")</f>
        <v>14.57301078402798</v>
      </c>
      <c r="AJ737">
        <f t="shared" ca="1" si="107"/>
        <v>1.2584174893415486E-2</v>
      </c>
    </row>
    <row r="738" spans="28:36" x14ac:dyDescent="0.3">
      <c r="AB738">
        <f t="shared" si="101"/>
        <v>2</v>
      </c>
      <c r="AC738">
        <f t="shared" si="102"/>
        <v>3</v>
      </c>
      <c r="AD738">
        <f t="shared" si="103"/>
        <v>2</v>
      </c>
      <c r="AE738">
        <f t="shared" si="104"/>
        <v>2</v>
      </c>
      <c r="AF738">
        <f t="shared" si="105"/>
        <v>2</v>
      </c>
      <c r="AG738">
        <f t="shared" si="106"/>
        <v>11</v>
      </c>
      <c r="AH738">
        <f t="shared" ca="1" si="108"/>
        <v>4.5448741115061616E-4</v>
      </c>
      <c r="AI738">
        <f>IF(ROW($AA738) - $AA$51 &lt; ($H$16+1)^5, IF(AG738 &gt;= FreeSpinsBonus!$C$16, AG738*FreeSpinsBonus!$E$31, 0), "")</f>
        <v>16.030311862430779</v>
      </c>
      <c r="AJ738">
        <f t="shared" ca="1" si="107"/>
        <v>7.2855749382931771E-3</v>
      </c>
    </row>
    <row r="739" spans="28:36" x14ac:dyDescent="0.3">
      <c r="AB739">
        <f t="shared" si="101"/>
        <v>3</v>
      </c>
      <c r="AC739">
        <f t="shared" si="102"/>
        <v>3</v>
      </c>
      <c r="AD739">
        <f t="shared" si="103"/>
        <v>2</v>
      </c>
      <c r="AE739">
        <f t="shared" si="104"/>
        <v>2</v>
      </c>
      <c r="AF739">
        <f t="shared" si="105"/>
        <v>2</v>
      </c>
      <c r="AG739">
        <f t="shared" si="106"/>
        <v>12</v>
      </c>
      <c r="AH739">
        <f t="shared" ca="1" si="108"/>
        <v>0</v>
      </c>
      <c r="AI739">
        <f>IF(ROW($AA739) - $AA$51 &lt; ($H$16+1)^5, IF(AG739 &gt;= FreeSpinsBonus!$C$16, AG739*FreeSpinsBonus!$E$31, 0), "")</f>
        <v>17.487612940833575</v>
      </c>
      <c r="AJ739">
        <f t="shared" ca="1" si="107"/>
        <v>0</v>
      </c>
    </row>
    <row r="740" spans="28:36" x14ac:dyDescent="0.3">
      <c r="AB740">
        <f t="shared" si="101"/>
        <v>0</v>
      </c>
      <c r="AC740">
        <f t="shared" si="102"/>
        <v>0</v>
      </c>
      <c r="AD740">
        <f t="shared" si="103"/>
        <v>3</v>
      </c>
      <c r="AE740">
        <f t="shared" si="104"/>
        <v>2</v>
      </c>
      <c r="AF740">
        <f t="shared" si="105"/>
        <v>2</v>
      </c>
      <c r="AG740">
        <f t="shared" si="106"/>
        <v>7</v>
      </c>
      <c r="AH740">
        <f t="shared" ca="1" si="108"/>
        <v>2.1071689062437656E-4</v>
      </c>
      <c r="AI740">
        <f>IF(ROW($AA740) - $AA$51 &lt; ($H$16+1)^5, IF(AG740 &gt;= FreeSpinsBonus!$C$16, AG740*FreeSpinsBonus!$E$31, 0), "")</f>
        <v>10.201107548819586</v>
      </c>
      <c r="AJ740">
        <f t="shared" ca="1" si="107"/>
        <v>2.1495456636121185E-3</v>
      </c>
    </row>
    <row r="741" spans="28:36" x14ac:dyDescent="0.3">
      <c r="AB741">
        <f t="shared" si="101"/>
        <v>1</v>
      </c>
      <c r="AC741">
        <f t="shared" si="102"/>
        <v>0</v>
      </c>
      <c r="AD741">
        <f t="shared" si="103"/>
        <v>3</v>
      </c>
      <c r="AE741">
        <f t="shared" si="104"/>
        <v>2</v>
      </c>
      <c r="AF741">
        <f t="shared" si="105"/>
        <v>2</v>
      </c>
      <c r="AG741">
        <f t="shared" si="106"/>
        <v>8</v>
      </c>
      <c r="AH741">
        <f t="shared" ca="1" si="108"/>
        <v>2.2242338454795299E-4</v>
      </c>
      <c r="AI741">
        <f>IF(ROW($AA741) - $AA$51 &lt; ($H$16+1)^5, IF(AG741 &gt;= FreeSpinsBonus!$C$16, AG741*FreeSpinsBonus!$E$31, 0), "")</f>
        <v>11.658408627222384</v>
      </c>
      <c r="AJ741">
        <f t="shared" ca="1" si="107"/>
        <v>2.5931027053098569E-3</v>
      </c>
    </row>
    <row r="742" spans="28:36" x14ac:dyDescent="0.3">
      <c r="AB742">
        <f t="shared" si="101"/>
        <v>2</v>
      </c>
      <c r="AC742">
        <f t="shared" si="102"/>
        <v>0</v>
      </c>
      <c r="AD742">
        <f t="shared" si="103"/>
        <v>3</v>
      </c>
      <c r="AE742">
        <f t="shared" si="104"/>
        <v>2</v>
      </c>
      <c r="AF742">
        <f t="shared" si="105"/>
        <v>2</v>
      </c>
      <c r="AG742">
        <f t="shared" si="106"/>
        <v>9</v>
      </c>
      <c r="AH742">
        <f t="shared" ca="1" si="108"/>
        <v>1.1706493923576477E-4</v>
      </c>
      <c r="AI742">
        <f>IF(ROW($AA742) - $AA$51 &lt; ($H$16+1)^5, IF(AG742 &gt;= FreeSpinsBonus!$C$16, AG742*FreeSpinsBonus!$E$31, 0), "")</f>
        <v>13.115709705625182</v>
      </c>
      <c r="AJ742">
        <f t="shared" ca="1" si="107"/>
        <v>1.5353897597229422E-3</v>
      </c>
    </row>
    <row r="743" spans="28:36" x14ac:dyDescent="0.3">
      <c r="AB743">
        <f t="shared" si="101"/>
        <v>3</v>
      </c>
      <c r="AC743">
        <f t="shared" si="102"/>
        <v>0</v>
      </c>
      <c r="AD743">
        <f t="shared" si="103"/>
        <v>3</v>
      </c>
      <c r="AE743">
        <f t="shared" si="104"/>
        <v>2</v>
      </c>
      <c r="AF743">
        <f t="shared" si="105"/>
        <v>2</v>
      </c>
      <c r="AG743">
        <f t="shared" si="106"/>
        <v>10</v>
      </c>
      <c r="AH743">
        <f t="shared" ca="1" si="108"/>
        <v>0</v>
      </c>
      <c r="AI743">
        <f>IF(ROW($AA743) - $AA$51 &lt; ($H$16+1)^5, IF(AG743 &gt;= FreeSpinsBonus!$C$16, AG743*FreeSpinsBonus!$E$31, 0), "")</f>
        <v>14.57301078402798</v>
      </c>
      <c r="AJ743">
        <f t="shared" ca="1" si="107"/>
        <v>0</v>
      </c>
    </row>
    <row r="744" spans="28:36" x14ac:dyDescent="0.3">
      <c r="AB744">
        <f t="shared" si="101"/>
        <v>0</v>
      </c>
      <c r="AC744">
        <f t="shared" si="102"/>
        <v>1</v>
      </c>
      <c r="AD744">
        <f t="shared" si="103"/>
        <v>3</v>
      </c>
      <c r="AE744">
        <f t="shared" si="104"/>
        <v>2</v>
      </c>
      <c r="AF744">
        <f t="shared" si="105"/>
        <v>2</v>
      </c>
      <c r="AG744">
        <f t="shared" si="106"/>
        <v>8</v>
      </c>
      <c r="AH744">
        <f t="shared" ca="1" si="108"/>
        <v>2.1071689062437656E-4</v>
      </c>
      <c r="AI744">
        <f>IF(ROW($AA744) - $AA$51 &lt; ($H$16+1)^5, IF(AG744 &gt;= FreeSpinsBonus!$C$16, AG744*FreeSpinsBonus!$E$31, 0), "")</f>
        <v>11.658408627222384</v>
      </c>
      <c r="AJ744">
        <f t="shared" ca="1" si="107"/>
        <v>2.456623615556707E-3</v>
      </c>
    </row>
    <row r="745" spans="28:36" x14ac:dyDescent="0.3">
      <c r="AB745">
        <f t="shared" si="101"/>
        <v>1</v>
      </c>
      <c r="AC745">
        <f t="shared" si="102"/>
        <v>1</v>
      </c>
      <c r="AD745">
        <f t="shared" si="103"/>
        <v>3</v>
      </c>
      <c r="AE745">
        <f t="shared" si="104"/>
        <v>2</v>
      </c>
      <c r="AF745">
        <f t="shared" si="105"/>
        <v>2</v>
      </c>
      <c r="AG745">
        <f t="shared" si="106"/>
        <v>9</v>
      </c>
      <c r="AH745">
        <f t="shared" ca="1" si="108"/>
        <v>2.2242338454795299E-4</v>
      </c>
      <c r="AI745">
        <f>IF(ROW($AA745) - $AA$51 &lt; ($H$16+1)^5, IF(AG745 &gt;= FreeSpinsBonus!$C$16, AG745*FreeSpinsBonus!$E$31, 0), "")</f>
        <v>13.115709705625182</v>
      </c>
      <c r="AJ745">
        <f t="shared" ca="1" si="107"/>
        <v>2.9172405434735892E-3</v>
      </c>
    </row>
    <row r="746" spans="28:36" x14ac:dyDescent="0.3">
      <c r="AB746">
        <f t="shared" si="101"/>
        <v>2</v>
      </c>
      <c r="AC746">
        <f t="shared" si="102"/>
        <v>1</v>
      </c>
      <c r="AD746">
        <f t="shared" si="103"/>
        <v>3</v>
      </c>
      <c r="AE746">
        <f t="shared" si="104"/>
        <v>2</v>
      </c>
      <c r="AF746">
        <f t="shared" si="105"/>
        <v>2</v>
      </c>
      <c r="AG746">
        <f t="shared" si="106"/>
        <v>10</v>
      </c>
      <c r="AH746">
        <f t="shared" ca="1" si="108"/>
        <v>1.1706493923576477E-4</v>
      </c>
      <c r="AI746">
        <f>IF(ROW($AA746) - $AA$51 &lt; ($H$16+1)^5, IF(AG746 &gt;= FreeSpinsBonus!$C$16, AG746*FreeSpinsBonus!$E$31, 0), "")</f>
        <v>14.57301078402798</v>
      </c>
      <c r="AJ746">
        <f t="shared" ca="1" si="107"/>
        <v>1.7059886219143801E-3</v>
      </c>
    </row>
    <row r="747" spans="28:36" x14ac:dyDescent="0.3">
      <c r="AB747">
        <f t="shared" si="101"/>
        <v>3</v>
      </c>
      <c r="AC747">
        <f t="shared" si="102"/>
        <v>1</v>
      </c>
      <c r="AD747">
        <f t="shared" si="103"/>
        <v>3</v>
      </c>
      <c r="AE747">
        <f t="shared" si="104"/>
        <v>2</v>
      </c>
      <c r="AF747">
        <f t="shared" si="105"/>
        <v>2</v>
      </c>
      <c r="AG747">
        <f t="shared" si="106"/>
        <v>11</v>
      </c>
      <c r="AH747">
        <f t="shared" ca="1" si="108"/>
        <v>0</v>
      </c>
      <c r="AI747">
        <f>IF(ROW($AA747) - $AA$51 &lt; ($H$16+1)^5, IF(AG747 &gt;= FreeSpinsBonus!$C$16, AG747*FreeSpinsBonus!$E$31, 0), "")</f>
        <v>16.030311862430779</v>
      </c>
      <c r="AJ747">
        <f t="shared" ca="1" si="107"/>
        <v>0</v>
      </c>
    </row>
    <row r="748" spans="28:36" x14ac:dyDescent="0.3">
      <c r="AB748">
        <f t="shared" si="101"/>
        <v>0</v>
      </c>
      <c r="AC748">
        <f t="shared" si="102"/>
        <v>2</v>
      </c>
      <c r="AD748">
        <f t="shared" si="103"/>
        <v>3</v>
      </c>
      <c r="AE748">
        <f t="shared" si="104"/>
        <v>2</v>
      </c>
      <c r="AF748">
        <f t="shared" si="105"/>
        <v>2</v>
      </c>
      <c r="AG748">
        <f t="shared" si="106"/>
        <v>9</v>
      </c>
      <c r="AH748">
        <f t="shared" ca="1" si="108"/>
        <v>2.1071689062437656E-4</v>
      </c>
      <c r="AI748">
        <f>IF(ROW($AA748) - $AA$51 &lt; ($H$16+1)^5, IF(AG748 &gt;= FreeSpinsBonus!$C$16, AG748*FreeSpinsBonus!$E$31, 0), "")</f>
        <v>13.115709705625182</v>
      </c>
      <c r="AJ748">
        <f t="shared" ca="1" si="107"/>
        <v>2.7637015675012954E-3</v>
      </c>
    </row>
    <row r="749" spans="28:36" x14ac:dyDescent="0.3">
      <c r="AB749">
        <f t="shared" si="101"/>
        <v>1</v>
      </c>
      <c r="AC749">
        <f t="shared" si="102"/>
        <v>2</v>
      </c>
      <c r="AD749">
        <f t="shared" si="103"/>
        <v>3</v>
      </c>
      <c r="AE749">
        <f t="shared" si="104"/>
        <v>2</v>
      </c>
      <c r="AF749">
        <f t="shared" si="105"/>
        <v>2</v>
      </c>
      <c r="AG749">
        <f t="shared" si="106"/>
        <v>10</v>
      </c>
      <c r="AH749">
        <f t="shared" ca="1" si="108"/>
        <v>2.2242338454795299E-4</v>
      </c>
      <c r="AI749">
        <f>IF(ROW($AA749) - $AA$51 &lt; ($H$16+1)^5, IF(AG749 &gt;= FreeSpinsBonus!$C$16, AG749*FreeSpinsBonus!$E$31, 0), "")</f>
        <v>14.57301078402798</v>
      </c>
      <c r="AJ749">
        <f t="shared" ca="1" si="107"/>
        <v>3.2413783816373212E-3</v>
      </c>
    </row>
    <row r="750" spans="28:36" x14ac:dyDescent="0.3">
      <c r="AB750">
        <f t="shared" si="101"/>
        <v>2</v>
      </c>
      <c r="AC750">
        <f t="shared" si="102"/>
        <v>2</v>
      </c>
      <c r="AD750">
        <f t="shared" si="103"/>
        <v>3</v>
      </c>
      <c r="AE750">
        <f t="shared" si="104"/>
        <v>2</v>
      </c>
      <c r="AF750">
        <f t="shared" si="105"/>
        <v>2</v>
      </c>
      <c r="AG750">
        <f t="shared" si="106"/>
        <v>11</v>
      </c>
      <c r="AH750">
        <f t="shared" ca="1" si="108"/>
        <v>1.1706493923576477E-4</v>
      </c>
      <c r="AI750">
        <f>IF(ROW($AA750) - $AA$51 &lt; ($H$16+1)^5, IF(AG750 &gt;= FreeSpinsBonus!$C$16, AG750*FreeSpinsBonus!$E$31, 0), "")</f>
        <v>16.030311862430779</v>
      </c>
      <c r="AJ750">
        <f t="shared" ca="1" si="107"/>
        <v>1.8765874841058182E-3</v>
      </c>
    </row>
    <row r="751" spans="28:36" x14ac:dyDescent="0.3">
      <c r="AB751">
        <f t="shared" si="101"/>
        <v>3</v>
      </c>
      <c r="AC751">
        <f t="shared" si="102"/>
        <v>2</v>
      </c>
      <c r="AD751">
        <f t="shared" si="103"/>
        <v>3</v>
      </c>
      <c r="AE751">
        <f t="shared" si="104"/>
        <v>2</v>
      </c>
      <c r="AF751">
        <f t="shared" si="105"/>
        <v>2</v>
      </c>
      <c r="AG751">
        <f t="shared" si="106"/>
        <v>12</v>
      </c>
      <c r="AH751">
        <f t="shared" ca="1" si="108"/>
        <v>0</v>
      </c>
      <c r="AI751">
        <f>IF(ROW($AA751) - $AA$51 &lt; ($H$16+1)^5, IF(AG751 &gt;= FreeSpinsBonus!$C$16, AG751*FreeSpinsBonus!$E$31, 0), "")</f>
        <v>17.487612940833575</v>
      </c>
      <c r="AJ751">
        <f t="shared" ca="1" si="107"/>
        <v>0</v>
      </c>
    </row>
    <row r="752" spans="28:36" x14ac:dyDescent="0.3">
      <c r="AB752">
        <f t="shared" si="101"/>
        <v>0</v>
      </c>
      <c r="AC752">
        <f t="shared" si="102"/>
        <v>3</v>
      </c>
      <c r="AD752">
        <f t="shared" si="103"/>
        <v>3</v>
      </c>
      <c r="AE752">
        <f t="shared" si="104"/>
        <v>2</v>
      </c>
      <c r="AF752">
        <f t="shared" si="105"/>
        <v>2</v>
      </c>
      <c r="AG752">
        <f t="shared" si="106"/>
        <v>10</v>
      </c>
      <c r="AH752">
        <f t="shared" ca="1" si="108"/>
        <v>7.4370667279191735E-5</v>
      </c>
      <c r="AI752">
        <f>IF(ROW($AA752) - $AA$51 &lt; ($H$16+1)^5, IF(AG752 &gt;= FreeSpinsBonus!$C$16, AG752*FreeSpinsBonus!$E$31, 0), "")</f>
        <v>14.57301078402798</v>
      </c>
      <c r="AJ752">
        <f t="shared" ca="1" si="107"/>
        <v>1.0838045362750179E-3</v>
      </c>
    </row>
    <row r="753" spans="28:36" x14ac:dyDescent="0.3">
      <c r="AB753">
        <f t="shared" si="101"/>
        <v>1</v>
      </c>
      <c r="AC753">
        <f t="shared" si="102"/>
        <v>3</v>
      </c>
      <c r="AD753">
        <f t="shared" si="103"/>
        <v>3</v>
      </c>
      <c r="AE753">
        <f t="shared" si="104"/>
        <v>2</v>
      </c>
      <c r="AF753">
        <f t="shared" si="105"/>
        <v>2</v>
      </c>
      <c r="AG753">
        <f t="shared" si="106"/>
        <v>11</v>
      </c>
      <c r="AH753">
        <f t="shared" ca="1" si="108"/>
        <v>7.8502371016924596E-5</v>
      </c>
      <c r="AI753">
        <f>IF(ROW($AA753) - $AA$51 &lt; ($H$16+1)^5, IF(AG753 &gt;= FreeSpinsBonus!$C$16, AG753*FreeSpinsBonus!$E$31, 0), "")</f>
        <v>16.030311862430779</v>
      </c>
      <c r="AJ753">
        <f t="shared" ca="1" si="107"/>
        <v>1.2584174893415486E-3</v>
      </c>
    </row>
    <row r="754" spans="28:36" x14ac:dyDescent="0.3">
      <c r="AB754">
        <f t="shared" si="101"/>
        <v>2</v>
      </c>
      <c r="AC754">
        <f t="shared" si="102"/>
        <v>3</v>
      </c>
      <c r="AD754">
        <f t="shared" si="103"/>
        <v>3</v>
      </c>
      <c r="AE754">
        <f t="shared" si="104"/>
        <v>2</v>
      </c>
      <c r="AF754">
        <f t="shared" si="105"/>
        <v>2</v>
      </c>
      <c r="AG754">
        <f t="shared" si="106"/>
        <v>12</v>
      </c>
      <c r="AH754">
        <f t="shared" ca="1" si="108"/>
        <v>4.1317037377328742E-5</v>
      </c>
      <c r="AI754">
        <f>IF(ROW($AA754) - $AA$51 &lt; ($H$16+1)^5, IF(AG754 &gt;= FreeSpinsBonus!$C$16, AG754*FreeSpinsBonus!$E$31, 0), "")</f>
        <v>17.487612940833575</v>
      </c>
      <c r="AJ754">
        <f t="shared" ca="1" si="107"/>
        <v>7.2253635751667866E-4</v>
      </c>
    </row>
    <row r="755" spans="28:36" x14ac:dyDescent="0.3">
      <c r="AB755">
        <f t="shared" si="101"/>
        <v>3</v>
      </c>
      <c r="AC755">
        <f t="shared" si="102"/>
        <v>3</v>
      </c>
      <c r="AD755">
        <f t="shared" si="103"/>
        <v>3</v>
      </c>
      <c r="AE755">
        <f t="shared" si="104"/>
        <v>2</v>
      </c>
      <c r="AF755">
        <f t="shared" si="105"/>
        <v>2</v>
      </c>
      <c r="AG755">
        <f t="shared" si="106"/>
        <v>13</v>
      </c>
      <c r="AH755">
        <f t="shared" ca="1" si="108"/>
        <v>0</v>
      </c>
      <c r="AI755">
        <f>IF(ROW($AA755) - $AA$51 &lt; ($H$16+1)^5, IF(AG755 &gt;= FreeSpinsBonus!$C$16, AG755*FreeSpinsBonus!$E$31, 0), "")</f>
        <v>18.944914019236375</v>
      </c>
      <c r="AJ755">
        <f t="shared" ca="1" si="107"/>
        <v>0</v>
      </c>
    </row>
    <row r="756" spans="28:36" x14ac:dyDescent="0.3">
      <c r="AB756">
        <f t="shared" ref="AB756:AB819" si="109">IF(ROW()-$AA$51 &lt; (H$16+1)^5, MOD(_xlfn.FLOOR.MATH((ROW()-$AA$51)/AB$50), H$16+1), "")</f>
        <v>0</v>
      </c>
      <c r="AC756">
        <f t="shared" ref="AC756:AC819" si="110">IF(ROW()-$AA$51 &lt; (I$16+1)^5, MOD(_xlfn.FLOOR.MATH((ROW()-$AA$51)/AC$50), I$16+1), "")</f>
        <v>0</v>
      </c>
      <c r="AD756">
        <f t="shared" ref="AD756:AD819" si="111">IF(ROW()-$AA$51 &lt; (J$16+1)^5, MOD(_xlfn.FLOOR.MATH((ROW()-$AA$51)/AD$50), J$16+1), "")</f>
        <v>0</v>
      </c>
      <c r="AE756">
        <f t="shared" ref="AE756:AE819" si="112">IF(ROW()-$AA$51 &lt; (K$16+1)^5, MOD(_xlfn.FLOOR.MATH((ROW()-$AA$51)/AE$50), K$16+1), "")</f>
        <v>3</v>
      </c>
      <c r="AF756">
        <f t="shared" ref="AF756:AF819" si="113">IF(ROW()-$AA$51 &lt; (L$16+1)^5, MOD(_xlfn.FLOOR.MATH((ROW()-$AA$51)/AF$50), L$16+1), "")</f>
        <v>2</v>
      </c>
      <c r="AG756">
        <f t="shared" ref="AG756:AG819" si="114">IF(ROW($AA756) - $AA$51 &lt; ($H$16+1)^5, SUM(AB756:AF756), "")</f>
        <v>5</v>
      </c>
      <c r="AH756">
        <f t="shared" ca="1" si="108"/>
        <v>1.4750182343706358E-3</v>
      </c>
      <c r="AI756">
        <f>IF(ROW($AA756) - $AA$51 &lt; ($H$16+1)^5, IF(AG756 &gt;= FreeSpinsBonus!$C$16, AG756*FreeSpinsBonus!$E$31, 0), "")</f>
        <v>7.2865053920139902</v>
      </c>
      <c r="AJ756">
        <f t="shared" ref="AJ756:AJ819" ca="1" si="115">IF(ROW($AA756) - $AA$51 &lt; ($H$16+1)^5, AH756*AI756, "")</f>
        <v>1.0747728318060593E-2</v>
      </c>
    </row>
    <row r="757" spans="28:36" x14ac:dyDescent="0.3">
      <c r="AB757">
        <f t="shared" si="109"/>
        <v>1</v>
      </c>
      <c r="AC757">
        <f t="shared" si="110"/>
        <v>0</v>
      </c>
      <c r="AD757">
        <f t="shared" si="111"/>
        <v>0</v>
      </c>
      <c r="AE757">
        <f t="shared" si="112"/>
        <v>3</v>
      </c>
      <c r="AF757">
        <f t="shared" si="113"/>
        <v>2</v>
      </c>
      <c r="AG757">
        <f t="shared" si="114"/>
        <v>6</v>
      </c>
      <c r="AH757">
        <f t="shared" ref="AH757:AH820" ca="1" si="116">IF(ROW($AA757) - $AA$51 &lt; (4)^5,
    (_xlfn.XLOOKUP(AB757,$T$51:$T$55,U$51:U$55,0)/U$28) * (_xlfn.XLOOKUP(AC757,$T$51:$T$55,V$51:V$55,0)/V$28) * (_xlfn.XLOOKUP(AD757,$T$51:$T$55,W$51:W$55,0)/W$28) * (_xlfn.XLOOKUP(AE757,$T$51:$T$55,X$51:X$55,0)/X$28) * (_xlfn.XLOOKUP(AF757,$T$51:$T$55,Y$51:Y$55,0)/Y$28),
"")</f>
        <v>1.556963691835671E-3</v>
      </c>
      <c r="AI757">
        <f>IF(ROW($AA757) - $AA$51 &lt; ($H$16+1)^5, IF(AG757 &gt;= FreeSpinsBonus!$C$16, AG757*FreeSpinsBonus!$E$31, 0), "")</f>
        <v>8.7438064704167875</v>
      </c>
      <c r="AJ757">
        <f t="shared" ca="1" si="115"/>
        <v>1.361378920287675E-2</v>
      </c>
    </row>
    <row r="758" spans="28:36" x14ac:dyDescent="0.3">
      <c r="AB758">
        <f t="shared" si="109"/>
        <v>2</v>
      </c>
      <c r="AC758">
        <f t="shared" si="110"/>
        <v>0</v>
      </c>
      <c r="AD758">
        <f t="shared" si="111"/>
        <v>0</v>
      </c>
      <c r="AE758">
        <f t="shared" si="112"/>
        <v>3</v>
      </c>
      <c r="AF758">
        <f t="shared" si="113"/>
        <v>2</v>
      </c>
      <c r="AG758">
        <f t="shared" si="114"/>
        <v>7</v>
      </c>
      <c r="AH758">
        <f t="shared" ca="1" si="116"/>
        <v>8.194545746503534E-4</v>
      </c>
      <c r="AI758">
        <f>IF(ROW($AA758) - $AA$51 &lt; ($H$16+1)^5, IF(AG758 &gt;= FreeSpinsBonus!$C$16, AG758*FreeSpinsBonus!$E$31, 0), "")</f>
        <v>10.201107548819586</v>
      </c>
      <c r="AJ758">
        <f t="shared" ca="1" si="115"/>
        <v>8.3593442473804628E-3</v>
      </c>
    </row>
    <row r="759" spans="28:36" x14ac:dyDescent="0.3">
      <c r="AB759">
        <f t="shared" si="109"/>
        <v>3</v>
      </c>
      <c r="AC759">
        <f t="shared" si="110"/>
        <v>0</v>
      </c>
      <c r="AD759">
        <f t="shared" si="111"/>
        <v>0</v>
      </c>
      <c r="AE759">
        <f t="shared" si="112"/>
        <v>3</v>
      </c>
      <c r="AF759">
        <f t="shared" si="113"/>
        <v>2</v>
      </c>
      <c r="AG759">
        <f t="shared" si="114"/>
        <v>8</v>
      </c>
      <c r="AH759">
        <f t="shared" ca="1" si="116"/>
        <v>0</v>
      </c>
      <c r="AI759">
        <f>IF(ROW($AA759) - $AA$51 &lt; ($H$16+1)^5, IF(AG759 &gt;= FreeSpinsBonus!$C$16, AG759*FreeSpinsBonus!$E$31, 0), "")</f>
        <v>11.658408627222384</v>
      </c>
      <c r="AJ759">
        <f t="shared" ca="1" si="115"/>
        <v>0</v>
      </c>
    </row>
    <row r="760" spans="28:36" x14ac:dyDescent="0.3">
      <c r="AB760">
        <f t="shared" si="109"/>
        <v>0</v>
      </c>
      <c r="AC760">
        <f t="shared" si="110"/>
        <v>1</v>
      </c>
      <c r="AD760">
        <f t="shared" si="111"/>
        <v>0</v>
      </c>
      <c r="AE760">
        <f t="shared" si="112"/>
        <v>3</v>
      </c>
      <c r="AF760">
        <f t="shared" si="113"/>
        <v>2</v>
      </c>
      <c r="AG760">
        <f t="shared" si="114"/>
        <v>6</v>
      </c>
      <c r="AH760">
        <f t="shared" ca="1" si="116"/>
        <v>1.4750182343706358E-3</v>
      </c>
      <c r="AI760">
        <f>IF(ROW($AA760) - $AA$51 &lt; ($H$16+1)^5, IF(AG760 &gt;= FreeSpinsBonus!$C$16, AG760*FreeSpinsBonus!$E$31, 0), "")</f>
        <v>8.7438064704167875</v>
      </c>
      <c r="AJ760">
        <f t="shared" ca="1" si="115"/>
        <v>1.2897273981672711E-2</v>
      </c>
    </row>
    <row r="761" spans="28:36" x14ac:dyDescent="0.3">
      <c r="AB761">
        <f t="shared" si="109"/>
        <v>1</v>
      </c>
      <c r="AC761">
        <f t="shared" si="110"/>
        <v>1</v>
      </c>
      <c r="AD761">
        <f t="shared" si="111"/>
        <v>0</v>
      </c>
      <c r="AE761">
        <f t="shared" si="112"/>
        <v>3</v>
      </c>
      <c r="AF761">
        <f t="shared" si="113"/>
        <v>2</v>
      </c>
      <c r="AG761">
        <f t="shared" si="114"/>
        <v>7</v>
      </c>
      <c r="AH761">
        <f t="shared" ca="1" si="116"/>
        <v>1.556963691835671E-3</v>
      </c>
      <c r="AI761">
        <f>IF(ROW($AA761) - $AA$51 &lt; ($H$16+1)^5, IF(AG761 &gt;= FreeSpinsBonus!$C$16, AG761*FreeSpinsBonus!$E$31, 0), "")</f>
        <v>10.201107548819586</v>
      </c>
      <c r="AJ761">
        <f t="shared" ca="1" si="115"/>
        <v>1.5882754070022875E-2</v>
      </c>
    </row>
    <row r="762" spans="28:36" x14ac:dyDescent="0.3">
      <c r="AB762">
        <f t="shared" si="109"/>
        <v>2</v>
      </c>
      <c r="AC762">
        <f t="shared" si="110"/>
        <v>1</v>
      </c>
      <c r="AD762">
        <f t="shared" si="111"/>
        <v>0</v>
      </c>
      <c r="AE762">
        <f t="shared" si="112"/>
        <v>3</v>
      </c>
      <c r="AF762">
        <f t="shared" si="113"/>
        <v>2</v>
      </c>
      <c r="AG762">
        <f t="shared" si="114"/>
        <v>8</v>
      </c>
      <c r="AH762">
        <f t="shared" ca="1" si="116"/>
        <v>8.194545746503534E-4</v>
      </c>
      <c r="AI762">
        <f>IF(ROW($AA762) - $AA$51 &lt; ($H$16+1)^5, IF(AG762 &gt;= FreeSpinsBonus!$C$16, AG762*FreeSpinsBonus!$E$31, 0), "")</f>
        <v>11.658408627222384</v>
      </c>
      <c r="AJ762">
        <f t="shared" ca="1" si="115"/>
        <v>9.5535362827205289E-3</v>
      </c>
    </row>
    <row r="763" spans="28:36" x14ac:dyDescent="0.3">
      <c r="AB763">
        <f t="shared" si="109"/>
        <v>3</v>
      </c>
      <c r="AC763">
        <f t="shared" si="110"/>
        <v>1</v>
      </c>
      <c r="AD763">
        <f t="shared" si="111"/>
        <v>0</v>
      </c>
      <c r="AE763">
        <f t="shared" si="112"/>
        <v>3</v>
      </c>
      <c r="AF763">
        <f t="shared" si="113"/>
        <v>2</v>
      </c>
      <c r="AG763">
        <f t="shared" si="114"/>
        <v>9</v>
      </c>
      <c r="AH763">
        <f t="shared" ca="1" si="116"/>
        <v>0</v>
      </c>
      <c r="AI763">
        <f>IF(ROW($AA763) - $AA$51 &lt; ($H$16+1)^5, IF(AG763 &gt;= FreeSpinsBonus!$C$16, AG763*FreeSpinsBonus!$E$31, 0), "")</f>
        <v>13.115709705625182</v>
      </c>
      <c r="AJ763">
        <f t="shared" ca="1" si="115"/>
        <v>0</v>
      </c>
    </row>
    <row r="764" spans="28:36" x14ac:dyDescent="0.3">
      <c r="AB764">
        <f t="shared" si="109"/>
        <v>0</v>
      </c>
      <c r="AC764">
        <f t="shared" si="110"/>
        <v>2</v>
      </c>
      <c r="AD764">
        <f t="shared" si="111"/>
        <v>0</v>
      </c>
      <c r="AE764">
        <f t="shared" si="112"/>
        <v>3</v>
      </c>
      <c r="AF764">
        <f t="shared" si="113"/>
        <v>2</v>
      </c>
      <c r="AG764">
        <f t="shared" si="114"/>
        <v>7</v>
      </c>
      <c r="AH764">
        <f t="shared" ca="1" si="116"/>
        <v>1.4750182343706358E-3</v>
      </c>
      <c r="AI764">
        <f>IF(ROW($AA764) - $AA$51 &lt; ($H$16+1)^5, IF(AG764 &gt;= FreeSpinsBonus!$C$16, AG764*FreeSpinsBonus!$E$31, 0), "")</f>
        <v>10.201107548819586</v>
      </c>
      <c r="AJ764">
        <f t="shared" ca="1" si="115"/>
        <v>1.504681964528483E-2</v>
      </c>
    </row>
    <row r="765" spans="28:36" x14ac:dyDescent="0.3">
      <c r="AB765">
        <f t="shared" si="109"/>
        <v>1</v>
      </c>
      <c r="AC765">
        <f t="shared" si="110"/>
        <v>2</v>
      </c>
      <c r="AD765">
        <f t="shared" si="111"/>
        <v>0</v>
      </c>
      <c r="AE765">
        <f t="shared" si="112"/>
        <v>3</v>
      </c>
      <c r="AF765">
        <f t="shared" si="113"/>
        <v>2</v>
      </c>
      <c r="AG765">
        <f t="shared" si="114"/>
        <v>8</v>
      </c>
      <c r="AH765">
        <f t="shared" ca="1" si="116"/>
        <v>1.556963691835671E-3</v>
      </c>
      <c r="AI765">
        <f>IF(ROW($AA765) - $AA$51 &lt; ($H$16+1)^5, IF(AG765 &gt;= FreeSpinsBonus!$C$16, AG765*FreeSpinsBonus!$E$31, 0), "")</f>
        <v>11.658408627222384</v>
      </c>
      <c r="AJ765">
        <f t="shared" ca="1" si="115"/>
        <v>1.8151718937168999E-2</v>
      </c>
    </row>
    <row r="766" spans="28:36" x14ac:dyDescent="0.3">
      <c r="AB766">
        <f t="shared" si="109"/>
        <v>2</v>
      </c>
      <c r="AC766">
        <f t="shared" si="110"/>
        <v>2</v>
      </c>
      <c r="AD766">
        <f t="shared" si="111"/>
        <v>0</v>
      </c>
      <c r="AE766">
        <f t="shared" si="112"/>
        <v>3</v>
      </c>
      <c r="AF766">
        <f t="shared" si="113"/>
        <v>2</v>
      </c>
      <c r="AG766">
        <f t="shared" si="114"/>
        <v>9</v>
      </c>
      <c r="AH766">
        <f t="shared" ca="1" si="116"/>
        <v>8.194545746503534E-4</v>
      </c>
      <c r="AI766">
        <f>IF(ROW($AA766) - $AA$51 &lt; ($H$16+1)^5, IF(AG766 &gt;= FreeSpinsBonus!$C$16, AG766*FreeSpinsBonus!$E$31, 0), "")</f>
        <v>13.115709705625182</v>
      </c>
      <c r="AJ766">
        <f t="shared" ca="1" si="115"/>
        <v>1.0747728318060595E-2</v>
      </c>
    </row>
    <row r="767" spans="28:36" x14ac:dyDescent="0.3">
      <c r="AB767">
        <f t="shared" si="109"/>
        <v>3</v>
      </c>
      <c r="AC767">
        <f t="shared" si="110"/>
        <v>2</v>
      </c>
      <c r="AD767">
        <f t="shared" si="111"/>
        <v>0</v>
      </c>
      <c r="AE767">
        <f t="shared" si="112"/>
        <v>3</v>
      </c>
      <c r="AF767">
        <f t="shared" si="113"/>
        <v>2</v>
      </c>
      <c r="AG767">
        <f t="shared" si="114"/>
        <v>10</v>
      </c>
      <c r="AH767">
        <f t="shared" ca="1" si="116"/>
        <v>0</v>
      </c>
      <c r="AI767">
        <f>IF(ROW($AA767) - $AA$51 &lt; ($H$16+1)^5, IF(AG767 &gt;= FreeSpinsBonus!$C$16, AG767*FreeSpinsBonus!$E$31, 0), "")</f>
        <v>14.57301078402798</v>
      </c>
      <c r="AJ767">
        <f t="shared" ca="1" si="115"/>
        <v>0</v>
      </c>
    </row>
    <row r="768" spans="28:36" x14ac:dyDescent="0.3">
      <c r="AB768">
        <f t="shared" si="109"/>
        <v>0</v>
      </c>
      <c r="AC768">
        <f t="shared" si="110"/>
        <v>3</v>
      </c>
      <c r="AD768">
        <f t="shared" si="111"/>
        <v>0</v>
      </c>
      <c r="AE768">
        <f t="shared" si="112"/>
        <v>3</v>
      </c>
      <c r="AF768">
        <f t="shared" si="113"/>
        <v>2</v>
      </c>
      <c r="AG768">
        <f t="shared" si="114"/>
        <v>8</v>
      </c>
      <c r="AH768">
        <f t="shared" ca="1" si="116"/>
        <v>5.205946709543422E-4</v>
      </c>
      <c r="AI768">
        <f>IF(ROW($AA768) - $AA$51 &lt; ($H$16+1)^5, IF(AG768 &gt;= FreeSpinsBonus!$C$16, AG768*FreeSpinsBonus!$E$31, 0), "")</f>
        <v>11.658408627222384</v>
      </c>
      <c r="AJ768">
        <f t="shared" ca="1" si="115"/>
        <v>6.0693054031401017E-3</v>
      </c>
    </row>
    <row r="769" spans="28:36" x14ac:dyDescent="0.3">
      <c r="AB769">
        <f t="shared" si="109"/>
        <v>1</v>
      </c>
      <c r="AC769">
        <f t="shared" si="110"/>
        <v>3</v>
      </c>
      <c r="AD769">
        <f t="shared" si="111"/>
        <v>0</v>
      </c>
      <c r="AE769">
        <f t="shared" si="112"/>
        <v>3</v>
      </c>
      <c r="AF769">
        <f t="shared" si="113"/>
        <v>2</v>
      </c>
      <c r="AG769">
        <f t="shared" si="114"/>
        <v>9</v>
      </c>
      <c r="AH769">
        <f t="shared" ca="1" si="116"/>
        <v>5.4951659711847218E-4</v>
      </c>
      <c r="AI769">
        <f>IF(ROW($AA769) - $AA$51 &lt; ($H$16+1)^5, IF(AG769 &gt;= FreeSpinsBonus!$C$16, AG769*FreeSpinsBonus!$E$31, 0), "")</f>
        <v>13.115709705625182</v>
      </c>
      <c r="AJ769">
        <f t="shared" ca="1" si="115"/>
        <v>7.2073001662288682E-3</v>
      </c>
    </row>
    <row r="770" spans="28:36" x14ac:dyDescent="0.3">
      <c r="AB770">
        <f t="shared" si="109"/>
        <v>2</v>
      </c>
      <c r="AC770">
        <f t="shared" si="110"/>
        <v>3</v>
      </c>
      <c r="AD770">
        <f t="shared" si="111"/>
        <v>0</v>
      </c>
      <c r="AE770">
        <f t="shared" si="112"/>
        <v>3</v>
      </c>
      <c r="AF770">
        <f t="shared" si="113"/>
        <v>2</v>
      </c>
      <c r="AG770">
        <f t="shared" si="114"/>
        <v>10</v>
      </c>
      <c r="AH770">
        <f t="shared" ca="1" si="116"/>
        <v>2.8921926164130119E-4</v>
      </c>
      <c r="AI770">
        <f>IF(ROW($AA770) - $AA$51 &lt; ($H$16+1)^5, IF(AG770 &gt;= FreeSpinsBonus!$C$16, AG770*FreeSpinsBonus!$E$31, 0), "")</f>
        <v>14.57301078402798</v>
      </c>
      <c r="AJ770">
        <f t="shared" ca="1" si="115"/>
        <v>4.2147954188472923E-3</v>
      </c>
    </row>
    <row r="771" spans="28:36" x14ac:dyDescent="0.3">
      <c r="AB771">
        <f t="shared" si="109"/>
        <v>3</v>
      </c>
      <c r="AC771">
        <f t="shared" si="110"/>
        <v>3</v>
      </c>
      <c r="AD771">
        <f t="shared" si="111"/>
        <v>0</v>
      </c>
      <c r="AE771">
        <f t="shared" si="112"/>
        <v>3</v>
      </c>
      <c r="AF771">
        <f t="shared" si="113"/>
        <v>2</v>
      </c>
      <c r="AG771">
        <f t="shared" si="114"/>
        <v>11</v>
      </c>
      <c r="AH771">
        <f t="shared" ca="1" si="116"/>
        <v>0</v>
      </c>
      <c r="AI771">
        <f>IF(ROW($AA771) - $AA$51 &lt; ($H$16+1)^5, IF(AG771 &gt;= FreeSpinsBonus!$C$16, AG771*FreeSpinsBonus!$E$31, 0), "")</f>
        <v>16.030311862430779</v>
      </c>
      <c r="AJ771">
        <f t="shared" ca="1" si="115"/>
        <v>0</v>
      </c>
    </row>
    <row r="772" spans="28:36" x14ac:dyDescent="0.3">
      <c r="AB772">
        <f t="shared" si="109"/>
        <v>0</v>
      </c>
      <c r="AC772">
        <f t="shared" si="110"/>
        <v>0</v>
      </c>
      <c r="AD772">
        <f t="shared" si="111"/>
        <v>1</v>
      </c>
      <c r="AE772">
        <f t="shared" si="112"/>
        <v>3</v>
      </c>
      <c r="AF772">
        <f t="shared" si="113"/>
        <v>2</v>
      </c>
      <c r="AG772">
        <f t="shared" si="114"/>
        <v>6</v>
      </c>
      <c r="AH772">
        <f t="shared" ca="1" si="116"/>
        <v>1.8437727929632953E-3</v>
      </c>
      <c r="AI772">
        <f>IF(ROW($AA772) - $AA$51 &lt; ($H$16+1)^5, IF(AG772 &gt;= FreeSpinsBonus!$C$16, AG772*FreeSpinsBonus!$E$31, 0), "")</f>
        <v>8.7438064704167875</v>
      </c>
      <c r="AJ772">
        <f t="shared" ca="1" si="115"/>
        <v>1.6121592477090895E-2</v>
      </c>
    </row>
    <row r="773" spans="28:36" x14ac:dyDescent="0.3">
      <c r="AB773">
        <f t="shared" si="109"/>
        <v>1</v>
      </c>
      <c r="AC773">
        <f t="shared" si="110"/>
        <v>0</v>
      </c>
      <c r="AD773">
        <f t="shared" si="111"/>
        <v>1</v>
      </c>
      <c r="AE773">
        <f t="shared" si="112"/>
        <v>3</v>
      </c>
      <c r="AF773">
        <f t="shared" si="113"/>
        <v>2</v>
      </c>
      <c r="AG773">
        <f t="shared" si="114"/>
        <v>7</v>
      </c>
      <c r="AH773">
        <f t="shared" ca="1" si="116"/>
        <v>1.9462046147945894E-3</v>
      </c>
      <c r="AI773">
        <f>IF(ROW($AA773) - $AA$51 &lt; ($H$16+1)^5, IF(AG773 &gt;= FreeSpinsBonus!$C$16, AG773*FreeSpinsBonus!$E$31, 0), "")</f>
        <v>10.201107548819586</v>
      </c>
      <c r="AJ773">
        <f t="shared" ca="1" si="115"/>
        <v>1.9853442587528601E-2</v>
      </c>
    </row>
    <row r="774" spans="28:36" x14ac:dyDescent="0.3">
      <c r="AB774">
        <f t="shared" si="109"/>
        <v>2</v>
      </c>
      <c r="AC774">
        <f t="shared" si="110"/>
        <v>0</v>
      </c>
      <c r="AD774">
        <f t="shared" si="111"/>
        <v>1</v>
      </c>
      <c r="AE774">
        <f t="shared" si="112"/>
        <v>3</v>
      </c>
      <c r="AF774">
        <f t="shared" si="113"/>
        <v>2</v>
      </c>
      <c r="AG774">
        <f t="shared" si="114"/>
        <v>8</v>
      </c>
      <c r="AH774">
        <f t="shared" ca="1" si="116"/>
        <v>1.0243182183129417E-3</v>
      </c>
      <c r="AI774">
        <f>IF(ROW($AA774) - $AA$51 &lt; ($H$16+1)^5, IF(AG774 &gt;= FreeSpinsBonus!$C$16, AG774*FreeSpinsBonus!$E$31, 0), "")</f>
        <v>11.658408627222384</v>
      </c>
      <c r="AJ774">
        <f t="shared" ca="1" si="115"/>
        <v>1.1941920353400661E-2</v>
      </c>
    </row>
    <row r="775" spans="28:36" x14ac:dyDescent="0.3">
      <c r="AB775">
        <f t="shared" si="109"/>
        <v>3</v>
      </c>
      <c r="AC775">
        <f t="shared" si="110"/>
        <v>0</v>
      </c>
      <c r="AD775">
        <f t="shared" si="111"/>
        <v>1</v>
      </c>
      <c r="AE775">
        <f t="shared" si="112"/>
        <v>3</v>
      </c>
      <c r="AF775">
        <f t="shared" si="113"/>
        <v>2</v>
      </c>
      <c r="AG775">
        <f t="shared" si="114"/>
        <v>9</v>
      </c>
      <c r="AH775">
        <f t="shared" ca="1" si="116"/>
        <v>0</v>
      </c>
      <c r="AI775">
        <f>IF(ROW($AA775) - $AA$51 &lt; ($H$16+1)^5, IF(AG775 &gt;= FreeSpinsBonus!$C$16, AG775*FreeSpinsBonus!$E$31, 0), "")</f>
        <v>13.115709705625182</v>
      </c>
      <c r="AJ775">
        <f t="shared" ca="1" si="115"/>
        <v>0</v>
      </c>
    </row>
    <row r="776" spans="28:36" x14ac:dyDescent="0.3">
      <c r="AB776">
        <f t="shared" si="109"/>
        <v>0</v>
      </c>
      <c r="AC776">
        <f t="shared" si="110"/>
        <v>1</v>
      </c>
      <c r="AD776">
        <f t="shared" si="111"/>
        <v>1</v>
      </c>
      <c r="AE776">
        <f t="shared" si="112"/>
        <v>3</v>
      </c>
      <c r="AF776">
        <f t="shared" si="113"/>
        <v>2</v>
      </c>
      <c r="AG776">
        <f t="shared" si="114"/>
        <v>7</v>
      </c>
      <c r="AH776">
        <f t="shared" ca="1" si="116"/>
        <v>1.8437727929632953E-3</v>
      </c>
      <c r="AI776">
        <f>IF(ROW($AA776) - $AA$51 &lt; ($H$16+1)^5, IF(AG776 &gt;= FreeSpinsBonus!$C$16, AG776*FreeSpinsBonus!$E$31, 0), "")</f>
        <v>10.201107548819586</v>
      </c>
      <c r="AJ776">
        <f t="shared" ca="1" si="115"/>
        <v>1.8808524556606043E-2</v>
      </c>
    </row>
    <row r="777" spans="28:36" x14ac:dyDescent="0.3">
      <c r="AB777">
        <f t="shared" si="109"/>
        <v>1</v>
      </c>
      <c r="AC777">
        <f t="shared" si="110"/>
        <v>1</v>
      </c>
      <c r="AD777">
        <f t="shared" si="111"/>
        <v>1</v>
      </c>
      <c r="AE777">
        <f t="shared" si="112"/>
        <v>3</v>
      </c>
      <c r="AF777">
        <f t="shared" si="113"/>
        <v>2</v>
      </c>
      <c r="AG777">
        <f t="shared" si="114"/>
        <v>8</v>
      </c>
      <c r="AH777">
        <f t="shared" ca="1" si="116"/>
        <v>1.9462046147945894E-3</v>
      </c>
      <c r="AI777">
        <f>IF(ROW($AA777) - $AA$51 &lt; ($H$16+1)^5, IF(AG777 &gt;= FreeSpinsBonus!$C$16, AG777*FreeSpinsBonus!$E$31, 0), "")</f>
        <v>11.658408627222384</v>
      </c>
      <c r="AJ777">
        <f t="shared" ca="1" si="115"/>
        <v>2.2689648671461258E-2</v>
      </c>
    </row>
    <row r="778" spans="28:36" x14ac:dyDescent="0.3">
      <c r="AB778">
        <f t="shared" si="109"/>
        <v>2</v>
      </c>
      <c r="AC778">
        <f t="shared" si="110"/>
        <v>1</v>
      </c>
      <c r="AD778">
        <f t="shared" si="111"/>
        <v>1</v>
      </c>
      <c r="AE778">
        <f t="shared" si="112"/>
        <v>3</v>
      </c>
      <c r="AF778">
        <f t="shared" si="113"/>
        <v>2</v>
      </c>
      <c r="AG778">
        <f t="shared" si="114"/>
        <v>9</v>
      </c>
      <c r="AH778">
        <f t="shared" ca="1" si="116"/>
        <v>1.0243182183129417E-3</v>
      </c>
      <c r="AI778">
        <f>IF(ROW($AA778) - $AA$51 &lt; ($H$16+1)^5, IF(AG778 &gt;= FreeSpinsBonus!$C$16, AG778*FreeSpinsBonus!$E$31, 0), "")</f>
        <v>13.115709705625182</v>
      </c>
      <c r="AJ778">
        <f t="shared" ca="1" si="115"/>
        <v>1.3434660397575744E-2</v>
      </c>
    </row>
    <row r="779" spans="28:36" x14ac:dyDescent="0.3">
      <c r="AB779">
        <f t="shared" si="109"/>
        <v>3</v>
      </c>
      <c r="AC779">
        <f t="shared" si="110"/>
        <v>1</v>
      </c>
      <c r="AD779">
        <f t="shared" si="111"/>
        <v>1</v>
      </c>
      <c r="AE779">
        <f t="shared" si="112"/>
        <v>3</v>
      </c>
      <c r="AF779">
        <f t="shared" si="113"/>
        <v>2</v>
      </c>
      <c r="AG779">
        <f t="shared" si="114"/>
        <v>10</v>
      </c>
      <c r="AH779">
        <f t="shared" ca="1" si="116"/>
        <v>0</v>
      </c>
      <c r="AI779">
        <f>IF(ROW($AA779) - $AA$51 &lt; ($H$16+1)^5, IF(AG779 &gt;= FreeSpinsBonus!$C$16, AG779*FreeSpinsBonus!$E$31, 0), "")</f>
        <v>14.57301078402798</v>
      </c>
      <c r="AJ779">
        <f t="shared" ca="1" si="115"/>
        <v>0</v>
      </c>
    </row>
    <row r="780" spans="28:36" x14ac:dyDescent="0.3">
      <c r="AB780">
        <f t="shared" si="109"/>
        <v>0</v>
      </c>
      <c r="AC780">
        <f t="shared" si="110"/>
        <v>2</v>
      </c>
      <c r="AD780">
        <f t="shared" si="111"/>
        <v>1</v>
      </c>
      <c r="AE780">
        <f t="shared" si="112"/>
        <v>3</v>
      </c>
      <c r="AF780">
        <f t="shared" si="113"/>
        <v>2</v>
      </c>
      <c r="AG780">
        <f t="shared" si="114"/>
        <v>8</v>
      </c>
      <c r="AH780">
        <f t="shared" ca="1" si="116"/>
        <v>1.8437727929632953E-3</v>
      </c>
      <c r="AI780">
        <f>IF(ROW($AA780) - $AA$51 &lt; ($H$16+1)^5, IF(AG780 &gt;= FreeSpinsBonus!$C$16, AG780*FreeSpinsBonus!$E$31, 0), "")</f>
        <v>11.658408627222384</v>
      </c>
      <c r="AJ780">
        <f t="shared" ca="1" si="115"/>
        <v>2.1495456636121194E-2</v>
      </c>
    </row>
    <row r="781" spans="28:36" x14ac:dyDescent="0.3">
      <c r="AB781">
        <f t="shared" si="109"/>
        <v>1</v>
      </c>
      <c r="AC781">
        <f t="shared" si="110"/>
        <v>2</v>
      </c>
      <c r="AD781">
        <f t="shared" si="111"/>
        <v>1</v>
      </c>
      <c r="AE781">
        <f t="shared" si="112"/>
        <v>3</v>
      </c>
      <c r="AF781">
        <f t="shared" si="113"/>
        <v>2</v>
      </c>
      <c r="AG781">
        <f t="shared" si="114"/>
        <v>9</v>
      </c>
      <c r="AH781">
        <f t="shared" ca="1" si="116"/>
        <v>1.9462046147945894E-3</v>
      </c>
      <c r="AI781">
        <f>IF(ROW($AA781) - $AA$51 &lt; ($H$16+1)^5, IF(AG781 &gt;= FreeSpinsBonus!$C$16, AG781*FreeSpinsBonus!$E$31, 0), "")</f>
        <v>13.115709705625182</v>
      </c>
      <c r="AJ781">
        <f t="shared" ca="1" si="115"/>
        <v>2.5525854755393915E-2</v>
      </c>
    </row>
    <row r="782" spans="28:36" x14ac:dyDescent="0.3">
      <c r="AB782">
        <f t="shared" si="109"/>
        <v>2</v>
      </c>
      <c r="AC782">
        <f t="shared" si="110"/>
        <v>2</v>
      </c>
      <c r="AD782">
        <f t="shared" si="111"/>
        <v>1</v>
      </c>
      <c r="AE782">
        <f t="shared" si="112"/>
        <v>3</v>
      </c>
      <c r="AF782">
        <f t="shared" si="113"/>
        <v>2</v>
      </c>
      <c r="AG782">
        <f t="shared" si="114"/>
        <v>10</v>
      </c>
      <c r="AH782">
        <f t="shared" ca="1" si="116"/>
        <v>1.0243182183129417E-3</v>
      </c>
      <c r="AI782">
        <f>IF(ROW($AA782) - $AA$51 &lt; ($H$16+1)^5, IF(AG782 &gt;= FreeSpinsBonus!$C$16, AG782*FreeSpinsBonus!$E$31, 0), "")</f>
        <v>14.57301078402798</v>
      </c>
      <c r="AJ782">
        <f t="shared" ca="1" si="115"/>
        <v>1.4927400441750827E-2</v>
      </c>
    </row>
    <row r="783" spans="28:36" x14ac:dyDescent="0.3">
      <c r="AB783">
        <f t="shared" si="109"/>
        <v>3</v>
      </c>
      <c r="AC783">
        <f t="shared" si="110"/>
        <v>2</v>
      </c>
      <c r="AD783">
        <f t="shared" si="111"/>
        <v>1</v>
      </c>
      <c r="AE783">
        <f t="shared" si="112"/>
        <v>3</v>
      </c>
      <c r="AF783">
        <f t="shared" si="113"/>
        <v>2</v>
      </c>
      <c r="AG783">
        <f t="shared" si="114"/>
        <v>11</v>
      </c>
      <c r="AH783">
        <f t="shared" ca="1" si="116"/>
        <v>0</v>
      </c>
      <c r="AI783">
        <f>IF(ROW($AA783) - $AA$51 &lt; ($H$16+1)^5, IF(AG783 &gt;= FreeSpinsBonus!$C$16, AG783*FreeSpinsBonus!$E$31, 0), "")</f>
        <v>16.030311862430779</v>
      </c>
      <c r="AJ783">
        <f t="shared" ca="1" si="115"/>
        <v>0</v>
      </c>
    </row>
    <row r="784" spans="28:36" x14ac:dyDescent="0.3">
      <c r="AB784">
        <f t="shared" si="109"/>
        <v>0</v>
      </c>
      <c r="AC784">
        <f t="shared" si="110"/>
        <v>3</v>
      </c>
      <c r="AD784">
        <f t="shared" si="111"/>
        <v>1</v>
      </c>
      <c r="AE784">
        <f t="shared" si="112"/>
        <v>3</v>
      </c>
      <c r="AF784">
        <f t="shared" si="113"/>
        <v>2</v>
      </c>
      <c r="AG784">
        <f t="shared" si="114"/>
        <v>9</v>
      </c>
      <c r="AH784">
        <f t="shared" ca="1" si="116"/>
        <v>6.5074333869292783E-4</v>
      </c>
      <c r="AI784">
        <f>IF(ROW($AA784) - $AA$51 &lt; ($H$16+1)^5, IF(AG784 &gt;= FreeSpinsBonus!$C$16, AG784*FreeSpinsBonus!$E$31, 0), "")</f>
        <v>13.115709705625182</v>
      </c>
      <c r="AJ784">
        <f t="shared" ca="1" si="115"/>
        <v>8.534960723165768E-3</v>
      </c>
    </row>
    <row r="785" spans="28:36" x14ac:dyDescent="0.3">
      <c r="AB785">
        <f t="shared" si="109"/>
        <v>1</v>
      </c>
      <c r="AC785">
        <f t="shared" si="110"/>
        <v>3</v>
      </c>
      <c r="AD785">
        <f t="shared" si="111"/>
        <v>1</v>
      </c>
      <c r="AE785">
        <f t="shared" si="112"/>
        <v>3</v>
      </c>
      <c r="AF785">
        <f t="shared" si="113"/>
        <v>2</v>
      </c>
      <c r="AG785">
        <f t="shared" si="114"/>
        <v>10</v>
      </c>
      <c r="AH785">
        <f t="shared" ca="1" si="116"/>
        <v>6.8689574639809023E-4</v>
      </c>
      <c r="AI785">
        <f>IF(ROW($AA785) - $AA$51 &lt; ($H$16+1)^5, IF(AG785 &gt;= FreeSpinsBonus!$C$16, AG785*FreeSpinsBonus!$E$31, 0), "")</f>
        <v>14.57301078402798</v>
      </c>
      <c r="AJ785">
        <f t="shared" ca="1" si="115"/>
        <v>1.0010139119762318E-2</v>
      </c>
    </row>
    <row r="786" spans="28:36" x14ac:dyDescent="0.3">
      <c r="AB786">
        <f t="shared" si="109"/>
        <v>2</v>
      </c>
      <c r="AC786">
        <f t="shared" si="110"/>
        <v>3</v>
      </c>
      <c r="AD786">
        <f t="shared" si="111"/>
        <v>1</v>
      </c>
      <c r="AE786">
        <f t="shared" si="112"/>
        <v>3</v>
      </c>
      <c r="AF786">
        <f t="shared" si="113"/>
        <v>2</v>
      </c>
      <c r="AG786">
        <f t="shared" si="114"/>
        <v>11</v>
      </c>
      <c r="AH786">
        <f t="shared" ca="1" si="116"/>
        <v>3.6152407705162648E-4</v>
      </c>
      <c r="AI786">
        <f>IF(ROW($AA786) - $AA$51 &lt; ($H$16+1)^5, IF(AG786 &gt;= FreeSpinsBonus!$C$16, AG786*FreeSpinsBonus!$E$31, 0), "")</f>
        <v>16.030311862430779</v>
      </c>
      <c r="AJ786">
        <f t="shared" ca="1" si="115"/>
        <v>5.7953437009150271E-3</v>
      </c>
    </row>
    <row r="787" spans="28:36" x14ac:dyDescent="0.3">
      <c r="AB787">
        <f t="shared" si="109"/>
        <v>3</v>
      </c>
      <c r="AC787">
        <f t="shared" si="110"/>
        <v>3</v>
      </c>
      <c r="AD787">
        <f t="shared" si="111"/>
        <v>1</v>
      </c>
      <c r="AE787">
        <f t="shared" si="112"/>
        <v>3</v>
      </c>
      <c r="AF787">
        <f t="shared" si="113"/>
        <v>2</v>
      </c>
      <c r="AG787">
        <f t="shared" si="114"/>
        <v>12</v>
      </c>
      <c r="AH787">
        <f t="shared" ca="1" si="116"/>
        <v>0</v>
      </c>
      <c r="AI787">
        <f>IF(ROW($AA787) - $AA$51 &lt; ($H$16+1)^5, IF(AG787 &gt;= FreeSpinsBonus!$C$16, AG787*FreeSpinsBonus!$E$31, 0), "")</f>
        <v>17.487612940833575</v>
      </c>
      <c r="AJ787">
        <f t="shared" ca="1" si="115"/>
        <v>0</v>
      </c>
    </row>
    <row r="788" spans="28:36" x14ac:dyDescent="0.3">
      <c r="AB788">
        <f t="shared" si="109"/>
        <v>0</v>
      </c>
      <c r="AC788">
        <f t="shared" si="110"/>
        <v>0</v>
      </c>
      <c r="AD788">
        <f t="shared" si="111"/>
        <v>2</v>
      </c>
      <c r="AE788">
        <f t="shared" si="112"/>
        <v>3</v>
      </c>
      <c r="AF788">
        <f t="shared" si="113"/>
        <v>2</v>
      </c>
      <c r="AG788">
        <f t="shared" si="114"/>
        <v>7</v>
      </c>
      <c r="AH788">
        <f t="shared" ca="1" si="116"/>
        <v>1.0140750361298122E-3</v>
      </c>
      <c r="AI788">
        <f>IF(ROW($AA788) - $AA$51 &lt; ($H$16+1)^5, IF(AG788 &gt;= FreeSpinsBonus!$C$16, AG788*FreeSpinsBonus!$E$31, 0), "")</f>
        <v>10.201107548819586</v>
      </c>
      <c r="AJ788">
        <f t="shared" ca="1" si="115"/>
        <v>1.034468850613332E-2</v>
      </c>
    </row>
    <row r="789" spans="28:36" x14ac:dyDescent="0.3">
      <c r="AB789">
        <f t="shared" si="109"/>
        <v>1</v>
      </c>
      <c r="AC789">
        <f t="shared" si="110"/>
        <v>0</v>
      </c>
      <c r="AD789">
        <f t="shared" si="111"/>
        <v>2</v>
      </c>
      <c r="AE789">
        <f t="shared" si="112"/>
        <v>3</v>
      </c>
      <c r="AF789">
        <f t="shared" si="113"/>
        <v>2</v>
      </c>
      <c r="AG789">
        <f t="shared" si="114"/>
        <v>8</v>
      </c>
      <c r="AH789">
        <f t="shared" ca="1" si="116"/>
        <v>1.0704125381370241E-3</v>
      </c>
      <c r="AI789">
        <f>IF(ROW($AA789) - $AA$51 &lt; ($H$16+1)^5, IF(AG789 &gt;= FreeSpinsBonus!$C$16, AG789*FreeSpinsBonus!$E$31, 0), "")</f>
        <v>11.658408627222384</v>
      </c>
      <c r="AJ789">
        <f t="shared" ca="1" si="115"/>
        <v>1.2479306769303691E-2</v>
      </c>
    </row>
    <row r="790" spans="28:36" x14ac:dyDescent="0.3">
      <c r="AB790">
        <f t="shared" si="109"/>
        <v>2</v>
      </c>
      <c r="AC790">
        <f t="shared" si="110"/>
        <v>0</v>
      </c>
      <c r="AD790">
        <f t="shared" si="111"/>
        <v>2</v>
      </c>
      <c r="AE790">
        <f t="shared" si="112"/>
        <v>3</v>
      </c>
      <c r="AF790">
        <f t="shared" si="113"/>
        <v>2</v>
      </c>
      <c r="AG790">
        <f t="shared" si="114"/>
        <v>9</v>
      </c>
      <c r="AH790">
        <f t="shared" ca="1" si="116"/>
        <v>5.6337502007211787E-4</v>
      </c>
      <c r="AI790">
        <f>IF(ROW($AA790) - $AA$51 &lt; ($H$16+1)^5, IF(AG790 &gt;= FreeSpinsBonus!$C$16, AG790*FreeSpinsBonus!$E$31, 0), "")</f>
        <v>13.115709705625182</v>
      </c>
      <c r="AJ790">
        <f t="shared" ca="1" si="115"/>
        <v>7.3890632186666581E-3</v>
      </c>
    </row>
    <row r="791" spans="28:36" x14ac:dyDescent="0.3">
      <c r="AB791">
        <f t="shared" si="109"/>
        <v>3</v>
      </c>
      <c r="AC791">
        <f t="shared" si="110"/>
        <v>0</v>
      </c>
      <c r="AD791">
        <f t="shared" si="111"/>
        <v>2</v>
      </c>
      <c r="AE791">
        <f t="shared" si="112"/>
        <v>3</v>
      </c>
      <c r="AF791">
        <f t="shared" si="113"/>
        <v>2</v>
      </c>
      <c r="AG791">
        <f t="shared" si="114"/>
        <v>10</v>
      </c>
      <c r="AH791">
        <f t="shared" ca="1" si="116"/>
        <v>0</v>
      </c>
      <c r="AI791">
        <f>IF(ROW($AA791) - $AA$51 &lt; ($H$16+1)^5, IF(AG791 &gt;= FreeSpinsBonus!$C$16, AG791*FreeSpinsBonus!$E$31, 0), "")</f>
        <v>14.57301078402798</v>
      </c>
      <c r="AJ791">
        <f t="shared" ca="1" si="115"/>
        <v>0</v>
      </c>
    </row>
    <row r="792" spans="28:36" x14ac:dyDescent="0.3">
      <c r="AB792">
        <f t="shared" si="109"/>
        <v>0</v>
      </c>
      <c r="AC792">
        <f t="shared" si="110"/>
        <v>1</v>
      </c>
      <c r="AD792">
        <f t="shared" si="111"/>
        <v>2</v>
      </c>
      <c r="AE792">
        <f t="shared" si="112"/>
        <v>3</v>
      </c>
      <c r="AF792">
        <f t="shared" si="113"/>
        <v>2</v>
      </c>
      <c r="AG792">
        <f t="shared" si="114"/>
        <v>8</v>
      </c>
      <c r="AH792">
        <f t="shared" ca="1" si="116"/>
        <v>1.0140750361298122E-3</v>
      </c>
      <c r="AI792">
        <f>IF(ROW($AA792) - $AA$51 &lt; ($H$16+1)^5, IF(AG792 &gt;= FreeSpinsBonus!$C$16, AG792*FreeSpinsBonus!$E$31, 0), "")</f>
        <v>11.658408627222384</v>
      </c>
      <c r="AJ792">
        <f t="shared" ca="1" si="115"/>
        <v>1.1822501149866653E-2</v>
      </c>
    </row>
    <row r="793" spans="28:36" x14ac:dyDescent="0.3">
      <c r="AB793">
        <f t="shared" si="109"/>
        <v>1</v>
      </c>
      <c r="AC793">
        <f t="shared" si="110"/>
        <v>1</v>
      </c>
      <c r="AD793">
        <f t="shared" si="111"/>
        <v>2</v>
      </c>
      <c r="AE793">
        <f t="shared" si="112"/>
        <v>3</v>
      </c>
      <c r="AF793">
        <f t="shared" si="113"/>
        <v>2</v>
      </c>
      <c r="AG793">
        <f t="shared" si="114"/>
        <v>9</v>
      </c>
      <c r="AH793">
        <f t="shared" ca="1" si="116"/>
        <v>1.0704125381370241E-3</v>
      </c>
      <c r="AI793">
        <f>IF(ROW($AA793) - $AA$51 &lt; ($H$16+1)^5, IF(AG793 &gt;= FreeSpinsBonus!$C$16, AG793*FreeSpinsBonus!$E$31, 0), "")</f>
        <v>13.115709705625182</v>
      </c>
      <c r="AJ793">
        <f t="shared" ca="1" si="115"/>
        <v>1.4039220115466652E-2</v>
      </c>
    </row>
    <row r="794" spans="28:36" x14ac:dyDescent="0.3">
      <c r="AB794">
        <f t="shared" si="109"/>
        <v>2</v>
      </c>
      <c r="AC794">
        <f t="shared" si="110"/>
        <v>1</v>
      </c>
      <c r="AD794">
        <f t="shared" si="111"/>
        <v>2</v>
      </c>
      <c r="AE794">
        <f t="shared" si="112"/>
        <v>3</v>
      </c>
      <c r="AF794">
        <f t="shared" si="113"/>
        <v>2</v>
      </c>
      <c r="AG794">
        <f t="shared" si="114"/>
        <v>10</v>
      </c>
      <c r="AH794">
        <f t="shared" ca="1" si="116"/>
        <v>5.6337502007211787E-4</v>
      </c>
      <c r="AI794">
        <f>IF(ROW($AA794) - $AA$51 &lt; ($H$16+1)^5, IF(AG794 &gt;= FreeSpinsBonus!$C$16, AG794*FreeSpinsBonus!$E$31, 0), "")</f>
        <v>14.57301078402798</v>
      </c>
      <c r="AJ794">
        <f t="shared" ca="1" si="115"/>
        <v>8.2100702429629534E-3</v>
      </c>
    </row>
    <row r="795" spans="28:36" x14ac:dyDescent="0.3">
      <c r="AB795">
        <f t="shared" si="109"/>
        <v>3</v>
      </c>
      <c r="AC795">
        <f t="shared" si="110"/>
        <v>1</v>
      </c>
      <c r="AD795">
        <f t="shared" si="111"/>
        <v>2</v>
      </c>
      <c r="AE795">
        <f t="shared" si="112"/>
        <v>3</v>
      </c>
      <c r="AF795">
        <f t="shared" si="113"/>
        <v>2</v>
      </c>
      <c r="AG795">
        <f t="shared" si="114"/>
        <v>11</v>
      </c>
      <c r="AH795">
        <f t="shared" ca="1" si="116"/>
        <v>0</v>
      </c>
      <c r="AI795">
        <f>IF(ROW($AA795) - $AA$51 &lt; ($H$16+1)^5, IF(AG795 &gt;= FreeSpinsBonus!$C$16, AG795*FreeSpinsBonus!$E$31, 0), "")</f>
        <v>16.030311862430779</v>
      </c>
      <c r="AJ795">
        <f t="shared" ca="1" si="115"/>
        <v>0</v>
      </c>
    </row>
    <row r="796" spans="28:36" x14ac:dyDescent="0.3">
      <c r="AB796">
        <f t="shared" si="109"/>
        <v>0</v>
      </c>
      <c r="AC796">
        <f t="shared" si="110"/>
        <v>2</v>
      </c>
      <c r="AD796">
        <f t="shared" si="111"/>
        <v>2</v>
      </c>
      <c r="AE796">
        <f t="shared" si="112"/>
        <v>3</v>
      </c>
      <c r="AF796">
        <f t="shared" si="113"/>
        <v>2</v>
      </c>
      <c r="AG796">
        <f t="shared" si="114"/>
        <v>9</v>
      </c>
      <c r="AH796">
        <f t="shared" ca="1" si="116"/>
        <v>1.0140750361298122E-3</v>
      </c>
      <c r="AI796">
        <f>IF(ROW($AA796) - $AA$51 &lt; ($H$16+1)^5, IF(AG796 &gt;= FreeSpinsBonus!$C$16, AG796*FreeSpinsBonus!$E$31, 0), "")</f>
        <v>13.115709705625182</v>
      </c>
      <c r="AJ796">
        <f t="shared" ca="1" si="115"/>
        <v>1.3300313793599985E-2</v>
      </c>
    </row>
    <row r="797" spans="28:36" x14ac:dyDescent="0.3">
      <c r="AB797">
        <f t="shared" si="109"/>
        <v>1</v>
      </c>
      <c r="AC797">
        <f t="shared" si="110"/>
        <v>2</v>
      </c>
      <c r="AD797">
        <f t="shared" si="111"/>
        <v>2</v>
      </c>
      <c r="AE797">
        <f t="shared" si="112"/>
        <v>3</v>
      </c>
      <c r="AF797">
        <f t="shared" si="113"/>
        <v>2</v>
      </c>
      <c r="AG797">
        <f t="shared" si="114"/>
        <v>10</v>
      </c>
      <c r="AH797">
        <f t="shared" ca="1" si="116"/>
        <v>1.0704125381370241E-3</v>
      </c>
      <c r="AI797">
        <f>IF(ROW($AA797) - $AA$51 &lt; ($H$16+1)^5, IF(AG797 &gt;= FreeSpinsBonus!$C$16, AG797*FreeSpinsBonus!$E$31, 0), "")</f>
        <v>14.57301078402798</v>
      </c>
      <c r="AJ797">
        <f t="shared" ca="1" si="115"/>
        <v>1.5599133461629614E-2</v>
      </c>
    </row>
    <row r="798" spans="28:36" x14ac:dyDescent="0.3">
      <c r="AB798">
        <f t="shared" si="109"/>
        <v>2</v>
      </c>
      <c r="AC798">
        <f t="shared" si="110"/>
        <v>2</v>
      </c>
      <c r="AD798">
        <f t="shared" si="111"/>
        <v>2</v>
      </c>
      <c r="AE798">
        <f t="shared" si="112"/>
        <v>3</v>
      </c>
      <c r="AF798">
        <f t="shared" si="113"/>
        <v>2</v>
      </c>
      <c r="AG798">
        <f t="shared" si="114"/>
        <v>11</v>
      </c>
      <c r="AH798">
        <f t="shared" ca="1" si="116"/>
        <v>5.6337502007211787E-4</v>
      </c>
      <c r="AI798">
        <f>IF(ROW($AA798) - $AA$51 &lt; ($H$16+1)^5, IF(AG798 &gt;= FreeSpinsBonus!$C$16, AG798*FreeSpinsBonus!$E$31, 0), "")</f>
        <v>16.030311862430779</v>
      </c>
      <c r="AJ798">
        <f t="shared" ca="1" si="115"/>
        <v>9.0310772672592497E-3</v>
      </c>
    </row>
    <row r="799" spans="28:36" x14ac:dyDescent="0.3">
      <c r="AB799">
        <f t="shared" si="109"/>
        <v>3</v>
      </c>
      <c r="AC799">
        <f t="shared" si="110"/>
        <v>2</v>
      </c>
      <c r="AD799">
        <f t="shared" si="111"/>
        <v>2</v>
      </c>
      <c r="AE799">
        <f t="shared" si="112"/>
        <v>3</v>
      </c>
      <c r="AF799">
        <f t="shared" si="113"/>
        <v>2</v>
      </c>
      <c r="AG799">
        <f t="shared" si="114"/>
        <v>12</v>
      </c>
      <c r="AH799">
        <f t="shared" ca="1" si="116"/>
        <v>0</v>
      </c>
      <c r="AI799">
        <f>IF(ROW($AA799) - $AA$51 &lt; ($H$16+1)^5, IF(AG799 &gt;= FreeSpinsBonus!$C$16, AG799*FreeSpinsBonus!$E$31, 0), "")</f>
        <v>17.487612940833575</v>
      </c>
      <c r="AJ799">
        <f t="shared" ca="1" si="115"/>
        <v>0</v>
      </c>
    </row>
    <row r="800" spans="28:36" x14ac:dyDescent="0.3">
      <c r="AB800">
        <f t="shared" si="109"/>
        <v>0</v>
      </c>
      <c r="AC800">
        <f t="shared" si="110"/>
        <v>3</v>
      </c>
      <c r="AD800">
        <f t="shared" si="111"/>
        <v>2</v>
      </c>
      <c r="AE800">
        <f t="shared" si="112"/>
        <v>3</v>
      </c>
      <c r="AF800">
        <f t="shared" si="113"/>
        <v>2</v>
      </c>
      <c r="AG800">
        <f t="shared" si="114"/>
        <v>10</v>
      </c>
      <c r="AH800">
        <f t="shared" ca="1" si="116"/>
        <v>3.5790883628111027E-4</v>
      </c>
      <c r="AI800">
        <f>IF(ROW($AA800) - $AA$51 &lt; ($H$16+1)^5, IF(AG800 &gt;= FreeSpinsBonus!$C$16, AG800*FreeSpinsBonus!$E$31, 0), "")</f>
        <v>14.57301078402798</v>
      </c>
      <c r="AJ800">
        <f t="shared" ca="1" si="115"/>
        <v>5.2158093308235249E-3</v>
      </c>
    </row>
    <row r="801" spans="28:36" x14ac:dyDescent="0.3">
      <c r="AB801">
        <f t="shared" si="109"/>
        <v>1</v>
      </c>
      <c r="AC801">
        <f t="shared" si="110"/>
        <v>3</v>
      </c>
      <c r="AD801">
        <f t="shared" si="111"/>
        <v>2</v>
      </c>
      <c r="AE801">
        <f t="shared" si="112"/>
        <v>3</v>
      </c>
      <c r="AF801">
        <f t="shared" si="113"/>
        <v>2</v>
      </c>
      <c r="AG801">
        <f t="shared" si="114"/>
        <v>11</v>
      </c>
      <c r="AH801">
        <f t="shared" ca="1" si="116"/>
        <v>3.7779266051894971E-4</v>
      </c>
      <c r="AI801">
        <f>IF(ROW($AA801) - $AA$51 &lt; ($H$16+1)^5, IF(AG801 &gt;= FreeSpinsBonus!$C$16, AG801*FreeSpinsBonus!$E$31, 0), "")</f>
        <v>16.030311862430779</v>
      </c>
      <c r="AJ801">
        <f t="shared" ca="1" si="115"/>
        <v>6.0561341674562038E-3</v>
      </c>
    </row>
    <row r="802" spans="28:36" x14ac:dyDescent="0.3">
      <c r="AB802">
        <f t="shared" si="109"/>
        <v>2</v>
      </c>
      <c r="AC802">
        <f t="shared" si="110"/>
        <v>3</v>
      </c>
      <c r="AD802">
        <f t="shared" si="111"/>
        <v>2</v>
      </c>
      <c r="AE802">
        <f t="shared" si="112"/>
        <v>3</v>
      </c>
      <c r="AF802">
        <f t="shared" si="113"/>
        <v>2</v>
      </c>
      <c r="AG802">
        <f t="shared" si="114"/>
        <v>12</v>
      </c>
      <c r="AH802">
        <f t="shared" ca="1" si="116"/>
        <v>1.9883824237839455E-4</v>
      </c>
      <c r="AI802">
        <f>IF(ROW($AA802) - $AA$51 &lt; ($H$16+1)^5, IF(AG802 &gt;= FreeSpinsBonus!$C$16, AG802*FreeSpinsBonus!$E$31, 0), "")</f>
        <v>17.487612940833575</v>
      </c>
      <c r="AJ802">
        <f t="shared" ca="1" si="115"/>
        <v>3.4772062205490153E-3</v>
      </c>
    </row>
    <row r="803" spans="28:36" x14ac:dyDescent="0.3">
      <c r="AB803">
        <f t="shared" si="109"/>
        <v>3</v>
      </c>
      <c r="AC803">
        <f t="shared" si="110"/>
        <v>3</v>
      </c>
      <c r="AD803">
        <f t="shared" si="111"/>
        <v>2</v>
      </c>
      <c r="AE803">
        <f t="shared" si="112"/>
        <v>3</v>
      </c>
      <c r="AF803">
        <f t="shared" si="113"/>
        <v>2</v>
      </c>
      <c r="AG803">
        <f t="shared" si="114"/>
        <v>13</v>
      </c>
      <c r="AH803">
        <f t="shared" ca="1" si="116"/>
        <v>0</v>
      </c>
      <c r="AI803">
        <f>IF(ROW($AA803) - $AA$51 &lt; ($H$16+1)^5, IF(AG803 &gt;= FreeSpinsBonus!$C$16, AG803*FreeSpinsBonus!$E$31, 0), "")</f>
        <v>18.944914019236375</v>
      </c>
      <c r="AJ803">
        <f t="shared" ca="1" si="115"/>
        <v>0</v>
      </c>
    </row>
    <row r="804" spans="28:36" x14ac:dyDescent="0.3">
      <c r="AB804">
        <f t="shared" si="109"/>
        <v>0</v>
      </c>
      <c r="AC804">
        <f t="shared" si="110"/>
        <v>0</v>
      </c>
      <c r="AD804">
        <f t="shared" si="111"/>
        <v>3</v>
      </c>
      <c r="AE804">
        <f t="shared" si="112"/>
        <v>3</v>
      </c>
      <c r="AF804">
        <f t="shared" si="113"/>
        <v>2</v>
      </c>
      <c r="AG804">
        <f t="shared" si="114"/>
        <v>8</v>
      </c>
      <c r="AH804">
        <f t="shared" ca="1" si="116"/>
        <v>9.2188639648164736E-5</v>
      </c>
      <c r="AI804">
        <f>IF(ROW($AA804) - $AA$51 &lt; ($H$16+1)^5, IF(AG804 &gt;= FreeSpinsBonus!$C$16, AG804*FreeSpinsBonus!$E$31, 0), "")</f>
        <v>11.658408627222384</v>
      </c>
      <c r="AJ804">
        <f t="shared" ca="1" si="115"/>
        <v>1.0747728318060592E-3</v>
      </c>
    </row>
    <row r="805" spans="28:36" x14ac:dyDescent="0.3">
      <c r="AB805">
        <f t="shared" si="109"/>
        <v>1</v>
      </c>
      <c r="AC805">
        <f t="shared" si="110"/>
        <v>0</v>
      </c>
      <c r="AD805">
        <f t="shared" si="111"/>
        <v>3</v>
      </c>
      <c r="AE805">
        <f t="shared" si="112"/>
        <v>3</v>
      </c>
      <c r="AF805">
        <f t="shared" si="113"/>
        <v>2</v>
      </c>
      <c r="AG805">
        <f t="shared" si="114"/>
        <v>9</v>
      </c>
      <c r="AH805">
        <f t="shared" ca="1" si="116"/>
        <v>9.7310230739729435E-5</v>
      </c>
      <c r="AI805">
        <f>IF(ROW($AA805) - $AA$51 &lt; ($H$16+1)^5, IF(AG805 &gt;= FreeSpinsBonus!$C$16, AG805*FreeSpinsBonus!$E$31, 0), "")</f>
        <v>13.115709705625182</v>
      </c>
      <c r="AJ805">
        <f t="shared" ca="1" si="115"/>
        <v>1.2762927377696952E-3</v>
      </c>
    </row>
    <row r="806" spans="28:36" x14ac:dyDescent="0.3">
      <c r="AB806">
        <f t="shared" si="109"/>
        <v>2</v>
      </c>
      <c r="AC806">
        <f t="shared" si="110"/>
        <v>0</v>
      </c>
      <c r="AD806">
        <f t="shared" si="111"/>
        <v>3</v>
      </c>
      <c r="AE806">
        <f t="shared" si="112"/>
        <v>3</v>
      </c>
      <c r="AF806">
        <f t="shared" si="113"/>
        <v>2</v>
      </c>
      <c r="AG806">
        <f t="shared" si="114"/>
        <v>10</v>
      </c>
      <c r="AH806">
        <f t="shared" ca="1" si="116"/>
        <v>5.1215910915647088E-5</v>
      </c>
      <c r="AI806">
        <f>IF(ROW($AA806) - $AA$51 &lt; ($H$16+1)^5, IF(AG806 &gt;= FreeSpinsBonus!$C$16, AG806*FreeSpinsBonus!$E$31, 0), "")</f>
        <v>14.57301078402798</v>
      </c>
      <c r="AJ806">
        <f t="shared" ca="1" si="115"/>
        <v>7.4637002208754132E-4</v>
      </c>
    </row>
    <row r="807" spans="28:36" x14ac:dyDescent="0.3">
      <c r="AB807">
        <f t="shared" si="109"/>
        <v>3</v>
      </c>
      <c r="AC807">
        <f t="shared" si="110"/>
        <v>0</v>
      </c>
      <c r="AD807">
        <f t="shared" si="111"/>
        <v>3</v>
      </c>
      <c r="AE807">
        <f t="shared" si="112"/>
        <v>3</v>
      </c>
      <c r="AF807">
        <f t="shared" si="113"/>
        <v>2</v>
      </c>
      <c r="AG807">
        <f t="shared" si="114"/>
        <v>11</v>
      </c>
      <c r="AH807">
        <f t="shared" ca="1" si="116"/>
        <v>0</v>
      </c>
      <c r="AI807">
        <f>IF(ROW($AA807) - $AA$51 &lt; ($H$16+1)^5, IF(AG807 &gt;= FreeSpinsBonus!$C$16, AG807*FreeSpinsBonus!$E$31, 0), "")</f>
        <v>16.030311862430779</v>
      </c>
      <c r="AJ807">
        <f t="shared" ca="1" si="115"/>
        <v>0</v>
      </c>
    </row>
    <row r="808" spans="28:36" x14ac:dyDescent="0.3">
      <c r="AB808">
        <f t="shared" si="109"/>
        <v>0</v>
      </c>
      <c r="AC808">
        <f t="shared" si="110"/>
        <v>1</v>
      </c>
      <c r="AD808">
        <f t="shared" si="111"/>
        <v>3</v>
      </c>
      <c r="AE808">
        <f t="shared" si="112"/>
        <v>3</v>
      </c>
      <c r="AF808">
        <f t="shared" si="113"/>
        <v>2</v>
      </c>
      <c r="AG808">
        <f t="shared" si="114"/>
        <v>9</v>
      </c>
      <c r="AH808">
        <f t="shared" ca="1" si="116"/>
        <v>9.2188639648164736E-5</v>
      </c>
      <c r="AI808">
        <f>IF(ROW($AA808) - $AA$51 &lt; ($H$16+1)^5, IF(AG808 &gt;= FreeSpinsBonus!$C$16, AG808*FreeSpinsBonus!$E$31, 0), "")</f>
        <v>13.115709705625182</v>
      </c>
      <c r="AJ808">
        <f t="shared" ca="1" si="115"/>
        <v>1.2091194357818167E-3</v>
      </c>
    </row>
    <row r="809" spans="28:36" x14ac:dyDescent="0.3">
      <c r="AB809">
        <f t="shared" si="109"/>
        <v>1</v>
      </c>
      <c r="AC809">
        <f t="shared" si="110"/>
        <v>1</v>
      </c>
      <c r="AD809">
        <f t="shared" si="111"/>
        <v>3</v>
      </c>
      <c r="AE809">
        <f t="shared" si="112"/>
        <v>3</v>
      </c>
      <c r="AF809">
        <f t="shared" si="113"/>
        <v>2</v>
      </c>
      <c r="AG809">
        <f t="shared" si="114"/>
        <v>10</v>
      </c>
      <c r="AH809">
        <f t="shared" ca="1" si="116"/>
        <v>9.7310230739729435E-5</v>
      </c>
      <c r="AI809">
        <f>IF(ROW($AA809) - $AA$51 &lt; ($H$16+1)^5, IF(AG809 &gt;= FreeSpinsBonus!$C$16, AG809*FreeSpinsBonus!$E$31, 0), "")</f>
        <v>14.57301078402798</v>
      </c>
      <c r="AJ809">
        <f t="shared" ca="1" si="115"/>
        <v>1.4181030419663282E-3</v>
      </c>
    </row>
    <row r="810" spans="28:36" x14ac:dyDescent="0.3">
      <c r="AB810">
        <f t="shared" si="109"/>
        <v>2</v>
      </c>
      <c r="AC810">
        <f t="shared" si="110"/>
        <v>1</v>
      </c>
      <c r="AD810">
        <f t="shared" si="111"/>
        <v>3</v>
      </c>
      <c r="AE810">
        <f t="shared" si="112"/>
        <v>3</v>
      </c>
      <c r="AF810">
        <f t="shared" si="113"/>
        <v>2</v>
      </c>
      <c r="AG810">
        <f t="shared" si="114"/>
        <v>11</v>
      </c>
      <c r="AH810">
        <f t="shared" ca="1" si="116"/>
        <v>5.1215910915647088E-5</v>
      </c>
      <c r="AI810">
        <f>IF(ROW($AA810) - $AA$51 &lt; ($H$16+1)^5, IF(AG810 &gt;= FreeSpinsBonus!$C$16, AG810*FreeSpinsBonus!$E$31, 0), "")</f>
        <v>16.030311862430779</v>
      </c>
      <c r="AJ810">
        <f t="shared" ca="1" si="115"/>
        <v>8.2100702429629545E-4</v>
      </c>
    </row>
    <row r="811" spans="28:36" x14ac:dyDescent="0.3">
      <c r="AB811">
        <f t="shared" si="109"/>
        <v>3</v>
      </c>
      <c r="AC811">
        <f t="shared" si="110"/>
        <v>1</v>
      </c>
      <c r="AD811">
        <f t="shared" si="111"/>
        <v>3</v>
      </c>
      <c r="AE811">
        <f t="shared" si="112"/>
        <v>3</v>
      </c>
      <c r="AF811">
        <f t="shared" si="113"/>
        <v>2</v>
      </c>
      <c r="AG811">
        <f t="shared" si="114"/>
        <v>12</v>
      </c>
      <c r="AH811">
        <f t="shared" ca="1" si="116"/>
        <v>0</v>
      </c>
      <c r="AI811">
        <f>IF(ROW($AA811) - $AA$51 &lt; ($H$16+1)^5, IF(AG811 &gt;= FreeSpinsBonus!$C$16, AG811*FreeSpinsBonus!$E$31, 0), "")</f>
        <v>17.487612940833575</v>
      </c>
      <c r="AJ811">
        <f t="shared" ca="1" si="115"/>
        <v>0</v>
      </c>
    </row>
    <row r="812" spans="28:36" x14ac:dyDescent="0.3">
      <c r="AB812">
        <f t="shared" si="109"/>
        <v>0</v>
      </c>
      <c r="AC812">
        <f t="shared" si="110"/>
        <v>2</v>
      </c>
      <c r="AD812">
        <f t="shared" si="111"/>
        <v>3</v>
      </c>
      <c r="AE812">
        <f t="shared" si="112"/>
        <v>3</v>
      </c>
      <c r="AF812">
        <f t="shared" si="113"/>
        <v>2</v>
      </c>
      <c r="AG812">
        <f t="shared" si="114"/>
        <v>10</v>
      </c>
      <c r="AH812">
        <f t="shared" ca="1" si="116"/>
        <v>9.2188639648164736E-5</v>
      </c>
      <c r="AI812">
        <f>IF(ROW($AA812) - $AA$51 &lt; ($H$16+1)^5, IF(AG812 &gt;= FreeSpinsBonus!$C$16, AG812*FreeSpinsBonus!$E$31, 0), "")</f>
        <v>14.57301078402798</v>
      </c>
      <c r="AJ812">
        <f t="shared" ca="1" si="115"/>
        <v>1.3434660397575742E-3</v>
      </c>
    </row>
    <row r="813" spans="28:36" x14ac:dyDescent="0.3">
      <c r="AB813">
        <f t="shared" si="109"/>
        <v>1</v>
      </c>
      <c r="AC813">
        <f t="shared" si="110"/>
        <v>2</v>
      </c>
      <c r="AD813">
        <f t="shared" si="111"/>
        <v>3</v>
      </c>
      <c r="AE813">
        <f t="shared" si="112"/>
        <v>3</v>
      </c>
      <c r="AF813">
        <f t="shared" si="113"/>
        <v>2</v>
      </c>
      <c r="AG813">
        <f t="shared" si="114"/>
        <v>11</v>
      </c>
      <c r="AH813">
        <f t="shared" ca="1" si="116"/>
        <v>9.7310230739729435E-5</v>
      </c>
      <c r="AI813">
        <f>IF(ROW($AA813) - $AA$51 &lt; ($H$16+1)^5, IF(AG813 &gt;= FreeSpinsBonus!$C$16, AG813*FreeSpinsBonus!$E$31, 0), "")</f>
        <v>16.030311862430779</v>
      </c>
      <c r="AJ813">
        <f t="shared" ca="1" si="115"/>
        <v>1.5599133461629609E-3</v>
      </c>
    </row>
    <row r="814" spans="28:36" x14ac:dyDescent="0.3">
      <c r="AB814">
        <f t="shared" si="109"/>
        <v>2</v>
      </c>
      <c r="AC814">
        <f t="shared" si="110"/>
        <v>2</v>
      </c>
      <c r="AD814">
        <f t="shared" si="111"/>
        <v>3</v>
      </c>
      <c r="AE814">
        <f t="shared" si="112"/>
        <v>3</v>
      </c>
      <c r="AF814">
        <f t="shared" si="113"/>
        <v>2</v>
      </c>
      <c r="AG814">
        <f t="shared" si="114"/>
        <v>12</v>
      </c>
      <c r="AH814">
        <f t="shared" ca="1" si="116"/>
        <v>5.1215910915647088E-5</v>
      </c>
      <c r="AI814">
        <f>IF(ROW($AA814) - $AA$51 &lt; ($H$16+1)^5, IF(AG814 &gt;= FreeSpinsBonus!$C$16, AG814*FreeSpinsBonus!$E$31, 0), "")</f>
        <v>17.487612940833575</v>
      </c>
      <c r="AJ814">
        <f t="shared" ca="1" si="115"/>
        <v>8.9564402650504958E-4</v>
      </c>
    </row>
    <row r="815" spans="28:36" x14ac:dyDescent="0.3">
      <c r="AB815">
        <f t="shared" si="109"/>
        <v>3</v>
      </c>
      <c r="AC815">
        <f t="shared" si="110"/>
        <v>2</v>
      </c>
      <c r="AD815">
        <f t="shared" si="111"/>
        <v>3</v>
      </c>
      <c r="AE815">
        <f t="shared" si="112"/>
        <v>3</v>
      </c>
      <c r="AF815">
        <f t="shared" si="113"/>
        <v>2</v>
      </c>
      <c r="AG815">
        <f t="shared" si="114"/>
        <v>13</v>
      </c>
      <c r="AH815">
        <f t="shared" ca="1" si="116"/>
        <v>0</v>
      </c>
      <c r="AI815">
        <f>IF(ROW($AA815) - $AA$51 &lt; ($H$16+1)^5, IF(AG815 &gt;= FreeSpinsBonus!$C$16, AG815*FreeSpinsBonus!$E$31, 0), "")</f>
        <v>18.944914019236375</v>
      </c>
      <c r="AJ815">
        <f t="shared" ca="1" si="115"/>
        <v>0</v>
      </c>
    </row>
    <row r="816" spans="28:36" x14ac:dyDescent="0.3">
      <c r="AB816">
        <f t="shared" si="109"/>
        <v>0</v>
      </c>
      <c r="AC816">
        <f t="shared" si="110"/>
        <v>3</v>
      </c>
      <c r="AD816">
        <f t="shared" si="111"/>
        <v>3</v>
      </c>
      <c r="AE816">
        <f t="shared" si="112"/>
        <v>3</v>
      </c>
      <c r="AF816">
        <f t="shared" si="113"/>
        <v>2</v>
      </c>
      <c r="AG816">
        <f t="shared" si="114"/>
        <v>11</v>
      </c>
      <c r="AH816">
        <f t="shared" ca="1" si="116"/>
        <v>3.2537166934646387E-5</v>
      </c>
      <c r="AI816">
        <f>IF(ROW($AA816) - $AA$51 &lt; ($H$16+1)^5, IF(AG816 &gt;= FreeSpinsBonus!$C$16, AG816*FreeSpinsBonus!$E$31, 0), "")</f>
        <v>16.030311862430779</v>
      </c>
      <c r="AJ816">
        <f t="shared" ca="1" si="115"/>
        <v>5.2158093308235249E-4</v>
      </c>
    </row>
    <row r="817" spans="28:36" x14ac:dyDescent="0.3">
      <c r="AB817">
        <f t="shared" si="109"/>
        <v>1</v>
      </c>
      <c r="AC817">
        <f t="shared" si="110"/>
        <v>3</v>
      </c>
      <c r="AD817">
        <f t="shared" si="111"/>
        <v>3</v>
      </c>
      <c r="AE817">
        <f t="shared" si="112"/>
        <v>3</v>
      </c>
      <c r="AF817">
        <f t="shared" si="113"/>
        <v>2</v>
      </c>
      <c r="AG817">
        <f t="shared" si="114"/>
        <v>12</v>
      </c>
      <c r="AH817">
        <f t="shared" ca="1" si="116"/>
        <v>3.4344787319904511E-5</v>
      </c>
      <c r="AI817">
        <f>IF(ROW($AA817) - $AA$51 &lt; ($H$16+1)^5, IF(AG817 &gt;= FreeSpinsBonus!$C$16, AG817*FreeSpinsBonus!$E$31, 0), "")</f>
        <v>17.487612940833575</v>
      </c>
      <c r="AJ817">
        <f t="shared" ca="1" si="115"/>
        <v>6.0060834718573901E-4</v>
      </c>
    </row>
    <row r="818" spans="28:36" x14ac:dyDescent="0.3">
      <c r="AB818">
        <f t="shared" si="109"/>
        <v>2</v>
      </c>
      <c r="AC818">
        <f t="shared" si="110"/>
        <v>3</v>
      </c>
      <c r="AD818">
        <f t="shared" si="111"/>
        <v>3</v>
      </c>
      <c r="AE818">
        <f t="shared" si="112"/>
        <v>3</v>
      </c>
      <c r="AF818">
        <f t="shared" si="113"/>
        <v>2</v>
      </c>
      <c r="AG818">
        <f t="shared" si="114"/>
        <v>13</v>
      </c>
      <c r="AH818">
        <f t="shared" ca="1" si="116"/>
        <v>1.8076203852581324E-5</v>
      </c>
      <c r="AI818">
        <f>IF(ROW($AA818) - $AA$51 &lt; ($H$16+1)^5, IF(AG818 &gt;= FreeSpinsBonus!$C$16, AG818*FreeSpinsBonus!$E$31, 0), "")</f>
        <v>18.944914019236375</v>
      </c>
      <c r="AJ818">
        <f t="shared" ca="1" si="115"/>
        <v>3.4245212778134251E-4</v>
      </c>
    </row>
    <row r="819" spans="28:36" x14ac:dyDescent="0.3">
      <c r="AB819">
        <f t="shared" si="109"/>
        <v>3</v>
      </c>
      <c r="AC819">
        <f t="shared" si="110"/>
        <v>3</v>
      </c>
      <c r="AD819">
        <f t="shared" si="111"/>
        <v>3</v>
      </c>
      <c r="AE819">
        <f t="shared" si="112"/>
        <v>3</v>
      </c>
      <c r="AF819">
        <f t="shared" si="113"/>
        <v>2</v>
      </c>
      <c r="AG819">
        <f t="shared" si="114"/>
        <v>14</v>
      </c>
      <c r="AH819">
        <f t="shared" ca="1" si="116"/>
        <v>0</v>
      </c>
      <c r="AI819">
        <f>IF(ROW($AA819) - $AA$51 &lt; ($H$16+1)^5, IF(AG819 &gt;= FreeSpinsBonus!$C$16, AG819*FreeSpinsBonus!$E$31, 0), "")</f>
        <v>20.402215097639171</v>
      </c>
      <c r="AJ819">
        <f t="shared" ca="1" si="115"/>
        <v>0</v>
      </c>
    </row>
    <row r="820" spans="28:36" x14ac:dyDescent="0.3">
      <c r="AB820">
        <f t="shared" ref="AB820:AB883" si="117">IF(ROW()-$AA$51 &lt; (H$16+1)^5, MOD(_xlfn.FLOOR.MATH((ROW()-$AA$51)/AB$50), H$16+1), "")</f>
        <v>0</v>
      </c>
      <c r="AC820">
        <f t="shared" ref="AC820:AC883" si="118">IF(ROW()-$AA$51 &lt; (I$16+1)^5, MOD(_xlfn.FLOOR.MATH((ROW()-$AA$51)/AC$50), I$16+1), "")</f>
        <v>0</v>
      </c>
      <c r="AD820">
        <f t="shared" ref="AD820:AD883" si="119">IF(ROW()-$AA$51 &lt; (J$16+1)^5, MOD(_xlfn.FLOOR.MATH((ROW()-$AA$51)/AD$50), J$16+1), "")</f>
        <v>0</v>
      </c>
      <c r="AE820">
        <f t="shared" ref="AE820:AE883" si="120">IF(ROW()-$AA$51 &lt; (K$16+1)^5, MOD(_xlfn.FLOOR.MATH((ROW()-$AA$51)/AE$50), K$16+1), "")</f>
        <v>0</v>
      </c>
      <c r="AF820">
        <f t="shared" ref="AF820:AF883" si="121">IF(ROW()-$AA$51 &lt; (L$16+1)^5, MOD(_xlfn.FLOOR.MATH((ROW()-$AA$51)/AF$50), L$16+1), "")</f>
        <v>3</v>
      </c>
      <c r="AG820">
        <f t="shared" ref="AG820:AG883" si="122">IF(ROW($AA820) - $AA$51 &lt; ($H$16+1)^5, SUM(AB820:AF820), "")</f>
        <v>3</v>
      </c>
      <c r="AH820">
        <f t="shared" ca="1" si="116"/>
        <v>1.8437727929632947E-4</v>
      </c>
      <c r="AI820">
        <f>IF(ROW($AA820) - $AA$51 &lt; ($H$16+1)^5, IF(AG820 &gt;= FreeSpinsBonus!$C$16, AG820*FreeSpinsBonus!$E$31, 0), "")</f>
        <v>0</v>
      </c>
      <c r="AJ820">
        <f t="shared" ref="AJ820:AJ883" ca="1" si="123">IF(ROW($AA820) - $AA$51 &lt; ($H$16+1)^5, AH820*AI820, "")</f>
        <v>0</v>
      </c>
    </row>
    <row r="821" spans="28:36" x14ac:dyDescent="0.3">
      <c r="AB821">
        <f t="shared" si="117"/>
        <v>1</v>
      </c>
      <c r="AC821">
        <f t="shared" si="118"/>
        <v>0</v>
      </c>
      <c r="AD821">
        <f t="shared" si="119"/>
        <v>0</v>
      </c>
      <c r="AE821">
        <f t="shared" si="120"/>
        <v>0</v>
      </c>
      <c r="AF821">
        <f t="shared" si="121"/>
        <v>3</v>
      </c>
      <c r="AG821">
        <f t="shared" si="122"/>
        <v>4</v>
      </c>
      <c r="AH821">
        <f t="shared" ref="AH821:AH884" ca="1" si="124">IF(ROW($AA821) - $AA$51 &lt; (4)^5,
    (_xlfn.XLOOKUP(AB821,$T$51:$T$55,U$51:U$55,0)/U$28) * (_xlfn.XLOOKUP(AC821,$T$51:$T$55,V$51:V$55,0)/V$28) * (_xlfn.XLOOKUP(AD821,$T$51:$T$55,W$51:W$55,0)/W$28) * (_xlfn.XLOOKUP(AE821,$T$51:$T$55,X$51:X$55,0)/X$28) * (_xlfn.XLOOKUP(AF821,$T$51:$T$55,Y$51:Y$55,0)/Y$28),
"")</f>
        <v>1.9462046147945887E-4</v>
      </c>
      <c r="AI821">
        <f>IF(ROW($AA821) - $AA$51 &lt; ($H$16+1)^5, IF(AG821 &gt;= FreeSpinsBonus!$C$16, AG821*FreeSpinsBonus!$E$31, 0), "")</f>
        <v>0</v>
      </c>
      <c r="AJ821">
        <f t="shared" ca="1" si="123"/>
        <v>0</v>
      </c>
    </row>
    <row r="822" spans="28:36" x14ac:dyDescent="0.3">
      <c r="AB822">
        <f t="shared" si="117"/>
        <v>2</v>
      </c>
      <c r="AC822">
        <f t="shared" si="118"/>
        <v>0</v>
      </c>
      <c r="AD822">
        <f t="shared" si="119"/>
        <v>0</v>
      </c>
      <c r="AE822">
        <f t="shared" si="120"/>
        <v>0</v>
      </c>
      <c r="AF822">
        <f t="shared" si="121"/>
        <v>3</v>
      </c>
      <c r="AG822">
        <f t="shared" si="122"/>
        <v>5</v>
      </c>
      <c r="AH822">
        <f t="shared" ca="1" si="124"/>
        <v>1.0243182183129418E-4</v>
      </c>
      <c r="AI822">
        <f>IF(ROW($AA822) - $AA$51 &lt; ($H$16+1)^5, IF(AG822 &gt;= FreeSpinsBonus!$C$16, AG822*FreeSpinsBonus!$E$31, 0), "")</f>
        <v>7.2865053920139902</v>
      </c>
      <c r="AJ822">
        <f t="shared" ca="1" si="123"/>
        <v>7.4637002208754132E-4</v>
      </c>
    </row>
    <row r="823" spans="28:36" x14ac:dyDescent="0.3">
      <c r="AB823">
        <f t="shared" si="117"/>
        <v>3</v>
      </c>
      <c r="AC823">
        <f t="shared" si="118"/>
        <v>0</v>
      </c>
      <c r="AD823">
        <f t="shared" si="119"/>
        <v>0</v>
      </c>
      <c r="AE823">
        <f t="shared" si="120"/>
        <v>0</v>
      </c>
      <c r="AF823">
        <f t="shared" si="121"/>
        <v>3</v>
      </c>
      <c r="AG823">
        <f t="shared" si="122"/>
        <v>6</v>
      </c>
      <c r="AH823">
        <f t="shared" ca="1" si="124"/>
        <v>0</v>
      </c>
      <c r="AI823">
        <f>IF(ROW($AA823) - $AA$51 &lt; ($H$16+1)^5, IF(AG823 &gt;= FreeSpinsBonus!$C$16, AG823*FreeSpinsBonus!$E$31, 0), "")</f>
        <v>8.7438064704167875</v>
      </c>
      <c r="AJ823">
        <f t="shared" ca="1" si="123"/>
        <v>0</v>
      </c>
    </row>
    <row r="824" spans="28:36" x14ac:dyDescent="0.3">
      <c r="AB824">
        <f t="shared" si="117"/>
        <v>0</v>
      </c>
      <c r="AC824">
        <f t="shared" si="118"/>
        <v>1</v>
      </c>
      <c r="AD824">
        <f t="shared" si="119"/>
        <v>0</v>
      </c>
      <c r="AE824">
        <f t="shared" si="120"/>
        <v>0</v>
      </c>
      <c r="AF824">
        <f t="shared" si="121"/>
        <v>3</v>
      </c>
      <c r="AG824">
        <f t="shared" si="122"/>
        <v>4</v>
      </c>
      <c r="AH824">
        <f t="shared" ca="1" si="124"/>
        <v>1.8437727929632947E-4</v>
      </c>
      <c r="AI824">
        <f>IF(ROW($AA824) - $AA$51 &lt; ($H$16+1)^5, IF(AG824 &gt;= FreeSpinsBonus!$C$16, AG824*FreeSpinsBonus!$E$31, 0), "")</f>
        <v>0</v>
      </c>
      <c r="AJ824">
        <f t="shared" ca="1" si="123"/>
        <v>0</v>
      </c>
    </row>
    <row r="825" spans="28:36" x14ac:dyDescent="0.3">
      <c r="AB825">
        <f t="shared" si="117"/>
        <v>1</v>
      </c>
      <c r="AC825">
        <f t="shared" si="118"/>
        <v>1</v>
      </c>
      <c r="AD825">
        <f t="shared" si="119"/>
        <v>0</v>
      </c>
      <c r="AE825">
        <f t="shared" si="120"/>
        <v>0</v>
      </c>
      <c r="AF825">
        <f t="shared" si="121"/>
        <v>3</v>
      </c>
      <c r="AG825">
        <f t="shared" si="122"/>
        <v>5</v>
      </c>
      <c r="AH825">
        <f t="shared" ca="1" si="124"/>
        <v>1.9462046147945887E-4</v>
      </c>
      <c r="AI825">
        <f>IF(ROW($AA825) - $AA$51 &lt; ($H$16+1)^5, IF(AG825 &gt;= FreeSpinsBonus!$C$16, AG825*FreeSpinsBonus!$E$31, 0), "")</f>
        <v>7.2865053920139902</v>
      </c>
      <c r="AJ825">
        <f t="shared" ca="1" si="123"/>
        <v>1.4181030419663282E-3</v>
      </c>
    </row>
    <row r="826" spans="28:36" x14ac:dyDescent="0.3">
      <c r="AB826">
        <f t="shared" si="117"/>
        <v>2</v>
      </c>
      <c r="AC826">
        <f t="shared" si="118"/>
        <v>1</v>
      </c>
      <c r="AD826">
        <f t="shared" si="119"/>
        <v>0</v>
      </c>
      <c r="AE826">
        <f t="shared" si="120"/>
        <v>0</v>
      </c>
      <c r="AF826">
        <f t="shared" si="121"/>
        <v>3</v>
      </c>
      <c r="AG826">
        <f t="shared" si="122"/>
        <v>6</v>
      </c>
      <c r="AH826">
        <f t="shared" ca="1" si="124"/>
        <v>1.0243182183129418E-4</v>
      </c>
      <c r="AI826">
        <f>IF(ROW($AA826) - $AA$51 &lt; ($H$16+1)^5, IF(AG826 &gt;= FreeSpinsBonus!$C$16, AG826*FreeSpinsBonus!$E$31, 0), "")</f>
        <v>8.7438064704167875</v>
      </c>
      <c r="AJ826">
        <f t="shared" ca="1" si="123"/>
        <v>8.9564402650504958E-4</v>
      </c>
    </row>
    <row r="827" spans="28:36" x14ac:dyDescent="0.3">
      <c r="AB827">
        <f t="shared" si="117"/>
        <v>3</v>
      </c>
      <c r="AC827">
        <f t="shared" si="118"/>
        <v>1</v>
      </c>
      <c r="AD827">
        <f t="shared" si="119"/>
        <v>0</v>
      </c>
      <c r="AE827">
        <f t="shared" si="120"/>
        <v>0</v>
      </c>
      <c r="AF827">
        <f t="shared" si="121"/>
        <v>3</v>
      </c>
      <c r="AG827">
        <f t="shared" si="122"/>
        <v>7</v>
      </c>
      <c r="AH827">
        <f t="shared" ca="1" si="124"/>
        <v>0</v>
      </c>
      <c r="AI827">
        <f>IF(ROW($AA827) - $AA$51 &lt; ($H$16+1)^5, IF(AG827 &gt;= FreeSpinsBonus!$C$16, AG827*FreeSpinsBonus!$E$31, 0), "")</f>
        <v>10.201107548819586</v>
      </c>
      <c r="AJ827">
        <f t="shared" ca="1" si="123"/>
        <v>0</v>
      </c>
    </row>
    <row r="828" spans="28:36" x14ac:dyDescent="0.3">
      <c r="AB828">
        <f t="shared" si="117"/>
        <v>0</v>
      </c>
      <c r="AC828">
        <f t="shared" si="118"/>
        <v>2</v>
      </c>
      <c r="AD828">
        <f t="shared" si="119"/>
        <v>0</v>
      </c>
      <c r="AE828">
        <f t="shared" si="120"/>
        <v>0</v>
      </c>
      <c r="AF828">
        <f t="shared" si="121"/>
        <v>3</v>
      </c>
      <c r="AG828">
        <f t="shared" si="122"/>
        <v>5</v>
      </c>
      <c r="AH828">
        <f t="shared" ca="1" si="124"/>
        <v>1.8437727929632947E-4</v>
      </c>
      <c r="AI828">
        <f>IF(ROW($AA828) - $AA$51 &lt; ($H$16+1)^5, IF(AG828 &gt;= FreeSpinsBonus!$C$16, AG828*FreeSpinsBonus!$E$31, 0), "")</f>
        <v>7.2865053920139902</v>
      </c>
      <c r="AJ828">
        <f t="shared" ca="1" si="123"/>
        <v>1.3434660397575742E-3</v>
      </c>
    </row>
    <row r="829" spans="28:36" x14ac:dyDescent="0.3">
      <c r="AB829">
        <f t="shared" si="117"/>
        <v>1</v>
      </c>
      <c r="AC829">
        <f t="shared" si="118"/>
        <v>2</v>
      </c>
      <c r="AD829">
        <f t="shared" si="119"/>
        <v>0</v>
      </c>
      <c r="AE829">
        <f t="shared" si="120"/>
        <v>0</v>
      </c>
      <c r="AF829">
        <f t="shared" si="121"/>
        <v>3</v>
      </c>
      <c r="AG829">
        <f t="shared" si="122"/>
        <v>6</v>
      </c>
      <c r="AH829">
        <f t="shared" ca="1" si="124"/>
        <v>1.9462046147945887E-4</v>
      </c>
      <c r="AI829">
        <f>IF(ROW($AA829) - $AA$51 &lt; ($H$16+1)^5, IF(AG829 &gt;= FreeSpinsBonus!$C$16, AG829*FreeSpinsBonus!$E$31, 0), "")</f>
        <v>8.7438064704167875</v>
      </c>
      <c r="AJ829">
        <f t="shared" ca="1" si="123"/>
        <v>1.7017236503595937E-3</v>
      </c>
    </row>
    <row r="830" spans="28:36" x14ac:dyDescent="0.3">
      <c r="AB830">
        <f t="shared" si="117"/>
        <v>2</v>
      </c>
      <c r="AC830">
        <f t="shared" si="118"/>
        <v>2</v>
      </c>
      <c r="AD830">
        <f t="shared" si="119"/>
        <v>0</v>
      </c>
      <c r="AE830">
        <f t="shared" si="120"/>
        <v>0</v>
      </c>
      <c r="AF830">
        <f t="shared" si="121"/>
        <v>3</v>
      </c>
      <c r="AG830">
        <f t="shared" si="122"/>
        <v>7</v>
      </c>
      <c r="AH830">
        <f t="shared" ca="1" si="124"/>
        <v>1.0243182183129418E-4</v>
      </c>
      <c r="AI830">
        <f>IF(ROW($AA830) - $AA$51 &lt; ($H$16+1)^5, IF(AG830 &gt;= FreeSpinsBonus!$C$16, AG830*FreeSpinsBonus!$E$31, 0), "")</f>
        <v>10.201107548819586</v>
      </c>
      <c r="AJ830">
        <f t="shared" ca="1" si="123"/>
        <v>1.0449180309225578E-3</v>
      </c>
    </row>
    <row r="831" spans="28:36" x14ac:dyDescent="0.3">
      <c r="AB831">
        <f t="shared" si="117"/>
        <v>3</v>
      </c>
      <c r="AC831">
        <f t="shared" si="118"/>
        <v>2</v>
      </c>
      <c r="AD831">
        <f t="shared" si="119"/>
        <v>0</v>
      </c>
      <c r="AE831">
        <f t="shared" si="120"/>
        <v>0</v>
      </c>
      <c r="AF831">
        <f t="shared" si="121"/>
        <v>3</v>
      </c>
      <c r="AG831">
        <f t="shared" si="122"/>
        <v>8</v>
      </c>
      <c r="AH831">
        <f t="shared" ca="1" si="124"/>
        <v>0</v>
      </c>
      <c r="AI831">
        <f>IF(ROW($AA831) - $AA$51 &lt; ($H$16+1)^5, IF(AG831 &gt;= FreeSpinsBonus!$C$16, AG831*FreeSpinsBonus!$E$31, 0), "")</f>
        <v>11.658408627222384</v>
      </c>
      <c r="AJ831">
        <f t="shared" ca="1" si="123"/>
        <v>0</v>
      </c>
    </row>
    <row r="832" spans="28:36" x14ac:dyDescent="0.3">
      <c r="AB832">
        <f t="shared" si="117"/>
        <v>0</v>
      </c>
      <c r="AC832">
        <f t="shared" si="118"/>
        <v>3</v>
      </c>
      <c r="AD832">
        <f t="shared" si="119"/>
        <v>0</v>
      </c>
      <c r="AE832">
        <f t="shared" si="120"/>
        <v>0</v>
      </c>
      <c r="AF832">
        <f t="shared" si="121"/>
        <v>3</v>
      </c>
      <c r="AG832">
        <f t="shared" si="122"/>
        <v>6</v>
      </c>
      <c r="AH832">
        <f t="shared" ca="1" si="124"/>
        <v>6.5074333869292775E-5</v>
      </c>
      <c r="AI832">
        <f>IF(ROW($AA832) - $AA$51 &lt; ($H$16+1)^5, IF(AG832 &gt;= FreeSpinsBonus!$C$16, AG832*FreeSpinsBonus!$E$31, 0), "")</f>
        <v>8.7438064704167875</v>
      </c>
      <c r="AJ832">
        <f t="shared" ca="1" si="123"/>
        <v>5.6899738154438443E-4</v>
      </c>
    </row>
    <row r="833" spans="28:36" x14ac:dyDescent="0.3">
      <c r="AB833">
        <f t="shared" si="117"/>
        <v>1</v>
      </c>
      <c r="AC833">
        <f t="shared" si="118"/>
        <v>3</v>
      </c>
      <c r="AD833">
        <f t="shared" si="119"/>
        <v>0</v>
      </c>
      <c r="AE833">
        <f t="shared" si="120"/>
        <v>0</v>
      </c>
      <c r="AF833">
        <f t="shared" si="121"/>
        <v>3</v>
      </c>
      <c r="AG833">
        <f t="shared" si="122"/>
        <v>7</v>
      </c>
      <c r="AH833">
        <f t="shared" ca="1" si="124"/>
        <v>6.8689574639809023E-5</v>
      </c>
      <c r="AI833">
        <f>IF(ROW($AA833) - $AA$51 &lt; ($H$16+1)^5, IF(AG833 &gt;= FreeSpinsBonus!$C$16, AG833*FreeSpinsBonus!$E$31, 0), "")</f>
        <v>10.201107548819586</v>
      </c>
      <c r="AJ833">
        <f t="shared" ca="1" si="123"/>
        <v>7.0070973838336215E-4</v>
      </c>
    </row>
    <row r="834" spans="28:36" x14ac:dyDescent="0.3">
      <c r="AB834">
        <f t="shared" si="117"/>
        <v>2</v>
      </c>
      <c r="AC834">
        <f t="shared" si="118"/>
        <v>3</v>
      </c>
      <c r="AD834">
        <f t="shared" si="119"/>
        <v>0</v>
      </c>
      <c r="AE834">
        <f t="shared" si="120"/>
        <v>0</v>
      </c>
      <c r="AF834">
        <f t="shared" si="121"/>
        <v>3</v>
      </c>
      <c r="AG834">
        <f t="shared" si="122"/>
        <v>8</v>
      </c>
      <c r="AH834">
        <f t="shared" ca="1" si="124"/>
        <v>3.6152407705162649E-5</v>
      </c>
      <c r="AI834">
        <f>IF(ROW($AA834) - $AA$51 &lt; ($H$16+1)^5, IF(AG834 &gt;= FreeSpinsBonus!$C$16, AG834*FreeSpinsBonus!$E$31, 0), "")</f>
        <v>11.658408627222384</v>
      </c>
      <c r="AJ834">
        <f t="shared" ca="1" si="123"/>
        <v>4.2147954188472919E-4</v>
      </c>
    </row>
    <row r="835" spans="28:36" x14ac:dyDescent="0.3">
      <c r="AB835">
        <f t="shared" si="117"/>
        <v>3</v>
      </c>
      <c r="AC835">
        <f t="shared" si="118"/>
        <v>3</v>
      </c>
      <c r="AD835">
        <f t="shared" si="119"/>
        <v>0</v>
      </c>
      <c r="AE835">
        <f t="shared" si="120"/>
        <v>0</v>
      </c>
      <c r="AF835">
        <f t="shared" si="121"/>
        <v>3</v>
      </c>
      <c r="AG835">
        <f t="shared" si="122"/>
        <v>9</v>
      </c>
      <c r="AH835">
        <f t="shared" ca="1" si="124"/>
        <v>0</v>
      </c>
      <c r="AI835">
        <f>IF(ROW($AA835) - $AA$51 &lt; ($H$16+1)^5, IF(AG835 &gt;= FreeSpinsBonus!$C$16, AG835*FreeSpinsBonus!$E$31, 0), "")</f>
        <v>13.115709705625182</v>
      </c>
      <c r="AJ835">
        <f t="shared" ca="1" si="123"/>
        <v>0</v>
      </c>
    </row>
    <row r="836" spans="28:36" x14ac:dyDescent="0.3">
      <c r="AB836">
        <f t="shared" si="117"/>
        <v>0</v>
      </c>
      <c r="AC836">
        <f t="shared" si="118"/>
        <v>0</v>
      </c>
      <c r="AD836">
        <f t="shared" si="119"/>
        <v>1</v>
      </c>
      <c r="AE836">
        <f t="shared" si="120"/>
        <v>0</v>
      </c>
      <c r="AF836">
        <f t="shared" si="121"/>
        <v>3</v>
      </c>
      <c r="AG836">
        <f t="shared" si="122"/>
        <v>4</v>
      </c>
      <c r="AH836">
        <f t="shared" ca="1" si="124"/>
        <v>2.3047159912041191E-4</v>
      </c>
      <c r="AI836">
        <f>IF(ROW($AA836) - $AA$51 &lt; ($H$16+1)^5, IF(AG836 &gt;= FreeSpinsBonus!$C$16, AG836*FreeSpinsBonus!$E$31, 0), "")</f>
        <v>0</v>
      </c>
      <c r="AJ836">
        <f t="shared" ca="1" si="123"/>
        <v>0</v>
      </c>
    </row>
    <row r="837" spans="28:36" x14ac:dyDescent="0.3">
      <c r="AB837">
        <f t="shared" si="117"/>
        <v>1</v>
      </c>
      <c r="AC837">
        <f t="shared" si="118"/>
        <v>0</v>
      </c>
      <c r="AD837">
        <f t="shared" si="119"/>
        <v>1</v>
      </c>
      <c r="AE837">
        <f t="shared" si="120"/>
        <v>0</v>
      </c>
      <c r="AF837">
        <f t="shared" si="121"/>
        <v>3</v>
      </c>
      <c r="AG837">
        <f t="shared" si="122"/>
        <v>5</v>
      </c>
      <c r="AH837">
        <f t="shared" ca="1" si="124"/>
        <v>2.4327557684932367E-4</v>
      </c>
      <c r="AI837">
        <f>IF(ROW($AA837) - $AA$51 &lt; ($H$16+1)^5, IF(AG837 &gt;= FreeSpinsBonus!$C$16, AG837*FreeSpinsBonus!$E$31, 0), "")</f>
        <v>7.2865053920139902</v>
      </c>
      <c r="AJ837">
        <f t="shared" ca="1" si="123"/>
        <v>1.7726288024579107E-3</v>
      </c>
    </row>
    <row r="838" spans="28:36" x14ac:dyDescent="0.3">
      <c r="AB838">
        <f t="shared" si="117"/>
        <v>2</v>
      </c>
      <c r="AC838">
        <f t="shared" si="118"/>
        <v>0</v>
      </c>
      <c r="AD838">
        <f t="shared" si="119"/>
        <v>1</v>
      </c>
      <c r="AE838">
        <f t="shared" si="120"/>
        <v>0</v>
      </c>
      <c r="AF838">
        <f t="shared" si="121"/>
        <v>3</v>
      </c>
      <c r="AG838">
        <f t="shared" si="122"/>
        <v>6</v>
      </c>
      <c r="AH838">
        <f t="shared" ca="1" si="124"/>
        <v>1.2803977728911771E-4</v>
      </c>
      <c r="AI838">
        <f>IF(ROW($AA838) - $AA$51 &lt; ($H$16+1)^5, IF(AG838 &gt;= FreeSpinsBonus!$C$16, AG838*FreeSpinsBonus!$E$31, 0), "")</f>
        <v>8.7438064704167875</v>
      </c>
      <c r="AJ838">
        <f t="shared" ca="1" si="123"/>
        <v>1.1195550331313119E-3</v>
      </c>
    </row>
    <row r="839" spans="28:36" x14ac:dyDescent="0.3">
      <c r="AB839">
        <f t="shared" si="117"/>
        <v>3</v>
      </c>
      <c r="AC839">
        <f t="shared" si="118"/>
        <v>0</v>
      </c>
      <c r="AD839">
        <f t="shared" si="119"/>
        <v>1</v>
      </c>
      <c r="AE839">
        <f t="shared" si="120"/>
        <v>0</v>
      </c>
      <c r="AF839">
        <f t="shared" si="121"/>
        <v>3</v>
      </c>
      <c r="AG839">
        <f t="shared" si="122"/>
        <v>7</v>
      </c>
      <c r="AH839">
        <f t="shared" ca="1" si="124"/>
        <v>0</v>
      </c>
      <c r="AI839">
        <f>IF(ROW($AA839) - $AA$51 &lt; ($H$16+1)^5, IF(AG839 &gt;= FreeSpinsBonus!$C$16, AG839*FreeSpinsBonus!$E$31, 0), "")</f>
        <v>10.201107548819586</v>
      </c>
      <c r="AJ839">
        <f t="shared" ca="1" si="123"/>
        <v>0</v>
      </c>
    </row>
    <row r="840" spans="28:36" x14ac:dyDescent="0.3">
      <c r="AB840">
        <f t="shared" si="117"/>
        <v>0</v>
      </c>
      <c r="AC840">
        <f t="shared" si="118"/>
        <v>1</v>
      </c>
      <c r="AD840">
        <f t="shared" si="119"/>
        <v>1</v>
      </c>
      <c r="AE840">
        <f t="shared" si="120"/>
        <v>0</v>
      </c>
      <c r="AF840">
        <f t="shared" si="121"/>
        <v>3</v>
      </c>
      <c r="AG840">
        <f t="shared" si="122"/>
        <v>5</v>
      </c>
      <c r="AH840">
        <f t="shared" ca="1" si="124"/>
        <v>2.3047159912041191E-4</v>
      </c>
      <c r="AI840">
        <f>IF(ROW($AA840) - $AA$51 &lt; ($H$16+1)^5, IF(AG840 &gt;= FreeSpinsBonus!$C$16, AG840*FreeSpinsBonus!$E$31, 0), "")</f>
        <v>7.2865053920139902</v>
      </c>
      <c r="AJ840">
        <f t="shared" ca="1" si="123"/>
        <v>1.6793325496969682E-3</v>
      </c>
    </row>
    <row r="841" spans="28:36" x14ac:dyDescent="0.3">
      <c r="AB841">
        <f t="shared" si="117"/>
        <v>1</v>
      </c>
      <c r="AC841">
        <f t="shared" si="118"/>
        <v>1</v>
      </c>
      <c r="AD841">
        <f t="shared" si="119"/>
        <v>1</v>
      </c>
      <c r="AE841">
        <f t="shared" si="120"/>
        <v>0</v>
      </c>
      <c r="AF841">
        <f t="shared" si="121"/>
        <v>3</v>
      </c>
      <c r="AG841">
        <f t="shared" si="122"/>
        <v>6</v>
      </c>
      <c r="AH841">
        <f t="shared" ca="1" si="124"/>
        <v>2.4327557684932367E-4</v>
      </c>
      <c r="AI841">
        <f>IF(ROW($AA841) - $AA$51 &lt; ($H$16+1)^5, IF(AG841 &gt;= FreeSpinsBonus!$C$16, AG841*FreeSpinsBonus!$E$31, 0), "")</f>
        <v>8.7438064704167875</v>
      </c>
      <c r="AJ841">
        <f t="shared" ca="1" si="123"/>
        <v>2.1271545629494926E-3</v>
      </c>
    </row>
    <row r="842" spans="28:36" x14ac:dyDescent="0.3">
      <c r="AB842">
        <f t="shared" si="117"/>
        <v>2</v>
      </c>
      <c r="AC842">
        <f t="shared" si="118"/>
        <v>1</v>
      </c>
      <c r="AD842">
        <f t="shared" si="119"/>
        <v>1</v>
      </c>
      <c r="AE842">
        <f t="shared" si="120"/>
        <v>0</v>
      </c>
      <c r="AF842">
        <f t="shared" si="121"/>
        <v>3</v>
      </c>
      <c r="AG842">
        <f t="shared" si="122"/>
        <v>7</v>
      </c>
      <c r="AH842">
        <f t="shared" ca="1" si="124"/>
        <v>1.2803977728911771E-4</v>
      </c>
      <c r="AI842">
        <f>IF(ROW($AA842) - $AA$51 &lt; ($H$16+1)^5, IF(AG842 &gt;= FreeSpinsBonus!$C$16, AG842*FreeSpinsBonus!$E$31, 0), "")</f>
        <v>10.201107548819586</v>
      </c>
      <c r="AJ842">
        <f t="shared" ca="1" si="123"/>
        <v>1.3061475386531973E-3</v>
      </c>
    </row>
    <row r="843" spans="28:36" x14ac:dyDescent="0.3">
      <c r="AB843">
        <f t="shared" si="117"/>
        <v>3</v>
      </c>
      <c r="AC843">
        <f t="shared" si="118"/>
        <v>1</v>
      </c>
      <c r="AD843">
        <f t="shared" si="119"/>
        <v>1</v>
      </c>
      <c r="AE843">
        <f t="shared" si="120"/>
        <v>0</v>
      </c>
      <c r="AF843">
        <f t="shared" si="121"/>
        <v>3</v>
      </c>
      <c r="AG843">
        <f t="shared" si="122"/>
        <v>8</v>
      </c>
      <c r="AH843">
        <f t="shared" ca="1" si="124"/>
        <v>0</v>
      </c>
      <c r="AI843">
        <f>IF(ROW($AA843) - $AA$51 &lt; ($H$16+1)^5, IF(AG843 &gt;= FreeSpinsBonus!$C$16, AG843*FreeSpinsBonus!$E$31, 0), "")</f>
        <v>11.658408627222384</v>
      </c>
      <c r="AJ843">
        <f t="shared" ca="1" si="123"/>
        <v>0</v>
      </c>
    </row>
    <row r="844" spans="28:36" x14ac:dyDescent="0.3">
      <c r="AB844">
        <f t="shared" si="117"/>
        <v>0</v>
      </c>
      <c r="AC844">
        <f t="shared" si="118"/>
        <v>2</v>
      </c>
      <c r="AD844">
        <f t="shared" si="119"/>
        <v>1</v>
      </c>
      <c r="AE844">
        <f t="shared" si="120"/>
        <v>0</v>
      </c>
      <c r="AF844">
        <f t="shared" si="121"/>
        <v>3</v>
      </c>
      <c r="AG844">
        <f t="shared" si="122"/>
        <v>6</v>
      </c>
      <c r="AH844">
        <f t="shared" ca="1" si="124"/>
        <v>2.3047159912041191E-4</v>
      </c>
      <c r="AI844">
        <f>IF(ROW($AA844) - $AA$51 &lt; ($H$16+1)^5, IF(AG844 &gt;= FreeSpinsBonus!$C$16, AG844*FreeSpinsBonus!$E$31, 0), "")</f>
        <v>8.7438064704167875</v>
      </c>
      <c r="AJ844">
        <f t="shared" ca="1" si="123"/>
        <v>2.0151990596363619E-3</v>
      </c>
    </row>
    <row r="845" spans="28:36" x14ac:dyDescent="0.3">
      <c r="AB845">
        <f t="shared" si="117"/>
        <v>1</v>
      </c>
      <c r="AC845">
        <f t="shared" si="118"/>
        <v>2</v>
      </c>
      <c r="AD845">
        <f t="shared" si="119"/>
        <v>1</v>
      </c>
      <c r="AE845">
        <f t="shared" si="120"/>
        <v>0</v>
      </c>
      <c r="AF845">
        <f t="shared" si="121"/>
        <v>3</v>
      </c>
      <c r="AG845">
        <f t="shared" si="122"/>
        <v>7</v>
      </c>
      <c r="AH845">
        <f t="shared" ca="1" si="124"/>
        <v>2.4327557684932367E-4</v>
      </c>
      <c r="AI845">
        <f>IF(ROW($AA845) - $AA$51 &lt; ($H$16+1)^5, IF(AG845 &gt;= FreeSpinsBonus!$C$16, AG845*FreeSpinsBonus!$E$31, 0), "")</f>
        <v>10.201107548819586</v>
      </c>
      <c r="AJ845">
        <f t="shared" ca="1" si="123"/>
        <v>2.4816803234410751E-3</v>
      </c>
    </row>
    <row r="846" spans="28:36" x14ac:dyDescent="0.3">
      <c r="AB846">
        <f t="shared" si="117"/>
        <v>2</v>
      </c>
      <c r="AC846">
        <f t="shared" si="118"/>
        <v>2</v>
      </c>
      <c r="AD846">
        <f t="shared" si="119"/>
        <v>1</v>
      </c>
      <c r="AE846">
        <f t="shared" si="120"/>
        <v>0</v>
      </c>
      <c r="AF846">
        <f t="shared" si="121"/>
        <v>3</v>
      </c>
      <c r="AG846">
        <f t="shared" si="122"/>
        <v>8</v>
      </c>
      <c r="AH846">
        <f t="shared" ca="1" si="124"/>
        <v>1.2803977728911771E-4</v>
      </c>
      <c r="AI846">
        <f>IF(ROW($AA846) - $AA$51 &lt; ($H$16+1)^5, IF(AG846 &gt;= FreeSpinsBonus!$C$16, AG846*FreeSpinsBonus!$E$31, 0), "")</f>
        <v>11.658408627222384</v>
      </c>
      <c r="AJ846">
        <f t="shared" ca="1" si="123"/>
        <v>1.4927400441750826E-3</v>
      </c>
    </row>
    <row r="847" spans="28:36" x14ac:dyDescent="0.3">
      <c r="AB847">
        <f t="shared" si="117"/>
        <v>3</v>
      </c>
      <c r="AC847">
        <f t="shared" si="118"/>
        <v>2</v>
      </c>
      <c r="AD847">
        <f t="shared" si="119"/>
        <v>1</v>
      </c>
      <c r="AE847">
        <f t="shared" si="120"/>
        <v>0</v>
      </c>
      <c r="AF847">
        <f t="shared" si="121"/>
        <v>3</v>
      </c>
      <c r="AG847">
        <f t="shared" si="122"/>
        <v>9</v>
      </c>
      <c r="AH847">
        <f t="shared" ca="1" si="124"/>
        <v>0</v>
      </c>
      <c r="AI847">
        <f>IF(ROW($AA847) - $AA$51 &lt; ($H$16+1)^5, IF(AG847 &gt;= FreeSpinsBonus!$C$16, AG847*FreeSpinsBonus!$E$31, 0), "")</f>
        <v>13.115709705625182</v>
      </c>
      <c r="AJ847">
        <f t="shared" ca="1" si="123"/>
        <v>0</v>
      </c>
    </row>
    <row r="848" spans="28:36" x14ac:dyDescent="0.3">
      <c r="AB848">
        <f t="shared" si="117"/>
        <v>0</v>
      </c>
      <c r="AC848">
        <f t="shared" si="118"/>
        <v>3</v>
      </c>
      <c r="AD848">
        <f t="shared" si="119"/>
        <v>1</v>
      </c>
      <c r="AE848">
        <f t="shared" si="120"/>
        <v>0</v>
      </c>
      <c r="AF848">
        <f t="shared" si="121"/>
        <v>3</v>
      </c>
      <c r="AG848">
        <f t="shared" si="122"/>
        <v>7</v>
      </c>
      <c r="AH848">
        <f t="shared" ca="1" si="124"/>
        <v>8.1342917336615979E-5</v>
      </c>
      <c r="AI848">
        <f>IF(ROW($AA848) - $AA$51 &lt; ($H$16+1)^5, IF(AG848 &gt;= FreeSpinsBonus!$C$16, AG848*FreeSpinsBonus!$E$31, 0), "")</f>
        <v>10.201107548819586</v>
      </c>
      <c r="AJ848">
        <f t="shared" ca="1" si="123"/>
        <v>8.2978784808556078E-4</v>
      </c>
    </row>
    <row r="849" spans="28:36" x14ac:dyDescent="0.3">
      <c r="AB849">
        <f t="shared" si="117"/>
        <v>1</v>
      </c>
      <c r="AC849">
        <f t="shared" si="118"/>
        <v>3</v>
      </c>
      <c r="AD849">
        <f t="shared" si="119"/>
        <v>1</v>
      </c>
      <c r="AE849">
        <f t="shared" si="120"/>
        <v>0</v>
      </c>
      <c r="AF849">
        <f t="shared" si="121"/>
        <v>3</v>
      </c>
      <c r="AG849">
        <f t="shared" si="122"/>
        <v>8</v>
      </c>
      <c r="AH849">
        <f t="shared" ca="1" si="124"/>
        <v>8.5861968299761279E-5</v>
      </c>
      <c r="AI849">
        <f>IF(ROW($AA849) - $AA$51 &lt; ($H$16+1)^5, IF(AG849 &gt;= FreeSpinsBonus!$C$16, AG849*FreeSpinsBonus!$E$31, 0), "")</f>
        <v>11.658408627222384</v>
      </c>
      <c r="AJ849">
        <f t="shared" ca="1" si="123"/>
        <v>1.0010139119762318E-3</v>
      </c>
    </row>
    <row r="850" spans="28:36" x14ac:dyDescent="0.3">
      <c r="AB850">
        <f t="shared" si="117"/>
        <v>2</v>
      </c>
      <c r="AC850">
        <f t="shared" si="118"/>
        <v>3</v>
      </c>
      <c r="AD850">
        <f t="shared" si="119"/>
        <v>1</v>
      </c>
      <c r="AE850">
        <f t="shared" si="120"/>
        <v>0</v>
      </c>
      <c r="AF850">
        <f t="shared" si="121"/>
        <v>3</v>
      </c>
      <c r="AG850">
        <f t="shared" si="122"/>
        <v>9</v>
      </c>
      <c r="AH850">
        <f t="shared" ca="1" si="124"/>
        <v>4.5190509631453309E-5</v>
      </c>
      <c r="AI850">
        <f>IF(ROW($AA850) - $AA$51 &lt; ($H$16+1)^5, IF(AG850 &gt;= FreeSpinsBonus!$C$16, AG850*FreeSpinsBonus!$E$31, 0), "")</f>
        <v>13.115709705625182</v>
      </c>
      <c r="AJ850">
        <f t="shared" ca="1" si="123"/>
        <v>5.9270560577540045E-4</v>
      </c>
    </row>
    <row r="851" spans="28:36" x14ac:dyDescent="0.3">
      <c r="AB851">
        <f t="shared" si="117"/>
        <v>3</v>
      </c>
      <c r="AC851">
        <f t="shared" si="118"/>
        <v>3</v>
      </c>
      <c r="AD851">
        <f t="shared" si="119"/>
        <v>1</v>
      </c>
      <c r="AE851">
        <f t="shared" si="120"/>
        <v>0</v>
      </c>
      <c r="AF851">
        <f t="shared" si="121"/>
        <v>3</v>
      </c>
      <c r="AG851">
        <f t="shared" si="122"/>
        <v>10</v>
      </c>
      <c r="AH851">
        <f t="shared" ca="1" si="124"/>
        <v>0</v>
      </c>
      <c r="AI851">
        <f>IF(ROW($AA851) - $AA$51 &lt; ($H$16+1)^5, IF(AG851 &gt;= FreeSpinsBonus!$C$16, AG851*FreeSpinsBonus!$E$31, 0), "")</f>
        <v>14.57301078402798</v>
      </c>
      <c r="AJ851">
        <f t="shared" ca="1" si="123"/>
        <v>0</v>
      </c>
    </row>
    <row r="852" spans="28:36" x14ac:dyDescent="0.3">
      <c r="AB852">
        <f t="shared" si="117"/>
        <v>0</v>
      </c>
      <c r="AC852">
        <f t="shared" si="118"/>
        <v>0</v>
      </c>
      <c r="AD852">
        <f t="shared" si="119"/>
        <v>2</v>
      </c>
      <c r="AE852">
        <f t="shared" si="120"/>
        <v>0</v>
      </c>
      <c r="AF852">
        <f t="shared" si="121"/>
        <v>3</v>
      </c>
      <c r="AG852">
        <f t="shared" si="122"/>
        <v>5</v>
      </c>
      <c r="AH852">
        <f t="shared" ca="1" si="124"/>
        <v>1.2675937951622652E-4</v>
      </c>
      <c r="AI852">
        <f>IF(ROW($AA852) - $AA$51 &lt; ($H$16+1)^5, IF(AG852 &gt;= FreeSpinsBonus!$C$16, AG852*FreeSpinsBonus!$E$31, 0), "")</f>
        <v>7.2865053920139902</v>
      </c>
      <c r="AJ852">
        <f t="shared" ca="1" si="123"/>
        <v>9.2363290233333226E-4</v>
      </c>
    </row>
    <row r="853" spans="28:36" x14ac:dyDescent="0.3">
      <c r="AB853">
        <f t="shared" si="117"/>
        <v>1</v>
      </c>
      <c r="AC853">
        <f t="shared" si="118"/>
        <v>0</v>
      </c>
      <c r="AD853">
        <f t="shared" si="119"/>
        <v>2</v>
      </c>
      <c r="AE853">
        <f t="shared" si="120"/>
        <v>0</v>
      </c>
      <c r="AF853">
        <f t="shared" si="121"/>
        <v>3</v>
      </c>
      <c r="AG853">
        <f t="shared" si="122"/>
        <v>6</v>
      </c>
      <c r="AH853">
        <f t="shared" ca="1" si="124"/>
        <v>1.3380156726712801E-4</v>
      </c>
      <c r="AI853">
        <f>IF(ROW($AA853) - $AA$51 &lt; ($H$16+1)^5, IF(AG853 &gt;= FreeSpinsBonus!$C$16, AG853*FreeSpinsBonus!$E$31, 0), "")</f>
        <v>8.7438064704167875</v>
      </c>
      <c r="AJ853">
        <f t="shared" ca="1" si="123"/>
        <v>1.169935009622221E-3</v>
      </c>
    </row>
    <row r="854" spans="28:36" x14ac:dyDescent="0.3">
      <c r="AB854">
        <f t="shared" si="117"/>
        <v>2</v>
      </c>
      <c r="AC854">
        <f t="shared" si="118"/>
        <v>0</v>
      </c>
      <c r="AD854">
        <f t="shared" si="119"/>
        <v>2</v>
      </c>
      <c r="AE854">
        <f t="shared" si="120"/>
        <v>0</v>
      </c>
      <c r="AF854">
        <f t="shared" si="121"/>
        <v>3</v>
      </c>
      <c r="AG854">
        <f t="shared" si="122"/>
        <v>7</v>
      </c>
      <c r="AH854">
        <f t="shared" ca="1" si="124"/>
        <v>7.0421877509014734E-5</v>
      </c>
      <c r="AI854">
        <f>IF(ROW($AA854) - $AA$51 &lt; ($H$16+1)^5, IF(AG854 &gt;= FreeSpinsBonus!$C$16, AG854*FreeSpinsBonus!$E$31, 0), "")</f>
        <v>10.201107548819586</v>
      </c>
      <c r="AJ854">
        <f t="shared" ca="1" si="123"/>
        <v>7.1838114625925843E-4</v>
      </c>
    </row>
    <row r="855" spans="28:36" x14ac:dyDescent="0.3">
      <c r="AB855">
        <f t="shared" si="117"/>
        <v>3</v>
      </c>
      <c r="AC855">
        <f t="shared" si="118"/>
        <v>0</v>
      </c>
      <c r="AD855">
        <f t="shared" si="119"/>
        <v>2</v>
      </c>
      <c r="AE855">
        <f t="shared" si="120"/>
        <v>0</v>
      </c>
      <c r="AF855">
        <f t="shared" si="121"/>
        <v>3</v>
      </c>
      <c r="AG855">
        <f t="shared" si="122"/>
        <v>8</v>
      </c>
      <c r="AH855">
        <f t="shared" ca="1" si="124"/>
        <v>0</v>
      </c>
      <c r="AI855">
        <f>IF(ROW($AA855) - $AA$51 &lt; ($H$16+1)^5, IF(AG855 &gt;= FreeSpinsBonus!$C$16, AG855*FreeSpinsBonus!$E$31, 0), "")</f>
        <v>11.658408627222384</v>
      </c>
      <c r="AJ855">
        <f t="shared" ca="1" si="123"/>
        <v>0</v>
      </c>
    </row>
    <row r="856" spans="28:36" x14ac:dyDescent="0.3">
      <c r="AB856">
        <f t="shared" si="117"/>
        <v>0</v>
      </c>
      <c r="AC856">
        <f t="shared" si="118"/>
        <v>1</v>
      </c>
      <c r="AD856">
        <f t="shared" si="119"/>
        <v>2</v>
      </c>
      <c r="AE856">
        <f t="shared" si="120"/>
        <v>0</v>
      </c>
      <c r="AF856">
        <f t="shared" si="121"/>
        <v>3</v>
      </c>
      <c r="AG856">
        <f t="shared" si="122"/>
        <v>6</v>
      </c>
      <c r="AH856">
        <f t="shared" ca="1" si="124"/>
        <v>1.2675937951622652E-4</v>
      </c>
      <c r="AI856">
        <f>IF(ROW($AA856) - $AA$51 &lt; ($H$16+1)^5, IF(AG856 &gt;= FreeSpinsBonus!$C$16, AG856*FreeSpinsBonus!$E$31, 0), "")</f>
        <v>8.7438064704167875</v>
      </c>
      <c r="AJ856">
        <f t="shared" ca="1" si="123"/>
        <v>1.1083594827999987E-3</v>
      </c>
    </row>
    <row r="857" spans="28:36" x14ac:dyDescent="0.3">
      <c r="AB857">
        <f t="shared" si="117"/>
        <v>1</v>
      </c>
      <c r="AC857">
        <f t="shared" si="118"/>
        <v>1</v>
      </c>
      <c r="AD857">
        <f t="shared" si="119"/>
        <v>2</v>
      </c>
      <c r="AE857">
        <f t="shared" si="120"/>
        <v>0</v>
      </c>
      <c r="AF857">
        <f t="shared" si="121"/>
        <v>3</v>
      </c>
      <c r="AG857">
        <f t="shared" si="122"/>
        <v>7</v>
      </c>
      <c r="AH857">
        <f t="shared" ca="1" si="124"/>
        <v>1.3380156726712801E-4</v>
      </c>
      <c r="AI857">
        <f>IF(ROW($AA857) - $AA$51 &lt; ($H$16+1)^5, IF(AG857 &gt;= FreeSpinsBonus!$C$16, AG857*FreeSpinsBonus!$E$31, 0), "")</f>
        <v>10.201107548819586</v>
      </c>
      <c r="AJ857">
        <f t="shared" ca="1" si="123"/>
        <v>1.3649241778925911E-3</v>
      </c>
    </row>
    <row r="858" spans="28:36" x14ac:dyDescent="0.3">
      <c r="AB858">
        <f t="shared" si="117"/>
        <v>2</v>
      </c>
      <c r="AC858">
        <f t="shared" si="118"/>
        <v>1</v>
      </c>
      <c r="AD858">
        <f t="shared" si="119"/>
        <v>2</v>
      </c>
      <c r="AE858">
        <f t="shared" si="120"/>
        <v>0</v>
      </c>
      <c r="AF858">
        <f t="shared" si="121"/>
        <v>3</v>
      </c>
      <c r="AG858">
        <f t="shared" si="122"/>
        <v>8</v>
      </c>
      <c r="AH858">
        <f t="shared" ca="1" si="124"/>
        <v>7.0421877509014734E-5</v>
      </c>
      <c r="AI858">
        <f>IF(ROW($AA858) - $AA$51 &lt; ($H$16+1)^5, IF(AG858 &gt;= FreeSpinsBonus!$C$16, AG858*FreeSpinsBonus!$E$31, 0), "")</f>
        <v>11.658408627222384</v>
      </c>
      <c r="AJ858">
        <f t="shared" ca="1" si="123"/>
        <v>8.2100702429629534E-4</v>
      </c>
    </row>
    <row r="859" spans="28:36" x14ac:dyDescent="0.3">
      <c r="AB859">
        <f t="shared" si="117"/>
        <v>3</v>
      </c>
      <c r="AC859">
        <f t="shared" si="118"/>
        <v>1</v>
      </c>
      <c r="AD859">
        <f t="shared" si="119"/>
        <v>2</v>
      </c>
      <c r="AE859">
        <f t="shared" si="120"/>
        <v>0</v>
      </c>
      <c r="AF859">
        <f t="shared" si="121"/>
        <v>3</v>
      </c>
      <c r="AG859">
        <f t="shared" si="122"/>
        <v>9</v>
      </c>
      <c r="AH859">
        <f t="shared" ca="1" si="124"/>
        <v>0</v>
      </c>
      <c r="AI859">
        <f>IF(ROW($AA859) - $AA$51 &lt; ($H$16+1)^5, IF(AG859 &gt;= FreeSpinsBonus!$C$16, AG859*FreeSpinsBonus!$E$31, 0), "")</f>
        <v>13.115709705625182</v>
      </c>
      <c r="AJ859">
        <f t="shared" ca="1" si="123"/>
        <v>0</v>
      </c>
    </row>
    <row r="860" spans="28:36" x14ac:dyDescent="0.3">
      <c r="AB860">
        <f t="shared" si="117"/>
        <v>0</v>
      </c>
      <c r="AC860">
        <f t="shared" si="118"/>
        <v>2</v>
      </c>
      <c r="AD860">
        <f t="shared" si="119"/>
        <v>2</v>
      </c>
      <c r="AE860">
        <f t="shared" si="120"/>
        <v>0</v>
      </c>
      <c r="AF860">
        <f t="shared" si="121"/>
        <v>3</v>
      </c>
      <c r="AG860">
        <f t="shared" si="122"/>
        <v>7</v>
      </c>
      <c r="AH860">
        <f t="shared" ca="1" si="124"/>
        <v>1.2675937951622652E-4</v>
      </c>
      <c r="AI860">
        <f>IF(ROW($AA860) - $AA$51 &lt; ($H$16+1)^5, IF(AG860 &gt;= FreeSpinsBonus!$C$16, AG860*FreeSpinsBonus!$E$31, 0), "")</f>
        <v>10.201107548819586</v>
      </c>
      <c r="AJ860">
        <f t="shared" ca="1" si="123"/>
        <v>1.2930860632666651E-3</v>
      </c>
    </row>
    <row r="861" spans="28:36" x14ac:dyDescent="0.3">
      <c r="AB861">
        <f t="shared" si="117"/>
        <v>1</v>
      </c>
      <c r="AC861">
        <f t="shared" si="118"/>
        <v>2</v>
      </c>
      <c r="AD861">
        <f t="shared" si="119"/>
        <v>2</v>
      </c>
      <c r="AE861">
        <f t="shared" si="120"/>
        <v>0</v>
      </c>
      <c r="AF861">
        <f t="shared" si="121"/>
        <v>3</v>
      </c>
      <c r="AG861">
        <f t="shared" si="122"/>
        <v>8</v>
      </c>
      <c r="AH861">
        <f t="shared" ca="1" si="124"/>
        <v>1.3380156726712801E-4</v>
      </c>
      <c r="AI861">
        <f>IF(ROW($AA861) - $AA$51 &lt; ($H$16+1)^5, IF(AG861 &gt;= FreeSpinsBonus!$C$16, AG861*FreeSpinsBonus!$E$31, 0), "")</f>
        <v>11.658408627222384</v>
      </c>
      <c r="AJ861">
        <f t="shared" ca="1" si="123"/>
        <v>1.5599133461629614E-3</v>
      </c>
    </row>
    <row r="862" spans="28:36" x14ac:dyDescent="0.3">
      <c r="AB862">
        <f t="shared" si="117"/>
        <v>2</v>
      </c>
      <c r="AC862">
        <f t="shared" si="118"/>
        <v>2</v>
      </c>
      <c r="AD862">
        <f t="shared" si="119"/>
        <v>2</v>
      </c>
      <c r="AE862">
        <f t="shared" si="120"/>
        <v>0</v>
      </c>
      <c r="AF862">
        <f t="shared" si="121"/>
        <v>3</v>
      </c>
      <c r="AG862">
        <f t="shared" si="122"/>
        <v>9</v>
      </c>
      <c r="AH862">
        <f t="shared" ca="1" si="124"/>
        <v>7.0421877509014734E-5</v>
      </c>
      <c r="AI862">
        <f>IF(ROW($AA862) - $AA$51 &lt; ($H$16+1)^5, IF(AG862 &gt;= FreeSpinsBonus!$C$16, AG862*FreeSpinsBonus!$E$31, 0), "")</f>
        <v>13.115709705625182</v>
      </c>
      <c r="AJ862">
        <f t="shared" ca="1" si="123"/>
        <v>9.2363290233333226E-4</v>
      </c>
    </row>
    <row r="863" spans="28:36" x14ac:dyDescent="0.3">
      <c r="AB863">
        <f t="shared" si="117"/>
        <v>3</v>
      </c>
      <c r="AC863">
        <f t="shared" si="118"/>
        <v>2</v>
      </c>
      <c r="AD863">
        <f t="shared" si="119"/>
        <v>2</v>
      </c>
      <c r="AE863">
        <f t="shared" si="120"/>
        <v>0</v>
      </c>
      <c r="AF863">
        <f t="shared" si="121"/>
        <v>3</v>
      </c>
      <c r="AG863">
        <f t="shared" si="122"/>
        <v>10</v>
      </c>
      <c r="AH863">
        <f t="shared" ca="1" si="124"/>
        <v>0</v>
      </c>
      <c r="AI863">
        <f>IF(ROW($AA863) - $AA$51 &lt; ($H$16+1)^5, IF(AG863 &gt;= FreeSpinsBonus!$C$16, AG863*FreeSpinsBonus!$E$31, 0), "")</f>
        <v>14.57301078402798</v>
      </c>
      <c r="AJ863">
        <f t="shared" ca="1" si="123"/>
        <v>0</v>
      </c>
    </row>
    <row r="864" spans="28:36" x14ac:dyDescent="0.3">
      <c r="AB864">
        <f t="shared" si="117"/>
        <v>0</v>
      </c>
      <c r="AC864">
        <f t="shared" si="118"/>
        <v>3</v>
      </c>
      <c r="AD864">
        <f t="shared" si="119"/>
        <v>2</v>
      </c>
      <c r="AE864">
        <f t="shared" si="120"/>
        <v>0</v>
      </c>
      <c r="AF864">
        <f t="shared" si="121"/>
        <v>3</v>
      </c>
      <c r="AG864">
        <f t="shared" si="122"/>
        <v>8</v>
      </c>
      <c r="AH864">
        <f t="shared" ca="1" si="124"/>
        <v>4.4738604535138784E-5</v>
      </c>
      <c r="AI864">
        <f>IF(ROW($AA864) - $AA$51 &lt; ($H$16+1)^5, IF(AG864 &gt;= FreeSpinsBonus!$C$16, AG864*FreeSpinsBonus!$E$31, 0), "")</f>
        <v>11.658408627222384</v>
      </c>
      <c r="AJ864">
        <f t="shared" ca="1" si="123"/>
        <v>5.2158093308235249E-4</v>
      </c>
    </row>
    <row r="865" spans="28:36" x14ac:dyDescent="0.3">
      <c r="AB865">
        <f t="shared" si="117"/>
        <v>1</v>
      </c>
      <c r="AC865">
        <f t="shared" si="118"/>
        <v>3</v>
      </c>
      <c r="AD865">
        <f t="shared" si="119"/>
        <v>2</v>
      </c>
      <c r="AE865">
        <f t="shared" si="120"/>
        <v>0</v>
      </c>
      <c r="AF865">
        <f t="shared" si="121"/>
        <v>3</v>
      </c>
      <c r="AG865">
        <f t="shared" si="122"/>
        <v>9</v>
      </c>
      <c r="AH865">
        <f t="shared" ca="1" si="124"/>
        <v>4.7224082564868713E-5</v>
      </c>
      <c r="AI865">
        <f>IF(ROW($AA865) - $AA$51 &lt; ($H$16+1)^5, IF(AG865 &gt;= FreeSpinsBonus!$C$16, AG865*FreeSpinsBonus!$E$31, 0), "")</f>
        <v>13.115709705625182</v>
      </c>
      <c r="AJ865">
        <f t="shared" ca="1" si="123"/>
        <v>6.1937735803529353E-4</v>
      </c>
    </row>
    <row r="866" spans="28:36" x14ac:dyDescent="0.3">
      <c r="AB866">
        <f t="shared" si="117"/>
        <v>2</v>
      </c>
      <c r="AC866">
        <f t="shared" si="118"/>
        <v>3</v>
      </c>
      <c r="AD866">
        <f t="shared" si="119"/>
        <v>2</v>
      </c>
      <c r="AE866">
        <f t="shared" si="120"/>
        <v>0</v>
      </c>
      <c r="AF866">
        <f t="shared" si="121"/>
        <v>3</v>
      </c>
      <c r="AG866">
        <f t="shared" si="122"/>
        <v>10</v>
      </c>
      <c r="AH866">
        <f t="shared" ca="1" si="124"/>
        <v>2.4854780297299318E-5</v>
      </c>
      <c r="AI866">
        <f>IF(ROW($AA866) - $AA$51 &lt; ($H$16+1)^5, IF(AG866 &gt;= FreeSpinsBonus!$C$16, AG866*FreeSpinsBonus!$E$31, 0), "")</f>
        <v>14.57301078402798</v>
      </c>
      <c r="AJ866">
        <f t="shared" ca="1" si="123"/>
        <v>3.6220898130718914E-4</v>
      </c>
    </row>
    <row r="867" spans="28:36" x14ac:dyDescent="0.3">
      <c r="AB867">
        <f t="shared" si="117"/>
        <v>3</v>
      </c>
      <c r="AC867">
        <f t="shared" si="118"/>
        <v>3</v>
      </c>
      <c r="AD867">
        <f t="shared" si="119"/>
        <v>2</v>
      </c>
      <c r="AE867">
        <f t="shared" si="120"/>
        <v>0</v>
      </c>
      <c r="AF867">
        <f t="shared" si="121"/>
        <v>3</v>
      </c>
      <c r="AG867">
        <f t="shared" si="122"/>
        <v>11</v>
      </c>
      <c r="AH867">
        <f t="shared" ca="1" si="124"/>
        <v>0</v>
      </c>
      <c r="AI867">
        <f>IF(ROW($AA867) - $AA$51 &lt; ($H$16+1)^5, IF(AG867 &gt;= FreeSpinsBonus!$C$16, AG867*FreeSpinsBonus!$E$31, 0), "")</f>
        <v>16.030311862430779</v>
      </c>
      <c r="AJ867">
        <f t="shared" ca="1" si="123"/>
        <v>0</v>
      </c>
    </row>
    <row r="868" spans="28:36" x14ac:dyDescent="0.3">
      <c r="AB868">
        <f t="shared" si="117"/>
        <v>0</v>
      </c>
      <c r="AC868">
        <f t="shared" si="118"/>
        <v>0</v>
      </c>
      <c r="AD868">
        <f t="shared" si="119"/>
        <v>3</v>
      </c>
      <c r="AE868">
        <f t="shared" si="120"/>
        <v>0</v>
      </c>
      <c r="AF868">
        <f t="shared" si="121"/>
        <v>3</v>
      </c>
      <c r="AG868">
        <f t="shared" si="122"/>
        <v>6</v>
      </c>
      <c r="AH868">
        <f t="shared" ca="1" si="124"/>
        <v>1.1523579956020592E-5</v>
      </c>
      <c r="AI868">
        <f>IF(ROW($AA868) - $AA$51 &lt; ($H$16+1)^5, IF(AG868 &gt;= FreeSpinsBonus!$C$16, AG868*FreeSpinsBonus!$E$31, 0), "")</f>
        <v>8.7438064704167875</v>
      </c>
      <c r="AJ868">
        <f t="shared" ca="1" si="123"/>
        <v>1.0075995298181805E-4</v>
      </c>
    </row>
    <row r="869" spans="28:36" x14ac:dyDescent="0.3">
      <c r="AB869">
        <f t="shared" si="117"/>
        <v>1</v>
      </c>
      <c r="AC869">
        <f t="shared" si="118"/>
        <v>0</v>
      </c>
      <c r="AD869">
        <f t="shared" si="119"/>
        <v>3</v>
      </c>
      <c r="AE869">
        <f t="shared" si="120"/>
        <v>0</v>
      </c>
      <c r="AF869">
        <f t="shared" si="121"/>
        <v>3</v>
      </c>
      <c r="AG869">
        <f t="shared" si="122"/>
        <v>7</v>
      </c>
      <c r="AH869">
        <f t="shared" ca="1" si="124"/>
        <v>1.2163778842466179E-5</v>
      </c>
      <c r="AI869">
        <f>IF(ROW($AA869) - $AA$51 &lt; ($H$16+1)^5, IF(AG869 &gt;= FreeSpinsBonus!$C$16, AG869*FreeSpinsBonus!$E$31, 0), "")</f>
        <v>10.201107548819586</v>
      </c>
      <c r="AJ869">
        <f t="shared" ca="1" si="123"/>
        <v>1.2408401617205371E-4</v>
      </c>
    </row>
    <row r="870" spans="28:36" x14ac:dyDescent="0.3">
      <c r="AB870">
        <f t="shared" si="117"/>
        <v>2</v>
      </c>
      <c r="AC870">
        <f t="shared" si="118"/>
        <v>0</v>
      </c>
      <c r="AD870">
        <f t="shared" si="119"/>
        <v>3</v>
      </c>
      <c r="AE870">
        <f t="shared" si="120"/>
        <v>0</v>
      </c>
      <c r="AF870">
        <f t="shared" si="121"/>
        <v>3</v>
      </c>
      <c r="AG870">
        <f t="shared" si="122"/>
        <v>8</v>
      </c>
      <c r="AH870">
        <f t="shared" ca="1" si="124"/>
        <v>6.401988864455886E-6</v>
      </c>
      <c r="AI870">
        <f>IF(ROW($AA870) - $AA$51 &lt; ($H$16+1)^5, IF(AG870 &gt;= FreeSpinsBonus!$C$16, AG870*FreeSpinsBonus!$E$31, 0), "")</f>
        <v>11.658408627222384</v>
      </c>
      <c r="AJ870">
        <f t="shared" ca="1" si="123"/>
        <v>7.4637002208754132E-5</v>
      </c>
    </row>
    <row r="871" spans="28:36" x14ac:dyDescent="0.3">
      <c r="AB871">
        <f t="shared" si="117"/>
        <v>3</v>
      </c>
      <c r="AC871">
        <f t="shared" si="118"/>
        <v>0</v>
      </c>
      <c r="AD871">
        <f t="shared" si="119"/>
        <v>3</v>
      </c>
      <c r="AE871">
        <f t="shared" si="120"/>
        <v>0</v>
      </c>
      <c r="AF871">
        <f t="shared" si="121"/>
        <v>3</v>
      </c>
      <c r="AG871">
        <f t="shared" si="122"/>
        <v>9</v>
      </c>
      <c r="AH871">
        <f t="shared" ca="1" si="124"/>
        <v>0</v>
      </c>
      <c r="AI871">
        <f>IF(ROW($AA871) - $AA$51 &lt; ($H$16+1)^5, IF(AG871 &gt;= FreeSpinsBonus!$C$16, AG871*FreeSpinsBonus!$E$31, 0), "")</f>
        <v>13.115709705625182</v>
      </c>
      <c r="AJ871">
        <f t="shared" ca="1" si="123"/>
        <v>0</v>
      </c>
    </row>
    <row r="872" spans="28:36" x14ac:dyDescent="0.3">
      <c r="AB872">
        <f t="shared" si="117"/>
        <v>0</v>
      </c>
      <c r="AC872">
        <f t="shared" si="118"/>
        <v>1</v>
      </c>
      <c r="AD872">
        <f t="shared" si="119"/>
        <v>3</v>
      </c>
      <c r="AE872">
        <f t="shared" si="120"/>
        <v>0</v>
      </c>
      <c r="AF872">
        <f t="shared" si="121"/>
        <v>3</v>
      </c>
      <c r="AG872">
        <f t="shared" si="122"/>
        <v>7</v>
      </c>
      <c r="AH872">
        <f t="shared" ca="1" si="124"/>
        <v>1.1523579956020592E-5</v>
      </c>
      <c r="AI872">
        <f>IF(ROW($AA872) - $AA$51 &lt; ($H$16+1)^5, IF(AG872 &gt;= FreeSpinsBonus!$C$16, AG872*FreeSpinsBonus!$E$31, 0), "")</f>
        <v>10.201107548819586</v>
      </c>
      <c r="AJ872">
        <f t="shared" ca="1" si="123"/>
        <v>1.1755327847878774E-4</v>
      </c>
    </row>
    <row r="873" spans="28:36" x14ac:dyDescent="0.3">
      <c r="AB873">
        <f t="shared" si="117"/>
        <v>1</v>
      </c>
      <c r="AC873">
        <f t="shared" si="118"/>
        <v>1</v>
      </c>
      <c r="AD873">
        <f t="shared" si="119"/>
        <v>3</v>
      </c>
      <c r="AE873">
        <f t="shared" si="120"/>
        <v>0</v>
      </c>
      <c r="AF873">
        <f t="shared" si="121"/>
        <v>3</v>
      </c>
      <c r="AG873">
        <f t="shared" si="122"/>
        <v>8</v>
      </c>
      <c r="AH873">
        <f t="shared" ca="1" si="124"/>
        <v>1.2163778842466179E-5</v>
      </c>
      <c r="AI873">
        <f>IF(ROW($AA873) - $AA$51 &lt; ($H$16+1)^5, IF(AG873 &gt;= FreeSpinsBonus!$C$16, AG873*FreeSpinsBonus!$E$31, 0), "")</f>
        <v>11.658408627222384</v>
      </c>
      <c r="AJ873">
        <f t="shared" ca="1" si="123"/>
        <v>1.4181030419663281E-4</v>
      </c>
    </row>
    <row r="874" spans="28:36" x14ac:dyDescent="0.3">
      <c r="AB874">
        <f t="shared" si="117"/>
        <v>2</v>
      </c>
      <c r="AC874">
        <f t="shared" si="118"/>
        <v>1</v>
      </c>
      <c r="AD874">
        <f t="shared" si="119"/>
        <v>3</v>
      </c>
      <c r="AE874">
        <f t="shared" si="120"/>
        <v>0</v>
      </c>
      <c r="AF874">
        <f t="shared" si="121"/>
        <v>3</v>
      </c>
      <c r="AG874">
        <f t="shared" si="122"/>
        <v>9</v>
      </c>
      <c r="AH874">
        <f t="shared" ca="1" si="124"/>
        <v>6.401988864455886E-6</v>
      </c>
      <c r="AI874">
        <f>IF(ROW($AA874) - $AA$51 &lt; ($H$16+1)^5, IF(AG874 &gt;= FreeSpinsBonus!$C$16, AG874*FreeSpinsBonus!$E$31, 0), "")</f>
        <v>13.115709705625182</v>
      </c>
      <c r="AJ874">
        <f t="shared" ca="1" si="123"/>
        <v>8.3966627484848399E-5</v>
      </c>
    </row>
    <row r="875" spans="28:36" x14ac:dyDescent="0.3">
      <c r="AB875">
        <f t="shared" si="117"/>
        <v>3</v>
      </c>
      <c r="AC875">
        <f t="shared" si="118"/>
        <v>1</v>
      </c>
      <c r="AD875">
        <f t="shared" si="119"/>
        <v>3</v>
      </c>
      <c r="AE875">
        <f t="shared" si="120"/>
        <v>0</v>
      </c>
      <c r="AF875">
        <f t="shared" si="121"/>
        <v>3</v>
      </c>
      <c r="AG875">
        <f t="shared" si="122"/>
        <v>10</v>
      </c>
      <c r="AH875">
        <f t="shared" ca="1" si="124"/>
        <v>0</v>
      </c>
      <c r="AI875">
        <f>IF(ROW($AA875) - $AA$51 &lt; ($H$16+1)^5, IF(AG875 &gt;= FreeSpinsBonus!$C$16, AG875*FreeSpinsBonus!$E$31, 0), "")</f>
        <v>14.57301078402798</v>
      </c>
      <c r="AJ875">
        <f t="shared" ca="1" si="123"/>
        <v>0</v>
      </c>
    </row>
    <row r="876" spans="28:36" x14ac:dyDescent="0.3">
      <c r="AB876">
        <f t="shared" si="117"/>
        <v>0</v>
      </c>
      <c r="AC876">
        <f t="shared" si="118"/>
        <v>2</v>
      </c>
      <c r="AD876">
        <f t="shared" si="119"/>
        <v>3</v>
      </c>
      <c r="AE876">
        <f t="shared" si="120"/>
        <v>0</v>
      </c>
      <c r="AF876">
        <f t="shared" si="121"/>
        <v>3</v>
      </c>
      <c r="AG876">
        <f t="shared" si="122"/>
        <v>8</v>
      </c>
      <c r="AH876">
        <f t="shared" ca="1" si="124"/>
        <v>1.1523579956020592E-5</v>
      </c>
      <c r="AI876">
        <f>IF(ROW($AA876) - $AA$51 &lt; ($H$16+1)^5, IF(AG876 &gt;= FreeSpinsBonus!$C$16, AG876*FreeSpinsBonus!$E$31, 0), "")</f>
        <v>11.658408627222384</v>
      </c>
      <c r="AJ876">
        <f t="shared" ca="1" si="123"/>
        <v>1.3434660397575741E-4</v>
      </c>
    </row>
    <row r="877" spans="28:36" x14ac:dyDescent="0.3">
      <c r="AB877">
        <f t="shared" si="117"/>
        <v>1</v>
      </c>
      <c r="AC877">
        <f t="shared" si="118"/>
        <v>2</v>
      </c>
      <c r="AD877">
        <f t="shared" si="119"/>
        <v>3</v>
      </c>
      <c r="AE877">
        <f t="shared" si="120"/>
        <v>0</v>
      </c>
      <c r="AF877">
        <f t="shared" si="121"/>
        <v>3</v>
      </c>
      <c r="AG877">
        <f t="shared" si="122"/>
        <v>9</v>
      </c>
      <c r="AH877">
        <f t="shared" ca="1" si="124"/>
        <v>1.2163778842466179E-5</v>
      </c>
      <c r="AI877">
        <f>IF(ROW($AA877) - $AA$51 &lt; ($H$16+1)^5, IF(AG877 &gt;= FreeSpinsBonus!$C$16, AG877*FreeSpinsBonus!$E$31, 0), "")</f>
        <v>13.115709705625182</v>
      </c>
      <c r="AJ877">
        <f t="shared" ca="1" si="123"/>
        <v>1.595365922212119E-4</v>
      </c>
    </row>
    <row r="878" spans="28:36" x14ac:dyDescent="0.3">
      <c r="AB878">
        <f t="shared" si="117"/>
        <v>2</v>
      </c>
      <c r="AC878">
        <f t="shared" si="118"/>
        <v>2</v>
      </c>
      <c r="AD878">
        <f t="shared" si="119"/>
        <v>3</v>
      </c>
      <c r="AE878">
        <f t="shared" si="120"/>
        <v>0</v>
      </c>
      <c r="AF878">
        <f t="shared" si="121"/>
        <v>3</v>
      </c>
      <c r="AG878">
        <f t="shared" si="122"/>
        <v>10</v>
      </c>
      <c r="AH878">
        <f t="shared" ca="1" si="124"/>
        <v>6.401988864455886E-6</v>
      </c>
      <c r="AI878">
        <f>IF(ROW($AA878) - $AA$51 &lt; ($H$16+1)^5, IF(AG878 &gt;= FreeSpinsBonus!$C$16, AG878*FreeSpinsBonus!$E$31, 0), "")</f>
        <v>14.57301078402798</v>
      </c>
      <c r="AJ878">
        <f t="shared" ca="1" si="123"/>
        <v>9.3296252760942665E-5</v>
      </c>
    </row>
    <row r="879" spans="28:36" x14ac:dyDescent="0.3">
      <c r="AB879">
        <f t="shared" si="117"/>
        <v>3</v>
      </c>
      <c r="AC879">
        <f t="shared" si="118"/>
        <v>2</v>
      </c>
      <c r="AD879">
        <f t="shared" si="119"/>
        <v>3</v>
      </c>
      <c r="AE879">
        <f t="shared" si="120"/>
        <v>0</v>
      </c>
      <c r="AF879">
        <f t="shared" si="121"/>
        <v>3</v>
      </c>
      <c r="AG879">
        <f t="shared" si="122"/>
        <v>11</v>
      </c>
      <c r="AH879">
        <f t="shared" ca="1" si="124"/>
        <v>0</v>
      </c>
      <c r="AI879">
        <f>IF(ROW($AA879) - $AA$51 &lt; ($H$16+1)^5, IF(AG879 &gt;= FreeSpinsBonus!$C$16, AG879*FreeSpinsBonus!$E$31, 0), "")</f>
        <v>16.030311862430779</v>
      </c>
      <c r="AJ879">
        <f t="shared" ca="1" si="123"/>
        <v>0</v>
      </c>
    </row>
    <row r="880" spans="28:36" x14ac:dyDescent="0.3">
      <c r="AB880">
        <f t="shared" si="117"/>
        <v>0</v>
      </c>
      <c r="AC880">
        <f t="shared" si="118"/>
        <v>3</v>
      </c>
      <c r="AD880">
        <f t="shared" si="119"/>
        <v>3</v>
      </c>
      <c r="AE880">
        <f t="shared" si="120"/>
        <v>0</v>
      </c>
      <c r="AF880">
        <f t="shared" si="121"/>
        <v>3</v>
      </c>
      <c r="AG880">
        <f t="shared" si="122"/>
        <v>9</v>
      </c>
      <c r="AH880">
        <f t="shared" ca="1" si="124"/>
        <v>4.0671458668307984E-6</v>
      </c>
      <c r="AI880">
        <f>IF(ROW($AA880) - $AA$51 &lt; ($H$16+1)^5, IF(AG880 &gt;= FreeSpinsBonus!$C$16, AG880*FreeSpinsBonus!$E$31, 0), "")</f>
        <v>13.115709705625182</v>
      </c>
      <c r="AJ880">
        <f t="shared" ca="1" si="123"/>
        <v>5.334350451978605E-5</v>
      </c>
    </row>
    <row r="881" spans="28:36" x14ac:dyDescent="0.3">
      <c r="AB881">
        <f t="shared" si="117"/>
        <v>1</v>
      </c>
      <c r="AC881">
        <f t="shared" si="118"/>
        <v>3</v>
      </c>
      <c r="AD881">
        <f t="shared" si="119"/>
        <v>3</v>
      </c>
      <c r="AE881">
        <f t="shared" si="120"/>
        <v>0</v>
      </c>
      <c r="AF881">
        <f t="shared" si="121"/>
        <v>3</v>
      </c>
      <c r="AG881">
        <f t="shared" si="122"/>
        <v>10</v>
      </c>
      <c r="AH881">
        <f t="shared" ca="1" si="124"/>
        <v>4.2930984149880639E-6</v>
      </c>
      <c r="AI881">
        <f>IF(ROW($AA881) - $AA$51 &lt; ($H$16+1)^5, IF(AG881 &gt;= FreeSpinsBonus!$C$16, AG881*FreeSpinsBonus!$E$31, 0), "")</f>
        <v>14.57301078402798</v>
      </c>
      <c r="AJ881">
        <f t="shared" ca="1" si="123"/>
        <v>6.2563369498514485E-5</v>
      </c>
    </row>
    <row r="882" spans="28:36" x14ac:dyDescent="0.3">
      <c r="AB882">
        <f t="shared" si="117"/>
        <v>2</v>
      </c>
      <c r="AC882">
        <f t="shared" si="118"/>
        <v>3</v>
      </c>
      <c r="AD882">
        <f t="shared" si="119"/>
        <v>3</v>
      </c>
      <c r="AE882">
        <f t="shared" si="120"/>
        <v>0</v>
      </c>
      <c r="AF882">
        <f t="shared" si="121"/>
        <v>3</v>
      </c>
      <c r="AG882">
        <f t="shared" si="122"/>
        <v>11</v>
      </c>
      <c r="AH882">
        <f t="shared" ca="1" si="124"/>
        <v>2.2595254815726656E-6</v>
      </c>
      <c r="AI882">
        <f>IF(ROW($AA882) - $AA$51 &lt; ($H$16+1)^5, IF(AG882 &gt;= FreeSpinsBonus!$C$16, AG882*FreeSpinsBonus!$E$31, 0), "")</f>
        <v>16.030311862430779</v>
      </c>
      <c r="AJ882">
        <f t="shared" ca="1" si="123"/>
        <v>3.6220898130718921E-5</v>
      </c>
    </row>
    <row r="883" spans="28:36" x14ac:dyDescent="0.3">
      <c r="AB883">
        <f t="shared" si="117"/>
        <v>3</v>
      </c>
      <c r="AC883">
        <f t="shared" si="118"/>
        <v>3</v>
      </c>
      <c r="AD883">
        <f t="shared" si="119"/>
        <v>3</v>
      </c>
      <c r="AE883">
        <f t="shared" si="120"/>
        <v>0</v>
      </c>
      <c r="AF883">
        <f t="shared" si="121"/>
        <v>3</v>
      </c>
      <c r="AG883">
        <f t="shared" si="122"/>
        <v>12</v>
      </c>
      <c r="AH883">
        <f t="shared" ca="1" si="124"/>
        <v>0</v>
      </c>
      <c r="AI883">
        <f>IF(ROW($AA883) - $AA$51 &lt; ($H$16+1)^5, IF(AG883 &gt;= FreeSpinsBonus!$C$16, AG883*FreeSpinsBonus!$E$31, 0), "")</f>
        <v>17.487612940833575</v>
      </c>
      <c r="AJ883">
        <f t="shared" ca="1" si="123"/>
        <v>0</v>
      </c>
    </row>
    <row r="884" spans="28:36" x14ac:dyDescent="0.3">
      <c r="AB884">
        <f t="shared" ref="AB884:AB947" si="125">IF(ROW()-$AA$51 &lt; (H$16+1)^5, MOD(_xlfn.FLOOR.MATH((ROW()-$AA$51)/AB$50), H$16+1), "")</f>
        <v>0</v>
      </c>
      <c r="AC884">
        <f t="shared" ref="AC884:AC947" si="126">IF(ROW()-$AA$51 &lt; (I$16+1)^5, MOD(_xlfn.FLOOR.MATH((ROW()-$AA$51)/AC$50), I$16+1), "")</f>
        <v>0</v>
      </c>
      <c r="AD884">
        <f t="shared" ref="AD884:AD947" si="127">IF(ROW()-$AA$51 &lt; (J$16+1)^5, MOD(_xlfn.FLOOR.MATH((ROW()-$AA$51)/AD$50), J$16+1), "")</f>
        <v>0</v>
      </c>
      <c r="AE884">
        <f t="shared" ref="AE884:AE947" si="128">IF(ROW()-$AA$51 &lt; (K$16+1)^5, MOD(_xlfn.FLOOR.MATH((ROW()-$AA$51)/AE$50), K$16+1), "")</f>
        <v>1</v>
      </c>
      <c r="AF884">
        <f t="shared" ref="AF884:AF947" si="129">IF(ROW()-$AA$51 &lt; (L$16+1)^5, MOD(_xlfn.FLOOR.MATH((ROW()-$AA$51)/AF$50), L$16+1), "")</f>
        <v>3</v>
      </c>
      <c r="AG884">
        <f t="shared" ref="AG884:AG947" si="130">IF(ROW($AA884) - $AA$51 &lt; ($H$16+1)^5, SUM(AB884:AF884), "")</f>
        <v>4</v>
      </c>
      <c r="AH884">
        <f t="shared" ca="1" si="124"/>
        <v>2.8973572460851778E-4</v>
      </c>
      <c r="AI884">
        <f>IF(ROW($AA884) - $AA$51 &lt; ($H$16+1)^5, IF(AG884 &gt;= FreeSpinsBonus!$C$16, AG884*FreeSpinsBonus!$E$31, 0), "")</f>
        <v>0</v>
      </c>
      <c r="AJ884">
        <f t="shared" ref="AJ884:AJ947" ca="1" si="131">IF(ROW($AA884) - $AA$51 &lt; ($H$16+1)^5, AH884*AI884, "")</f>
        <v>0</v>
      </c>
    </row>
    <row r="885" spans="28:36" x14ac:dyDescent="0.3">
      <c r="AB885">
        <f t="shared" si="125"/>
        <v>1</v>
      </c>
      <c r="AC885">
        <f t="shared" si="126"/>
        <v>0</v>
      </c>
      <c r="AD885">
        <f t="shared" si="127"/>
        <v>0</v>
      </c>
      <c r="AE885">
        <f t="shared" si="128"/>
        <v>1</v>
      </c>
      <c r="AF885">
        <f t="shared" si="129"/>
        <v>3</v>
      </c>
      <c r="AG885">
        <f t="shared" si="130"/>
        <v>5</v>
      </c>
      <c r="AH885">
        <f t="shared" ref="AH885:AH948" ca="1" si="132">IF(ROW($AA885) - $AA$51 &lt; (4)^5,
    (_xlfn.XLOOKUP(AB885,$T$51:$T$55,U$51:U$55,0)/U$28) * (_xlfn.XLOOKUP(AC885,$T$51:$T$55,V$51:V$55,0)/V$28) * (_xlfn.XLOOKUP(AD885,$T$51:$T$55,W$51:W$55,0)/W$28) * (_xlfn.XLOOKUP(AE885,$T$51:$T$55,X$51:X$55,0)/X$28) * (_xlfn.XLOOKUP(AF885,$T$51:$T$55,Y$51:Y$55,0)/Y$28),
"")</f>
        <v>3.0583215375343535E-4</v>
      </c>
      <c r="AI885">
        <f>IF(ROW($AA885) - $AA$51 &lt; ($H$16+1)^5, IF(AG885 &gt;= FreeSpinsBonus!$C$16, AG885*FreeSpinsBonus!$E$31, 0), "")</f>
        <v>7.2865053920139902</v>
      </c>
      <c r="AJ885">
        <f t="shared" ca="1" si="131"/>
        <v>2.2284476373756585E-3</v>
      </c>
    </row>
    <row r="886" spans="28:36" x14ac:dyDescent="0.3">
      <c r="AB886">
        <f t="shared" si="125"/>
        <v>2</v>
      </c>
      <c r="AC886">
        <f t="shared" si="126"/>
        <v>0</v>
      </c>
      <c r="AD886">
        <f t="shared" si="127"/>
        <v>0</v>
      </c>
      <c r="AE886">
        <f t="shared" si="128"/>
        <v>1</v>
      </c>
      <c r="AF886">
        <f t="shared" si="129"/>
        <v>3</v>
      </c>
      <c r="AG886">
        <f t="shared" si="130"/>
        <v>6</v>
      </c>
      <c r="AH886">
        <f t="shared" ca="1" si="132"/>
        <v>1.6096429144917655E-4</v>
      </c>
      <c r="AI886">
        <f>IF(ROW($AA886) - $AA$51 &lt; ($H$16+1)^5, IF(AG886 &gt;= FreeSpinsBonus!$C$16, AG886*FreeSpinsBonus!$E$31, 0), "")</f>
        <v>8.7438064704167875</v>
      </c>
      <c r="AJ886">
        <f t="shared" ca="1" si="131"/>
        <v>1.4074406130793634E-3</v>
      </c>
    </row>
    <row r="887" spans="28:36" x14ac:dyDescent="0.3">
      <c r="AB887">
        <f t="shared" si="125"/>
        <v>3</v>
      </c>
      <c r="AC887">
        <f t="shared" si="126"/>
        <v>0</v>
      </c>
      <c r="AD887">
        <f t="shared" si="127"/>
        <v>0</v>
      </c>
      <c r="AE887">
        <f t="shared" si="128"/>
        <v>1</v>
      </c>
      <c r="AF887">
        <f t="shared" si="129"/>
        <v>3</v>
      </c>
      <c r="AG887">
        <f t="shared" si="130"/>
        <v>7</v>
      </c>
      <c r="AH887">
        <f t="shared" ca="1" si="132"/>
        <v>0</v>
      </c>
      <c r="AI887">
        <f>IF(ROW($AA887) - $AA$51 &lt; ($H$16+1)^5, IF(AG887 &gt;= FreeSpinsBonus!$C$16, AG887*FreeSpinsBonus!$E$31, 0), "")</f>
        <v>10.201107548819586</v>
      </c>
      <c r="AJ887">
        <f t="shared" ca="1" si="131"/>
        <v>0</v>
      </c>
    </row>
    <row r="888" spans="28:36" x14ac:dyDescent="0.3">
      <c r="AB888">
        <f t="shared" si="125"/>
        <v>0</v>
      </c>
      <c r="AC888">
        <f t="shared" si="126"/>
        <v>1</v>
      </c>
      <c r="AD888">
        <f t="shared" si="127"/>
        <v>0</v>
      </c>
      <c r="AE888">
        <f t="shared" si="128"/>
        <v>1</v>
      </c>
      <c r="AF888">
        <f t="shared" si="129"/>
        <v>3</v>
      </c>
      <c r="AG888">
        <f t="shared" si="130"/>
        <v>5</v>
      </c>
      <c r="AH888">
        <f t="shared" ca="1" si="132"/>
        <v>2.8973572460851778E-4</v>
      </c>
      <c r="AI888">
        <f>IF(ROW($AA888) - $AA$51 &lt; ($H$16+1)^5, IF(AG888 &gt;= FreeSpinsBonus!$C$16, AG888*FreeSpinsBonus!$E$31, 0), "")</f>
        <v>7.2865053920139902</v>
      </c>
      <c r="AJ888">
        <f t="shared" ca="1" si="131"/>
        <v>2.1111609196190454E-3</v>
      </c>
    </row>
    <row r="889" spans="28:36" x14ac:dyDescent="0.3">
      <c r="AB889">
        <f t="shared" si="125"/>
        <v>1</v>
      </c>
      <c r="AC889">
        <f t="shared" si="126"/>
        <v>1</v>
      </c>
      <c r="AD889">
        <f t="shared" si="127"/>
        <v>0</v>
      </c>
      <c r="AE889">
        <f t="shared" si="128"/>
        <v>1</v>
      </c>
      <c r="AF889">
        <f t="shared" si="129"/>
        <v>3</v>
      </c>
      <c r="AG889">
        <f t="shared" si="130"/>
        <v>6</v>
      </c>
      <c r="AH889">
        <f t="shared" ca="1" si="132"/>
        <v>3.0583215375343535E-4</v>
      </c>
      <c r="AI889">
        <f>IF(ROW($AA889) - $AA$51 &lt; ($H$16+1)^5, IF(AG889 &gt;= FreeSpinsBonus!$C$16, AG889*FreeSpinsBonus!$E$31, 0), "")</f>
        <v>8.7438064704167875</v>
      </c>
      <c r="AJ889">
        <f t="shared" ca="1" si="131"/>
        <v>2.6741371648507897E-3</v>
      </c>
    </row>
    <row r="890" spans="28:36" x14ac:dyDescent="0.3">
      <c r="AB890">
        <f t="shared" si="125"/>
        <v>2</v>
      </c>
      <c r="AC890">
        <f t="shared" si="126"/>
        <v>1</v>
      </c>
      <c r="AD890">
        <f t="shared" si="127"/>
        <v>0</v>
      </c>
      <c r="AE890">
        <f t="shared" si="128"/>
        <v>1</v>
      </c>
      <c r="AF890">
        <f t="shared" si="129"/>
        <v>3</v>
      </c>
      <c r="AG890">
        <f t="shared" si="130"/>
        <v>7</v>
      </c>
      <c r="AH890">
        <f t="shared" ca="1" si="132"/>
        <v>1.6096429144917655E-4</v>
      </c>
      <c r="AI890">
        <f>IF(ROW($AA890) - $AA$51 &lt; ($H$16+1)^5, IF(AG890 &gt;= FreeSpinsBonus!$C$16, AG890*FreeSpinsBonus!$E$31, 0), "")</f>
        <v>10.201107548819586</v>
      </c>
      <c r="AJ890">
        <f t="shared" ca="1" si="131"/>
        <v>1.6420140485925907E-3</v>
      </c>
    </row>
    <row r="891" spans="28:36" x14ac:dyDescent="0.3">
      <c r="AB891">
        <f t="shared" si="125"/>
        <v>3</v>
      </c>
      <c r="AC891">
        <f t="shared" si="126"/>
        <v>1</v>
      </c>
      <c r="AD891">
        <f t="shared" si="127"/>
        <v>0</v>
      </c>
      <c r="AE891">
        <f t="shared" si="128"/>
        <v>1</v>
      </c>
      <c r="AF891">
        <f t="shared" si="129"/>
        <v>3</v>
      </c>
      <c r="AG891">
        <f t="shared" si="130"/>
        <v>8</v>
      </c>
      <c r="AH891">
        <f t="shared" ca="1" si="132"/>
        <v>0</v>
      </c>
      <c r="AI891">
        <f>IF(ROW($AA891) - $AA$51 &lt; ($H$16+1)^5, IF(AG891 &gt;= FreeSpinsBonus!$C$16, AG891*FreeSpinsBonus!$E$31, 0), "")</f>
        <v>11.658408627222384</v>
      </c>
      <c r="AJ891">
        <f t="shared" ca="1" si="131"/>
        <v>0</v>
      </c>
    </row>
    <row r="892" spans="28:36" x14ac:dyDescent="0.3">
      <c r="AB892">
        <f t="shared" si="125"/>
        <v>0</v>
      </c>
      <c r="AC892">
        <f t="shared" si="126"/>
        <v>2</v>
      </c>
      <c r="AD892">
        <f t="shared" si="127"/>
        <v>0</v>
      </c>
      <c r="AE892">
        <f t="shared" si="128"/>
        <v>1</v>
      </c>
      <c r="AF892">
        <f t="shared" si="129"/>
        <v>3</v>
      </c>
      <c r="AG892">
        <f t="shared" si="130"/>
        <v>6</v>
      </c>
      <c r="AH892">
        <f t="shared" ca="1" si="132"/>
        <v>2.8973572460851778E-4</v>
      </c>
      <c r="AI892">
        <f>IF(ROW($AA892) - $AA$51 &lt; ($H$16+1)^5, IF(AG892 &gt;= FreeSpinsBonus!$C$16, AG892*FreeSpinsBonus!$E$31, 0), "")</f>
        <v>8.7438064704167875</v>
      </c>
      <c r="AJ892">
        <f t="shared" ca="1" si="131"/>
        <v>2.5333931035428541E-3</v>
      </c>
    </row>
    <row r="893" spans="28:36" x14ac:dyDescent="0.3">
      <c r="AB893">
        <f t="shared" si="125"/>
        <v>1</v>
      </c>
      <c r="AC893">
        <f t="shared" si="126"/>
        <v>2</v>
      </c>
      <c r="AD893">
        <f t="shared" si="127"/>
        <v>0</v>
      </c>
      <c r="AE893">
        <f t="shared" si="128"/>
        <v>1</v>
      </c>
      <c r="AF893">
        <f t="shared" si="129"/>
        <v>3</v>
      </c>
      <c r="AG893">
        <f t="shared" si="130"/>
        <v>7</v>
      </c>
      <c r="AH893">
        <f t="shared" ca="1" si="132"/>
        <v>3.0583215375343535E-4</v>
      </c>
      <c r="AI893">
        <f>IF(ROW($AA893) - $AA$51 &lt; ($H$16+1)^5, IF(AG893 &gt;= FreeSpinsBonus!$C$16, AG893*FreeSpinsBonus!$E$31, 0), "")</f>
        <v>10.201107548819586</v>
      </c>
      <c r="AJ893">
        <f t="shared" ca="1" si="131"/>
        <v>3.1198266923259214E-3</v>
      </c>
    </row>
    <row r="894" spans="28:36" x14ac:dyDescent="0.3">
      <c r="AB894">
        <f t="shared" si="125"/>
        <v>2</v>
      </c>
      <c r="AC894">
        <f t="shared" si="126"/>
        <v>2</v>
      </c>
      <c r="AD894">
        <f t="shared" si="127"/>
        <v>0</v>
      </c>
      <c r="AE894">
        <f t="shared" si="128"/>
        <v>1</v>
      </c>
      <c r="AF894">
        <f t="shared" si="129"/>
        <v>3</v>
      </c>
      <c r="AG894">
        <f t="shared" si="130"/>
        <v>8</v>
      </c>
      <c r="AH894">
        <f t="shared" ca="1" si="132"/>
        <v>1.6096429144917655E-4</v>
      </c>
      <c r="AI894">
        <f>IF(ROW($AA894) - $AA$51 &lt; ($H$16+1)^5, IF(AG894 &gt;= FreeSpinsBonus!$C$16, AG894*FreeSpinsBonus!$E$31, 0), "")</f>
        <v>11.658408627222384</v>
      </c>
      <c r="AJ894">
        <f t="shared" ca="1" si="131"/>
        <v>1.876587484105818E-3</v>
      </c>
    </row>
    <row r="895" spans="28:36" x14ac:dyDescent="0.3">
      <c r="AB895">
        <f t="shared" si="125"/>
        <v>3</v>
      </c>
      <c r="AC895">
        <f t="shared" si="126"/>
        <v>2</v>
      </c>
      <c r="AD895">
        <f t="shared" si="127"/>
        <v>0</v>
      </c>
      <c r="AE895">
        <f t="shared" si="128"/>
        <v>1</v>
      </c>
      <c r="AF895">
        <f t="shared" si="129"/>
        <v>3</v>
      </c>
      <c r="AG895">
        <f t="shared" si="130"/>
        <v>9</v>
      </c>
      <c r="AH895">
        <f t="shared" ca="1" si="132"/>
        <v>0</v>
      </c>
      <c r="AI895">
        <f>IF(ROW($AA895) - $AA$51 &lt; ($H$16+1)^5, IF(AG895 &gt;= FreeSpinsBonus!$C$16, AG895*FreeSpinsBonus!$E$31, 0), "")</f>
        <v>13.115709705625182</v>
      </c>
      <c r="AJ895">
        <f t="shared" ca="1" si="131"/>
        <v>0</v>
      </c>
    </row>
    <row r="896" spans="28:36" x14ac:dyDescent="0.3">
      <c r="AB896">
        <f t="shared" si="125"/>
        <v>0</v>
      </c>
      <c r="AC896">
        <f t="shared" si="126"/>
        <v>3</v>
      </c>
      <c r="AD896">
        <f t="shared" si="127"/>
        <v>0</v>
      </c>
      <c r="AE896">
        <f t="shared" si="128"/>
        <v>1</v>
      </c>
      <c r="AF896">
        <f t="shared" si="129"/>
        <v>3</v>
      </c>
      <c r="AG896">
        <f t="shared" si="130"/>
        <v>7</v>
      </c>
      <c r="AH896">
        <f t="shared" ca="1" si="132"/>
        <v>1.0225966750888863E-4</v>
      </c>
      <c r="AI896">
        <f>IF(ROW($AA896) - $AA$51 &lt; ($H$16+1)^5, IF(AG896 &gt;= FreeSpinsBonus!$C$16, AG896*FreeSpinsBonus!$E$31, 0), "")</f>
        <v>10.201107548819586</v>
      </c>
      <c r="AJ896">
        <f t="shared" ca="1" si="131"/>
        <v>1.0431618661647048E-3</v>
      </c>
    </row>
    <row r="897" spans="28:36" x14ac:dyDescent="0.3">
      <c r="AB897">
        <f t="shared" si="125"/>
        <v>1</v>
      </c>
      <c r="AC897">
        <f t="shared" si="126"/>
        <v>3</v>
      </c>
      <c r="AD897">
        <f t="shared" si="127"/>
        <v>0</v>
      </c>
      <c r="AE897">
        <f t="shared" si="128"/>
        <v>1</v>
      </c>
      <c r="AF897">
        <f t="shared" si="129"/>
        <v>3</v>
      </c>
      <c r="AG897">
        <f t="shared" si="130"/>
        <v>8</v>
      </c>
      <c r="AH897">
        <f t="shared" ca="1" si="132"/>
        <v>1.0794076014827131E-4</v>
      </c>
      <c r="AI897">
        <f>IF(ROW($AA897) - $AA$51 &lt; ($H$16+1)^5, IF(AG897 &gt;= FreeSpinsBonus!$C$16, AG897*FreeSpinsBonus!$E$31, 0), "")</f>
        <v>11.658408627222384</v>
      </c>
      <c r="AJ897">
        <f t="shared" ca="1" si="131"/>
        <v>1.2584174893415484E-3</v>
      </c>
    </row>
    <row r="898" spans="28:36" x14ac:dyDescent="0.3">
      <c r="AB898">
        <f t="shared" si="125"/>
        <v>2</v>
      </c>
      <c r="AC898">
        <f t="shared" si="126"/>
        <v>3</v>
      </c>
      <c r="AD898">
        <f t="shared" si="127"/>
        <v>0</v>
      </c>
      <c r="AE898">
        <f t="shared" si="128"/>
        <v>1</v>
      </c>
      <c r="AF898">
        <f t="shared" si="129"/>
        <v>3</v>
      </c>
      <c r="AG898">
        <f t="shared" si="130"/>
        <v>9</v>
      </c>
      <c r="AH898">
        <f t="shared" ca="1" si="132"/>
        <v>5.681092639382702E-5</v>
      </c>
      <c r="AI898">
        <f>IF(ROW($AA898) - $AA$51 &lt; ($H$16+1)^5, IF(AG898 &gt;= FreeSpinsBonus!$C$16, AG898*FreeSpinsBonus!$E$31, 0), "")</f>
        <v>13.115709705625182</v>
      </c>
      <c r="AJ898">
        <f t="shared" ca="1" si="131"/>
        <v>7.4511561868907488E-4</v>
      </c>
    </row>
    <row r="899" spans="28:36" x14ac:dyDescent="0.3">
      <c r="AB899">
        <f t="shared" si="125"/>
        <v>3</v>
      </c>
      <c r="AC899">
        <f t="shared" si="126"/>
        <v>3</v>
      </c>
      <c r="AD899">
        <f t="shared" si="127"/>
        <v>0</v>
      </c>
      <c r="AE899">
        <f t="shared" si="128"/>
        <v>1</v>
      </c>
      <c r="AF899">
        <f t="shared" si="129"/>
        <v>3</v>
      </c>
      <c r="AG899">
        <f t="shared" si="130"/>
        <v>10</v>
      </c>
      <c r="AH899">
        <f t="shared" ca="1" si="132"/>
        <v>0</v>
      </c>
      <c r="AI899">
        <f>IF(ROW($AA899) - $AA$51 &lt; ($H$16+1)^5, IF(AG899 &gt;= FreeSpinsBonus!$C$16, AG899*FreeSpinsBonus!$E$31, 0), "")</f>
        <v>14.57301078402798</v>
      </c>
      <c r="AJ899">
        <f t="shared" ca="1" si="131"/>
        <v>0</v>
      </c>
    </row>
    <row r="900" spans="28:36" x14ac:dyDescent="0.3">
      <c r="AB900">
        <f t="shared" si="125"/>
        <v>0</v>
      </c>
      <c r="AC900">
        <f t="shared" si="126"/>
        <v>0</v>
      </c>
      <c r="AD900">
        <f t="shared" si="127"/>
        <v>1</v>
      </c>
      <c r="AE900">
        <f t="shared" si="128"/>
        <v>1</v>
      </c>
      <c r="AF900">
        <f t="shared" si="129"/>
        <v>3</v>
      </c>
      <c r="AG900">
        <f t="shared" si="130"/>
        <v>5</v>
      </c>
      <c r="AH900">
        <f t="shared" ca="1" si="132"/>
        <v>3.6216965576064725E-4</v>
      </c>
      <c r="AI900">
        <f>IF(ROW($AA900) - $AA$51 &lt; ($H$16+1)^5, IF(AG900 &gt;= FreeSpinsBonus!$C$16, AG900*FreeSpinsBonus!$E$31, 0), "")</f>
        <v>7.2865053920139902</v>
      </c>
      <c r="AJ900">
        <f t="shared" ca="1" si="131"/>
        <v>2.638951149523807E-3</v>
      </c>
    </row>
    <row r="901" spans="28:36" x14ac:dyDescent="0.3">
      <c r="AB901">
        <f t="shared" si="125"/>
        <v>1</v>
      </c>
      <c r="AC901">
        <f t="shared" si="126"/>
        <v>0</v>
      </c>
      <c r="AD901">
        <f t="shared" si="127"/>
        <v>1</v>
      </c>
      <c r="AE901">
        <f t="shared" si="128"/>
        <v>1</v>
      </c>
      <c r="AF901">
        <f t="shared" si="129"/>
        <v>3</v>
      </c>
      <c r="AG901">
        <f t="shared" si="130"/>
        <v>6</v>
      </c>
      <c r="AH901">
        <f t="shared" ca="1" si="132"/>
        <v>3.822901921917943E-4</v>
      </c>
      <c r="AI901">
        <f>IF(ROW($AA901) - $AA$51 &lt; ($H$16+1)^5, IF(AG901 &gt;= FreeSpinsBonus!$C$16, AG901*FreeSpinsBonus!$E$31, 0), "")</f>
        <v>8.7438064704167875</v>
      </c>
      <c r="AJ901">
        <f t="shared" ca="1" si="131"/>
        <v>3.3426714560634884E-3</v>
      </c>
    </row>
    <row r="902" spans="28:36" x14ac:dyDescent="0.3">
      <c r="AB902">
        <f t="shared" si="125"/>
        <v>2</v>
      </c>
      <c r="AC902">
        <f t="shared" si="126"/>
        <v>0</v>
      </c>
      <c r="AD902">
        <f t="shared" si="127"/>
        <v>1</v>
      </c>
      <c r="AE902">
        <f t="shared" si="128"/>
        <v>1</v>
      </c>
      <c r="AF902">
        <f t="shared" si="129"/>
        <v>3</v>
      </c>
      <c r="AG902">
        <f t="shared" si="130"/>
        <v>7</v>
      </c>
      <c r="AH902">
        <f t="shared" ca="1" si="132"/>
        <v>2.0120536431147073E-4</v>
      </c>
      <c r="AI902">
        <f>IF(ROW($AA902) - $AA$51 &lt; ($H$16+1)^5, IF(AG902 &gt;= FreeSpinsBonus!$C$16, AG902*FreeSpinsBonus!$E$31, 0), "")</f>
        <v>10.201107548819586</v>
      </c>
      <c r="AJ902">
        <f t="shared" ca="1" si="131"/>
        <v>2.0525175607407388E-3</v>
      </c>
    </row>
    <row r="903" spans="28:36" x14ac:dyDescent="0.3">
      <c r="AB903">
        <f t="shared" si="125"/>
        <v>3</v>
      </c>
      <c r="AC903">
        <f t="shared" si="126"/>
        <v>0</v>
      </c>
      <c r="AD903">
        <f t="shared" si="127"/>
        <v>1</v>
      </c>
      <c r="AE903">
        <f t="shared" si="128"/>
        <v>1</v>
      </c>
      <c r="AF903">
        <f t="shared" si="129"/>
        <v>3</v>
      </c>
      <c r="AG903">
        <f t="shared" si="130"/>
        <v>8</v>
      </c>
      <c r="AH903">
        <f t="shared" ca="1" si="132"/>
        <v>0</v>
      </c>
      <c r="AI903">
        <f>IF(ROW($AA903) - $AA$51 &lt; ($H$16+1)^5, IF(AG903 &gt;= FreeSpinsBonus!$C$16, AG903*FreeSpinsBonus!$E$31, 0), "")</f>
        <v>11.658408627222384</v>
      </c>
      <c r="AJ903">
        <f t="shared" ca="1" si="131"/>
        <v>0</v>
      </c>
    </row>
    <row r="904" spans="28:36" x14ac:dyDescent="0.3">
      <c r="AB904">
        <f t="shared" si="125"/>
        <v>0</v>
      </c>
      <c r="AC904">
        <f t="shared" si="126"/>
        <v>1</v>
      </c>
      <c r="AD904">
        <f t="shared" si="127"/>
        <v>1</v>
      </c>
      <c r="AE904">
        <f t="shared" si="128"/>
        <v>1</v>
      </c>
      <c r="AF904">
        <f t="shared" si="129"/>
        <v>3</v>
      </c>
      <c r="AG904">
        <f t="shared" si="130"/>
        <v>6</v>
      </c>
      <c r="AH904">
        <f t="shared" ca="1" si="132"/>
        <v>3.6216965576064725E-4</v>
      </c>
      <c r="AI904">
        <f>IF(ROW($AA904) - $AA$51 &lt; ($H$16+1)^5, IF(AG904 &gt;= FreeSpinsBonus!$C$16, AG904*FreeSpinsBonus!$E$31, 0), "")</f>
        <v>8.7438064704167875</v>
      </c>
      <c r="AJ904">
        <f t="shared" ca="1" si="131"/>
        <v>3.1667413794285678E-3</v>
      </c>
    </row>
    <row r="905" spans="28:36" x14ac:dyDescent="0.3">
      <c r="AB905">
        <f t="shared" si="125"/>
        <v>1</v>
      </c>
      <c r="AC905">
        <f t="shared" si="126"/>
        <v>1</v>
      </c>
      <c r="AD905">
        <f t="shared" si="127"/>
        <v>1</v>
      </c>
      <c r="AE905">
        <f t="shared" si="128"/>
        <v>1</v>
      </c>
      <c r="AF905">
        <f t="shared" si="129"/>
        <v>3</v>
      </c>
      <c r="AG905">
        <f t="shared" si="130"/>
        <v>7</v>
      </c>
      <c r="AH905">
        <f t="shared" ca="1" si="132"/>
        <v>3.822901921917943E-4</v>
      </c>
      <c r="AI905">
        <f>IF(ROW($AA905) - $AA$51 &lt; ($H$16+1)^5, IF(AG905 &gt;= FreeSpinsBonus!$C$16, AG905*FreeSpinsBonus!$E$31, 0), "")</f>
        <v>10.201107548819586</v>
      </c>
      <c r="AJ905">
        <f t="shared" ca="1" si="131"/>
        <v>3.8997833654074031E-3</v>
      </c>
    </row>
    <row r="906" spans="28:36" x14ac:dyDescent="0.3">
      <c r="AB906">
        <f t="shared" si="125"/>
        <v>2</v>
      </c>
      <c r="AC906">
        <f t="shared" si="126"/>
        <v>1</v>
      </c>
      <c r="AD906">
        <f t="shared" si="127"/>
        <v>1</v>
      </c>
      <c r="AE906">
        <f t="shared" si="128"/>
        <v>1</v>
      </c>
      <c r="AF906">
        <f t="shared" si="129"/>
        <v>3</v>
      </c>
      <c r="AG906">
        <f t="shared" si="130"/>
        <v>8</v>
      </c>
      <c r="AH906">
        <f t="shared" ca="1" si="132"/>
        <v>2.0120536431147073E-4</v>
      </c>
      <c r="AI906">
        <f>IF(ROW($AA906) - $AA$51 &lt; ($H$16+1)^5, IF(AG906 &gt;= FreeSpinsBonus!$C$16, AG906*FreeSpinsBonus!$E$31, 0), "")</f>
        <v>11.658408627222384</v>
      </c>
      <c r="AJ906">
        <f t="shared" ca="1" si="131"/>
        <v>2.3457343551322729E-3</v>
      </c>
    </row>
    <row r="907" spans="28:36" x14ac:dyDescent="0.3">
      <c r="AB907">
        <f t="shared" si="125"/>
        <v>3</v>
      </c>
      <c r="AC907">
        <f t="shared" si="126"/>
        <v>1</v>
      </c>
      <c r="AD907">
        <f t="shared" si="127"/>
        <v>1</v>
      </c>
      <c r="AE907">
        <f t="shared" si="128"/>
        <v>1</v>
      </c>
      <c r="AF907">
        <f t="shared" si="129"/>
        <v>3</v>
      </c>
      <c r="AG907">
        <f t="shared" si="130"/>
        <v>9</v>
      </c>
      <c r="AH907">
        <f t="shared" ca="1" si="132"/>
        <v>0</v>
      </c>
      <c r="AI907">
        <f>IF(ROW($AA907) - $AA$51 &lt; ($H$16+1)^5, IF(AG907 &gt;= FreeSpinsBonus!$C$16, AG907*FreeSpinsBonus!$E$31, 0), "")</f>
        <v>13.115709705625182</v>
      </c>
      <c r="AJ907">
        <f t="shared" ca="1" si="131"/>
        <v>0</v>
      </c>
    </row>
    <row r="908" spans="28:36" x14ac:dyDescent="0.3">
      <c r="AB908">
        <f t="shared" si="125"/>
        <v>0</v>
      </c>
      <c r="AC908">
        <f t="shared" si="126"/>
        <v>2</v>
      </c>
      <c r="AD908">
        <f t="shared" si="127"/>
        <v>1</v>
      </c>
      <c r="AE908">
        <f t="shared" si="128"/>
        <v>1</v>
      </c>
      <c r="AF908">
        <f t="shared" si="129"/>
        <v>3</v>
      </c>
      <c r="AG908">
        <f t="shared" si="130"/>
        <v>7</v>
      </c>
      <c r="AH908">
        <f t="shared" ca="1" si="132"/>
        <v>3.6216965576064725E-4</v>
      </c>
      <c r="AI908">
        <f>IF(ROW($AA908) - $AA$51 &lt; ($H$16+1)^5, IF(AG908 &gt;= FreeSpinsBonus!$C$16, AG908*FreeSpinsBonus!$E$31, 0), "")</f>
        <v>10.201107548819586</v>
      </c>
      <c r="AJ908">
        <f t="shared" ca="1" si="131"/>
        <v>3.6945316093333295E-3</v>
      </c>
    </row>
    <row r="909" spans="28:36" x14ac:dyDescent="0.3">
      <c r="AB909">
        <f t="shared" si="125"/>
        <v>1</v>
      </c>
      <c r="AC909">
        <f t="shared" si="126"/>
        <v>2</v>
      </c>
      <c r="AD909">
        <f t="shared" si="127"/>
        <v>1</v>
      </c>
      <c r="AE909">
        <f t="shared" si="128"/>
        <v>1</v>
      </c>
      <c r="AF909">
        <f t="shared" si="129"/>
        <v>3</v>
      </c>
      <c r="AG909">
        <f t="shared" si="130"/>
        <v>8</v>
      </c>
      <c r="AH909">
        <f t="shared" ca="1" si="132"/>
        <v>3.822901921917943E-4</v>
      </c>
      <c r="AI909">
        <f>IF(ROW($AA909) - $AA$51 &lt; ($H$16+1)^5, IF(AG909 &gt;= FreeSpinsBonus!$C$16, AG909*FreeSpinsBonus!$E$31, 0), "")</f>
        <v>11.658408627222384</v>
      </c>
      <c r="AJ909">
        <f t="shared" ca="1" si="131"/>
        <v>4.4568952747513178E-3</v>
      </c>
    </row>
    <row r="910" spans="28:36" x14ac:dyDescent="0.3">
      <c r="AB910">
        <f t="shared" si="125"/>
        <v>2</v>
      </c>
      <c r="AC910">
        <f t="shared" si="126"/>
        <v>2</v>
      </c>
      <c r="AD910">
        <f t="shared" si="127"/>
        <v>1</v>
      </c>
      <c r="AE910">
        <f t="shared" si="128"/>
        <v>1</v>
      </c>
      <c r="AF910">
        <f t="shared" si="129"/>
        <v>3</v>
      </c>
      <c r="AG910">
        <f t="shared" si="130"/>
        <v>9</v>
      </c>
      <c r="AH910">
        <f t="shared" ca="1" si="132"/>
        <v>2.0120536431147073E-4</v>
      </c>
      <c r="AI910">
        <f>IF(ROW($AA910) - $AA$51 &lt; ($H$16+1)^5, IF(AG910 &gt;= FreeSpinsBonus!$C$16, AG910*FreeSpinsBonus!$E$31, 0), "")</f>
        <v>13.115709705625182</v>
      </c>
      <c r="AJ910">
        <f t="shared" ca="1" si="131"/>
        <v>2.6389511495238075E-3</v>
      </c>
    </row>
    <row r="911" spans="28:36" x14ac:dyDescent="0.3">
      <c r="AB911">
        <f t="shared" si="125"/>
        <v>3</v>
      </c>
      <c r="AC911">
        <f t="shared" si="126"/>
        <v>2</v>
      </c>
      <c r="AD911">
        <f t="shared" si="127"/>
        <v>1</v>
      </c>
      <c r="AE911">
        <f t="shared" si="128"/>
        <v>1</v>
      </c>
      <c r="AF911">
        <f t="shared" si="129"/>
        <v>3</v>
      </c>
      <c r="AG911">
        <f t="shared" si="130"/>
        <v>10</v>
      </c>
      <c r="AH911">
        <f t="shared" ca="1" si="132"/>
        <v>0</v>
      </c>
      <c r="AI911">
        <f>IF(ROW($AA911) - $AA$51 &lt; ($H$16+1)^5, IF(AG911 &gt;= FreeSpinsBonus!$C$16, AG911*FreeSpinsBonus!$E$31, 0), "")</f>
        <v>14.57301078402798</v>
      </c>
      <c r="AJ911">
        <f t="shared" ca="1" si="131"/>
        <v>0</v>
      </c>
    </row>
    <row r="912" spans="28:36" x14ac:dyDescent="0.3">
      <c r="AB912">
        <f t="shared" si="125"/>
        <v>0</v>
      </c>
      <c r="AC912">
        <f t="shared" si="126"/>
        <v>3</v>
      </c>
      <c r="AD912">
        <f t="shared" si="127"/>
        <v>1</v>
      </c>
      <c r="AE912">
        <f t="shared" si="128"/>
        <v>1</v>
      </c>
      <c r="AF912">
        <f t="shared" si="129"/>
        <v>3</v>
      </c>
      <c r="AG912">
        <f t="shared" si="130"/>
        <v>8</v>
      </c>
      <c r="AH912">
        <f t="shared" ca="1" si="132"/>
        <v>1.2782458438611081E-4</v>
      </c>
      <c r="AI912">
        <f>IF(ROW($AA912) - $AA$51 &lt; ($H$16+1)^5, IF(AG912 &gt;= FreeSpinsBonus!$C$16, AG912*FreeSpinsBonus!$E$31, 0), "")</f>
        <v>11.658408627222384</v>
      </c>
      <c r="AJ912">
        <f t="shared" ca="1" si="131"/>
        <v>1.4902312373781498E-3</v>
      </c>
    </row>
    <row r="913" spans="28:36" x14ac:dyDescent="0.3">
      <c r="AB913">
        <f t="shared" si="125"/>
        <v>1</v>
      </c>
      <c r="AC913">
        <f t="shared" si="126"/>
        <v>3</v>
      </c>
      <c r="AD913">
        <f t="shared" si="127"/>
        <v>1</v>
      </c>
      <c r="AE913">
        <f t="shared" si="128"/>
        <v>1</v>
      </c>
      <c r="AF913">
        <f t="shared" si="129"/>
        <v>3</v>
      </c>
      <c r="AG913">
        <f t="shared" si="130"/>
        <v>9</v>
      </c>
      <c r="AH913">
        <f t="shared" ca="1" si="132"/>
        <v>1.3492595018533917E-4</v>
      </c>
      <c r="AI913">
        <f>IF(ROW($AA913) - $AA$51 &lt; ($H$16+1)^5, IF(AG913 &gt;= FreeSpinsBonus!$C$16, AG913*FreeSpinsBonus!$E$31, 0), "")</f>
        <v>13.115709705625182</v>
      </c>
      <c r="AJ913">
        <f t="shared" ca="1" si="131"/>
        <v>1.7696495943865529E-3</v>
      </c>
    </row>
    <row r="914" spans="28:36" x14ac:dyDescent="0.3">
      <c r="AB914">
        <f t="shared" si="125"/>
        <v>2</v>
      </c>
      <c r="AC914">
        <f t="shared" si="126"/>
        <v>3</v>
      </c>
      <c r="AD914">
        <f t="shared" si="127"/>
        <v>1</v>
      </c>
      <c r="AE914">
        <f t="shared" si="128"/>
        <v>1</v>
      </c>
      <c r="AF914">
        <f t="shared" si="129"/>
        <v>3</v>
      </c>
      <c r="AG914">
        <f t="shared" si="130"/>
        <v>10</v>
      </c>
      <c r="AH914">
        <f t="shared" ca="1" si="132"/>
        <v>7.1013657992283766E-5</v>
      </c>
      <c r="AI914">
        <f>IF(ROW($AA914) - $AA$51 &lt; ($H$16+1)^5, IF(AG914 &gt;= FreeSpinsBonus!$C$16, AG914*FreeSpinsBonus!$E$31, 0), "")</f>
        <v>14.57301078402798</v>
      </c>
      <c r="AJ914">
        <f t="shared" ca="1" si="131"/>
        <v>1.0348828037348261E-3</v>
      </c>
    </row>
    <row r="915" spans="28:36" x14ac:dyDescent="0.3">
      <c r="AB915">
        <f t="shared" si="125"/>
        <v>3</v>
      </c>
      <c r="AC915">
        <f t="shared" si="126"/>
        <v>3</v>
      </c>
      <c r="AD915">
        <f t="shared" si="127"/>
        <v>1</v>
      </c>
      <c r="AE915">
        <f t="shared" si="128"/>
        <v>1</v>
      </c>
      <c r="AF915">
        <f t="shared" si="129"/>
        <v>3</v>
      </c>
      <c r="AG915">
        <f t="shared" si="130"/>
        <v>11</v>
      </c>
      <c r="AH915">
        <f t="shared" ca="1" si="132"/>
        <v>0</v>
      </c>
      <c r="AI915">
        <f>IF(ROW($AA915) - $AA$51 &lt; ($H$16+1)^5, IF(AG915 &gt;= FreeSpinsBonus!$C$16, AG915*FreeSpinsBonus!$E$31, 0), "")</f>
        <v>16.030311862430779</v>
      </c>
      <c r="AJ915">
        <f t="shared" ca="1" si="131"/>
        <v>0</v>
      </c>
    </row>
    <row r="916" spans="28:36" x14ac:dyDescent="0.3">
      <c r="AB916">
        <f t="shared" si="125"/>
        <v>0</v>
      </c>
      <c r="AC916">
        <f t="shared" si="126"/>
        <v>0</v>
      </c>
      <c r="AD916">
        <f t="shared" si="127"/>
        <v>2</v>
      </c>
      <c r="AE916">
        <f t="shared" si="128"/>
        <v>1</v>
      </c>
      <c r="AF916">
        <f t="shared" si="129"/>
        <v>3</v>
      </c>
      <c r="AG916">
        <f t="shared" si="130"/>
        <v>6</v>
      </c>
      <c r="AH916">
        <f t="shared" ca="1" si="132"/>
        <v>1.9919331066835596E-4</v>
      </c>
      <c r="AI916">
        <f>IF(ROW($AA916) - $AA$51 &lt; ($H$16+1)^5, IF(AG916 &gt;= FreeSpinsBonus!$C$16, AG916*FreeSpinsBonus!$E$31, 0), "")</f>
        <v>8.7438064704167875</v>
      </c>
      <c r="AJ916">
        <f t="shared" ca="1" si="131"/>
        <v>1.7417077586857122E-3</v>
      </c>
    </row>
    <row r="917" spans="28:36" x14ac:dyDescent="0.3">
      <c r="AB917">
        <f t="shared" si="125"/>
        <v>1</v>
      </c>
      <c r="AC917">
        <f t="shared" si="126"/>
        <v>0</v>
      </c>
      <c r="AD917">
        <f t="shared" si="127"/>
        <v>2</v>
      </c>
      <c r="AE917">
        <f t="shared" si="128"/>
        <v>1</v>
      </c>
      <c r="AF917">
        <f t="shared" si="129"/>
        <v>3</v>
      </c>
      <c r="AG917">
        <f t="shared" si="130"/>
        <v>7</v>
      </c>
      <c r="AH917">
        <f t="shared" ca="1" si="132"/>
        <v>2.1025960570548687E-4</v>
      </c>
      <c r="AI917">
        <f>IF(ROW($AA917) - $AA$51 &lt; ($H$16+1)^5, IF(AG917 &gt;= FreeSpinsBonus!$C$16, AG917*FreeSpinsBonus!$E$31, 0), "")</f>
        <v>10.201107548819586</v>
      </c>
      <c r="AJ917">
        <f t="shared" ca="1" si="131"/>
        <v>2.1448808509740716E-3</v>
      </c>
    </row>
    <row r="918" spans="28:36" x14ac:dyDescent="0.3">
      <c r="AB918">
        <f t="shared" si="125"/>
        <v>2</v>
      </c>
      <c r="AC918">
        <f t="shared" si="126"/>
        <v>0</v>
      </c>
      <c r="AD918">
        <f t="shared" si="127"/>
        <v>2</v>
      </c>
      <c r="AE918">
        <f t="shared" si="128"/>
        <v>1</v>
      </c>
      <c r="AF918">
        <f t="shared" si="129"/>
        <v>3</v>
      </c>
      <c r="AG918">
        <f t="shared" si="130"/>
        <v>8</v>
      </c>
      <c r="AH918">
        <f t="shared" ca="1" si="132"/>
        <v>1.1066295037130889E-4</v>
      </c>
      <c r="AI918">
        <f>IF(ROW($AA918) - $AA$51 &lt; ($H$16+1)^5, IF(AG918 &gt;= FreeSpinsBonus!$C$16, AG918*FreeSpinsBonus!$E$31, 0), "")</f>
        <v>11.658408627222384</v>
      </c>
      <c r="AJ918">
        <f t="shared" ca="1" si="131"/>
        <v>1.29015389532275E-3</v>
      </c>
    </row>
    <row r="919" spans="28:36" x14ac:dyDescent="0.3">
      <c r="AB919">
        <f t="shared" si="125"/>
        <v>3</v>
      </c>
      <c r="AC919">
        <f t="shared" si="126"/>
        <v>0</v>
      </c>
      <c r="AD919">
        <f t="shared" si="127"/>
        <v>2</v>
      </c>
      <c r="AE919">
        <f t="shared" si="128"/>
        <v>1</v>
      </c>
      <c r="AF919">
        <f t="shared" si="129"/>
        <v>3</v>
      </c>
      <c r="AG919">
        <f t="shared" si="130"/>
        <v>9</v>
      </c>
      <c r="AH919">
        <f t="shared" ca="1" si="132"/>
        <v>0</v>
      </c>
      <c r="AI919">
        <f>IF(ROW($AA919) - $AA$51 &lt; ($H$16+1)^5, IF(AG919 &gt;= FreeSpinsBonus!$C$16, AG919*FreeSpinsBonus!$E$31, 0), "")</f>
        <v>13.115709705625182</v>
      </c>
      <c r="AJ919">
        <f t="shared" ca="1" si="131"/>
        <v>0</v>
      </c>
    </row>
    <row r="920" spans="28:36" x14ac:dyDescent="0.3">
      <c r="AB920">
        <f t="shared" si="125"/>
        <v>0</v>
      </c>
      <c r="AC920">
        <f t="shared" si="126"/>
        <v>1</v>
      </c>
      <c r="AD920">
        <f t="shared" si="127"/>
        <v>2</v>
      </c>
      <c r="AE920">
        <f t="shared" si="128"/>
        <v>1</v>
      </c>
      <c r="AF920">
        <f t="shared" si="129"/>
        <v>3</v>
      </c>
      <c r="AG920">
        <f t="shared" si="130"/>
        <v>7</v>
      </c>
      <c r="AH920">
        <f t="shared" ca="1" si="132"/>
        <v>1.9919331066835596E-4</v>
      </c>
      <c r="AI920">
        <f>IF(ROW($AA920) - $AA$51 &lt; ($H$16+1)^5, IF(AG920 &gt;= FreeSpinsBonus!$C$16, AG920*FreeSpinsBonus!$E$31, 0), "")</f>
        <v>10.201107548819586</v>
      </c>
      <c r="AJ920">
        <f t="shared" ca="1" si="131"/>
        <v>2.0319923851333309E-3</v>
      </c>
    </row>
    <row r="921" spans="28:36" x14ac:dyDescent="0.3">
      <c r="AB921">
        <f t="shared" si="125"/>
        <v>1</v>
      </c>
      <c r="AC921">
        <f t="shared" si="126"/>
        <v>1</v>
      </c>
      <c r="AD921">
        <f t="shared" si="127"/>
        <v>2</v>
      </c>
      <c r="AE921">
        <f t="shared" si="128"/>
        <v>1</v>
      </c>
      <c r="AF921">
        <f t="shared" si="129"/>
        <v>3</v>
      </c>
      <c r="AG921">
        <f t="shared" si="130"/>
        <v>8</v>
      </c>
      <c r="AH921">
        <f t="shared" ca="1" si="132"/>
        <v>2.1025960570548687E-4</v>
      </c>
      <c r="AI921">
        <f>IF(ROW($AA921) - $AA$51 &lt; ($H$16+1)^5, IF(AG921 &gt;= FreeSpinsBonus!$C$16, AG921*FreeSpinsBonus!$E$31, 0), "")</f>
        <v>11.658408627222384</v>
      </c>
      <c r="AJ921">
        <f t="shared" ca="1" si="131"/>
        <v>2.451292401113225E-3</v>
      </c>
    </row>
    <row r="922" spans="28:36" x14ac:dyDescent="0.3">
      <c r="AB922">
        <f t="shared" si="125"/>
        <v>2</v>
      </c>
      <c r="AC922">
        <f t="shared" si="126"/>
        <v>1</v>
      </c>
      <c r="AD922">
        <f t="shared" si="127"/>
        <v>2</v>
      </c>
      <c r="AE922">
        <f t="shared" si="128"/>
        <v>1</v>
      </c>
      <c r="AF922">
        <f t="shared" si="129"/>
        <v>3</v>
      </c>
      <c r="AG922">
        <f t="shared" si="130"/>
        <v>9</v>
      </c>
      <c r="AH922">
        <f t="shared" ca="1" si="132"/>
        <v>1.1066295037130889E-4</v>
      </c>
      <c r="AI922">
        <f>IF(ROW($AA922) - $AA$51 &lt; ($H$16+1)^5, IF(AG922 &gt;= FreeSpinsBonus!$C$16, AG922*FreeSpinsBonus!$E$31, 0), "")</f>
        <v>13.115709705625182</v>
      </c>
      <c r="AJ922">
        <f t="shared" ca="1" si="131"/>
        <v>1.4514231322380938E-3</v>
      </c>
    </row>
    <row r="923" spans="28:36" x14ac:dyDescent="0.3">
      <c r="AB923">
        <f t="shared" si="125"/>
        <v>3</v>
      </c>
      <c r="AC923">
        <f t="shared" si="126"/>
        <v>1</v>
      </c>
      <c r="AD923">
        <f t="shared" si="127"/>
        <v>2</v>
      </c>
      <c r="AE923">
        <f t="shared" si="128"/>
        <v>1</v>
      </c>
      <c r="AF923">
        <f t="shared" si="129"/>
        <v>3</v>
      </c>
      <c r="AG923">
        <f t="shared" si="130"/>
        <v>10</v>
      </c>
      <c r="AH923">
        <f t="shared" ca="1" si="132"/>
        <v>0</v>
      </c>
      <c r="AI923">
        <f>IF(ROW($AA923) - $AA$51 &lt; ($H$16+1)^5, IF(AG923 &gt;= FreeSpinsBonus!$C$16, AG923*FreeSpinsBonus!$E$31, 0), "")</f>
        <v>14.57301078402798</v>
      </c>
      <c r="AJ923">
        <f t="shared" ca="1" si="131"/>
        <v>0</v>
      </c>
    </row>
    <row r="924" spans="28:36" x14ac:dyDescent="0.3">
      <c r="AB924">
        <f t="shared" si="125"/>
        <v>0</v>
      </c>
      <c r="AC924">
        <f t="shared" si="126"/>
        <v>2</v>
      </c>
      <c r="AD924">
        <f t="shared" si="127"/>
        <v>2</v>
      </c>
      <c r="AE924">
        <f t="shared" si="128"/>
        <v>1</v>
      </c>
      <c r="AF924">
        <f t="shared" si="129"/>
        <v>3</v>
      </c>
      <c r="AG924">
        <f t="shared" si="130"/>
        <v>8</v>
      </c>
      <c r="AH924">
        <f t="shared" ca="1" si="132"/>
        <v>1.9919331066835596E-4</v>
      </c>
      <c r="AI924">
        <f>IF(ROW($AA924) - $AA$51 &lt; ($H$16+1)^5, IF(AG924 &gt;= FreeSpinsBonus!$C$16, AG924*FreeSpinsBonus!$E$31, 0), "")</f>
        <v>11.658408627222384</v>
      </c>
      <c r="AJ924">
        <f t="shared" ca="1" si="131"/>
        <v>2.3222770115809495E-3</v>
      </c>
    </row>
    <row r="925" spans="28:36" x14ac:dyDescent="0.3">
      <c r="AB925">
        <f t="shared" si="125"/>
        <v>1</v>
      </c>
      <c r="AC925">
        <f t="shared" si="126"/>
        <v>2</v>
      </c>
      <c r="AD925">
        <f t="shared" si="127"/>
        <v>2</v>
      </c>
      <c r="AE925">
        <f t="shared" si="128"/>
        <v>1</v>
      </c>
      <c r="AF925">
        <f t="shared" si="129"/>
        <v>3</v>
      </c>
      <c r="AG925">
        <f t="shared" si="130"/>
        <v>9</v>
      </c>
      <c r="AH925">
        <f t="shared" ca="1" si="132"/>
        <v>2.1025960570548687E-4</v>
      </c>
      <c r="AI925">
        <f>IF(ROW($AA925) - $AA$51 &lt; ($H$16+1)^5, IF(AG925 &gt;= FreeSpinsBonus!$C$16, AG925*FreeSpinsBonus!$E$31, 0), "")</f>
        <v>13.115709705625182</v>
      </c>
      <c r="AJ925">
        <f t="shared" ca="1" si="131"/>
        <v>2.7577039512523779E-3</v>
      </c>
    </row>
    <row r="926" spans="28:36" x14ac:dyDescent="0.3">
      <c r="AB926">
        <f t="shared" si="125"/>
        <v>2</v>
      </c>
      <c r="AC926">
        <f t="shared" si="126"/>
        <v>2</v>
      </c>
      <c r="AD926">
        <f t="shared" si="127"/>
        <v>2</v>
      </c>
      <c r="AE926">
        <f t="shared" si="128"/>
        <v>1</v>
      </c>
      <c r="AF926">
        <f t="shared" si="129"/>
        <v>3</v>
      </c>
      <c r="AG926">
        <f t="shared" si="130"/>
        <v>10</v>
      </c>
      <c r="AH926">
        <f t="shared" ca="1" si="132"/>
        <v>1.1066295037130889E-4</v>
      </c>
      <c r="AI926">
        <f>IF(ROW($AA926) - $AA$51 &lt; ($H$16+1)^5, IF(AG926 &gt;= FreeSpinsBonus!$C$16, AG926*FreeSpinsBonus!$E$31, 0), "")</f>
        <v>14.57301078402798</v>
      </c>
      <c r="AJ926">
        <f t="shared" ca="1" si="131"/>
        <v>1.6126923691534376E-3</v>
      </c>
    </row>
    <row r="927" spans="28:36" x14ac:dyDescent="0.3">
      <c r="AB927">
        <f t="shared" si="125"/>
        <v>3</v>
      </c>
      <c r="AC927">
        <f t="shared" si="126"/>
        <v>2</v>
      </c>
      <c r="AD927">
        <f t="shared" si="127"/>
        <v>2</v>
      </c>
      <c r="AE927">
        <f t="shared" si="128"/>
        <v>1</v>
      </c>
      <c r="AF927">
        <f t="shared" si="129"/>
        <v>3</v>
      </c>
      <c r="AG927">
        <f t="shared" si="130"/>
        <v>11</v>
      </c>
      <c r="AH927">
        <f t="shared" ca="1" si="132"/>
        <v>0</v>
      </c>
      <c r="AI927">
        <f>IF(ROW($AA927) - $AA$51 &lt; ($H$16+1)^5, IF(AG927 &gt;= FreeSpinsBonus!$C$16, AG927*FreeSpinsBonus!$E$31, 0), "")</f>
        <v>16.030311862430779</v>
      </c>
      <c r="AJ927">
        <f t="shared" ca="1" si="131"/>
        <v>0</v>
      </c>
    </row>
    <row r="928" spans="28:36" x14ac:dyDescent="0.3">
      <c r="AB928">
        <f t="shared" si="125"/>
        <v>0</v>
      </c>
      <c r="AC928">
        <f t="shared" si="126"/>
        <v>3</v>
      </c>
      <c r="AD928">
        <f t="shared" si="127"/>
        <v>2</v>
      </c>
      <c r="AE928">
        <f t="shared" si="128"/>
        <v>1</v>
      </c>
      <c r="AF928">
        <f t="shared" si="129"/>
        <v>3</v>
      </c>
      <c r="AG928">
        <f t="shared" si="130"/>
        <v>9</v>
      </c>
      <c r="AH928">
        <f t="shared" ca="1" si="132"/>
        <v>7.0303521412360941E-5</v>
      </c>
      <c r="AI928">
        <f>IF(ROW($AA928) - $AA$51 &lt; ($H$16+1)^5, IF(AG928 &gt;= FreeSpinsBonus!$C$16, AG928*FreeSpinsBonus!$E$31, 0), "")</f>
        <v>13.115709705625182</v>
      </c>
      <c r="AJ928">
        <f t="shared" ca="1" si="131"/>
        <v>9.2208057812773019E-4</v>
      </c>
    </row>
    <row r="929" spans="28:36" x14ac:dyDescent="0.3">
      <c r="AB929">
        <f t="shared" si="125"/>
        <v>1</v>
      </c>
      <c r="AC929">
        <f t="shared" si="126"/>
        <v>3</v>
      </c>
      <c r="AD929">
        <f t="shared" si="127"/>
        <v>2</v>
      </c>
      <c r="AE929">
        <f t="shared" si="128"/>
        <v>1</v>
      </c>
      <c r="AF929">
        <f t="shared" si="129"/>
        <v>3</v>
      </c>
      <c r="AG929">
        <f t="shared" si="130"/>
        <v>10</v>
      </c>
      <c r="AH929">
        <f t="shared" ca="1" si="132"/>
        <v>7.4209272601936542E-5</v>
      </c>
      <c r="AI929">
        <f>IF(ROW($AA929) - $AA$51 &lt; ($H$16+1)^5, IF(AG929 &gt;= FreeSpinsBonus!$C$16, AG929*FreeSpinsBonus!$E$31, 0), "")</f>
        <v>14.57301078402798</v>
      </c>
      <c r="AJ929">
        <f t="shared" ca="1" si="131"/>
        <v>1.0814525299028934E-3</v>
      </c>
    </row>
    <row r="930" spans="28:36" x14ac:dyDescent="0.3">
      <c r="AB930">
        <f t="shared" si="125"/>
        <v>2</v>
      </c>
      <c r="AC930">
        <f t="shared" si="126"/>
        <v>3</v>
      </c>
      <c r="AD930">
        <f t="shared" si="127"/>
        <v>2</v>
      </c>
      <c r="AE930">
        <f t="shared" si="128"/>
        <v>1</v>
      </c>
      <c r="AF930">
        <f t="shared" si="129"/>
        <v>3</v>
      </c>
      <c r="AG930">
        <f t="shared" si="130"/>
        <v>11</v>
      </c>
      <c r="AH930">
        <f t="shared" ca="1" si="132"/>
        <v>3.9057511895756071E-5</v>
      </c>
      <c r="AI930">
        <f>IF(ROW($AA930) - $AA$51 &lt; ($H$16+1)^5, IF(AG930 &gt;= FreeSpinsBonus!$C$16, AG930*FreeSpinsBonus!$E$31, 0), "")</f>
        <v>16.030311862430779</v>
      </c>
      <c r="AJ930">
        <f t="shared" ca="1" si="131"/>
        <v>6.2610409625956981E-4</v>
      </c>
    </row>
    <row r="931" spans="28:36" x14ac:dyDescent="0.3">
      <c r="AB931">
        <f t="shared" si="125"/>
        <v>3</v>
      </c>
      <c r="AC931">
        <f t="shared" si="126"/>
        <v>3</v>
      </c>
      <c r="AD931">
        <f t="shared" si="127"/>
        <v>2</v>
      </c>
      <c r="AE931">
        <f t="shared" si="128"/>
        <v>1</v>
      </c>
      <c r="AF931">
        <f t="shared" si="129"/>
        <v>3</v>
      </c>
      <c r="AG931">
        <f t="shared" si="130"/>
        <v>12</v>
      </c>
      <c r="AH931">
        <f t="shared" ca="1" si="132"/>
        <v>0</v>
      </c>
      <c r="AI931">
        <f>IF(ROW($AA931) - $AA$51 &lt; ($H$16+1)^5, IF(AG931 &gt;= FreeSpinsBonus!$C$16, AG931*FreeSpinsBonus!$E$31, 0), "")</f>
        <v>17.487612940833575</v>
      </c>
      <c r="AJ931">
        <f t="shared" ca="1" si="131"/>
        <v>0</v>
      </c>
    </row>
    <row r="932" spans="28:36" x14ac:dyDescent="0.3">
      <c r="AB932">
        <f t="shared" si="125"/>
        <v>0</v>
      </c>
      <c r="AC932">
        <f t="shared" si="126"/>
        <v>0</v>
      </c>
      <c r="AD932">
        <f t="shared" si="127"/>
        <v>3</v>
      </c>
      <c r="AE932">
        <f t="shared" si="128"/>
        <v>1</v>
      </c>
      <c r="AF932">
        <f t="shared" si="129"/>
        <v>3</v>
      </c>
      <c r="AG932">
        <f t="shared" si="130"/>
        <v>7</v>
      </c>
      <c r="AH932">
        <f t="shared" ca="1" si="132"/>
        <v>1.8108482788032361E-5</v>
      </c>
      <c r="AI932">
        <f>IF(ROW($AA932) - $AA$51 &lt; ($H$16+1)^5, IF(AG932 &gt;= FreeSpinsBonus!$C$16, AG932*FreeSpinsBonus!$E$31, 0), "")</f>
        <v>10.201107548819586</v>
      </c>
      <c r="AJ932">
        <f t="shared" ca="1" si="131"/>
        <v>1.8472658046666645E-4</v>
      </c>
    </row>
    <row r="933" spans="28:36" x14ac:dyDescent="0.3">
      <c r="AB933">
        <f t="shared" si="125"/>
        <v>1</v>
      </c>
      <c r="AC933">
        <f t="shared" si="126"/>
        <v>0</v>
      </c>
      <c r="AD933">
        <f t="shared" si="127"/>
        <v>3</v>
      </c>
      <c r="AE933">
        <f t="shared" si="128"/>
        <v>1</v>
      </c>
      <c r="AF933">
        <f t="shared" si="129"/>
        <v>3</v>
      </c>
      <c r="AG933">
        <f t="shared" si="130"/>
        <v>8</v>
      </c>
      <c r="AH933">
        <f t="shared" ca="1" si="132"/>
        <v>1.911450960958971E-5</v>
      </c>
      <c r="AI933">
        <f>IF(ROW($AA933) - $AA$51 &lt; ($H$16+1)^5, IF(AG933 &gt;= FreeSpinsBonus!$C$16, AG933*FreeSpinsBonus!$E$31, 0), "")</f>
        <v>11.658408627222384</v>
      </c>
      <c r="AJ933">
        <f t="shared" ca="1" si="131"/>
        <v>2.2284476373756582E-4</v>
      </c>
    </row>
    <row r="934" spans="28:36" x14ac:dyDescent="0.3">
      <c r="AB934">
        <f t="shared" si="125"/>
        <v>2</v>
      </c>
      <c r="AC934">
        <f t="shared" si="126"/>
        <v>0</v>
      </c>
      <c r="AD934">
        <f t="shared" si="127"/>
        <v>3</v>
      </c>
      <c r="AE934">
        <f t="shared" si="128"/>
        <v>1</v>
      </c>
      <c r="AF934">
        <f t="shared" si="129"/>
        <v>3</v>
      </c>
      <c r="AG934">
        <f t="shared" si="130"/>
        <v>9</v>
      </c>
      <c r="AH934">
        <f t="shared" ca="1" si="132"/>
        <v>1.0060268215573534E-5</v>
      </c>
      <c r="AI934">
        <f>IF(ROW($AA934) - $AA$51 &lt; ($H$16+1)^5, IF(AG934 &gt;= FreeSpinsBonus!$C$16, AG934*FreeSpinsBonus!$E$31, 0), "")</f>
        <v>13.115709705625182</v>
      </c>
      <c r="AJ934">
        <f t="shared" ca="1" si="131"/>
        <v>1.3194755747619033E-4</v>
      </c>
    </row>
    <row r="935" spans="28:36" x14ac:dyDescent="0.3">
      <c r="AB935">
        <f t="shared" si="125"/>
        <v>3</v>
      </c>
      <c r="AC935">
        <f t="shared" si="126"/>
        <v>0</v>
      </c>
      <c r="AD935">
        <f t="shared" si="127"/>
        <v>3</v>
      </c>
      <c r="AE935">
        <f t="shared" si="128"/>
        <v>1</v>
      </c>
      <c r="AF935">
        <f t="shared" si="129"/>
        <v>3</v>
      </c>
      <c r="AG935">
        <f t="shared" si="130"/>
        <v>10</v>
      </c>
      <c r="AH935">
        <f t="shared" ca="1" si="132"/>
        <v>0</v>
      </c>
      <c r="AI935">
        <f>IF(ROW($AA935) - $AA$51 &lt; ($H$16+1)^5, IF(AG935 &gt;= FreeSpinsBonus!$C$16, AG935*FreeSpinsBonus!$E$31, 0), "")</f>
        <v>14.57301078402798</v>
      </c>
      <c r="AJ935">
        <f t="shared" ca="1" si="131"/>
        <v>0</v>
      </c>
    </row>
    <row r="936" spans="28:36" x14ac:dyDescent="0.3">
      <c r="AB936">
        <f t="shared" si="125"/>
        <v>0</v>
      </c>
      <c r="AC936">
        <f t="shared" si="126"/>
        <v>1</v>
      </c>
      <c r="AD936">
        <f t="shared" si="127"/>
        <v>3</v>
      </c>
      <c r="AE936">
        <f t="shared" si="128"/>
        <v>1</v>
      </c>
      <c r="AF936">
        <f t="shared" si="129"/>
        <v>3</v>
      </c>
      <c r="AG936">
        <f t="shared" si="130"/>
        <v>8</v>
      </c>
      <c r="AH936">
        <f t="shared" ca="1" si="132"/>
        <v>1.8108482788032361E-5</v>
      </c>
      <c r="AI936">
        <f>IF(ROW($AA936) - $AA$51 &lt; ($H$16+1)^5, IF(AG936 &gt;= FreeSpinsBonus!$C$16, AG936*FreeSpinsBonus!$E$31, 0), "")</f>
        <v>11.658408627222384</v>
      </c>
      <c r="AJ936">
        <f t="shared" ca="1" si="131"/>
        <v>2.1111609196190452E-4</v>
      </c>
    </row>
    <row r="937" spans="28:36" x14ac:dyDescent="0.3">
      <c r="AB937">
        <f t="shared" si="125"/>
        <v>1</v>
      </c>
      <c r="AC937">
        <f t="shared" si="126"/>
        <v>1</v>
      </c>
      <c r="AD937">
        <f t="shared" si="127"/>
        <v>3</v>
      </c>
      <c r="AE937">
        <f t="shared" si="128"/>
        <v>1</v>
      </c>
      <c r="AF937">
        <f t="shared" si="129"/>
        <v>3</v>
      </c>
      <c r="AG937">
        <f t="shared" si="130"/>
        <v>9</v>
      </c>
      <c r="AH937">
        <f t="shared" ca="1" si="132"/>
        <v>1.911450960958971E-5</v>
      </c>
      <c r="AI937">
        <f>IF(ROW($AA937) - $AA$51 &lt; ($H$16+1)^5, IF(AG937 &gt;= FreeSpinsBonus!$C$16, AG937*FreeSpinsBonus!$E$31, 0), "")</f>
        <v>13.115709705625182</v>
      </c>
      <c r="AJ937">
        <f t="shared" ca="1" si="131"/>
        <v>2.5070035920476155E-4</v>
      </c>
    </row>
    <row r="938" spans="28:36" x14ac:dyDescent="0.3">
      <c r="AB938">
        <f t="shared" si="125"/>
        <v>2</v>
      </c>
      <c r="AC938">
        <f t="shared" si="126"/>
        <v>1</v>
      </c>
      <c r="AD938">
        <f t="shared" si="127"/>
        <v>3</v>
      </c>
      <c r="AE938">
        <f t="shared" si="128"/>
        <v>1</v>
      </c>
      <c r="AF938">
        <f t="shared" si="129"/>
        <v>3</v>
      </c>
      <c r="AG938">
        <f t="shared" si="130"/>
        <v>10</v>
      </c>
      <c r="AH938">
        <f t="shared" ca="1" si="132"/>
        <v>1.0060268215573534E-5</v>
      </c>
      <c r="AI938">
        <f>IF(ROW($AA938) - $AA$51 &lt; ($H$16+1)^5, IF(AG938 &gt;= FreeSpinsBonus!$C$16, AG938*FreeSpinsBonus!$E$31, 0), "")</f>
        <v>14.57301078402798</v>
      </c>
      <c r="AJ938">
        <f t="shared" ca="1" si="131"/>
        <v>1.4660839719576703E-4</v>
      </c>
    </row>
    <row r="939" spans="28:36" x14ac:dyDescent="0.3">
      <c r="AB939">
        <f t="shared" si="125"/>
        <v>3</v>
      </c>
      <c r="AC939">
        <f t="shared" si="126"/>
        <v>1</v>
      </c>
      <c r="AD939">
        <f t="shared" si="127"/>
        <v>3</v>
      </c>
      <c r="AE939">
        <f t="shared" si="128"/>
        <v>1</v>
      </c>
      <c r="AF939">
        <f t="shared" si="129"/>
        <v>3</v>
      </c>
      <c r="AG939">
        <f t="shared" si="130"/>
        <v>11</v>
      </c>
      <c r="AH939">
        <f t="shared" ca="1" si="132"/>
        <v>0</v>
      </c>
      <c r="AI939">
        <f>IF(ROW($AA939) - $AA$51 &lt; ($H$16+1)^5, IF(AG939 &gt;= FreeSpinsBonus!$C$16, AG939*FreeSpinsBonus!$E$31, 0), "")</f>
        <v>16.030311862430779</v>
      </c>
      <c r="AJ939">
        <f t="shared" ca="1" si="131"/>
        <v>0</v>
      </c>
    </row>
    <row r="940" spans="28:36" x14ac:dyDescent="0.3">
      <c r="AB940">
        <f t="shared" si="125"/>
        <v>0</v>
      </c>
      <c r="AC940">
        <f t="shared" si="126"/>
        <v>2</v>
      </c>
      <c r="AD940">
        <f t="shared" si="127"/>
        <v>3</v>
      </c>
      <c r="AE940">
        <f t="shared" si="128"/>
        <v>1</v>
      </c>
      <c r="AF940">
        <f t="shared" si="129"/>
        <v>3</v>
      </c>
      <c r="AG940">
        <f t="shared" si="130"/>
        <v>9</v>
      </c>
      <c r="AH940">
        <f t="shared" ca="1" si="132"/>
        <v>1.8108482788032361E-5</v>
      </c>
      <c r="AI940">
        <f>IF(ROW($AA940) - $AA$51 &lt; ($H$16+1)^5, IF(AG940 &gt;= FreeSpinsBonus!$C$16, AG940*FreeSpinsBonus!$E$31, 0), "")</f>
        <v>13.115709705625182</v>
      </c>
      <c r="AJ940">
        <f t="shared" ca="1" si="131"/>
        <v>2.375056034571426E-4</v>
      </c>
    </row>
    <row r="941" spans="28:36" x14ac:dyDescent="0.3">
      <c r="AB941">
        <f t="shared" si="125"/>
        <v>1</v>
      </c>
      <c r="AC941">
        <f t="shared" si="126"/>
        <v>2</v>
      </c>
      <c r="AD941">
        <f t="shared" si="127"/>
        <v>3</v>
      </c>
      <c r="AE941">
        <f t="shared" si="128"/>
        <v>1</v>
      </c>
      <c r="AF941">
        <f t="shared" si="129"/>
        <v>3</v>
      </c>
      <c r="AG941">
        <f t="shared" si="130"/>
        <v>10</v>
      </c>
      <c r="AH941">
        <f t="shared" ca="1" si="132"/>
        <v>1.911450960958971E-5</v>
      </c>
      <c r="AI941">
        <f>IF(ROW($AA941) - $AA$51 &lt; ($H$16+1)^5, IF(AG941 &gt;= FreeSpinsBonus!$C$16, AG941*FreeSpinsBonus!$E$31, 0), "")</f>
        <v>14.57301078402798</v>
      </c>
      <c r="AJ941">
        <f t="shared" ca="1" si="131"/>
        <v>2.7855595467195731E-4</v>
      </c>
    </row>
    <row r="942" spans="28:36" x14ac:dyDescent="0.3">
      <c r="AB942">
        <f t="shared" si="125"/>
        <v>2</v>
      </c>
      <c r="AC942">
        <f t="shared" si="126"/>
        <v>2</v>
      </c>
      <c r="AD942">
        <f t="shared" si="127"/>
        <v>3</v>
      </c>
      <c r="AE942">
        <f t="shared" si="128"/>
        <v>1</v>
      </c>
      <c r="AF942">
        <f t="shared" si="129"/>
        <v>3</v>
      </c>
      <c r="AG942">
        <f t="shared" si="130"/>
        <v>11</v>
      </c>
      <c r="AH942">
        <f t="shared" ca="1" si="132"/>
        <v>1.0060268215573534E-5</v>
      </c>
      <c r="AI942">
        <f>IF(ROW($AA942) - $AA$51 &lt; ($H$16+1)^5, IF(AG942 &gt;= FreeSpinsBonus!$C$16, AG942*FreeSpinsBonus!$E$31, 0), "")</f>
        <v>16.030311862430779</v>
      </c>
      <c r="AJ942">
        <f t="shared" ca="1" si="131"/>
        <v>1.6126923691534375E-4</v>
      </c>
    </row>
    <row r="943" spans="28:36" x14ac:dyDescent="0.3">
      <c r="AB943">
        <f t="shared" si="125"/>
        <v>3</v>
      </c>
      <c r="AC943">
        <f t="shared" si="126"/>
        <v>2</v>
      </c>
      <c r="AD943">
        <f t="shared" si="127"/>
        <v>3</v>
      </c>
      <c r="AE943">
        <f t="shared" si="128"/>
        <v>1</v>
      </c>
      <c r="AF943">
        <f t="shared" si="129"/>
        <v>3</v>
      </c>
      <c r="AG943">
        <f t="shared" si="130"/>
        <v>12</v>
      </c>
      <c r="AH943">
        <f t="shared" ca="1" si="132"/>
        <v>0</v>
      </c>
      <c r="AI943">
        <f>IF(ROW($AA943) - $AA$51 &lt; ($H$16+1)^5, IF(AG943 &gt;= FreeSpinsBonus!$C$16, AG943*FreeSpinsBonus!$E$31, 0), "")</f>
        <v>17.487612940833575</v>
      </c>
      <c r="AJ943">
        <f t="shared" ca="1" si="131"/>
        <v>0</v>
      </c>
    </row>
    <row r="944" spans="28:36" x14ac:dyDescent="0.3">
      <c r="AB944">
        <f t="shared" si="125"/>
        <v>0</v>
      </c>
      <c r="AC944">
        <f t="shared" si="126"/>
        <v>3</v>
      </c>
      <c r="AD944">
        <f t="shared" si="127"/>
        <v>3</v>
      </c>
      <c r="AE944">
        <f t="shared" si="128"/>
        <v>1</v>
      </c>
      <c r="AF944">
        <f t="shared" si="129"/>
        <v>3</v>
      </c>
      <c r="AG944">
        <f t="shared" si="130"/>
        <v>10</v>
      </c>
      <c r="AH944">
        <f t="shared" ca="1" si="132"/>
        <v>6.3912292193055393E-6</v>
      </c>
      <c r="AI944">
        <f>IF(ROW($AA944) - $AA$51 &lt; ($H$16+1)^5, IF(AG944 &gt;= FreeSpinsBonus!$C$16, AG944*FreeSpinsBonus!$E$31, 0), "")</f>
        <v>14.57301078402798</v>
      </c>
      <c r="AJ944">
        <f t="shared" ca="1" si="131"/>
        <v>9.313945233613436E-5</v>
      </c>
    </row>
    <row r="945" spans="28:36" x14ac:dyDescent="0.3">
      <c r="AB945">
        <f t="shared" si="125"/>
        <v>1</v>
      </c>
      <c r="AC945">
        <f t="shared" si="126"/>
        <v>3</v>
      </c>
      <c r="AD945">
        <f t="shared" si="127"/>
        <v>3</v>
      </c>
      <c r="AE945">
        <f t="shared" si="128"/>
        <v>1</v>
      </c>
      <c r="AF945">
        <f t="shared" si="129"/>
        <v>3</v>
      </c>
      <c r="AG945">
        <f t="shared" si="130"/>
        <v>11</v>
      </c>
      <c r="AH945">
        <f t="shared" ca="1" si="132"/>
        <v>6.7462975092669571E-6</v>
      </c>
      <c r="AI945">
        <f>IF(ROW($AA945) - $AA$51 &lt; ($H$16+1)^5, IF(AG945 &gt;= FreeSpinsBonus!$C$16, AG945*FreeSpinsBonus!$E$31, 0), "")</f>
        <v>16.030311862430779</v>
      </c>
      <c r="AJ945">
        <f t="shared" ca="1" si="131"/>
        <v>1.0814525299028932E-4</v>
      </c>
    </row>
    <row r="946" spans="28:36" x14ac:dyDescent="0.3">
      <c r="AB946">
        <f t="shared" si="125"/>
        <v>2</v>
      </c>
      <c r="AC946">
        <f t="shared" si="126"/>
        <v>3</v>
      </c>
      <c r="AD946">
        <f t="shared" si="127"/>
        <v>3</v>
      </c>
      <c r="AE946">
        <f t="shared" si="128"/>
        <v>1</v>
      </c>
      <c r="AF946">
        <f t="shared" si="129"/>
        <v>3</v>
      </c>
      <c r="AG946">
        <f t="shared" si="130"/>
        <v>12</v>
      </c>
      <c r="AH946">
        <f t="shared" ca="1" si="132"/>
        <v>3.5506828996141887E-6</v>
      </c>
      <c r="AI946">
        <f>IF(ROW($AA946) - $AA$51 &lt; ($H$16+1)^5, IF(AG946 &gt;= FreeSpinsBonus!$C$16, AG946*FreeSpinsBonus!$E$31, 0), "")</f>
        <v>17.487612940833575</v>
      </c>
      <c r="AJ946">
        <f t="shared" ca="1" si="131"/>
        <v>6.2092968224089569E-5</v>
      </c>
    </row>
    <row r="947" spans="28:36" x14ac:dyDescent="0.3">
      <c r="AB947">
        <f t="shared" si="125"/>
        <v>3</v>
      </c>
      <c r="AC947">
        <f t="shared" si="126"/>
        <v>3</v>
      </c>
      <c r="AD947">
        <f t="shared" si="127"/>
        <v>3</v>
      </c>
      <c r="AE947">
        <f t="shared" si="128"/>
        <v>1</v>
      </c>
      <c r="AF947">
        <f t="shared" si="129"/>
        <v>3</v>
      </c>
      <c r="AG947">
        <f t="shared" si="130"/>
        <v>13</v>
      </c>
      <c r="AH947">
        <f t="shared" ca="1" si="132"/>
        <v>0</v>
      </c>
      <c r="AI947">
        <f>IF(ROW($AA947) - $AA$51 &lt; ($H$16+1)^5, IF(AG947 &gt;= FreeSpinsBonus!$C$16, AG947*FreeSpinsBonus!$E$31, 0), "")</f>
        <v>18.944914019236375</v>
      </c>
      <c r="AJ947">
        <f t="shared" ca="1" si="131"/>
        <v>0</v>
      </c>
    </row>
    <row r="948" spans="28:36" x14ac:dyDescent="0.3">
      <c r="AB948">
        <f t="shared" ref="AB948:AB1011" si="133">IF(ROW()-$AA$51 &lt; (H$16+1)^5, MOD(_xlfn.FLOOR.MATH((ROW()-$AA$51)/AB$50), H$16+1), "")</f>
        <v>0</v>
      </c>
      <c r="AC948">
        <f t="shared" ref="AC948:AC1011" si="134">IF(ROW()-$AA$51 &lt; (I$16+1)^5, MOD(_xlfn.FLOOR.MATH((ROW()-$AA$51)/AC$50), I$16+1), "")</f>
        <v>0</v>
      </c>
      <c r="AD948">
        <f t="shared" ref="AD948:AD1011" si="135">IF(ROW()-$AA$51 &lt; (J$16+1)^5, MOD(_xlfn.FLOOR.MATH((ROW()-$AA$51)/AD$50), J$16+1), "")</f>
        <v>0</v>
      </c>
      <c r="AE948">
        <f t="shared" ref="AE948:AE1011" si="136">IF(ROW()-$AA$51 &lt; (K$16+1)^5, MOD(_xlfn.FLOOR.MATH((ROW()-$AA$51)/AE$50), K$16+1), "")</f>
        <v>2</v>
      </c>
      <c r="AF948">
        <f t="shared" ref="AF948:AF1011" si="137">IF(ROW()-$AA$51 &lt; (L$16+1)^5, MOD(_xlfn.FLOOR.MATH((ROW()-$AA$51)/AF$50), L$16+1), "")</f>
        <v>3</v>
      </c>
      <c r="AG948">
        <f t="shared" ref="AG948:AG1011" si="138">IF(ROW($AA948) - $AA$51 &lt; ($H$16+1)^5, SUM(AB948:AF948), "")</f>
        <v>5</v>
      </c>
      <c r="AH948">
        <f t="shared" ca="1" si="132"/>
        <v>2.1071689062437656E-4</v>
      </c>
      <c r="AI948">
        <f>IF(ROW($AA948) - $AA$51 &lt; ($H$16+1)^5, IF(AG948 &gt;= FreeSpinsBonus!$C$16, AG948*FreeSpinsBonus!$E$31, 0), "")</f>
        <v>7.2865053920139902</v>
      </c>
      <c r="AJ948">
        <f t="shared" ref="AJ948:AJ1011" ca="1" si="139">IF(ROW($AA948) - $AA$51 &lt; ($H$16+1)^5, AH948*AI948, "")</f>
        <v>1.535389759722942E-3</v>
      </c>
    </row>
    <row r="949" spans="28:36" x14ac:dyDescent="0.3">
      <c r="AB949">
        <f t="shared" si="133"/>
        <v>1</v>
      </c>
      <c r="AC949">
        <f t="shared" si="134"/>
        <v>0</v>
      </c>
      <c r="AD949">
        <f t="shared" si="135"/>
        <v>0</v>
      </c>
      <c r="AE949">
        <f t="shared" si="136"/>
        <v>2</v>
      </c>
      <c r="AF949">
        <f t="shared" si="137"/>
        <v>3</v>
      </c>
      <c r="AG949">
        <f t="shared" si="138"/>
        <v>6</v>
      </c>
      <c r="AH949">
        <f t="shared" ref="AH949:AH1012" ca="1" si="140">IF(ROW($AA949) - $AA$51 &lt; (4)^5,
    (_xlfn.XLOOKUP(AB949,$T$51:$T$55,U$51:U$55,0)/U$28) * (_xlfn.XLOOKUP(AC949,$T$51:$T$55,V$51:V$55,0)/V$28) * (_xlfn.XLOOKUP(AD949,$T$51:$T$55,W$51:W$55,0)/W$28) * (_xlfn.XLOOKUP(AE949,$T$51:$T$55,X$51:X$55,0)/X$28) * (_xlfn.XLOOKUP(AF949,$T$51:$T$55,Y$51:Y$55,0)/Y$28),
"")</f>
        <v>2.2242338454795299E-4</v>
      </c>
      <c r="AI949">
        <f>IF(ROW($AA949) - $AA$51 &lt; ($H$16+1)^5, IF(AG949 &gt;= FreeSpinsBonus!$C$16, AG949*FreeSpinsBonus!$E$31, 0), "")</f>
        <v>8.7438064704167875</v>
      </c>
      <c r="AJ949">
        <f t="shared" ca="1" si="139"/>
        <v>1.9448270289823928E-3</v>
      </c>
    </row>
    <row r="950" spans="28:36" x14ac:dyDescent="0.3">
      <c r="AB950">
        <f t="shared" si="133"/>
        <v>2</v>
      </c>
      <c r="AC950">
        <f t="shared" si="134"/>
        <v>0</v>
      </c>
      <c r="AD950">
        <f t="shared" si="135"/>
        <v>0</v>
      </c>
      <c r="AE950">
        <f t="shared" si="136"/>
        <v>2</v>
      </c>
      <c r="AF950">
        <f t="shared" si="137"/>
        <v>3</v>
      </c>
      <c r="AG950">
        <f t="shared" si="138"/>
        <v>7</v>
      </c>
      <c r="AH950">
        <f t="shared" ca="1" si="140"/>
        <v>1.1706493923576477E-4</v>
      </c>
      <c r="AI950">
        <f>IF(ROW($AA950) - $AA$51 &lt; ($H$16+1)^5, IF(AG950 &gt;= FreeSpinsBonus!$C$16, AG950*FreeSpinsBonus!$E$31, 0), "")</f>
        <v>10.201107548819586</v>
      </c>
      <c r="AJ950">
        <f t="shared" ca="1" si="139"/>
        <v>1.1941920353400661E-3</v>
      </c>
    </row>
    <row r="951" spans="28:36" x14ac:dyDescent="0.3">
      <c r="AB951">
        <f t="shared" si="133"/>
        <v>3</v>
      </c>
      <c r="AC951">
        <f t="shared" si="134"/>
        <v>0</v>
      </c>
      <c r="AD951">
        <f t="shared" si="135"/>
        <v>0</v>
      </c>
      <c r="AE951">
        <f t="shared" si="136"/>
        <v>2</v>
      </c>
      <c r="AF951">
        <f t="shared" si="137"/>
        <v>3</v>
      </c>
      <c r="AG951">
        <f t="shared" si="138"/>
        <v>8</v>
      </c>
      <c r="AH951">
        <f t="shared" ca="1" si="140"/>
        <v>0</v>
      </c>
      <c r="AI951">
        <f>IF(ROW($AA951) - $AA$51 &lt; ($H$16+1)^5, IF(AG951 &gt;= FreeSpinsBonus!$C$16, AG951*FreeSpinsBonus!$E$31, 0), "")</f>
        <v>11.658408627222384</v>
      </c>
      <c r="AJ951">
        <f t="shared" ca="1" si="139"/>
        <v>0</v>
      </c>
    </row>
    <row r="952" spans="28:36" x14ac:dyDescent="0.3">
      <c r="AB952">
        <f t="shared" si="133"/>
        <v>0</v>
      </c>
      <c r="AC952">
        <f t="shared" si="134"/>
        <v>1</v>
      </c>
      <c r="AD952">
        <f t="shared" si="135"/>
        <v>0</v>
      </c>
      <c r="AE952">
        <f t="shared" si="136"/>
        <v>2</v>
      </c>
      <c r="AF952">
        <f t="shared" si="137"/>
        <v>3</v>
      </c>
      <c r="AG952">
        <f t="shared" si="138"/>
        <v>6</v>
      </c>
      <c r="AH952">
        <f t="shared" ca="1" si="140"/>
        <v>2.1071689062437656E-4</v>
      </c>
      <c r="AI952">
        <f>IF(ROW($AA952) - $AA$51 &lt; ($H$16+1)^5, IF(AG952 &gt;= FreeSpinsBonus!$C$16, AG952*FreeSpinsBonus!$E$31, 0), "")</f>
        <v>8.7438064704167875</v>
      </c>
      <c r="AJ952">
        <f t="shared" ca="1" si="139"/>
        <v>1.8424677116675302E-3</v>
      </c>
    </row>
    <row r="953" spans="28:36" x14ac:dyDescent="0.3">
      <c r="AB953">
        <f t="shared" si="133"/>
        <v>1</v>
      </c>
      <c r="AC953">
        <f t="shared" si="134"/>
        <v>1</v>
      </c>
      <c r="AD953">
        <f t="shared" si="135"/>
        <v>0</v>
      </c>
      <c r="AE953">
        <f t="shared" si="136"/>
        <v>2</v>
      </c>
      <c r="AF953">
        <f t="shared" si="137"/>
        <v>3</v>
      </c>
      <c r="AG953">
        <f t="shared" si="138"/>
        <v>7</v>
      </c>
      <c r="AH953">
        <f t="shared" ca="1" si="140"/>
        <v>2.2242338454795299E-4</v>
      </c>
      <c r="AI953">
        <f>IF(ROW($AA953) - $AA$51 &lt; ($H$16+1)^5, IF(AG953 &gt;= FreeSpinsBonus!$C$16, AG953*FreeSpinsBonus!$E$31, 0), "")</f>
        <v>10.201107548819586</v>
      </c>
      <c r="AJ953">
        <f t="shared" ca="1" si="139"/>
        <v>2.2689648671461249E-3</v>
      </c>
    </row>
    <row r="954" spans="28:36" x14ac:dyDescent="0.3">
      <c r="AB954">
        <f t="shared" si="133"/>
        <v>2</v>
      </c>
      <c r="AC954">
        <f t="shared" si="134"/>
        <v>1</v>
      </c>
      <c r="AD954">
        <f t="shared" si="135"/>
        <v>0</v>
      </c>
      <c r="AE954">
        <f t="shared" si="136"/>
        <v>2</v>
      </c>
      <c r="AF954">
        <f t="shared" si="137"/>
        <v>3</v>
      </c>
      <c r="AG954">
        <f t="shared" si="138"/>
        <v>8</v>
      </c>
      <c r="AH954">
        <f t="shared" ca="1" si="140"/>
        <v>1.1706493923576477E-4</v>
      </c>
      <c r="AI954">
        <f>IF(ROW($AA954) - $AA$51 &lt; ($H$16+1)^5, IF(AG954 &gt;= FreeSpinsBonus!$C$16, AG954*FreeSpinsBonus!$E$31, 0), "")</f>
        <v>11.658408627222384</v>
      </c>
      <c r="AJ954">
        <f t="shared" ca="1" si="139"/>
        <v>1.364790897531504E-3</v>
      </c>
    </row>
    <row r="955" spans="28:36" x14ac:dyDescent="0.3">
      <c r="AB955">
        <f t="shared" si="133"/>
        <v>3</v>
      </c>
      <c r="AC955">
        <f t="shared" si="134"/>
        <v>1</v>
      </c>
      <c r="AD955">
        <f t="shared" si="135"/>
        <v>0</v>
      </c>
      <c r="AE955">
        <f t="shared" si="136"/>
        <v>2</v>
      </c>
      <c r="AF955">
        <f t="shared" si="137"/>
        <v>3</v>
      </c>
      <c r="AG955">
        <f t="shared" si="138"/>
        <v>9</v>
      </c>
      <c r="AH955">
        <f t="shared" ca="1" si="140"/>
        <v>0</v>
      </c>
      <c r="AI955">
        <f>IF(ROW($AA955) - $AA$51 &lt; ($H$16+1)^5, IF(AG955 &gt;= FreeSpinsBonus!$C$16, AG955*FreeSpinsBonus!$E$31, 0), "")</f>
        <v>13.115709705625182</v>
      </c>
      <c r="AJ955">
        <f t="shared" ca="1" si="139"/>
        <v>0</v>
      </c>
    </row>
    <row r="956" spans="28:36" x14ac:dyDescent="0.3">
      <c r="AB956">
        <f t="shared" si="133"/>
        <v>0</v>
      </c>
      <c r="AC956">
        <f t="shared" si="134"/>
        <v>2</v>
      </c>
      <c r="AD956">
        <f t="shared" si="135"/>
        <v>0</v>
      </c>
      <c r="AE956">
        <f t="shared" si="136"/>
        <v>2</v>
      </c>
      <c r="AF956">
        <f t="shared" si="137"/>
        <v>3</v>
      </c>
      <c r="AG956">
        <f t="shared" si="138"/>
        <v>7</v>
      </c>
      <c r="AH956">
        <f t="shared" ca="1" si="140"/>
        <v>2.1071689062437656E-4</v>
      </c>
      <c r="AI956">
        <f>IF(ROW($AA956) - $AA$51 &lt; ($H$16+1)^5, IF(AG956 &gt;= FreeSpinsBonus!$C$16, AG956*FreeSpinsBonus!$E$31, 0), "")</f>
        <v>10.201107548819586</v>
      </c>
      <c r="AJ956">
        <f t="shared" ca="1" si="139"/>
        <v>2.1495456636121185E-3</v>
      </c>
    </row>
    <row r="957" spans="28:36" x14ac:dyDescent="0.3">
      <c r="AB957">
        <f t="shared" si="133"/>
        <v>1</v>
      </c>
      <c r="AC957">
        <f t="shared" si="134"/>
        <v>2</v>
      </c>
      <c r="AD957">
        <f t="shared" si="135"/>
        <v>0</v>
      </c>
      <c r="AE957">
        <f t="shared" si="136"/>
        <v>2</v>
      </c>
      <c r="AF957">
        <f t="shared" si="137"/>
        <v>3</v>
      </c>
      <c r="AG957">
        <f t="shared" si="138"/>
        <v>8</v>
      </c>
      <c r="AH957">
        <f t="shared" ca="1" si="140"/>
        <v>2.2242338454795299E-4</v>
      </c>
      <c r="AI957">
        <f>IF(ROW($AA957) - $AA$51 &lt; ($H$16+1)^5, IF(AG957 &gt;= FreeSpinsBonus!$C$16, AG957*FreeSpinsBonus!$E$31, 0), "")</f>
        <v>11.658408627222384</v>
      </c>
      <c r="AJ957">
        <f t="shared" ca="1" si="139"/>
        <v>2.5931027053098569E-3</v>
      </c>
    </row>
    <row r="958" spans="28:36" x14ac:dyDescent="0.3">
      <c r="AB958">
        <f t="shared" si="133"/>
        <v>2</v>
      </c>
      <c r="AC958">
        <f t="shared" si="134"/>
        <v>2</v>
      </c>
      <c r="AD958">
        <f t="shared" si="135"/>
        <v>0</v>
      </c>
      <c r="AE958">
        <f t="shared" si="136"/>
        <v>2</v>
      </c>
      <c r="AF958">
        <f t="shared" si="137"/>
        <v>3</v>
      </c>
      <c r="AG958">
        <f t="shared" si="138"/>
        <v>9</v>
      </c>
      <c r="AH958">
        <f t="shared" ca="1" si="140"/>
        <v>1.1706493923576477E-4</v>
      </c>
      <c r="AI958">
        <f>IF(ROW($AA958) - $AA$51 &lt; ($H$16+1)^5, IF(AG958 &gt;= FreeSpinsBonus!$C$16, AG958*FreeSpinsBonus!$E$31, 0), "")</f>
        <v>13.115709705625182</v>
      </c>
      <c r="AJ958">
        <f t="shared" ca="1" si="139"/>
        <v>1.5353897597229422E-3</v>
      </c>
    </row>
    <row r="959" spans="28:36" x14ac:dyDescent="0.3">
      <c r="AB959">
        <f t="shared" si="133"/>
        <v>3</v>
      </c>
      <c r="AC959">
        <f t="shared" si="134"/>
        <v>2</v>
      </c>
      <c r="AD959">
        <f t="shared" si="135"/>
        <v>0</v>
      </c>
      <c r="AE959">
        <f t="shared" si="136"/>
        <v>2</v>
      </c>
      <c r="AF959">
        <f t="shared" si="137"/>
        <v>3</v>
      </c>
      <c r="AG959">
        <f t="shared" si="138"/>
        <v>10</v>
      </c>
      <c r="AH959">
        <f t="shared" ca="1" si="140"/>
        <v>0</v>
      </c>
      <c r="AI959">
        <f>IF(ROW($AA959) - $AA$51 &lt; ($H$16+1)^5, IF(AG959 &gt;= FreeSpinsBonus!$C$16, AG959*FreeSpinsBonus!$E$31, 0), "")</f>
        <v>14.57301078402798</v>
      </c>
      <c r="AJ959">
        <f t="shared" ca="1" si="139"/>
        <v>0</v>
      </c>
    </row>
    <row r="960" spans="28:36" x14ac:dyDescent="0.3">
      <c r="AB960">
        <f t="shared" si="133"/>
        <v>0</v>
      </c>
      <c r="AC960">
        <f t="shared" si="134"/>
        <v>3</v>
      </c>
      <c r="AD960">
        <f t="shared" si="135"/>
        <v>0</v>
      </c>
      <c r="AE960">
        <f t="shared" si="136"/>
        <v>2</v>
      </c>
      <c r="AF960">
        <f t="shared" si="137"/>
        <v>3</v>
      </c>
      <c r="AG960">
        <f t="shared" si="138"/>
        <v>8</v>
      </c>
      <c r="AH960">
        <f t="shared" ca="1" si="140"/>
        <v>7.4370667279191735E-5</v>
      </c>
      <c r="AI960">
        <f>IF(ROW($AA960) - $AA$51 &lt; ($H$16+1)^5, IF(AG960 &gt;= FreeSpinsBonus!$C$16, AG960*FreeSpinsBonus!$E$31, 0), "")</f>
        <v>11.658408627222384</v>
      </c>
      <c r="AJ960">
        <f t="shared" ca="1" si="139"/>
        <v>8.6704362902001442E-4</v>
      </c>
    </row>
    <row r="961" spans="28:36" x14ac:dyDescent="0.3">
      <c r="AB961">
        <f t="shared" si="133"/>
        <v>1</v>
      </c>
      <c r="AC961">
        <f t="shared" si="134"/>
        <v>3</v>
      </c>
      <c r="AD961">
        <f t="shared" si="135"/>
        <v>0</v>
      </c>
      <c r="AE961">
        <f t="shared" si="136"/>
        <v>2</v>
      </c>
      <c r="AF961">
        <f t="shared" si="137"/>
        <v>3</v>
      </c>
      <c r="AG961">
        <f t="shared" si="138"/>
        <v>9</v>
      </c>
      <c r="AH961">
        <f t="shared" ca="1" si="140"/>
        <v>7.8502371016924596E-5</v>
      </c>
      <c r="AI961">
        <f>IF(ROW($AA961) - $AA$51 &lt; ($H$16+1)^5, IF(AG961 &gt;= FreeSpinsBonus!$C$16, AG961*FreeSpinsBonus!$E$31, 0), "")</f>
        <v>13.115709705625182</v>
      </c>
      <c r="AJ961">
        <f t="shared" ca="1" si="139"/>
        <v>1.0296143094612668E-3</v>
      </c>
    </row>
    <row r="962" spans="28:36" x14ac:dyDescent="0.3">
      <c r="AB962">
        <f t="shared" si="133"/>
        <v>2</v>
      </c>
      <c r="AC962">
        <f t="shared" si="134"/>
        <v>3</v>
      </c>
      <c r="AD962">
        <f t="shared" si="135"/>
        <v>0</v>
      </c>
      <c r="AE962">
        <f t="shared" si="136"/>
        <v>2</v>
      </c>
      <c r="AF962">
        <f t="shared" si="137"/>
        <v>3</v>
      </c>
      <c r="AG962">
        <f t="shared" si="138"/>
        <v>10</v>
      </c>
      <c r="AH962">
        <f t="shared" ca="1" si="140"/>
        <v>4.1317037377328742E-5</v>
      </c>
      <c r="AI962">
        <f>IF(ROW($AA962) - $AA$51 &lt; ($H$16+1)^5, IF(AG962 &gt;= FreeSpinsBonus!$C$16, AG962*FreeSpinsBonus!$E$31, 0), "")</f>
        <v>14.57301078402798</v>
      </c>
      <c r="AJ962">
        <f t="shared" ca="1" si="139"/>
        <v>6.0211363126389894E-4</v>
      </c>
    </row>
    <row r="963" spans="28:36" x14ac:dyDescent="0.3">
      <c r="AB963">
        <f t="shared" si="133"/>
        <v>3</v>
      </c>
      <c r="AC963">
        <f t="shared" si="134"/>
        <v>3</v>
      </c>
      <c r="AD963">
        <f t="shared" si="135"/>
        <v>0</v>
      </c>
      <c r="AE963">
        <f t="shared" si="136"/>
        <v>2</v>
      </c>
      <c r="AF963">
        <f t="shared" si="137"/>
        <v>3</v>
      </c>
      <c r="AG963">
        <f t="shared" si="138"/>
        <v>11</v>
      </c>
      <c r="AH963">
        <f t="shared" ca="1" si="140"/>
        <v>0</v>
      </c>
      <c r="AI963">
        <f>IF(ROW($AA963) - $AA$51 &lt; ($H$16+1)^5, IF(AG963 &gt;= FreeSpinsBonus!$C$16, AG963*FreeSpinsBonus!$E$31, 0), "")</f>
        <v>16.030311862430779</v>
      </c>
      <c r="AJ963">
        <f t="shared" ca="1" si="139"/>
        <v>0</v>
      </c>
    </row>
    <row r="964" spans="28:36" x14ac:dyDescent="0.3">
      <c r="AB964">
        <f t="shared" si="133"/>
        <v>0</v>
      </c>
      <c r="AC964">
        <f t="shared" si="134"/>
        <v>0</v>
      </c>
      <c r="AD964">
        <f t="shared" si="135"/>
        <v>1</v>
      </c>
      <c r="AE964">
        <f t="shared" si="136"/>
        <v>2</v>
      </c>
      <c r="AF964">
        <f t="shared" si="137"/>
        <v>3</v>
      </c>
      <c r="AG964">
        <f t="shared" si="138"/>
        <v>6</v>
      </c>
      <c r="AH964">
        <f t="shared" ca="1" si="140"/>
        <v>2.6339611328047078E-4</v>
      </c>
      <c r="AI964">
        <f>IF(ROW($AA964) - $AA$51 &lt; ($H$16+1)^5, IF(AG964 &gt;= FreeSpinsBonus!$C$16, AG964*FreeSpinsBonus!$E$31, 0), "")</f>
        <v>8.7438064704167875</v>
      </c>
      <c r="AJ964">
        <f t="shared" ca="1" si="139"/>
        <v>2.3030846395844136E-3</v>
      </c>
    </row>
    <row r="965" spans="28:36" x14ac:dyDescent="0.3">
      <c r="AB965">
        <f t="shared" si="133"/>
        <v>1</v>
      </c>
      <c r="AC965">
        <f t="shared" si="134"/>
        <v>0</v>
      </c>
      <c r="AD965">
        <f t="shared" si="135"/>
        <v>1</v>
      </c>
      <c r="AE965">
        <f t="shared" si="136"/>
        <v>2</v>
      </c>
      <c r="AF965">
        <f t="shared" si="137"/>
        <v>3</v>
      </c>
      <c r="AG965">
        <f t="shared" si="138"/>
        <v>7</v>
      </c>
      <c r="AH965">
        <f t="shared" ca="1" si="140"/>
        <v>2.7802923068494131E-4</v>
      </c>
      <c r="AI965">
        <f>IF(ROW($AA965) - $AA$51 &lt; ($H$16+1)^5, IF(AG965 &gt;= FreeSpinsBonus!$C$16, AG965*FreeSpinsBonus!$E$31, 0), "")</f>
        <v>10.201107548819586</v>
      </c>
      <c r="AJ965">
        <f t="shared" ca="1" si="139"/>
        <v>2.8362060839326568E-3</v>
      </c>
    </row>
    <row r="966" spans="28:36" x14ac:dyDescent="0.3">
      <c r="AB966">
        <f t="shared" si="133"/>
        <v>2</v>
      </c>
      <c r="AC966">
        <f t="shared" si="134"/>
        <v>0</v>
      </c>
      <c r="AD966">
        <f t="shared" si="135"/>
        <v>1</v>
      </c>
      <c r="AE966">
        <f t="shared" si="136"/>
        <v>2</v>
      </c>
      <c r="AF966">
        <f t="shared" si="137"/>
        <v>3</v>
      </c>
      <c r="AG966">
        <f t="shared" si="138"/>
        <v>8</v>
      </c>
      <c r="AH966">
        <f t="shared" ca="1" si="140"/>
        <v>1.4633117404470595E-4</v>
      </c>
      <c r="AI966">
        <f>IF(ROW($AA966) - $AA$51 &lt; ($H$16+1)^5, IF(AG966 &gt;= FreeSpinsBonus!$C$16, AG966*FreeSpinsBonus!$E$31, 0), "")</f>
        <v>11.658408627222384</v>
      </c>
      <c r="AJ966">
        <f t="shared" ca="1" si="139"/>
        <v>1.7059886219143801E-3</v>
      </c>
    </row>
    <row r="967" spans="28:36" x14ac:dyDescent="0.3">
      <c r="AB967">
        <f t="shared" si="133"/>
        <v>3</v>
      </c>
      <c r="AC967">
        <f t="shared" si="134"/>
        <v>0</v>
      </c>
      <c r="AD967">
        <f t="shared" si="135"/>
        <v>1</v>
      </c>
      <c r="AE967">
        <f t="shared" si="136"/>
        <v>2</v>
      </c>
      <c r="AF967">
        <f t="shared" si="137"/>
        <v>3</v>
      </c>
      <c r="AG967">
        <f t="shared" si="138"/>
        <v>9</v>
      </c>
      <c r="AH967">
        <f t="shared" ca="1" si="140"/>
        <v>0</v>
      </c>
      <c r="AI967">
        <f>IF(ROW($AA967) - $AA$51 &lt; ($H$16+1)^5, IF(AG967 &gt;= FreeSpinsBonus!$C$16, AG967*FreeSpinsBonus!$E$31, 0), "")</f>
        <v>13.115709705625182</v>
      </c>
      <c r="AJ967">
        <f t="shared" ca="1" si="139"/>
        <v>0</v>
      </c>
    </row>
    <row r="968" spans="28:36" x14ac:dyDescent="0.3">
      <c r="AB968">
        <f t="shared" si="133"/>
        <v>0</v>
      </c>
      <c r="AC968">
        <f t="shared" si="134"/>
        <v>1</v>
      </c>
      <c r="AD968">
        <f t="shared" si="135"/>
        <v>1</v>
      </c>
      <c r="AE968">
        <f t="shared" si="136"/>
        <v>2</v>
      </c>
      <c r="AF968">
        <f t="shared" si="137"/>
        <v>3</v>
      </c>
      <c r="AG968">
        <f t="shared" si="138"/>
        <v>7</v>
      </c>
      <c r="AH968">
        <f t="shared" ca="1" si="140"/>
        <v>2.6339611328047078E-4</v>
      </c>
      <c r="AI968">
        <f>IF(ROW($AA968) - $AA$51 &lt; ($H$16+1)^5, IF(AG968 &gt;= FreeSpinsBonus!$C$16, AG968*FreeSpinsBonus!$E$31, 0), "")</f>
        <v>10.201107548819586</v>
      </c>
      <c r="AJ968">
        <f t="shared" ca="1" si="139"/>
        <v>2.6869320795151492E-3</v>
      </c>
    </row>
    <row r="969" spans="28:36" x14ac:dyDescent="0.3">
      <c r="AB969">
        <f t="shared" si="133"/>
        <v>1</v>
      </c>
      <c r="AC969">
        <f t="shared" si="134"/>
        <v>1</v>
      </c>
      <c r="AD969">
        <f t="shared" si="135"/>
        <v>1</v>
      </c>
      <c r="AE969">
        <f t="shared" si="136"/>
        <v>2</v>
      </c>
      <c r="AF969">
        <f t="shared" si="137"/>
        <v>3</v>
      </c>
      <c r="AG969">
        <f t="shared" si="138"/>
        <v>8</v>
      </c>
      <c r="AH969">
        <f t="shared" ca="1" si="140"/>
        <v>2.7802923068494131E-4</v>
      </c>
      <c r="AI969">
        <f>IF(ROW($AA969) - $AA$51 &lt; ($H$16+1)^5, IF(AG969 &gt;= FreeSpinsBonus!$C$16, AG969*FreeSpinsBonus!$E$31, 0), "")</f>
        <v>11.658408627222384</v>
      </c>
      <c r="AJ969">
        <f t="shared" ca="1" si="139"/>
        <v>3.2413783816373221E-3</v>
      </c>
    </row>
    <row r="970" spans="28:36" x14ac:dyDescent="0.3">
      <c r="AB970">
        <f t="shared" si="133"/>
        <v>2</v>
      </c>
      <c r="AC970">
        <f t="shared" si="134"/>
        <v>1</v>
      </c>
      <c r="AD970">
        <f t="shared" si="135"/>
        <v>1</v>
      </c>
      <c r="AE970">
        <f t="shared" si="136"/>
        <v>2</v>
      </c>
      <c r="AF970">
        <f t="shared" si="137"/>
        <v>3</v>
      </c>
      <c r="AG970">
        <f t="shared" si="138"/>
        <v>9</v>
      </c>
      <c r="AH970">
        <f t="shared" ca="1" si="140"/>
        <v>1.4633117404470595E-4</v>
      </c>
      <c r="AI970">
        <f>IF(ROW($AA970) - $AA$51 &lt; ($H$16+1)^5, IF(AG970 &gt;= FreeSpinsBonus!$C$16, AG970*FreeSpinsBonus!$E$31, 0), "")</f>
        <v>13.115709705625182</v>
      </c>
      <c r="AJ970">
        <f t="shared" ca="1" si="139"/>
        <v>1.9192371996536776E-3</v>
      </c>
    </row>
    <row r="971" spans="28:36" x14ac:dyDescent="0.3">
      <c r="AB971">
        <f t="shared" si="133"/>
        <v>3</v>
      </c>
      <c r="AC971">
        <f t="shared" si="134"/>
        <v>1</v>
      </c>
      <c r="AD971">
        <f t="shared" si="135"/>
        <v>1</v>
      </c>
      <c r="AE971">
        <f t="shared" si="136"/>
        <v>2</v>
      </c>
      <c r="AF971">
        <f t="shared" si="137"/>
        <v>3</v>
      </c>
      <c r="AG971">
        <f t="shared" si="138"/>
        <v>10</v>
      </c>
      <c r="AH971">
        <f t="shared" ca="1" si="140"/>
        <v>0</v>
      </c>
      <c r="AI971">
        <f>IF(ROW($AA971) - $AA$51 &lt; ($H$16+1)^5, IF(AG971 &gt;= FreeSpinsBonus!$C$16, AG971*FreeSpinsBonus!$E$31, 0), "")</f>
        <v>14.57301078402798</v>
      </c>
      <c r="AJ971">
        <f t="shared" ca="1" si="139"/>
        <v>0</v>
      </c>
    </row>
    <row r="972" spans="28:36" x14ac:dyDescent="0.3">
      <c r="AB972">
        <f t="shared" si="133"/>
        <v>0</v>
      </c>
      <c r="AC972">
        <f t="shared" si="134"/>
        <v>2</v>
      </c>
      <c r="AD972">
        <f t="shared" si="135"/>
        <v>1</v>
      </c>
      <c r="AE972">
        <f t="shared" si="136"/>
        <v>2</v>
      </c>
      <c r="AF972">
        <f t="shared" si="137"/>
        <v>3</v>
      </c>
      <c r="AG972">
        <f t="shared" si="138"/>
        <v>8</v>
      </c>
      <c r="AH972">
        <f t="shared" ca="1" si="140"/>
        <v>2.6339611328047078E-4</v>
      </c>
      <c r="AI972">
        <f>IF(ROW($AA972) - $AA$51 &lt; ($H$16+1)^5, IF(AG972 &gt;= FreeSpinsBonus!$C$16, AG972*FreeSpinsBonus!$E$31, 0), "")</f>
        <v>11.658408627222384</v>
      </c>
      <c r="AJ972">
        <f t="shared" ca="1" si="139"/>
        <v>3.0707795194458848E-3</v>
      </c>
    </row>
    <row r="973" spans="28:36" x14ac:dyDescent="0.3">
      <c r="AB973">
        <f t="shared" si="133"/>
        <v>1</v>
      </c>
      <c r="AC973">
        <f t="shared" si="134"/>
        <v>2</v>
      </c>
      <c r="AD973">
        <f t="shared" si="135"/>
        <v>1</v>
      </c>
      <c r="AE973">
        <f t="shared" si="136"/>
        <v>2</v>
      </c>
      <c r="AF973">
        <f t="shared" si="137"/>
        <v>3</v>
      </c>
      <c r="AG973">
        <f t="shared" si="138"/>
        <v>9</v>
      </c>
      <c r="AH973">
        <f t="shared" ca="1" si="140"/>
        <v>2.7802923068494131E-4</v>
      </c>
      <c r="AI973">
        <f>IF(ROW($AA973) - $AA$51 &lt; ($H$16+1)^5, IF(AG973 &gt;= FreeSpinsBonus!$C$16, AG973*FreeSpinsBonus!$E$31, 0), "")</f>
        <v>13.115709705625182</v>
      </c>
      <c r="AJ973">
        <f t="shared" ca="1" si="139"/>
        <v>3.6465506793419873E-3</v>
      </c>
    </row>
    <row r="974" spans="28:36" x14ac:dyDescent="0.3">
      <c r="AB974">
        <f t="shared" si="133"/>
        <v>2</v>
      </c>
      <c r="AC974">
        <f t="shared" si="134"/>
        <v>2</v>
      </c>
      <c r="AD974">
        <f t="shared" si="135"/>
        <v>1</v>
      </c>
      <c r="AE974">
        <f t="shared" si="136"/>
        <v>2</v>
      </c>
      <c r="AF974">
        <f t="shared" si="137"/>
        <v>3</v>
      </c>
      <c r="AG974">
        <f t="shared" si="138"/>
        <v>10</v>
      </c>
      <c r="AH974">
        <f t="shared" ca="1" si="140"/>
        <v>1.4633117404470595E-4</v>
      </c>
      <c r="AI974">
        <f>IF(ROW($AA974) - $AA$51 &lt; ($H$16+1)^5, IF(AG974 &gt;= FreeSpinsBonus!$C$16, AG974*FreeSpinsBonus!$E$31, 0), "")</f>
        <v>14.57301078402798</v>
      </c>
      <c r="AJ974">
        <f t="shared" ca="1" si="139"/>
        <v>2.132485777392975E-3</v>
      </c>
    </row>
    <row r="975" spans="28:36" x14ac:dyDescent="0.3">
      <c r="AB975">
        <f t="shared" si="133"/>
        <v>3</v>
      </c>
      <c r="AC975">
        <f t="shared" si="134"/>
        <v>2</v>
      </c>
      <c r="AD975">
        <f t="shared" si="135"/>
        <v>1</v>
      </c>
      <c r="AE975">
        <f t="shared" si="136"/>
        <v>2</v>
      </c>
      <c r="AF975">
        <f t="shared" si="137"/>
        <v>3</v>
      </c>
      <c r="AG975">
        <f t="shared" si="138"/>
        <v>11</v>
      </c>
      <c r="AH975">
        <f t="shared" ca="1" si="140"/>
        <v>0</v>
      </c>
      <c r="AI975">
        <f>IF(ROW($AA975) - $AA$51 &lt; ($H$16+1)^5, IF(AG975 &gt;= FreeSpinsBonus!$C$16, AG975*FreeSpinsBonus!$E$31, 0), "")</f>
        <v>16.030311862430779</v>
      </c>
      <c r="AJ975">
        <f t="shared" ca="1" si="139"/>
        <v>0</v>
      </c>
    </row>
    <row r="976" spans="28:36" x14ac:dyDescent="0.3">
      <c r="AB976">
        <f t="shared" si="133"/>
        <v>0</v>
      </c>
      <c r="AC976">
        <f t="shared" si="134"/>
        <v>3</v>
      </c>
      <c r="AD976">
        <f t="shared" si="135"/>
        <v>1</v>
      </c>
      <c r="AE976">
        <f t="shared" si="136"/>
        <v>2</v>
      </c>
      <c r="AF976">
        <f t="shared" si="137"/>
        <v>3</v>
      </c>
      <c r="AG976">
        <f t="shared" si="138"/>
        <v>9</v>
      </c>
      <c r="AH976">
        <f t="shared" ca="1" si="140"/>
        <v>9.2963334098989669E-5</v>
      </c>
      <c r="AI976">
        <f>IF(ROW($AA976) - $AA$51 &lt; ($H$16+1)^5, IF(AG976 &gt;= FreeSpinsBonus!$C$16, AG976*FreeSpinsBonus!$E$31, 0), "")</f>
        <v>13.115709705625182</v>
      </c>
      <c r="AJ976">
        <f t="shared" ca="1" si="139"/>
        <v>1.2192801033093952E-3</v>
      </c>
    </row>
    <row r="977" spans="28:36" x14ac:dyDescent="0.3">
      <c r="AB977">
        <f t="shared" si="133"/>
        <v>1</v>
      </c>
      <c r="AC977">
        <f t="shared" si="134"/>
        <v>3</v>
      </c>
      <c r="AD977">
        <f t="shared" si="135"/>
        <v>1</v>
      </c>
      <c r="AE977">
        <f t="shared" si="136"/>
        <v>2</v>
      </c>
      <c r="AF977">
        <f t="shared" si="137"/>
        <v>3</v>
      </c>
      <c r="AG977">
        <f t="shared" si="138"/>
        <v>10</v>
      </c>
      <c r="AH977">
        <f t="shared" ca="1" si="140"/>
        <v>9.8127963771155768E-5</v>
      </c>
      <c r="AI977">
        <f>IF(ROW($AA977) - $AA$51 &lt; ($H$16+1)^5, IF(AG977 &gt;= FreeSpinsBonus!$C$16, AG977*FreeSpinsBonus!$E$31, 0), "")</f>
        <v>14.57301078402798</v>
      </c>
      <c r="AJ977">
        <f t="shared" ca="1" si="139"/>
        <v>1.43001987425176E-3</v>
      </c>
    </row>
    <row r="978" spans="28:36" x14ac:dyDescent="0.3">
      <c r="AB978">
        <f t="shared" si="133"/>
        <v>2</v>
      </c>
      <c r="AC978">
        <f t="shared" si="134"/>
        <v>3</v>
      </c>
      <c r="AD978">
        <f t="shared" si="135"/>
        <v>1</v>
      </c>
      <c r="AE978">
        <f t="shared" si="136"/>
        <v>2</v>
      </c>
      <c r="AF978">
        <f t="shared" si="137"/>
        <v>3</v>
      </c>
      <c r="AG978">
        <f t="shared" si="138"/>
        <v>11</v>
      </c>
      <c r="AH978">
        <f t="shared" ca="1" si="140"/>
        <v>5.1646296721660927E-5</v>
      </c>
      <c r="AI978">
        <f>IF(ROW($AA978) - $AA$51 &lt; ($H$16+1)^5, IF(AG978 &gt;= FreeSpinsBonus!$C$16, AG978*FreeSpinsBonus!$E$31, 0), "")</f>
        <v>16.030311862430779</v>
      </c>
      <c r="AJ978">
        <f t="shared" ca="1" si="139"/>
        <v>8.2790624298786095E-4</v>
      </c>
    </row>
    <row r="979" spans="28:36" x14ac:dyDescent="0.3">
      <c r="AB979">
        <f t="shared" si="133"/>
        <v>3</v>
      </c>
      <c r="AC979">
        <f t="shared" si="134"/>
        <v>3</v>
      </c>
      <c r="AD979">
        <f t="shared" si="135"/>
        <v>1</v>
      </c>
      <c r="AE979">
        <f t="shared" si="136"/>
        <v>2</v>
      </c>
      <c r="AF979">
        <f t="shared" si="137"/>
        <v>3</v>
      </c>
      <c r="AG979">
        <f t="shared" si="138"/>
        <v>12</v>
      </c>
      <c r="AH979">
        <f t="shared" ca="1" si="140"/>
        <v>0</v>
      </c>
      <c r="AI979">
        <f>IF(ROW($AA979) - $AA$51 &lt; ($H$16+1)^5, IF(AG979 &gt;= FreeSpinsBonus!$C$16, AG979*FreeSpinsBonus!$E$31, 0), "")</f>
        <v>17.487612940833575</v>
      </c>
      <c r="AJ979">
        <f t="shared" ca="1" si="139"/>
        <v>0</v>
      </c>
    </row>
    <row r="980" spans="28:36" x14ac:dyDescent="0.3">
      <c r="AB980">
        <f t="shared" si="133"/>
        <v>0</v>
      </c>
      <c r="AC980">
        <f t="shared" si="134"/>
        <v>0</v>
      </c>
      <c r="AD980">
        <f t="shared" si="135"/>
        <v>2</v>
      </c>
      <c r="AE980">
        <f t="shared" si="136"/>
        <v>2</v>
      </c>
      <c r="AF980">
        <f t="shared" si="137"/>
        <v>3</v>
      </c>
      <c r="AG980">
        <f t="shared" si="138"/>
        <v>7</v>
      </c>
      <c r="AH980">
        <f t="shared" ca="1" si="140"/>
        <v>1.4486786230425889E-4</v>
      </c>
      <c r="AI980">
        <f>IF(ROW($AA980) - $AA$51 &lt; ($H$16+1)^5, IF(AG980 &gt;= FreeSpinsBonus!$C$16, AG980*FreeSpinsBonus!$E$31, 0), "")</f>
        <v>10.201107548819586</v>
      </c>
      <c r="AJ980">
        <f t="shared" ca="1" si="139"/>
        <v>1.4778126437333316E-3</v>
      </c>
    </row>
    <row r="981" spans="28:36" x14ac:dyDescent="0.3">
      <c r="AB981">
        <f t="shared" si="133"/>
        <v>1</v>
      </c>
      <c r="AC981">
        <f t="shared" si="134"/>
        <v>0</v>
      </c>
      <c r="AD981">
        <f t="shared" si="135"/>
        <v>2</v>
      </c>
      <c r="AE981">
        <f t="shared" si="136"/>
        <v>2</v>
      </c>
      <c r="AF981">
        <f t="shared" si="137"/>
        <v>3</v>
      </c>
      <c r="AG981">
        <f t="shared" si="138"/>
        <v>8</v>
      </c>
      <c r="AH981">
        <f t="shared" ca="1" si="140"/>
        <v>1.529160768767177E-4</v>
      </c>
      <c r="AI981">
        <f>IF(ROW($AA981) - $AA$51 &lt; ($H$16+1)^5, IF(AG981 &gt;= FreeSpinsBonus!$C$16, AG981*FreeSpinsBonus!$E$31, 0), "")</f>
        <v>11.658408627222384</v>
      </c>
      <c r="AJ981">
        <f t="shared" ca="1" si="139"/>
        <v>1.782758109900527E-3</v>
      </c>
    </row>
    <row r="982" spans="28:36" x14ac:dyDescent="0.3">
      <c r="AB982">
        <f t="shared" si="133"/>
        <v>2</v>
      </c>
      <c r="AC982">
        <f t="shared" si="134"/>
        <v>0</v>
      </c>
      <c r="AD982">
        <f t="shared" si="135"/>
        <v>2</v>
      </c>
      <c r="AE982">
        <f t="shared" si="136"/>
        <v>2</v>
      </c>
      <c r="AF982">
        <f t="shared" si="137"/>
        <v>3</v>
      </c>
      <c r="AG982">
        <f t="shared" si="138"/>
        <v>9</v>
      </c>
      <c r="AH982">
        <f t="shared" ca="1" si="140"/>
        <v>8.0482145724588273E-5</v>
      </c>
      <c r="AI982">
        <f>IF(ROW($AA982) - $AA$51 &lt; ($H$16+1)^5, IF(AG982 &gt;= FreeSpinsBonus!$C$16, AG982*FreeSpinsBonus!$E$31, 0), "")</f>
        <v>13.115709705625182</v>
      </c>
      <c r="AJ982">
        <f t="shared" ca="1" si="139"/>
        <v>1.0555804598095227E-3</v>
      </c>
    </row>
    <row r="983" spans="28:36" x14ac:dyDescent="0.3">
      <c r="AB983">
        <f t="shared" si="133"/>
        <v>3</v>
      </c>
      <c r="AC983">
        <f t="shared" si="134"/>
        <v>0</v>
      </c>
      <c r="AD983">
        <f t="shared" si="135"/>
        <v>2</v>
      </c>
      <c r="AE983">
        <f t="shared" si="136"/>
        <v>2</v>
      </c>
      <c r="AF983">
        <f t="shared" si="137"/>
        <v>3</v>
      </c>
      <c r="AG983">
        <f t="shared" si="138"/>
        <v>10</v>
      </c>
      <c r="AH983">
        <f t="shared" ca="1" si="140"/>
        <v>0</v>
      </c>
      <c r="AI983">
        <f>IF(ROW($AA983) - $AA$51 &lt; ($H$16+1)^5, IF(AG983 &gt;= FreeSpinsBonus!$C$16, AG983*FreeSpinsBonus!$E$31, 0), "")</f>
        <v>14.57301078402798</v>
      </c>
      <c r="AJ983">
        <f t="shared" ca="1" si="139"/>
        <v>0</v>
      </c>
    </row>
    <row r="984" spans="28:36" x14ac:dyDescent="0.3">
      <c r="AB984">
        <f t="shared" si="133"/>
        <v>0</v>
      </c>
      <c r="AC984">
        <f t="shared" si="134"/>
        <v>1</v>
      </c>
      <c r="AD984">
        <f t="shared" si="135"/>
        <v>2</v>
      </c>
      <c r="AE984">
        <f t="shared" si="136"/>
        <v>2</v>
      </c>
      <c r="AF984">
        <f t="shared" si="137"/>
        <v>3</v>
      </c>
      <c r="AG984">
        <f t="shared" si="138"/>
        <v>8</v>
      </c>
      <c r="AH984">
        <f t="shared" ca="1" si="140"/>
        <v>1.4486786230425889E-4</v>
      </c>
      <c r="AI984">
        <f>IF(ROW($AA984) - $AA$51 &lt; ($H$16+1)^5, IF(AG984 &gt;= FreeSpinsBonus!$C$16, AG984*FreeSpinsBonus!$E$31, 0), "")</f>
        <v>11.658408627222384</v>
      </c>
      <c r="AJ984">
        <f t="shared" ca="1" si="139"/>
        <v>1.6889287356952362E-3</v>
      </c>
    </row>
    <row r="985" spans="28:36" x14ac:dyDescent="0.3">
      <c r="AB985">
        <f t="shared" si="133"/>
        <v>1</v>
      </c>
      <c r="AC985">
        <f t="shared" si="134"/>
        <v>1</v>
      </c>
      <c r="AD985">
        <f t="shared" si="135"/>
        <v>2</v>
      </c>
      <c r="AE985">
        <f t="shared" si="136"/>
        <v>2</v>
      </c>
      <c r="AF985">
        <f t="shared" si="137"/>
        <v>3</v>
      </c>
      <c r="AG985">
        <f t="shared" si="138"/>
        <v>9</v>
      </c>
      <c r="AH985">
        <f t="shared" ca="1" si="140"/>
        <v>1.529160768767177E-4</v>
      </c>
      <c r="AI985">
        <f>IF(ROW($AA985) - $AA$51 &lt; ($H$16+1)^5, IF(AG985 &gt;= FreeSpinsBonus!$C$16, AG985*FreeSpinsBonus!$E$31, 0), "")</f>
        <v>13.115709705625182</v>
      </c>
      <c r="AJ985">
        <f t="shared" ca="1" si="139"/>
        <v>2.0056028736380929E-3</v>
      </c>
    </row>
    <row r="986" spans="28:36" x14ac:dyDescent="0.3">
      <c r="AB986">
        <f t="shared" si="133"/>
        <v>2</v>
      </c>
      <c r="AC986">
        <f t="shared" si="134"/>
        <v>1</v>
      </c>
      <c r="AD986">
        <f t="shared" si="135"/>
        <v>2</v>
      </c>
      <c r="AE986">
        <f t="shared" si="136"/>
        <v>2</v>
      </c>
      <c r="AF986">
        <f t="shared" si="137"/>
        <v>3</v>
      </c>
      <c r="AG986">
        <f t="shared" si="138"/>
        <v>10</v>
      </c>
      <c r="AH986">
        <f t="shared" ca="1" si="140"/>
        <v>8.0482145724588273E-5</v>
      </c>
      <c r="AI986">
        <f>IF(ROW($AA986) - $AA$51 &lt; ($H$16+1)^5, IF(AG986 &gt;= FreeSpinsBonus!$C$16, AG986*FreeSpinsBonus!$E$31, 0), "")</f>
        <v>14.57301078402798</v>
      </c>
      <c r="AJ986">
        <f t="shared" ca="1" si="139"/>
        <v>1.1728671775661362E-3</v>
      </c>
    </row>
    <row r="987" spans="28:36" x14ac:dyDescent="0.3">
      <c r="AB987">
        <f t="shared" si="133"/>
        <v>3</v>
      </c>
      <c r="AC987">
        <f t="shared" si="134"/>
        <v>1</v>
      </c>
      <c r="AD987">
        <f t="shared" si="135"/>
        <v>2</v>
      </c>
      <c r="AE987">
        <f t="shared" si="136"/>
        <v>2</v>
      </c>
      <c r="AF987">
        <f t="shared" si="137"/>
        <v>3</v>
      </c>
      <c r="AG987">
        <f t="shared" si="138"/>
        <v>11</v>
      </c>
      <c r="AH987">
        <f t="shared" ca="1" si="140"/>
        <v>0</v>
      </c>
      <c r="AI987">
        <f>IF(ROW($AA987) - $AA$51 &lt; ($H$16+1)^5, IF(AG987 &gt;= FreeSpinsBonus!$C$16, AG987*FreeSpinsBonus!$E$31, 0), "")</f>
        <v>16.030311862430779</v>
      </c>
      <c r="AJ987">
        <f t="shared" ca="1" si="139"/>
        <v>0</v>
      </c>
    </row>
    <row r="988" spans="28:36" x14ac:dyDescent="0.3">
      <c r="AB988">
        <f t="shared" si="133"/>
        <v>0</v>
      </c>
      <c r="AC988">
        <f t="shared" si="134"/>
        <v>2</v>
      </c>
      <c r="AD988">
        <f t="shared" si="135"/>
        <v>2</v>
      </c>
      <c r="AE988">
        <f t="shared" si="136"/>
        <v>2</v>
      </c>
      <c r="AF988">
        <f t="shared" si="137"/>
        <v>3</v>
      </c>
      <c r="AG988">
        <f t="shared" si="138"/>
        <v>9</v>
      </c>
      <c r="AH988">
        <f t="shared" ca="1" si="140"/>
        <v>1.4486786230425889E-4</v>
      </c>
      <c r="AI988">
        <f>IF(ROW($AA988) - $AA$51 &lt; ($H$16+1)^5, IF(AG988 &gt;= FreeSpinsBonus!$C$16, AG988*FreeSpinsBonus!$E$31, 0), "")</f>
        <v>13.115709705625182</v>
      </c>
      <c r="AJ988">
        <f t="shared" ca="1" si="139"/>
        <v>1.9000448276571408E-3</v>
      </c>
    </row>
    <row r="989" spans="28:36" x14ac:dyDescent="0.3">
      <c r="AB989">
        <f t="shared" si="133"/>
        <v>1</v>
      </c>
      <c r="AC989">
        <f t="shared" si="134"/>
        <v>2</v>
      </c>
      <c r="AD989">
        <f t="shared" si="135"/>
        <v>2</v>
      </c>
      <c r="AE989">
        <f t="shared" si="136"/>
        <v>2</v>
      </c>
      <c r="AF989">
        <f t="shared" si="137"/>
        <v>3</v>
      </c>
      <c r="AG989">
        <f t="shared" si="138"/>
        <v>10</v>
      </c>
      <c r="AH989">
        <f t="shared" ca="1" si="140"/>
        <v>1.529160768767177E-4</v>
      </c>
      <c r="AI989">
        <f>IF(ROW($AA989) - $AA$51 &lt; ($H$16+1)^5, IF(AG989 &gt;= FreeSpinsBonus!$C$16, AG989*FreeSpinsBonus!$E$31, 0), "")</f>
        <v>14.57301078402798</v>
      </c>
      <c r="AJ989">
        <f t="shared" ca="1" si="139"/>
        <v>2.2284476373756589E-3</v>
      </c>
    </row>
    <row r="990" spans="28:36" x14ac:dyDescent="0.3">
      <c r="AB990">
        <f t="shared" si="133"/>
        <v>2</v>
      </c>
      <c r="AC990">
        <f t="shared" si="134"/>
        <v>2</v>
      </c>
      <c r="AD990">
        <f t="shared" si="135"/>
        <v>2</v>
      </c>
      <c r="AE990">
        <f t="shared" si="136"/>
        <v>2</v>
      </c>
      <c r="AF990">
        <f t="shared" si="137"/>
        <v>3</v>
      </c>
      <c r="AG990">
        <f t="shared" si="138"/>
        <v>11</v>
      </c>
      <c r="AH990">
        <f t="shared" ca="1" si="140"/>
        <v>8.0482145724588273E-5</v>
      </c>
      <c r="AI990">
        <f>IF(ROW($AA990) - $AA$51 &lt; ($H$16+1)^5, IF(AG990 &gt;= FreeSpinsBonus!$C$16, AG990*FreeSpinsBonus!$E$31, 0), "")</f>
        <v>16.030311862430779</v>
      </c>
      <c r="AJ990">
        <f t="shared" ca="1" si="139"/>
        <v>1.29015389532275E-3</v>
      </c>
    </row>
    <row r="991" spans="28:36" x14ac:dyDescent="0.3">
      <c r="AB991">
        <f t="shared" si="133"/>
        <v>3</v>
      </c>
      <c r="AC991">
        <f t="shared" si="134"/>
        <v>2</v>
      </c>
      <c r="AD991">
        <f t="shared" si="135"/>
        <v>2</v>
      </c>
      <c r="AE991">
        <f t="shared" si="136"/>
        <v>2</v>
      </c>
      <c r="AF991">
        <f t="shared" si="137"/>
        <v>3</v>
      </c>
      <c r="AG991">
        <f t="shared" si="138"/>
        <v>12</v>
      </c>
      <c r="AH991">
        <f t="shared" ca="1" si="140"/>
        <v>0</v>
      </c>
      <c r="AI991">
        <f>IF(ROW($AA991) - $AA$51 &lt; ($H$16+1)^5, IF(AG991 &gt;= FreeSpinsBonus!$C$16, AG991*FreeSpinsBonus!$E$31, 0), "")</f>
        <v>17.487612940833575</v>
      </c>
      <c r="AJ991">
        <f t="shared" ca="1" si="139"/>
        <v>0</v>
      </c>
    </row>
    <row r="992" spans="28:36" x14ac:dyDescent="0.3">
      <c r="AB992">
        <f t="shared" si="133"/>
        <v>0</v>
      </c>
      <c r="AC992">
        <f t="shared" si="134"/>
        <v>3</v>
      </c>
      <c r="AD992">
        <f t="shared" si="135"/>
        <v>2</v>
      </c>
      <c r="AE992">
        <f t="shared" si="136"/>
        <v>2</v>
      </c>
      <c r="AF992">
        <f t="shared" si="137"/>
        <v>3</v>
      </c>
      <c r="AG992">
        <f t="shared" si="138"/>
        <v>10</v>
      </c>
      <c r="AH992">
        <f t="shared" ca="1" si="140"/>
        <v>5.1129833754444314E-5</v>
      </c>
      <c r="AI992">
        <f>IF(ROW($AA992) - $AA$51 &lt; ($H$16+1)^5, IF(AG992 &gt;= FreeSpinsBonus!$C$16, AG992*FreeSpinsBonus!$E$31, 0), "")</f>
        <v>14.57301078402798</v>
      </c>
      <c r="AJ992">
        <f t="shared" ca="1" si="139"/>
        <v>7.4511561868907488E-4</v>
      </c>
    </row>
    <row r="993" spans="28:36" x14ac:dyDescent="0.3">
      <c r="AB993">
        <f t="shared" si="133"/>
        <v>1</v>
      </c>
      <c r="AC993">
        <f t="shared" si="134"/>
        <v>3</v>
      </c>
      <c r="AD993">
        <f t="shared" si="135"/>
        <v>2</v>
      </c>
      <c r="AE993">
        <f t="shared" si="136"/>
        <v>2</v>
      </c>
      <c r="AF993">
        <f t="shared" si="137"/>
        <v>3</v>
      </c>
      <c r="AG993">
        <f t="shared" si="138"/>
        <v>11</v>
      </c>
      <c r="AH993">
        <f t="shared" ca="1" si="140"/>
        <v>5.3970380074135664E-5</v>
      </c>
      <c r="AI993">
        <f>IF(ROW($AA993) - $AA$51 &lt; ($H$16+1)^5, IF(AG993 &gt;= FreeSpinsBonus!$C$16, AG993*FreeSpinsBonus!$E$31, 0), "")</f>
        <v>16.030311862430779</v>
      </c>
      <c r="AJ993">
        <f t="shared" ca="1" si="139"/>
        <v>8.651620239223147E-4</v>
      </c>
    </row>
    <row r="994" spans="28:36" x14ac:dyDescent="0.3">
      <c r="AB994">
        <f t="shared" si="133"/>
        <v>2</v>
      </c>
      <c r="AC994">
        <f t="shared" si="134"/>
        <v>3</v>
      </c>
      <c r="AD994">
        <f t="shared" si="135"/>
        <v>2</v>
      </c>
      <c r="AE994">
        <f t="shared" si="136"/>
        <v>2</v>
      </c>
      <c r="AF994">
        <f t="shared" si="137"/>
        <v>3</v>
      </c>
      <c r="AG994">
        <f t="shared" si="138"/>
        <v>12</v>
      </c>
      <c r="AH994">
        <f t="shared" ca="1" si="140"/>
        <v>2.840546319691351E-5</v>
      </c>
      <c r="AI994">
        <f>IF(ROW($AA994) - $AA$51 &lt; ($H$16+1)^5, IF(AG994 &gt;= FreeSpinsBonus!$C$16, AG994*FreeSpinsBonus!$E$31, 0), "")</f>
        <v>17.487612940833575</v>
      </c>
      <c r="AJ994">
        <f t="shared" ca="1" si="139"/>
        <v>4.9674374579271655E-4</v>
      </c>
    </row>
    <row r="995" spans="28:36" x14ac:dyDescent="0.3">
      <c r="AB995">
        <f t="shared" si="133"/>
        <v>3</v>
      </c>
      <c r="AC995">
        <f t="shared" si="134"/>
        <v>3</v>
      </c>
      <c r="AD995">
        <f t="shared" si="135"/>
        <v>2</v>
      </c>
      <c r="AE995">
        <f t="shared" si="136"/>
        <v>2</v>
      </c>
      <c r="AF995">
        <f t="shared" si="137"/>
        <v>3</v>
      </c>
      <c r="AG995">
        <f t="shared" si="138"/>
        <v>13</v>
      </c>
      <c r="AH995">
        <f t="shared" ca="1" si="140"/>
        <v>0</v>
      </c>
      <c r="AI995">
        <f>IF(ROW($AA995) - $AA$51 &lt; ($H$16+1)^5, IF(AG995 &gt;= FreeSpinsBonus!$C$16, AG995*FreeSpinsBonus!$E$31, 0), "")</f>
        <v>18.944914019236375</v>
      </c>
      <c r="AJ995">
        <f t="shared" ca="1" si="139"/>
        <v>0</v>
      </c>
    </row>
    <row r="996" spans="28:36" x14ac:dyDescent="0.3">
      <c r="AB996">
        <f t="shared" si="133"/>
        <v>0</v>
      </c>
      <c r="AC996">
        <f t="shared" si="134"/>
        <v>0</v>
      </c>
      <c r="AD996">
        <f t="shared" si="135"/>
        <v>3</v>
      </c>
      <c r="AE996">
        <f t="shared" si="136"/>
        <v>2</v>
      </c>
      <c r="AF996">
        <f t="shared" si="137"/>
        <v>3</v>
      </c>
      <c r="AG996">
        <f t="shared" si="138"/>
        <v>8</v>
      </c>
      <c r="AH996">
        <f t="shared" ca="1" si="140"/>
        <v>1.3169805664023535E-5</v>
      </c>
      <c r="AI996">
        <f>IF(ROW($AA996) - $AA$51 &lt; ($H$16+1)^5, IF(AG996 &gt;= FreeSpinsBonus!$C$16, AG996*FreeSpinsBonus!$E$31, 0), "")</f>
        <v>11.658408627222384</v>
      </c>
      <c r="AJ996">
        <f t="shared" ca="1" si="139"/>
        <v>1.5353897597229419E-4</v>
      </c>
    </row>
    <row r="997" spans="28:36" x14ac:dyDescent="0.3">
      <c r="AB997">
        <f t="shared" si="133"/>
        <v>1</v>
      </c>
      <c r="AC997">
        <f t="shared" si="134"/>
        <v>0</v>
      </c>
      <c r="AD997">
        <f t="shared" si="135"/>
        <v>3</v>
      </c>
      <c r="AE997">
        <f t="shared" si="136"/>
        <v>2</v>
      </c>
      <c r="AF997">
        <f t="shared" si="137"/>
        <v>3</v>
      </c>
      <c r="AG997">
        <f t="shared" si="138"/>
        <v>9</v>
      </c>
      <c r="AH997">
        <f t="shared" ca="1" si="140"/>
        <v>1.3901461534247062E-5</v>
      </c>
      <c r="AI997">
        <f>IF(ROW($AA997) - $AA$51 &lt; ($H$16+1)^5, IF(AG997 &gt;= FreeSpinsBonus!$C$16, AG997*FreeSpinsBonus!$E$31, 0), "")</f>
        <v>13.115709705625182</v>
      </c>
      <c r="AJ997">
        <f t="shared" ca="1" si="139"/>
        <v>1.8232753396709933E-4</v>
      </c>
    </row>
    <row r="998" spans="28:36" x14ac:dyDescent="0.3">
      <c r="AB998">
        <f t="shared" si="133"/>
        <v>2</v>
      </c>
      <c r="AC998">
        <f t="shared" si="134"/>
        <v>0</v>
      </c>
      <c r="AD998">
        <f t="shared" si="135"/>
        <v>3</v>
      </c>
      <c r="AE998">
        <f t="shared" si="136"/>
        <v>2</v>
      </c>
      <c r="AF998">
        <f t="shared" si="137"/>
        <v>3</v>
      </c>
      <c r="AG998">
        <f t="shared" si="138"/>
        <v>10</v>
      </c>
      <c r="AH998">
        <f t="shared" ca="1" si="140"/>
        <v>7.316558702235298E-6</v>
      </c>
      <c r="AI998">
        <f>IF(ROW($AA998) - $AA$51 &lt; ($H$16+1)^5, IF(AG998 &gt;= FreeSpinsBonus!$C$16, AG998*FreeSpinsBonus!$E$31, 0), "")</f>
        <v>14.57301078402798</v>
      </c>
      <c r="AJ998">
        <f t="shared" ca="1" si="139"/>
        <v>1.0662428886964876E-4</v>
      </c>
    </row>
    <row r="999" spans="28:36" x14ac:dyDescent="0.3">
      <c r="AB999">
        <f t="shared" si="133"/>
        <v>3</v>
      </c>
      <c r="AC999">
        <f t="shared" si="134"/>
        <v>0</v>
      </c>
      <c r="AD999">
        <f t="shared" si="135"/>
        <v>3</v>
      </c>
      <c r="AE999">
        <f t="shared" si="136"/>
        <v>2</v>
      </c>
      <c r="AF999">
        <f t="shared" si="137"/>
        <v>3</v>
      </c>
      <c r="AG999">
        <f t="shared" si="138"/>
        <v>11</v>
      </c>
      <c r="AH999">
        <f t="shared" ca="1" si="140"/>
        <v>0</v>
      </c>
      <c r="AI999">
        <f>IF(ROW($AA999) - $AA$51 &lt; ($H$16+1)^5, IF(AG999 &gt;= FreeSpinsBonus!$C$16, AG999*FreeSpinsBonus!$E$31, 0), "")</f>
        <v>16.030311862430779</v>
      </c>
      <c r="AJ999">
        <f t="shared" ca="1" si="139"/>
        <v>0</v>
      </c>
    </row>
    <row r="1000" spans="28:36" x14ac:dyDescent="0.3">
      <c r="AB1000">
        <f t="shared" si="133"/>
        <v>0</v>
      </c>
      <c r="AC1000">
        <f t="shared" si="134"/>
        <v>1</v>
      </c>
      <c r="AD1000">
        <f t="shared" si="135"/>
        <v>3</v>
      </c>
      <c r="AE1000">
        <f t="shared" si="136"/>
        <v>2</v>
      </c>
      <c r="AF1000">
        <f t="shared" si="137"/>
        <v>3</v>
      </c>
      <c r="AG1000">
        <f t="shared" si="138"/>
        <v>9</v>
      </c>
      <c r="AH1000">
        <f t="shared" ca="1" si="140"/>
        <v>1.3169805664023535E-5</v>
      </c>
      <c r="AI1000">
        <f>IF(ROW($AA1000) - $AA$51 &lt; ($H$16+1)^5, IF(AG1000 &gt;= FreeSpinsBonus!$C$16, AG1000*FreeSpinsBonus!$E$31, 0), "")</f>
        <v>13.115709705625182</v>
      </c>
      <c r="AJ1000">
        <f t="shared" ca="1" si="139"/>
        <v>1.7273134796883097E-4</v>
      </c>
    </row>
    <row r="1001" spans="28:36" x14ac:dyDescent="0.3">
      <c r="AB1001">
        <f t="shared" si="133"/>
        <v>1</v>
      </c>
      <c r="AC1001">
        <f t="shared" si="134"/>
        <v>1</v>
      </c>
      <c r="AD1001">
        <f t="shared" si="135"/>
        <v>3</v>
      </c>
      <c r="AE1001">
        <f t="shared" si="136"/>
        <v>2</v>
      </c>
      <c r="AF1001">
        <f t="shared" si="137"/>
        <v>3</v>
      </c>
      <c r="AG1001">
        <f t="shared" si="138"/>
        <v>10</v>
      </c>
      <c r="AH1001">
        <f t="shared" ca="1" si="140"/>
        <v>1.3901461534247062E-5</v>
      </c>
      <c r="AI1001">
        <f>IF(ROW($AA1001) - $AA$51 &lt; ($H$16+1)^5, IF(AG1001 &gt;= FreeSpinsBonus!$C$16, AG1001*FreeSpinsBonus!$E$31, 0), "")</f>
        <v>14.57301078402798</v>
      </c>
      <c r="AJ1001">
        <f t="shared" ca="1" si="139"/>
        <v>2.0258614885233257E-4</v>
      </c>
    </row>
    <row r="1002" spans="28:36" x14ac:dyDescent="0.3">
      <c r="AB1002">
        <f t="shared" si="133"/>
        <v>2</v>
      </c>
      <c r="AC1002">
        <f t="shared" si="134"/>
        <v>1</v>
      </c>
      <c r="AD1002">
        <f t="shared" si="135"/>
        <v>3</v>
      </c>
      <c r="AE1002">
        <f t="shared" si="136"/>
        <v>2</v>
      </c>
      <c r="AF1002">
        <f t="shared" si="137"/>
        <v>3</v>
      </c>
      <c r="AG1002">
        <f t="shared" si="138"/>
        <v>11</v>
      </c>
      <c r="AH1002">
        <f t="shared" ca="1" si="140"/>
        <v>7.316558702235298E-6</v>
      </c>
      <c r="AI1002">
        <f>IF(ROW($AA1002) - $AA$51 &lt; ($H$16+1)^5, IF(AG1002 &gt;= FreeSpinsBonus!$C$16, AG1002*FreeSpinsBonus!$E$31, 0), "")</f>
        <v>16.030311862430779</v>
      </c>
      <c r="AJ1002">
        <f t="shared" ca="1" si="139"/>
        <v>1.1728671775661364E-4</v>
      </c>
    </row>
    <row r="1003" spans="28:36" x14ac:dyDescent="0.3">
      <c r="AB1003">
        <f t="shared" si="133"/>
        <v>3</v>
      </c>
      <c r="AC1003">
        <f t="shared" si="134"/>
        <v>1</v>
      </c>
      <c r="AD1003">
        <f t="shared" si="135"/>
        <v>3</v>
      </c>
      <c r="AE1003">
        <f t="shared" si="136"/>
        <v>2</v>
      </c>
      <c r="AF1003">
        <f t="shared" si="137"/>
        <v>3</v>
      </c>
      <c r="AG1003">
        <f t="shared" si="138"/>
        <v>12</v>
      </c>
      <c r="AH1003">
        <f t="shared" ca="1" si="140"/>
        <v>0</v>
      </c>
      <c r="AI1003">
        <f>IF(ROW($AA1003) - $AA$51 &lt; ($H$16+1)^5, IF(AG1003 &gt;= FreeSpinsBonus!$C$16, AG1003*FreeSpinsBonus!$E$31, 0), "")</f>
        <v>17.487612940833575</v>
      </c>
      <c r="AJ1003">
        <f t="shared" ca="1" si="139"/>
        <v>0</v>
      </c>
    </row>
    <row r="1004" spans="28:36" x14ac:dyDescent="0.3">
      <c r="AB1004">
        <f t="shared" si="133"/>
        <v>0</v>
      </c>
      <c r="AC1004">
        <f t="shared" si="134"/>
        <v>2</v>
      </c>
      <c r="AD1004">
        <f t="shared" si="135"/>
        <v>3</v>
      </c>
      <c r="AE1004">
        <f t="shared" si="136"/>
        <v>2</v>
      </c>
      <c r="AF1004">
        <f t="shared" si="137"/>
        <v>3</v>
      </c>
      <c r="AG1004">
        <f t="shared" si="138"/>
        <v>10</v>
      </c>
      <c r="AH1004">
        <f t="shared" ca="1" si="140"/>
        <v>1.3169805664023535E-5</v>
      </c>
      <c r="AI1004">
        <f>IF(ROW($AA1004) - $AA$51 &lt; ($H$16+1)^5, IF(AG1004 &gt;= FreeSpinsBonus!$C$16, AG1004*FreeSpinsBonus!$E$31, 0), "")</f>
        <v>14.57301078402798</v>
      </c>
      <c r="AJ1004">
        <f t="shared" ca="1" si="139"/>
        <v>1.9192371996536774E-4</v>
      </c>
    </row>
    <row r="1005" spans="28:36" x14ac:dyDescent="0.3">
      <c r="AB1005">
        <f t="shared" si="133"/>
        <v>1</v>
      </c>
      <c r="AC1005">
        <f t="shared" si="134"/>
        <v>2</v>
      </c>
      <c r="AD1005">
        <f t="shared" si="135"/>
        <v>3</v>
      </c>
      <c r="AE1005">
        <f t="shared" si="136"/>
        <v>2</v>
      </c>
      <c r="AF1005">
        <f t="shared" si="137"/>
        <v>3</v>
      </c>
      <c r="AG1005">
        <f t="shared" si="138"/>
        <v>11</v>
      </c>
      <c r="AH1005">
        <f t="shared" ca="1" si="140"/>
        <v>1.3901461534247062E-5</v>
      </c>
      <c r="AI1005">
        <f>IF(ROW($AA1005) - $AA$51 &lt; ($H$16+1)^5, IF(AG1005 &gt;= FreeSpinsBonus!$C$16, AG1005*FreeSpinsBonus!$E$31, 0), "")</f>
        <v>16.030311862430779</v>
      </c>
      <c r="AJ1005">
        <f t="shared" ca="1" si="139"/>
        <v>2.2284476373756585E-4</v>
      </c>
    </row>
    <row r="1006" spans="28:36" x14ac:dyDescent="0.3">
      <c r="AB1006">
        <f t="shared" si="133"/>
        <v>2</v>
      </c>
      <c r="AC1006">
        <f t="shared" si="134"/>
        <v>2</v>
      </c>
      <c r="AD1006">
        <f t="shared" si="135"/>
        <v>3</v>
      </c>
      <c r="AE1006">
        <f t="shared" si="136"/>
        <v>2</v>
      </c>
      <c r="AF1006">
        <f t="shared" si="137"/>
        <v>3</v>
      </c>
      <c r="AG1006">
        <f t="shared" si="138"/>
        <v>12</v>
      </c>
      <c r="AH1006">
        <f t="shared" ca="1" si="140"/>
        <v>7.316558702235298E-6</v>
      </c>
      <c r="AI1006">
        <f>IF(ROW($AA1006) - $AA$51 &lt; ($H$16+1)^5, IF(AG1006 &gt;= FreeSpinsBonus!$C$16, AG1006*FreeSpinsBonus!$E$31, 0), "")</f>
        <v>17.487612940833575</v>
      </c>
      <c r="AJ1006">
        <f t="shared" ca="1" si="139"/>
        <v>1.279491466435785E-4</v>
      </c>
    </row>
    <row r="1007" spans="28:36" x14ac:dyDescent="0.3">
      <c r="AB1007">
        <f t="shared" si="133"/>
        <v>3</v>
      </c>
      <c r="AC1007">
        <f t="shared" si="134"/>
        <v>2</v>
      </c>
      <c r="AD1007">
        <f t="shared" si="135"/>
        <v>3</v>
      </c>
      <c r="AE1007">
        <f t="shared" si="136"/>
        <v>2</v>
      </c>
      <c r="AF1007">
        <f t="shared" si="137"/>
        <v>3</v>
      </c>
      <c r="AG1007">
        <f t="shared" si="138"/>
        <v>13</v>
      </c>
      <c r="AH1007">
        <f t="shared" ca="1" si="140"/>
        <v>0</v>
      </c>
      <c r="AI1007">
        <f>IF(ROW($AA1007) - $AA$51 &lt; ($H$16+1)^5, IF(AG1007 &gt;= FreeSpinsBonus!$C$16, AG1007*FreeSpinsBonus!$E$31, 0), "")</f>
        <v>18.944914019236375</v>
      </c>
      <c r="AJ1007">
        <f t="shared" ca="1" si="139"/>
        <v>0</v>
      </c>
    </row>
    <row r="1008" spans="28:36" x14ac:dyDescent="0.3">
      <c r="AB1008">
        <f t="shared" si="133"/>
        <v>0</v>
      </c>
      <c r="AC1008">
        <f t="shared" si="134"/>
        <v>3</v>
      </c>
      <c r="AD1008">
        <f t="shared" si="135"/>
        <v>3</v>
      </c>
      <c r="AE1008">
        <f t="shared" si="136"/>
        <v>2</v>
      </c>
      <c r="AF1008">
        <f t="shared" si="137"/>
        <v>3</v>
      </c>
      <c r="AG1008">
        <f t="shared" si="138"/>
        <v>11</v>
      </c>
      <c r="AH1008">
        <f t="shared" ca="1" si="140"/>
        <v>4.6481667049494834E-6</v>
      </c>
      <c r="AI1008">
        <f>IF(ROW($AA1008) - $AA$51 &lt; ($H$16+1)^5, IF(AG1008 &gt;= FreeSpinsBonus!$C$16, AG1008*FreeSpinsBonus!$E$31, 0), "")</f>
        <v>16.030311862430779</v>
      </c>
      <c r="AJ1008">
        <f t="shared" ca="1" si="139"/>
        <v>7.4511561868907485E-5</v>
      </c>
    </row>
    <row r="1009" spans="28:36" x14ac:dyDescent="0.3">
      <c r="AB1009">
        <f t="shared" si="133"/>
        <v>1</v>
      </c>
      <c r="AC1009">
        <f t="shared" si="134"/>
        <v>3</v>
      </c>
      <c r="AD1009">
        <f t="shared" si="135"/>
        <v>3</v>
      </c>
      <c r="AE1009">
        <f t="shared" si="136"/>
        <v>2</v>
      </c>
      <c r="AF1009">
        <f t="shared" si="137"/>
        <v>3</v>
      </c>
      <c r="AG1009">
        <f t="shared" si="138"/>
        <v>12</v>
      </c>
      <c r="AH1009">
        <f t="shared" ca="1" si="140"/>
        <v>4.9063981885577872E-6</v>
      </c>
      <c r="AI1009">
        <f>IF(ROW($AA1009) - $AA$51 &lt; ($H$16+1)^5, IF(AG1009 &gt;= FreeSpinsBonus!$C$16, AG1009*FreeSpinsBonus!$E$31, 0), "")</f>
        <v>17.487612940833575</v>
      </c>
      <c r="AJ1009">
        <f t="shared" ca="1" si="139"/>
        <v>8.5801192455105577E-5</v>
      </c>
    </row>
    <row r="1010" spans="28:36" x14ac:dyDescent="0.3">
      <c r="AB1010">
        <f t="shared" si="133"/>
        <v>2</v>
      </c>
      <c r="AC1010">
        <f t="shared" si="134"/>
        <v>3</v>
      </c>
      <c r="AD1010">
        <f t="shared" si="135"/>
        <v>3</v>
      </c>
      <c r="AE1010">
        <f t="shared" si="136"/>
        <v>2</v>
      </c>
      <c r="AF1010">
        <f t="shared" si="137"/>
        <v>3</v>
      </c>
      <c r="AG1010">
        <f t="shared" si="138"/>
        <v>13</v>
      </c>
      <c r="AH1010">
        <f t="shared" ca="1" si="140"/>
        <v>2.5823148360830464E-6</v>
      </c>
      <c r="AI1010">
        <f>IF(ROW($AA1010) - $AA$51 &lt; ($H$16+1)^5, IF(AG1010 &gt;= FreeSpinsBonus!$C$16, AG1010*FreeSpinsBonus!$E$31, 0), "")</f>
        <v>18.944914019236375</v>
      </c>
      <c r="AJ1010">
        <f t="shared" ca="1" si="139"/>
        <v>4.892173254019179E-5</v>
      </c>
    </row>
    <row r="1011" spans="28:36" x14ac:dyDescent="0.3">
      <c r="AB1011">
        <f t="shared" si="133"/>
        <v>3</v>
      </c>
      <c r="AC1011">
        <f t="shared" si="134"/>
        <v>3</v>
      </c>
      <c r="AD1011">
        <f t="shared" si="135"/>
        <v>3</v>
      </c>
      <c r="AE1011">
        <f t="shared" si="136"/>
        <v>2</v>
      </c>
      <c r="AF1011">
        <f t="shared" si="137"/>
        <v>3</v>
      </c>
      <c r="AG1011">
        <f t="shared" si="138"/>
        <v>14</v>
      </c>
      <c r="AH1011">
        <f t="shared" ca="1" si="140"/>
        <v>0</v>
      </c>
      <c r="AI1011">
        <f>IF(ROW($AA1011) - $AA$51 &lt; ($H$16+1)^5, IF(AG1011 &gt;= FreeSpinsBonus!$C$16, AG1011*FreeSpinsBonus!$E$31, 0), "")</f>
        <v>20.402215097639171</v>
      </c>
      <c r="AJ1011">
        <f t="shared" ca="1" si="139"/>
        <v>0</v>
      </c>
    </row>
    <row r="1012" spans="28:36" x14ac:dyDescent="0.3">
      <c r="AB1012">
        <f t="shared" ref="AB1012:AB1075" si="141">IF(ROW()-$AA$51 &lt; (H$16+1)^5, MOD(_xlfn.FLOOR.MATH((ROW()-$AA$51)/AB$50), H$16+1), "")</f>
        <v>0</v>
      </c>
      <c r="AC1012">
        <f t="shared" ref="AC1012:AC1075" si="142">IF(ROW()-$AA$51 &lt; (I$16+1)^5, MOD(_xlfn.FLOOR.MATH((ROW()-$AA$51)/AC$50), I$16+1), "")</f>
        <v>0</v>
      </c>
      <c r="AD1012">
        <f t="shared" ref="AD1012:AD1075" si="143">IF(ROW()-$AA$51 &lt; (J$16+1)^5, MOD(_xlfn.FLOOR.MATH((ROW()-$AA$51)/AD$50), J$16+1), "")</f>
        <v>0</v>
      </c>
      <c r="AE1012">
        <f t="shared" ref="AE1012:AE1075" si="144">IF(ROW()-$AA$51 &lt; (K$16+1)^5, MOD(_xlfn.FLOOR.MATH((ROW()-$AA$51)/AE$50), K$16+1), "")</f>
        <v>3</v>
      </c>
      <c r="AF1012">
        <f t="shared" ref="AF1012:AF1075" si="145">IF(ROW()-$AA$51 &lt; (L$16+1)^5, MOD(_xlfn.FLOOR.MATH((ROW()-$AA$51)/AF$50), L$16+1), "")</f>
        <v>3</v>
      </c>
      <c r="AG1012">
        <f t="shared" ref="AG1012:AG1075" si="146">IF(ROW($AA1012) - $AA$51 &lt; ($H$16+1)^5, SUM(AB1012:AF1012), "")</f>
        <v>6</v>
      </c>
      <c r="AH1012">
        <f t="shared" ca="1" si="140"/>
        <v>9.2188639648164736E-5</v>
      </c>
      <c r="AI1012">
        <f>IF(ROW($AA1012) - $AA$51 &lt; ($H$16+1)^5, IF(AG1012 &gt;= FreeSpinsBonus!$C$16, AG1012*FreeSpinsBonus!$E$31, 0), "")</f>
        <v>8.7438064704167875</v>
      </c>
      <c r="AJ1012">
        <f t="shared" ref="AJ1012:AJ1075" ca="1" si="147">IF(ROW($AA1012) - $AA$51 &lt; ($H$16+1)^5, AH1012*AI1012, "")</f>
        <v>8.0607962385454443E-4</v>
      </c>
    </row>
    <row r="1013" spans="28:36" x14ac:dyDescent="0.3">
      <c r="AB1013">
        <f t="shared" si="141"/>
        <v>1</v>
      </c>
      <c r="AC1013">
        <f t="shared" si="142"/>
        <v>0</v>
      </c>
      <c r="AD1013">
        <f t="shared" si="143"/>
        <v>0</v>
      </c>
      <c r="AE1013">
        <f t="shared" si="144"/>
        <v>3</v>
      </c>
      <c r="AF1013">
        <f t="shared" si="145"/>
        <v>3</v>
      </c>
      <c r="AG1013">
        <f t="shared" si="146"/>
        <v>7</v>
      </c>
      <c r="AH1013">
        <f t="shared" ref="AH1013:AH1075" ca="1" si="148">IF(ROW($AA1013) - $AA$51 &lt; (4)^5,
    (_xlfn.XLOOKUP(AB1013,$T$51:$T$55,U$51:U$55,0)/U$28) * (_xlfn.XLOOKUP(AC1013,$T$51:$T$55,V$51:V$55,0)/V$28) * (_xlfn.XLOOKUP(AD1013,$T$51:$T$55,W$51:W$55,0)/W$28) * (_xlfn.XLOOKUP(AE1013,$T$51:$T$55,X$51:X$55,0)/X$28) * (_xlfn.XLOOKUP(AF1013,$T$51:$T$55,Y$51:Y$55,0)/Y$28),
"")</f>
        <v>9.7310230739729435E-5</v>
      </c>
      <c r="AI1013">
        <f>IF(ROW($AA1013) - $AA$51 &lt; ($H$16+1)^5, IF(AG1013 &gt;= FreeSpinsBonus!$C$16, AG1013*FreeSpinsBonus!$E$31, 0), "")</f>
        <v>10.201107548819586</v>
      </c>
      <c r="AJ1013">
        <f t="shared" ca="1" si="147"/>
        <v>9.9267212937642971E-4</v>
      </c>
    </row>
    <row r="1014" spans="28:36" x14ac:dyDescent="0.3">
      <c r="AB1014">
        <f t="shared" si="141"/>
        <v>2</v>
      </c>
      <c r="AC1014">
        <f t="shared" si="142"/>
        <v>0</v>
      </c>
      <c r="AD1014">
        <f t="shared" si="143"/>
        <v>0</v>
      </c>
      <c r="AE1014">
        <f t="shared" si="144"/>
        <v>3</v>
      </c>
      <c r="AF1014">
        <f t="shared" si="145"/>
        <v>3</v>
      </c>
      <c r="AG1014">
        <f t="shared" si="146"/>
        <v>8</v>
      </c>
      <c r="AH1014">
        <f t="shared" ca="1" si="148"/>
        <v>5.1215910915647088E-5</v>
      </c>
      <c r="AI1014">
        <f>IF(ROW($AA1014) - $AA$51 &lt; ($H$16+1)^5, IF(AG1014 &gt;= FreeSpinsBonus!$C$16, AG1014*FreeSpinsBonus!$E$31, 0), "")</f>
        <v>11.658408627222384</v>
      </c>
      <c r="AJ1014">
        <f t="shared" ca="1" si="147"/>
        <v>5.9709601767003306E-4</v>
      </c>
    </row>
    <row r="1015" spans="28:36" x14ac:dyDescent="0.3">
      <c r="AB1015">
        <f t="shared" si="141"/>
        <v>3</v>
      </c>
      <c r="AC1015">
        <f t="shared" si="142"/>
        <v>0</v>
      </c>
      <c r="AD1015">
        <f t="shared" si="143"/>
        <v>0</v>
      </c>
      <c r="AE1015">
        <f t="shared" si="144"/>
        <v>3</v>
      </c>
      <c r="AF1015">
        <f t="shared" si="145"/>
        <v>3</v>
      </c>
      <c r="AG1015">
        <f t="shared" si="146"/>
        <v>9</v>
      </c>
      <c r="AH1015">
        <f t="shared" ca="1" si="148"/>
        <v>0</v>
      </c>
      <c r="AI1015">
        <f>IF(ROW($AA1015) - $AA$51 &lt; ($H$16+1)^5, IF(AG1015 &gt;= FreeSpinsBonus!$C$16, AG1015*FreeSpinsBonus!$E$31, 0), "")</f>
        <v>13.115709705625182</v>
      </c>
      <c r="AJ1015">
        <f t="shared" ca="1" si="147"/>
        <v>0</v>
      </c>
    </row>
    <row r="1016" spans="28:36" x14ac:dyDescent="0.3">
      <c r="AB1016">
        <f t="shared" si="141"/>
        <v>0</v>
      </c>
      <c r="AC1016">
        <f t="shared" si="142"/>
        <v>1</v>
      </c>
      <c r="AD1016">
        <f t="shared" si="143"/>
        <v>0</v>
      </c>
      <c r="AE1016">
        <f t="shared" si="144"/>
        <v>3</v>
      </c>
      <c r="AF1016">
        <f t="shared" si="145"/>
        <v>3</v>
      </c>
      <c r="AG1016">
        <f t="shared" si="146"/>
        <v>7</v>
      </c>
      <c r="AH1016">
        <f t="shared" ca="1" si="148"/>
        <v>9.2188639648164736E-5</v>
      </c>
      <c r="AI1016">
        <f>IF(ROW($AA1016) - $AA$51 &lt; ($H$16+1)^5, IF(AG1016 &gt;= FreeSpinsBonus!$C$16, AG1016*FreeSpinsBonus!$E$31, 0), "")</f>
        <v>10.201107548819586</v>
      </c>
      <c r="AJ1016">
        <f t="shared" ca="1" si="147"/>
        <v>9.4042622783030189E-4</v>
      </c>
    </row>
    <row r="1017" spans="28:36" x14ac:dyDescent="0.3">
      <c r="AB1017">
        <f t="shared" si="141"/>
        <v>1</v>
      </c>
      <c r="AC1017">
        <f t="shared" si="142"/>
        <v>1</v>
      </c>
      <c r="AD1017">
        <f t="shared" si="143"/>
        <v>0</v>
      </c>
      <c r="AE1017">
        <f t="shared" si="144"/>
        <v>3</v>
      </c>
      <c r="AF1017">
        <f t="shared" si="145"/>
        <v>3</v>
      </c>
      <c r="AG1017">
        <f t="shared" si="146"/>
        <v>8</v>
      </c>
      <c r="AH1017">
        <f t="shared" ca="1" si="148"/>
        <v>9.7310230739729435E-5</v>
      </c>
      <c r="AI1017">
        <f>IF(ROW($AA1017) - $AA$51 &lt; ($H$16+1)^5, IF(AG1017 &gt;= FreeSpinsBonus!$C$16, AG1017*FreeSpinsBonus!$E$31, 0), "")</f>
        <v>11.658408627222384</v>
      </c>
      <c r="AJ1017">
        <f t="shared" ca="1" si="147"/>
        <v>1.1344824335730625E-3</v>
      </c>
    </row>
    <row r="1018" spans="28:36" x14ac:dyDescent="0.3">
      <c r="AB1018">
        <f t="shared" si="141"/>
        <v>2</v>
      </c>
      <c r="AC1018">
        <f t="shared" si="142"/>
        <v>1</v>
      </c>
      <c r="AD1018">
        <f t="shared" si="143"/>
        <v>0</v>
      </c>
      <c r="AE1018">
        <f t="shared" si="144"/>
        <v>3</v>
      </c>
      <c r="AF1018">
        <f t="shared" si="145"/>
        <v>3</v>
      </c>
      <c r="AG1018">
        <f t="shared" si="146"/>
        <v>9</v>
      </c>
      <c r="AH1018">
        <f t="shared" ca="1" si="148"/>
        <v>5.1215910915647088E-5</v>
      </c>
      <c r="AI1018">
        <f>IF(ROW($AA1018) - $AA$51 &lt; ($H$16+1)^5, IF(AG1018 &gt;= FreeSpinsBonus!$C$16, AG1018*FreeSpinsBonus!$E$31, 0), "")</f>
        <v>13.115709705625182</v>
      </c>
      <c r="AJ1018">
        <f t="shared" ca="1" si="147"/>
        <v>6.7173301987878719E-4</v>
      </c>
    </row>
    <row r="1019" spans="28:36" x14ac:dyDescent="0.3">
      <c r="AB1019">
        <f t="shared" si="141"/>
        <v>3</v>
      </c>
      <c r="AC1019">
        <f t="shared" si="142"/>
        <v>1</v>
      </c>
      <c r="AD1019">
        <f t="shared" si="143"/>
        <v>0</v>
      </c>
      <c r="AE1019">
        <f t="shared" si="144"/>
        <v>3</v>
      </c>
      <c r="AF1019">
        <f t="shared" si="145"/>
        <v>3</v>
      </c>
      <c r="AG1019">
        <f t="shared" si="146"/>
        <v>10</v>
      </c>
      <c r="AH1019">
        <f t="shared" ca="1" si="148"/>
        <v>0</v>
      </c>
      <c r="AI1019">
        <f>IF(ROW($AA1019) - $AA$51 &lt; ($H$16+1)^5, IF(AG1019 &gt;= FreeSpinsBonus!$C$16, AG1019*FreeSpinsBonus!$E$31, 0), "")</f>
        <v>14.57301078402798</v>
      </c>
      <c r="AJ1019">
        <f t="shared" ca="1" si="147"/>
        <v>0</v>
      </c>
    </row>
    <row r="1020" spans="28:36" x14ac:dyDescent="0.3">
      <c r="AB1020">
        <f t="shared" si="141"/>
        <v>0</v>
      </c>
      <c r="AC1020">
        <f t="shared" si="142"/>
        <v>2</v>
      </c>
      <c r="AD1020">
        <f t="shared" si="143"/>
        <v>0</v>
      </c>
      <c r="AE1020">
        <f t="shared" si="144"/>
        <v>3</v>
      </c>
      <c r="AF1020">
        <f t="shared" si="145"/>
        <v>3</v>
      </c>
      <c r="AG1020">
        <f t="shared" si="146"/>
        <v>8</v>
      </c>
      <c r="AH1020">
        <f t="shared" ca="1" si="148"/>
        <v>9.2188639648164736E-5</v>
      </c>
      <c r="AI1020">
        <f>IF(ROW($AA1020) - $AA$51 &lt; ($H$16+1)^5, IF(AG1020 &gt;= FreeSpinsBonus!$C$16, AG1020*FreeSpinsBonus!$E$31, 0), "")</f>
        <v>11.658408627222384</v>
      </c>
      <c r="AJ1020">
        <f t="shared" ca="1" si="147"/>
        <v>1.0747728318060592E-3</v>
      </c>
    </row>
    <row r="1021" spans="28:36" x14ac:dyDescent="0.3">
      <c r="AB1021">
        <f t="shared" si="141"/>
        <v>1</v>
      </c>
      <c r="AC1021">
        <f t="shared" si="142"/>
        <v>2</v>
      </c>
      <c r="AD1021">
        <f t="shared" si="143"/>
        <v>0</v>
      </c>
      <c r="AE1021">
        <f t="shared" si="144"/>
        <v>3</v>
      </c>
      <c r="AF1021">
        <f t="shared" si="145"/>
        <v>3</v>
      </c>
      <c r="AG1021">
        <f t="shared" si="146"/>
        <v>9</v>
      </c>
      <c r="AH1021">
        <f t="shared" ca="1" si="148"/>
        <v>9.7310230739729435E-5</v>
      </c>
      <c r="AI1021">
        <f>IF(ROW($AA1021) - $AA$51 &lt; ($H$16+1)^5, IF(AG1021 &gt;= FreeSpinsBonus!$C$16, AG1021*FreeSpinsBonus!$E$31, 0), "")</f>
        <v>13.115709705625182</v>
      </c>
      <c r="AJ1021">
        <f t="shared" ca="1" si="147"/>
        <v>1.2762927377696952E-3</v>
      </c>
    </row>
    <row r="1022" spans="28:36" x14ac:dyDescent="0.3">
      <c r="AB1022">
        <f t="shared" si="141"/>
        <v>2</v>
      </c>
      <c r="AC1022">
        <f t="shared" si="142"/>
        <v>2</v>
      </c>
      <c r="AD1022">
        <f t="shared" si="143"/>
        <v>0</v>
      </c>
      <c r="AE1022">
        <f t="shared" si="144"/>
        <v>3</v>
      </c>
      <c r="AF1022">
        <f t="shared" si="145"/>
        <v>3</v>
      </c>
      <c r="AG1022">
        <f t="shared" si="146"/>
        <v>10</v>
      </c>
      <c r="AH1022">
        <f t="shared" ca="1" si="148"/>
        <v>5.1215910915647088E-5</v>
      </c>
      <c r="AI1022">
        <f>IF(ROW($AA1022) - $AA$51 &lt; ($H$16+1)^5, IF(AG1022 &gt;= FreeSpinsBonus!$C$16, AG1022*FreeSpinsBonus!$E$31, 0), "")</f>
        <v>14.57301078402798</v>
      </c>
      <c r="AJ1022">
        <f t="shared" ca="1" si="147"/>
        <v>7.4637002208754132E-4</v>
      </c>
    </row>
    <row r="1023" spans="28:36" x14ac:dyDescent="0.3">
      <c r="AB1023">
        <f t="shared" si="141"/>
        <v>3</v>
      </c>
      <c r="AC1023">
        <f t="shared" si="142"/>
        <v>2</v>
      </c>
      <c r="AD1023">
        <f t="shared" si="143"/>
        <v>0</v>
      </c>
      <c r="AE1023">
        <f t="shared" si="144"/>
        <v>3</v>
      </c>
      <c r="AF1023">
        <f t="shared" si="145"/>
        <v>3</v>
      </c>
      <c r="AG1023">
        <f t="shared" si="146"/>
        <v>11</v>
      </c>
      <c r="AH1023">
        <f t="shared" ca="1" si="148"/>
        <v>0</v>
      </c>
      <c r="AI1023">
        <f>IF(ROW($AA1023) - $AA$51 &lt; ($H$16+1)^5, IF(AG1023 &gt;= FreeSpinsBonus!$C$16, AG1023*FreeSpinsBonus!$E$31, 0), "")</f>
        <v>16.030311862430779</v>
      </c>
      <c r="AJ1023">
        <f t="shared" ca="1" si="147"/>
        <v>0</v>
      </c>
    </row>
    <row r="1024" spans="28:36" x14ac:dyDescent="0.3">
      <c r="AB1024">
        <f t="shared" si="141"/>
        <v>0</v>
      </c>
      <c r="AC1024">
        <f t="shared" si="142"/>
        <v>3</v>
      </c>
      <c r="AD1024">
        <f t="shared" si="143"/>
        <v>0</v>
      </c>
      <c r="AE1024">
        <f t="shared" si="144"/>
        <v>3</v>
      </c>
      <c r="AF1024">
        <f t="shared" si="145"/>
        <v>3</v>
      </c>
      <c r="AG1024">
        <f t="shared" si="146"/>
        <v>9</v>
      </c>
      <c r="AH1024">
        <f t="shared" ca="1" si="148"/>
        <v>3.2537166934646387E-5</v>
      </c>
      <c r="AI1024">
        <f>IF(ROW($AA1024) - $AA$51 &lt; ($H$16+1)^5, IF(AG1024 &gt;= FreeSpinsBonus!$C$16, AG1024*FreeSpinsBonus!$E$31, 0), "")</f>
        <v>13.115709705625182</v>
      </c>
      <c r="AJ1024">
        <f t="shared" ca="1" si="147"/>
        <v>4.267480361582884E-4</v>
      </c>
    </row>
    <row r="1025" spans="28:36" x14ac:dyDescent="0.3">
      <c r="AB1025">
        <f t="shared" si="141"/>
        <v>1</v>
      </c>
      <c r="AC1025">
        <f t="shared" si="142"/>
        <v>3</v>
      </c>
      <c r="AD1025">
        <f t="shared" si="143"/>
        <v>0</v>
      </c>
      <c r="AE1025">
        <f t="shared" si="144"/>
        <v>3</v>
      </c>
      <c r="AF1025">
        <f t="shared" si="145"/>
        <v>3</v>
      </c>
      <c r="AG1025">
        <f t="shared" si="146"/>
        <v>10</v>
      </c>
      <c r="AH1025">
        <f t="shared" ca="1" si="148"/>
        <v>3.4344787319904511E-5</v>
      </c>
      <c r="AI1025">
        <f>IF(ROW($AA1025) - $AA$51 &lt; ($H$16+1)^5, IF(AG1025 &gt;= FreeSpinsBonus!$C$16, AG1025*FreeSpinsBonus!$E$31, 0), "")</f>
        <v>14.57301078402798</v>
      </c>
      <c r="AJ1025">
        <f t="shared" ca="1" si="147"/>
        <v>5.0050695598811588E-4</v>
      </c>
    </row>
    <row r="1026" spans="28:36" x14ac:dyDescent="0.3">
      <c r="AB1026">
        <f t="shared" si="141"/>
        <v>2</v>
      </c>
      <c r="AC1026">
        <f t="shared" si="142"/>
        <v>3</v>
      </c>
      <c r="AD1026">
        <f t="shared" si="143"/>
        <v>0</v>
      </c>
      <c r="AE1026">
        <f t="shared" si="144"/>
        <v>3</v>
      </c>
      <c r="AF1026">
        <f t="shared" si="145"/>
        <v>3</v>
      </c>
      <c r="AG1026">
        <f t="shared" si="146"/>
        <v>11</v>
      </c>
      <c r="AH1026">
        <f t="shared" ca="1" si="148"/>
        <v>1.8076203852581324E-5</v>
      </c>
      <c r="AI1026">
        <f>IF(ROW($AA1026) - $AA$51 &lt; ($H$16+1)^5, IF(AG1026 &gt;= FreeSpinsBonus!$C$16, AG1026*FreeSpinsBonus!$E$31, 0), "")</f>
        <v>16.030311862430779</v>
      </c>
      <c r="AJ1026">
        <f t="shared" ca="1" si="147"/>
        <v>2.8976718504575136E-4</v>
      </c>
    </row>
    <row r="1027" spans="28:36" x14ac:dyDescent="0.3">
      <c r="AB1027">
        <f t="shared" si="141"/>
        <v>3</v>
      </c>
      <c r="AC1027">
        <f t="shared" si="142"/>
        <v>3</v>
      </c>
      <c r="AD1027">
        <f t="shared" si="143"/>
        <v>0</v>
      </c>
      <c r="AE1027">
        <f t="shared" si="144"/>
        <v>3</v>
      </c>
      <c r="AF1027">
        <f t="shared" si="145"/>
        <v>3</v>
      </c>
      <c r="AG1027">
        <f t="shared" si="146"/>
        <v>12</v>
      </c>
      <c r="AH1027">
        <f t="shared" ca="1" si="148"/>
        <v>0</v>
      </c>
      <c r="AI1027">
        <f>IF(ROW($AA1027) - $AA$51 &lt; ($H$16+1)^5, IF(AG1027 &gt;= FreeSpinsBonus!$C$16, AG1027*FreeSpinsBonus!$E$31, 0), "")</f>
        <v>17.487612940833575</v>
      </c>
      <c r="AJ1027">
        <f t="shared" ca="1" si="147"/>
        <v>0</v>
      </c>
    </row>
    <row r="1028" spans="28:36" x14ac:dyDescent="0.3">
      <c r="AB1028">
        <f t="shared" si="141"/>
        <v>0</v>
      </c>
      <c r="AC1028">
        <f t="shared" si="142"/>
        <v>0</v>
      </c>
      <c r="AD1028">
        <f t="shared" si="143"/>
        <v>1</v>
      </c>
      <c r="AE1028">
        <f t="shared" si="144"/>
        <v>3</v>
      </c>
      <c r="AF1028">
        <f t="shared" si="145"/>
        <v>3</v>
      </c>
      <c r="AG1028">
        <f t="shared" si="146"/>
        <v>7</v>
      </c>
      <c r="AH1028">
        <f t="shared" ca="1" si="148"/>
        <v>1.1523579956020596E-4</v>
      </c>
      <c r="AI1028">
        <f>IF(ROW($AA1028) - $AA$51 &lt; ($H$16+1)^5, IF(AG1028 &gt;= FreeSpinsBonus!$C$16, AG1028*FreeSpinsBonus!$E$31, 0), "")</f>
        <v>10.201107548819586</v>
      </c>
      <c r="AJ1028">
        <f t="shared" ca="1" si="147"/>
        <v>1.1755327847878777E-3</v>
      </c>
    </row>
    <row r="1029" spans="28:36" x14ac:dyDescent="0.3">
      <c r="AB1029">
        <f t="shared" si="141"/>
        <v>1</v>
      </c>
      <c r="AC1029">
        <f t="shared" si="142"/>
        <v>0</v>
      </c>
      <c r="AD1029">
        <f t="shared" si="143"/>
        <v>1</v>
      </c>
      <c r="AE1029">
        <f t="shared" si="144"/>
        <v>3</v>
      </c>
      <c r="AF1029">
        <f t="shared" si="145"/>
        <v>3</v>
      </c>
      <c r="AG1029">
        <f t="shared" si="146"/>
        <v>8</v>
      </c>
      <c r="AH1029">
        <f t="shared" ca="1" si="148"/>
        <v>1.2163778842466183E-4</v>
      </c>
      <c r="AI1029">
        <f>IF(ROW($AA1029) - $AA$51 &lt; ($H$16+1)^5, IF(AG1029 &gt;= FreeSpinsBonus!$C$16, AG1029*FreeSpinsBonus!$E$31, 0), "")</f>
        <v>11.658408627222384</v>
      </c>
      <c r="AJ1029">
        <f t="shared" ca="1" si="147"/>
        <v>1.4181030419663286E-3</v>
      </c>
    </row>
    <row r="1030" spans="28:36" x14ac:dyDescent="0.3">
      <c r="AB1030">
        <f t="shared" si="141"/>
        <v>2</v>
      </c>
      <c r="AC1030">
        <f t="shared" si="142"/>
        <v>0</v>
      </c>
      <c r="AD1030">
        <f t="shared" si="143"/>
        <v>1</v>
      </c>
      <c r="AE1030">
        <f t="shared" si="144"/>
        <v>3</v>
      </c>
      <c r="AF1030">
        <f t="shared" si="145"/>
        <v>3</v>
      </c>
      <c r="AG1030">
        <f t="shared" si="146"/>
        <v>9</v>
      </c>
      <c r="AH1030">
        <f t="shared" ca="1" si="148"/>
        <v>6.4019888644558856E-5</v>
      </c>
      <c r="AI1030">
        <f>IF(ROW($AA1030) - $AA$51 &lt; ($H$16+1)^5, IF(AG1030 &gt;= FreeSpinsBonus!$C$16, AG1030*FreeSpinsBonus!$E$31, 0), "")</f>
        <v>13.115709705625182</v>
      </c>
      <c r="AJ1030">
        <f t="shared" ca="1" si="147"/>
        <v>8.3966627484848401E-4</v>
      </c>
    </row>
    <row r="1031" spans="28:36" x14ac:dyDescent="0.3">
      <c r="AB1031">
        <f t="shared" si="141"/>
        <v>3</v>
      </c>
      <c r="AC1031">
        <f t="shared" si="142"/>
        <v>0</v>
      </c>
      <c r="AD1031">
        <f t="shared" si="143"/>
        <v>1</v>
      </c>
      <c r="AE1031">
        <f t="shared" si="144"/>
        <v>3</v>
      </c>
      <c r="AF1031">
        <f t="shared" si="145"/>
        <v>3</v>
      </c>
      <c r="AG1031">
        <f t="shared" si="146"/>
        <v>10</v>
      </c>
      <c r="AH1031">
        <f t="shared" ca="1" si="148"/>
        <v>0</v>
      </c>
      <c r="AI1031">
        <f>IF(ROW($AA1031) - $AA$51 &lt; ($H$16+1)^5, IF(AG1031 &gt;= FreeSpinsBonus!$C$16, AG1031*FreeSpinsBonus!$E$31, 0), "")</f>
        <v>14.57301078402798</v>
      </c>
      <c r="AJ1031">
        <f t="shared" ca="1" si="147"/>
        <v>0</v>
      </c>
    </row>
    <row r="1032" spans="28:36" x14ac:dyDescent="0.3">
      <c r="AB1032">
        <f t="shared" si="141"/>
        <v>0</v>
      </c>
      <c r="AC1032">
        <f t="shared" si="142"/>
        <v>1</v>
      </c>
      <c r="AD1032">
        <f t="shared" si="143"/>
        <v>1</v>
      </c>
      <c r="AE1032">
        <f t="shared" si="144"/>
        <v>3</v>
      </c>
      <c r="AF1032">
        <f t="shared" si="145"/>
        <v>3</v>
      </c>
      <c r="AG1032">
        <f t="shared" si="146"/>
        <v>8</v>
      </c>
      <c r="AH1032">
        <f t="shared" ca="1" si="148"/>
        <v>1.1523579956020596E-4</v>
      </c>
      <c r="AI1032">
        <f>IF(ROW($AA1032) - $AA$51 &lt; ($H$16+1)^5, IF(AG1032 &gt;= FreeSpinsBonus!$C$16, AG1032*FreeSpinsBonus!$E$31, 0), "")</f>
        <v>11.658408627222384</v>
      </c>
      <c r="AJ1032">
        <f t="shared" ca="1" si="147"/>
        <v>1.3434660397575746E-3</v>
      </c>
    </row>
    <row r="1033" spans="28:36" x14ac:dyDescent="0.3">
      <c r="AB1033">
        <f t="shared" si="141"/>
        <v>1</v>
      </c>
      <c r="AC1033">
        <f t="shared" si="142"/>
        <v>1</v>
      </c>
      <c r="AD1033">
        <f t="shared" si="143"/>
        <v>1</v>
      </c>
      <c r="AE1033">
        <f t="shared" si="144"/>
        <v>3</v>
      </c>
      <c r="AF1033">
        <f t="shared" si="145"/>
        <v>3</v>
      </c>
      <c r="AG1033">
        <f t="shared" si="146"/>
        <v>9</v>
      </c>
      <c r="AH1033">
        <f t="shared" ca="1" si="148"/>
        <v>1.2163778842466183E-4</v>
      </c>
      <c r="AI1033">
        <f>IF(ROW($AA1033) - $AA$51 &lt; ($H$16+1)^5, IF(AG1033 &gt;= FreeSpinsBonus!$C$16, AG1033*FreeSpinsBonus!$E$31, 0), "")</f>
        <v>13.115709705625182</v>
      </c>
      <c r="AJ1033">
        <f t="shared" ca="1" si="147"/>
        <v>1.5953659222121197E-3</v>
      </c>
    </row>
    <row r="1034" spans="28:36" x14ac:dyDescent="0.3">
      <c r="AB1034">
        <f t="shared" si="141"/>
        <v>2</v>
      </c>
      <c r="AC1034">
        <f t="shared" si="142"/>
        <v>1</v>
      </c>
      <c r="AD1034">
        <f t="shared" si="143"/>
        <v>1</v>
      </c>
      <c r="AE1034">
        <f t="shared" si="144"/>
        <v>3</v>
      </c>
      <c r="AF1034">
        <f t="shared" si="145"/>
        <v>3</v>
      </c>
      <c r="AG1034">
        <f t="shared" si="146"/>
        <v>10</v>
      </c>
      <c r="AH1034">
        <f t="shared" ca="1" si="148"/>
        <v>6.4019888644558856E-5</v>
      </c>
      <c r="AI1034">
        <f>IF(ROW($AA1034) - $AA$51 &lt; ($H$16+1)^5, IF(AG1034 &gt;= FreeSpinsBonus!$C$16, AG1034*FreeSpinsBonus!$E$31, 0), "")</f>
        <v>14.57301078402798</v>
      </c>
      <c r="AJ1034">
        <f t="shared" ca="1" si="147"/>
        <v>9.3296252760942671E-4</v>
      </c>
    </row>
    <row r="1035" spans="28:36" x14ac:dyDescent="0.3">
      <c r="AB1035">
        <f t="shared" si="141"/>
        <v>3</v>
      </c>
      <c r="AC1035">
        <f t="shared" si="142"/>
        <v>1</v>
      </c>
      <c r="AD1035">
        <f t="shared" si="143"/>
        <v>1</v>
      </c>
      <c r="AE1035">
        <f t="shared" si="144"/>
        <v>3</v>
      </c>
      <c r="AF1035">
        <f t="shared" si="145"/>
        <v>3</v>
      </c>
      <c r="AG1035">
        <f t="shared" si="146"/>
        <v>11</v>
      </c>
      <c r="AH1035">
        <f t="shared" ca="1" si="148"/>
        <v>0</v>
      </c>
      <c r="AI1035">
        <f>IF(ROW($AA1035) - $AA$51 &lt; ($H$16+1)^5, IF(AG1035 &gt;= FreeSpinsBonus!$C$16, AG1035*FreeSpinsBonus!$E$31, 0), "")</f>
        <v>16.030311862430779</v>
      </c>
      <c r="AJ1035">
        <f t="shared" ca="1" si="147"/>
        <v>0</v>
      </c>
    </row>
    <row r="1036" spans="28:36" x14ac:dyDescent="0.3">
      <c r="AB1036">
        <f t="shared" si="141"/>
        <v>0</v>
      </c>
      <c r="AC1036">
        <f t="shared" si="142"/>
        <v>2</v>
      </c>
      <c r="AD1036">
        <f t="shared" si="143"/>
        <v>1</v>
      </c>
      <c r="AE1036">
        <f t="shared" si="144"/>
        <v>3</v>
      </c>
      <c r="AF1036">
        <f t="shared" si="145"/>
        <v>3</v>
      </c>
      <c r="AG1036">
        <f t="shared" si="146"/>
        <v>9</v>
      </c>
      <c r="AH1036">
        <f t="shared" ca="1" si="148"/>
        <v>1.1523579956020596E-4</v>
      </c>
      <c r="AI1036">
        <f>IF(ROW($AA1036) - $AA$51 &lt; ($H$16+1)^5, IF(AG1036 &gt;= FreeSpinsBonus!$C$16, AG1036*FreeSpinsBonus!$E$31, 0), "")</f>
        <v>13.115709705625182</v>
      </c>
      <c r="AJ1036">
        <f t="shared" ca="1" si="147"/>
        <v>1.5113992947272713E-3</v>
      </c>
    </row>
    <row r="1037" spans="28:36" x14ac:dyDescent="0.3">
      <c r="AB1037">
        <f t="shared" si="141"/>
        <v>1</v>
      </c>
      <c r="AC1037">
        <f t="shared" si="142"/>
        <v>2</v>
      </c>
      <c r="AD1037">
        <f t="shared" si="143"/>
        <v>1</v>
      </c>
      <c r="AE1037">
        <f t="shared" si="144"/>
        <v>3</v>
      </c>
      <c r="AF1037">
        <f t="shared" si="145"/>
        <v>3</v>
      </c>
      <c r="AG1037">
        <f t="shared" si="146"/>
        <v>10</v>
      </c>
      <c r="AH1037">
        <f t="shared" ca="1" si="148"/>
        <v>1.2163778842466183E-4</v>
      </c>
      <c r="AI1037">
        <f>IF(ROW($AA1037) - $AA$51 &lt; ($H$16+1)^5, IF(AG1037 &gt;= FreeSpinsBonus!$C$16, AG1037*FreeSpinsBonus!$E$31, 0), "")</f>
        <v>14.57301078402798</v>
      </c>
      <c r="AJ1037">
        <f t="shared" ca="1" si="147"/>
        <v>1.7726288024579107E-3</v>
      </c>
    </row>
    <row r="1038" spans="28:36" x14ac:dyDescent="0.3">
      <c r="AB1038">
        <f t="shared" si="141"/>
        <v>2</v>
      </c>
      <c r="AC1038">
        <f t="shared" si="142"/>
        <v>2</v>
      </c>
      <c r="AD1038">
        <f t="shared" si="143"/>
        <v>1</v>
      </c>
      <c r="AE1038">
        <f t="shared" si="144"/>
        <v>3</v>
      </c>
      <c r="AF1038">
        <f t="shared" si="145"/>
        <v>3</v>
      </c>
      <c r="AG1038">
        <f t="shared" si="146"/>
        <v>11</v>
      </c>
      <c r="AH1038">
        <f t="shared" ca="1" si="148"/>
        <v>6.4019888644558856E-5</v>
      </c>
      <c r="AI1038">
        <f>IF(ROW($AA1038) - $AA$51 &lt; ($H$16+1)^5, IF(AG1038 &gt;= FreeSpinsBonus!$C$16, AG1038*FreeSpinsBonus!$E$31, 0), "")</f>
        <v>16.030311862430779</v>
      </c>
      <c r="AJ1038">
        <f t="shared" ca="1" si="147"/>
        <v>1.0262587803703694E-3</v>
      </c>
    </row>
    <row r="1039" spans="28:36" x14ac:dyDescent="0.3">
      <c r="AB1039">
        <f t="shared" si="141"/>
        <v>3</v>
      </c>
      <c r="AC1039">
        <f t="shared" si="142"/>
        <v>2</v>
      </c>
      <c r="AD1039">
        <f t="shared" si="143"/>
        <v>1</v>
      </c>
      <c r="AE1039">
        <f t="shared" si="144"/>
        <v>3</v>
      </c>
      <c r="AF1039">
        <f t="shared" si="145"/>
        <v>3</v>
      </c>
      <c r="AG1039">
        <f t="shared" si="146"/>
        <v>12</v>
      </c>
      <c r="AH1039">
        <f t="shared" ca="1" si="148"/>
        <v>0</v>
      </c>
      <c r="AI1039">
        <f>IF(ROW($AA1039) - $AA$51 &lt; ($H$16+1)^5, IF(AG1039 &gt;= FreeSpinsBonus!$C$16, AG1039*FreeSpinsBonus!$E$31, 0), "")</f>
        <v>17.487612940833575</v>
      </c>
      <c r="AJ1039">
        <f t="shared" ca="1" si="147"/>
        <v>0</v>
      </c>
    </row>
    <row r="1040" spans="28:36" x14ac:dyDescent="0.3">
      <c r="AB1040">
        <f t="shared" si="141"/>
        <v>0</v>
      </c>
      <c r="AC1040">
        <f t="shared" si="142"/>
        <v>3</v>
      </c>
      <c r="AD1040">
        <f t="shared" si="143"/>
        <v>1</v>
      </c>
      <c r="AE1040">
        <f t="shared" si="144"/>
        <v>3</v>
      </c>
      <c r="AF1040">
        <f t="shared" si="145"/>
        <v>3</v>
      </c>
      <c r="AG1040">
        <f t="shared" si="146"/>
        <v>10</v>
      </c>
      <c r="AH1040">
        <f t="shared" ca="1" si="148"/>
        <v>4.0671458668307989E-5</v>
      </c>
      <c r="AI1040">
        <f>IF(ROW($AA1040) - $AA$51 &lt; ($H$16+1)^5, IF(AG1040 &gt;= FreeSpinsBonus!$C$16, AG1040*FreeSpinsBonus!$E$31, 0), "")</f>
        <v>14.57301078402798</v>
      </c>
      <c r="AJ1040">
        <f t="shared" ca="1" si="147"/>
        <v>5.9270560577540056E-4</v>
      </c>
    </row>
    <row r="1041" spans="28:36" x14ac:dyDescent="0.3">
      <c r="AB1041">
        <f t="shared" si="141"/>
        <v>1</v>
      </c>
      <c r="AC1041">
        <f t="shared" si="142"/>
        <v>3</v>
      </c>
      <c r="AD1041">
        <f t="shared" si="143"/>
        <v>1</v>
      </c>
      <c r="AE1041">
        <f t="shared" si="144"/>
        <v>3</v>
      </c>
      <c r="AF1041">
        <f t="shared" si="145"/>
        <v>3</v>
      </c>
      <c r="AG1041">
        <f t="shared" si="146"/>
        <v>11</v>
      </c>
      <c r="AH1041">
        <f t="shared" ca="1" si="148"/>
        <v>4.2930984149880639E-5</v>
      </c>
      <c r="AI1041">
        <f>IF(ROW($AA1041) - $AA$51 &lt; ($H$16+1)^5, IF(AG1041 &gt;= FreeSpinsBonus!$C$16, AG1041*FreeSpinsBonus!$E$31, 0), "")</f>
        <v>16.030311862430779</v>
      </c>
      <c r="AJ1041">
        <f t="shared" ca="1" si="147"/>
        <v>6.8819706448365939E-4</v>
      </c>
    </row>
    <row r="1042" spans="28:36" x14ac:dyDescent="0.3">
      <c r="AB1042">
        <f t="shared" si="141"/>
        <v>2</v>
      </c>
      <c r="AC1042">
        <f t="shared" si="142"/>
        <v>3</v>
      </c>
      <c r="AD1042">
        <f t="shared" si="143"/>
        <v>1</v>
      </c>
      <c r="AE1042">
        <f t="shared" si="144"/>
        <v>3</v>
      </c>
      <c r="AF1042">
        <f t="shared" si="145"/>
        <v>3</v>
      </c>
      <c r="AG1042">
        <f t="shared" si="146"/>
        <v>12</v>
      </c>
      <c r="AH1042">
        <f t="shared" ca="1" si="148"/>
        <v>2.2595254815726655E-5</v>
      </c>
      <c r="AI1042">
        <f>IF(ROW($AA1042) - $AA$51 &lt; ($H$16+1)^5, IF(AG1042 &gt;= FreeSpinsBonus!$C$16, AG1042*FreeSpinsBonus!$E$31, 0), "")</f>
        <v>17.487612940833575</v>
      </c>
      <c r="AJ1042">
        <f t="shared" ca="1" si="147"/>
        <v>3.951370705169336E-4</v>
      </c>
    </row>
    <row r="1043" spans="28:36" x14ac:dyDescent="0.3">
      <c r="AB1043">
        <f t="shared" si="141"/>
        <v>3</v>
      </c>
      <c r="AC1043">
        <f t="shared" si="142"/>
        <v>3</v>
      </c>
      <c r="AD1043">
        <f t="shared" si="143"/>
        <v>1</v>
      </c>
      <c r="AE1043">
        <f t="shared" si="144"/>
        <v>3</v>
      </c>
      <c r="AF1043">
        <f t="shared" si="145"/>
        <v>3</v>
      </c>
      <c r="AG1043">
        <f t="shared" si="146"/>
        <v>13</v>
      </c>
      <c r="AH1043">
        <f t="shared" ca="1" si="148"/>
        <v>0</v>
      </c>
      <c r="AI1043">
        <f>IF(ROW($AA1043) - $AA$51 &lt; ($H$16+1)^5, IF(AG1043 &gt;= FreeSpinsBonus!$C$16, AG1043*FreeSpinsBonus!$E$31, 0), "")</f>
        <v>18.944914019236375</v>
      </c>
      <c r="AJ1043">
        <f t="shared" ca="1" si="147"/>
        <v>0</v>
      </c>
    </row>
    <row r="1044" spans="28:36" x14ac:dyDescent="0.3">
      <c r="AB1044">
        <f t="shared" si="141"/>
        <v>0</v>
      </c>
      <c r="AC1044">
        <f t="shared" si="142"/>
        <v>0</v>
      </c>
      <c r="AD1044">
        <f t="shared" si="143"/>
        <v>2</v>
      </c>
      <c r="AE1044">
        <f t="shared" si="144"/>
        <v>3</v>
      </c>
      <c r="AF1044">
        <f t="shared" si="145"/>
        <v>3</v>
      </c>
      <c r="AG1044">
        <f t="shared" si="146"/>
        <v>8</v>
      </c>
      <c r="AH1044">
        <f t="shared" ca="1" si="148"/>
        <v>6.337968975811326E-5</v>
      </c>
      <c r="AI1044">
        <f>IF(ROW($AA1044) - $AA$51 &lt; ($H$16+1)^5, IF(AG1044 &gt;= FreeSpinsBonus!$C$16, AG1044*FreeSpinsBonus!$E$31, 0), "")</f>
        <v>11.658408627222384</v>
      </c>
      <c r="AJ1044">
        <f t="shared" ca="1" si="147"/>
        <v>7.3890632186666581E-4</v>
      </c>
    </row>
    <row r="1045" spans="28:36" x14ac:dyDescent="0.3">
      <c r="AB1045">
        <f t="shared" si="141"/>
        <v>1</v>
      </c>
      <c r="AC1045">
        <f t="shared" si="142"/>
        <v>0</v>
      </c>
      <c r="AD1045">
        <f t="shared" si="143"/>
        <v>2</v>
      </c>
      <c r="AE1045">
        <f t="shared" si="144"/>
        <v>3</v>
      </c>
      <c r="AF1045">
        <f t="shared" si="145"/>
        <v>3</v>
      </c>
      <c r="AG1045">
        <f t="shared" si="146"/>
        <v>9</v>
      </c>
      <c r="AH1045">
        <f t="shared" ca="1" si="148"/>
        <v>6.6900783633564004E-5</v>
      </c>
      <c r="AI1045">
        <f>IF(ROW($AA1045) - $AA$51 &lt; ($H$16+1)^5, IF(AG1045 &gt;= FreeSpinsBonus!$C$16, AG1045*FreeSpinsBonus!$E$31, 0), "")</f>
        <v>13.115709705625182</v>
      </c>
      <c r="AJ1045">
        <f t="shared" ca="1" si="147"/>
        <v>8.7745125721666573E-4</v>
      </c>
    </row>
    <row r="1046" spans="28:36" x14ac:dyDescent="0.3">
      <c r="AB1046">
        <f t="shared" si="141"/>
        <v>2</v>
      </c>
      <c r="AC1046">
        <f t="shared" si="142"/>
        <v>0</v>
      </c>
      <c r="AD1046">
        <f t="shared" si="143"/>
        <v>2</v>
      </c>
      <c r="AE1046">
        <f t="shared" si="144"/>
        <v>3</v>
      </c>
      <c r="AF1046">
        <f t="shared" si="145"/>
        <v>3</v>
      </c>
      <c r="AG1046">
        <f t="shared" si="146"/>
        <v>10</v>
      </c>
      <c r="AH1046">
        <f t="shared" ca="1" si="148"/>
        <v>3.5210938754507367E-5</v>
      </c>
      <c r="AI1046">
        <f>IF(ROW($AA1046) - $AA$51 &lt; ($H$16+1)^5, IF(AG1046 &gt;= FreeSpinsBonus!$C$16, AG1046*FreeSpinsBonus!$E$31, 0), "")</f>
        <v>14.57301078402798</v>
      </c>
      <c r="AJ1046">
        <f t="shared" ca="1" si="147"/>
        <v>5.1312939018518459E-4</v>
      </c>
    </row>
    <row r="1047" spans="28:36" x14ac:dyDescent="0.3">
      <c r="AB1047">
        <f t="shared" si="141"/>
        <v>3</v>
      </c>
      <c r="AC1047">
        <f t="shared" si="142"/>
        <v>0</v>
      </c>
      <c r="AD1047">
        <f t="shared" si="143"/>
        <v>2</v>
      </c>
      <c r="AE1047">
        <f t="shared" si="144"/>
        <v>3</v>
      </c>
      <c r="AF1047">
        <f t="shared" si="145"/>
        <v>3</v>
      </c>
      <c r="AG1047">
        <f t="shared" si="146"/>
        <v>11</v>
      </c>
      <c r="AH1047">
        <f t="shared" ca="1" si="148"/>
        <v>0</v>
      </c>
      <c r="AI1047">
        <f>IF(ROW($AA1047) - $AA$51 &lt; ($H$16+1)^5, IF(AG1047 &gt;= FreeSpinsBonus!$C$16, AG1047*FreeSpinsBonus!$E$31, 0), "")</f>
        <v>16.030311862430779</v>
      </c>
      <c r="AJ1047">
        <f t="shared" ca="1" si="147"/>
        <v>0</v>
      </c>
    </row>
    <row r="1048" spans="28:36" x14ac:dyDescent="0.3">
      <c r="AB1048">
        <f t="shared" si="141"/>
        <v>0</v>
      </c>
      <c r="AC1048">
        <f t="shared" si="142"/>
        <v>1</v>
      </c>
      <c r="AD1048">
        <f t="shared" si="143"/>
        <v>2</v>
      </c>
      <c r="AE1048">
        <f t="shared" si="144"/>
        <v>3</v>
      </c>
      <c r="AF1048">
        <f t="shared" si="145"/>
        <v>3</v>
      </c>
      <c r="AG1048">
        <f t="shared" si="146"/>
        <v>9</v>
      </c>
      <c r="AH1048">
        <f t="shared" ca="1" si="148"/>
        <v>6.337968975811326E-5</v>
      </c>
      <c r="AI1048">
        <f>IF(ROW($AA1048) - $AA$51 &lt; ($H$16+1)^5, IF(AG1048 &gt;= FreeSpinsBonus!$C$16, AG1048*FreeSpinsBonus!$E$31, 0), "")</f>
        <v>13.115709705625182</v>
      </c>
      <c r="AJ1048">
        <f t="shared" ca="1" si="147"/>
        <v>8.3126961209999909E-4</v>
      </c>
    </row>
    <row r="1049" spans="28:36" x14ac:dyDescent="0.3">
      <c r="AB1049">
        <f t="shared" si="141"/>
        <v>1</v>
      </c>
      <c r="AC1049">
        <f t="shared" si="142"/>
        <v>1</v>
      </c>
      <c r="AD1049">
        <f t="shared" si="143"/>
        <v>2</v>
      </c>
      <c r="AE1049">
        <f t="shared" si="144"/>
        <v>3</v>
      </c>
      <c r="AF1049">
        <f t="shared" si="145"/>
        <v>3</v>
      </c>
      <c r="AG1049">
        <f t="shared" si="146"/>
        <v>10</v>
      </c>
      <c r="AH1049">
        <f t="shared" ca="1" si="148"/>
        <v>6.6900783633564004E-5</v>
      </c>
      <c r="AI1049">
        <f>IF(ROW($AA1049) - $AA$51 &lt; ($H$16+1)^5, IF(AG1049 &gt;= FreeSpinsBonus!$C$16, AG1049*FreeSpinsBonus!$E$31, 0), "")</f>
        <v>14.57301078402798</v>
      </c>
      <c r="AJ1049">
        <f t="shared" ca="1" si="147"/>
        <v>9.7494584135185088E-4</v>
      </c>
    </row>
    <row r="1050" spans="28:36" x14ac:dyDescent="0.3">
      <c r="AB1050">
        <f t="shared" si="141"/>
        <v>2</v>
      </c>
      <c r="AC1050">
        <f t="shared" si="142"/>
        <v>1</v>
      </c>
      <c r="AD1050">
        <f t="shared" si="143"/>
        <v>2</v>
      </c>
      <c r="AE1050">
        <f t="shared" si="144"/>
        <v>3</v>
      </c>
      <c r="AF1050">
        <f t="shared" si="145"/>
        <v>3</v>
      </c>
      <c r="AG1050">
        <f t="shared" si="146"/>
        <v>11</v>
      </c>
      <c r="AH1050">
        <f t="shared" ca="1" si="148"/>
        <v>3.5210938754507367E-5</v>
      </c>
      <c r="AI1050">
        <f>IF(ROW($AA1050) - $AA$51 &lt; ($H$16+1)^5, IF(AG1050 &gt;= FreeSpinsBonus!$C$16, AG1050*FreeSpinsBonus!$E$31, 0), "")</f>
        <v>16.030311862430779</v>
      </c>
      <c r="AJ1050">
        <f t="shared" ca="1" si="147"/>
        <v>5.644423292037031E-4</v>
      </c>
    </row>
    <row r="1051" spans="28:36" x14ac:dyDescent="0.3">
      <c r="AB1051">
        <f t="shared" si="141"/>
        <v>3</v>
      </c>
      <c r="AC1051">
        <f t="shared" si="142"/>
        <v>1</v>
      </c>
      <c r="AD1051">
        <f t="shared" si="143"/>
        <v>2</v>
      </c>
      <c r="AE1051">
        <f t="shared" si="144"/>
        <v>3</v>
      </c>
      <c r="AF1051">
        <f t="shared" si="145"/>
        <v>3</v>
      </c>
      <c r="AG1051">
        <f t="shared" si="146"/>
        <v>12</v>
      </c>
      <c r="AH1051">
        <f t="shared" ca="1" si="148"/>
        <v>0</v>
      </c>
      <c r="AI1051">
        <f>IF(ROW($AA1051) - $AA$51 &lt; ($H$16+1)^5, IF(AG1051 &gt;= FreeSpinsBonus!$C$16, AG1051*FreeSpinsBonus!$E$31, 0), "")</f>
        <v>17.487612940833575</v>
      </c>
      <c r="AJ1051">
        <f t="shared" ca="1" si="147"/>
        <v>0</v>
      </c>
    </row>
    <row r="1052" spans="28:36" x14ac:dyDescent="0.3">
      <c r="AB1052">
        <f t="shared" si="141"/>
        <v>0</v>
      </c>
      <c r="AC1052">
        <f t="shared" si="142"/>
        <v>2</v>
      </c>
      <c r="AD1052">
        <f t="shared" si="143"/>
        <v>2</v>
      </c>
      <c r="AE1052">
        <f t="shared" si="144"/>
        <v>3</v>
      </c>
      <c r="AF1052">
        <f t="shared" si="145"/>
        <v>3</v>
      </c>
      <c r="AG1052">
        <f t="shared" si="146"/>
        <v>10</v>
      </c>
      <c r="AH1052">
        <f t="shared" ca="1" si="148"/>
        <v>6.337968975811326E-5</v>
      </c>
      <c r="AI1052">
        <f>IF(ROW($AA1052) - $AA$51 &lt; ($H$16+1)^5, IF(AG1052 &gt;= FreeSpinsBonus!$C$16, AG1052*FreeSpinsBonus!$E$31, 0), "")</f>
        <v>14.57301078402798</v>
      </c>
      <c r="AJ1052">
        <f t="shared" ca="1" si="147"/>
        <v>9.2363290233333226E-4</v>
      </c>
    </row>
    <row r="1053" spans="28:36" x14ac:dyDescent="0.3">
      <c r="AB1053">
        <f t="shared" si="141"/>
        <v>1</v>
      </c>
      <c r="AC1053">
        <f t="shared" si="142"/>
        <v>2</v>
      </c>
      <c r="AD1053">
        <f t="shared" si="143"/>
        <v>2</v>
      </c>
      <c r="AE1053">
        <f t="shared" si="144"/>
        <v>3</v>
      </c>
      <c r="AF1053">
        <f t="shared" si="145"/>
        <v>3</v>
      </c>
      <c r="AG1053">
        <f t="shared" si="146"/>
        <v>11</v>
      </c>
      <c r="AH1053">
        <f t="shared" ca="1" si="148"/>
        <v>6.6900783633564004E-5</v>
      </c>
      <c r="AI1053">
        <f>IF(ROW($AA1053) - $AA$51 &lt; ($H$16+1)^5, IF(AG1053 &gt;= FreeSpinsBonus!$C$16, AG1053*FreeSpinsBonus!$E$31, 0), "")</f>
        <v>16.030311862430779</v>
      </c>
      <c r="AJ1053">
        <f t="shared" ca="1" si="147"/>
        <v>1.072440425487036E-3</v>
      </c>
    </row>
    <row r="1054" spans="28:36" x14ac:dyDescent="0.3">
      <c r="AB1054">
        <f t="shared" si="141"/>
        <v>2</v>
      </c>
      <c r="AC1054">
        <f t="shared" si="142"/>
        <v>2</v>
      </c>
      <c r="AD1054">
        <f t="shared" si="143"/>
        <v>2</v>
      </c>
      <c r="AE1054">
        <f t="shared" si="144"/>
        <v>3</v>
      </c>
      <c r="AF1054">
        <f t="shared" si="145"/>
        <v>3</v>
      </c>
      <c r="AG1054">
        <f t="shared" si="146"/>
        <v>12</v>
      </c>
      <c r="AH1054">
        <f t="shared" ca="1" si="148"/>
        <v>3.5210938754507367E-5</v>
      </c>
      <c r="AI1054">
        <f>IF(ROW($AA1054) - $AA$51 &lt; ($H$16+1)^5, IF(AG1054 &gt;= FreeSpinsBonus!$C$16, AG1054*FreeSpinsBonus!$E$31, 0), "")</f>
        <v>17.487612940833575</v>
      </c>
      <c r="AJ1054">
        <f t="shared" ca="1" si="147"/>
        <v>6.1575526822222151E-4</v>
      </c>
    </row>
    <row r="1055" spans="28:36" x14ac:dyDescent="0.3">
      <c r="AB1055">
        <f t="shared" si="141"/>
        <v>3</v>
      </c>
      <c r="AC1055">
        <f t="shared" si="142"/>
        <v>2</v>
      </c>
      <c r="AD1055">
        <f t="shared" si="143"/>
        <v>2</v>
      </c>
      <c r="AE1055">
        <f t="shared" si="144"/>
        <v>3</v>
      </c>
      <c r="AF1055">
        <f t="shared" si="145"/>
        <v>3</v>
      </c>
      <c r="AG1055">
        <f t="shared" si="146"/>
        <v>13</v>
      </c>
      <c r="AH1055">
        <f t="shared" ca="1" si="148"/>
        <v>0</v>
      </c>
      <c r="AI1055">
        <f>IF(ROW($AA1055) - $AA$51 &lt; ($H$16+1)^5, IF(AG1055 &gt;= FreeSpinsBonus!$C$16, AG1055*FreeSpinsBonus!$E$31, 0), "")</f>
        <v>18.944914019236375</v>
      </c>
      <c r="AJ1055">
        <f t="shared" ca="1" si="147"/>
        <v>0</v>
      </c>
    </row>
    <row r="1056" spans="28:36" x14ac:dyDescent="0.3">
      <c r="AB1056">
        <f t="shared" si="141"/>
        <v>0</v>
      </c>
      <c r="AC1056">
        <f t="shared" si="142"/>
        <v>3</v>
      </c>
      <c r="AD1056">
        <f t="shared" si="143"/>
        <v>2</v>
      </c>
      <c r="AE1056">
        <f t="shared" si="144"/>
        <v>3</v>
      </c>
      <c r="AF1056">
        <f t="shared" si="145"/>
        <v>3</v>
      </c>
      <c r="AG1056">
        <f t="shared" si="146"/>
        <v>11</v>
      </c>
      <c r="AH1056">
        <f t="shared" ca="1" si="148"/>
        <v>2.2369302267569392E-5</v>
      </c>
      <c r="AI1056">
        <f>IF(ROW($AA1056) - $AA$51 &lt; ($H$16+1)^5, IF(AG1056 &gt;= FreeSpinsBonus!$C$16, AG1056*FreeSpinsBonus!$E$31, 0), "")</f>
        <v>16.030311862430779</v>
      </c>
      <c r="AJ1056">
        <f t="shared" ca="1" si="147"/>
        <v>3.5858689149411734E-4</v>
      </c>
    </row>
    <row r="1057" spans="28:36" x14ac:dyDescent="0.3">
      <c r="AB1057">
        <f t="shared" si="141"/>
        <v>1</v>
      </c>
      <c r="AC1057">
        <f t="shared" si="142"/>
        <v>3</v>
      </c>
      <c r="AD1057">
        <f t="shared" si="143"/>
        <v>2</v>
      </c>
      <c r="AE1057">
        <f t="shared" si="144"/>
        <v>3</v>
      </c>
      <c r="AF1057">
        <f t="shared" si="145"/>
        <v>3</v>
      </c>
      <c r="AG1057">
        <f t="shared" si="146"/>
        <v>12</v>
      </c>
      <c r="AH1057">
        <f t="shared" ca="1" si="148"/>
        <v>2.3612041282434357E-5</v>
      </c>
      <c r="AI1057">
        <f>IF(ROW($AA1057) - $AA$51 &lt; ($H$16+1)^5, IF(AG1057 &gt;= FreeSpinsBonus!$C$16, AG1057*FreeSpinsBonus!$E$31, 0), "")</f>
        <v>17.487612940833575</v>
      </c>
      <c r="AJ1057">
        <f t="shared" ca="1" si="147"/>
        <v>4.1291823869019567E-4</v>
      </c>
    </row>
    <row r="1058" spans="28:36" x14ac:dyDescent="0.3">
      <c r="AB1058">
        <f t="shared" si="141"/>
        <v>2</v>
      </c>
      <c r="AC1058">
        <f t="shared" si="142"/>
        <v>3</v>
      </c>
      <c r="AD1058">
        <f t="shared" si="143"/>
        <v>2</v>
      </c>
      <c r="AE1058">
        <f t="shared" si="144"/>
        <v>3</v>
      </c>
      <c r="AF1058">
        <f t="shared" si="145"/>
        <v>3</v>
      </c>
      <c r="AG1058">
        <f t="shared" si="146"/>
        <v>13</v>
      </c>
      <c r="AH1058">
        <f t="shared" ca="1" si="148"/>
        <v>1.2427390148649659E-5</v>
      </c>
      <c r="AI1058">
        <f>IF(ROW($AA1058) - $AA$51 &lt; ($H$16+1)^5, IF(AG1058 &gt;= FreeSpinsBonus!$C$16, AG1058*FreeSpinsBonus!$E$31, 0), "")</f>
        <v>18.944914019236375</v>
      </c>
      <c r="AJ1058">
        <f t="shared" ca="1" si="147"/>
        <v>2.3543583784967295E-4</v>
      </c>
    </row>
    <row r="1059" spans="28:36" x14ac:dyDescent="0.3">
      <c r="AB1059">
        <f t="shared" si="141"/>
        <v>3</v>
      </c>
      <c r="AC1059">
        <f t="shared" si="142"/>
        <v>3</v>
      </c>
      <c r="AD1059">
        <f t="shared" si="143"/>
        <v>2</v>
      </c>
      <c r="AE1059">
        <f t="shared" si="144"/>
        <v>3</v>
      </c>
      <c r="AF1059">
        <f t="shared" si="145"/>
        <v>3</v>
      </c>
      <c r="AG1059">
        <f t="shared" si="146"/>
        <v>14</v>
      </c>
      <c r="AH1059">
        <f t="shared" ca="1" si="148"/>
        <v>0</v>
      </c>
      <c r="AI1059">
        <f>IF(ROW($AA1059) - $AA$51 &lt; ($H$16+1)^5, IF(AG1059 &gt;= FreeSpinsBonus!$C$16, AG1059*FreeSpinsBonus!$E$31, 0), "")</f>
        <v>20.402215097639171</v>
      </c>
      <c r="AJ1059">
        <f t="shared" ca="1" si="147"/>
        <v>0</v>
      </c>
    </row>
    <row r="1060" spans="28:36" x14ac:dyDescent="0.3">
      <c r="AB1060">
        <f t="shared" si="141"/>
        <v>0</v>
      </c>
      <c r="AC1060">
        <f t="shared" si="142"/>
        <v>0</v>
      </c>
      <c r="AD1060">
        <f t="shared" si="143"/>
        <v>3</v>
      </c>
      <c r="AE1060">
        <f t="shared" si="144"/>
        <v>3</v>
      </c>
      <c r="AF1060">
        <f t="shared" si="145"/>
        <v>3</v>
      </c>
      <c r="AG1060">
        <f t="shared" si="146"/>
        <v>9</v>
      </c>
      <c r="AH1060">
        <f t="shared" ca="1" si="148"/>
        <v>5.761789978010296E-6</v>
      </c>
      <c r="AI1060">
        <f>IF(ROW($AA1060) - $AA$51 &lt; ($H$16+1)^5, IF(AG1060 &gt;= FreeSpinsBonus!$C$16, AG1060*FreeSpinsBonus!$E$31, 0), "")</f>
        <v>13.115709705625182</v>
      </c>
      <c r="AJ1060">
        <f t="shared" ca="1" si="147"/>
        <v>7.5569964736363544E-5</v>
      </c>
    </row>
    <row r="1061" spans="28:36" x14ac:dyDescent="0.3">
      <c r="AB1061">
        <f t="shared" si="141"/>
        <v>1</v>
      </c>
      <c r="AC1061">
        <f t="shared" si="142"/>
        <v>0</v>
      </c>
      <c r="AD1061">
        <f t="shared" si="143"/>
        <v>3</v>
      </c>
      <c r="AE1061">
        <f t="shared" si="144"/>
        <v>3</v>
      </c>
      <c r="AF1061">
        <f t="shared" si="145"/>
        <v>3</v>
      </c>
      <c r="AG1061">
        <f t="shared" si="146"/>
        <v>10</v>
      </c>
      <c r="AH1061">
        <f t="shared" ca="1" si="148"/>
        <v>6.0818894212330897E-6</v>
      </c>
      <c r="AI1061">
        <f>IF(ROW($AA1061) - $AA$51 &lt; ($H$16+1)^5, IF(AG1061 &gt;= FreeSpinsBonus!$C$16, AG1061*FreeSpinsBonus!$E$31, 0), "")</f>
        <v>14.57301078402798</v>
      </c>
      <c r="AJ1061">
        <f t="shared" ca="1" si="147"/>
        <v>8.8631440122895512E-5</v>
      </c>
    </row>
    <row r="1062" spans="28:36" x14ac:dyDescent="0.3">
      <c r="AB1062">
        <f t="shared" si="141"/>
        <v>2</v>
      </c>
      <c r="AC1062">
        <f t="shared" si="142"/>
        <v>0</v>
      </c>
      <c r="AD1062">
        <f t="shared" si="143"/>
        <v>3</v>
      </c>
      <c r="AE1062">
        <f t="shared" si="144"/>
        <v>3</v>
      </c>
      <c r="AF1062">
        <f t="shared" si="145"/>
        <v>3</v>
      </c>
      <c r="AG1062">
        <f t="shared" si="146"/>
        <v>11</v>
      </c>
      <c r="AH1062">
        <f t="shared" ca="1" si="148"/>
        <v>3.200994432227943E-6</v>
      </c>
      <c r="AI1062">
        <f>IF(ROW($AA1062) - $AA$51 &lt; ($H$16+1)^5, IF(AG1062 &gt;= FreeSpinsBonus!$C$16, AG1062*FreeSpinsBonus!$E$31, 0), "")</f>
        <v>16.030311862430779</v>
      </c>
      <c r="AJ1062">
        <f t="shared" ca="1" si="147"/>
        <v>5.1312939018518466E-5</v>
      </c>
    </row>
    <row r="1063" spans="28:36" x14ac:dyDescent="0.3">
      <c r="AB1063">
        <f t="shared" si="141"/>
        <v>3</v>
      </c>
      <c r="AC1063">
        <f t="shared" si="142"/>
        <v>0</v>
      </c>
      <c r="AD1063">
        <f t="shared" si="143"/>
        <v>3</v>
      </c>
      <c r="AE1063">
        <f t="shared" si="144"/>
        <v>3</v>
      </c>
      <c r="AF1063">
        <f t="shared" si="145"/>
        <v>3</v>
      </c>
      <c r="AG1063">
        <f t="shared" si="146"/>
        <v>12</v>
      </c>
      <c r="AH1063">
        <f t="shared" ca="1" si="148"/>
        <v>0</v>
      </c>
      <c r="AI1063">
        <f>IF(ROW($AA1063) - $AA$51 &lt; ($H$16+1)^5, IF(AG1063 &gt;= FreeSpinsBonus!$C$16, AG1063*FreeSpinsBonus!$E$31, 0), "")</f>
        <v>17.487612940833575</v>
      </c>
      <c r="AJ1063">
        <f t="shared" ca="1" si="147"/>
        <v>0</v>
      </c>
    </row>
    <row r="1064" spans="28:36" x14ac:dyDescent="0.3">
      <c r="AB1064">
        <f t="shared" si="141"/>
        <v>0</v>
      </c>
      <c r="AC1064">
        <f t="shared" si="142"/>
        <v>1</v>
      </c>
      <c r="AD1064">
        <f t="shared" si="143"/>
        <v>3</v>
      </c>
      <c r="AE1064">
        <f t="shared" si="144"/>
        <v>3</v>
      </c>
      <c r="AF1064">
        <f t="shared" si="145"/>
        <v>3</v>
      </c>
      <c r="AG1064">
        <f t="shared" si="146"/>
        <v>10</v>
      </c>
      <c r="AH1064">
        <f t="shared" ca="1" si="148"/>
        <v>5.761789978010296E-6</v>
      </c>
      <c r="AI1064">
        <f>IF(ROW($AA1064) - $AA$51 &lt; ($H$16+1)^5, IF(AG1064 &gt;= FreeSpinsBonus!$C$16, AG1064*FreeSpinsBonus!$E$31, 0), "")</f>
        <v>14.57301078402798</v>
      </c>
      <c r="AJ1064">
        <f t="shared" ca="1" si="147"/>
        <v>8.3966627484848385E-5</v>
      </c>
    </row>
    <row r="1065" spans="28:36" x14ac:dyDescent="0.3">
      <c r="AB1065">
        <f t="shared" si="141"/>
        <v>1</v>
      </c>
      <c r="AC1065">
        <f t="shared" si="142"/>
        <v>1</v>
      </c>
      <c r="AD1065">
        <f t="shared" si="143"/>
        <v>3</v>
      </c>
      <c r="AE1065">
        <f t="shared" si="144"/>
        <v>3</v>
      </c>
      <c r="AF1065">
        <f t="shared" si="145"/>
        <v>3</v>
      </c>
      <c r="AG1065">
        <f t="shared" si="146"/>
        <v>11</v>
      </c>
      <c r="AH1065">
        <f t="shared" ca="1" si="148"/>
        <v>6.0818894212330897E-6</v>
      </c>
      <c r="AI1065">
        <f>IF(ROW($AA1065) - $AA$51 &lt; ($H$16+1)^5, IF(AG1065 &gt;= FreeSpinsBonus!$C$16, AG1065*FreeSpinsBonus!$E$31, 0), "")</f>
        <v>16.030311862430779</v>
      </c>
      <c r="AJ1065">
        <f t="shared" ca="1" si="147"/>
        <v>9.7494584135185059E-5</v>
      </c>
    </row>
    <row r="1066" spans="28:36" x14ac:dyDescent="0.3">
      <c r="AB1066">
        <f t="shared" si="141"/>
        <v>2</v>
      </c>
      <c r="AC1066">
        <f t="shared" si="142"/>
        <v>1</v>
      </c>
      <c r="AD1066">
        <f t="shared" si="143"/>
        <v>3</v>
      </c>
      <c r="AE1066">
        <f t="shared" si="144"/>
        <v>3</v>
      </c>
      <c r="AF1066">
        <f t="shared" si="145"/>
        <v>3</v>
      </c>
      <c r="AG1066">
        <f t="shared" si="146"/>
        <v>12</v>
      </c>
      <c r="AH1066">
        <f t="shared" ca="1" si="148"/>
        <v>3.200994432227943E-6</v>
      </c>
      <c r="AI1066">
        <f>IF(ROW($AA1066) - $AA$51 &lt; ($H$16+1)^5, IF(AG1066 &gt;= FreeSpinsBonus!$C$16, AG1066*FreeSpinsBonus!$E$31, 0), "")</f>
        <v>17.487612940833575</v>
      </c>
      <c r="AJ1066">
        <f t="shared" ca="1" si="147"/>
        <v>5.5977751656565599E-5</v>
      </c>
    </row>
    <row r="1067" spans="28:36" x14ac:dyDescent="0.3">
      <c r="AB1067">
        <f t="shared" si="141"/>
        <v>3</v>
      </c>
      <c r="AC1067">
        <f t="shared" si="142"/>
        <v>1</v>
      </c>
      <c r="AD1067">
        <f t="shared" si="143"/>
        <v>3</v>
      </c>
      <c r="AE1067">
        <f t="shared" si="144"/>
        <v>3</v>
      </c>
      <c r="AF1067">
        <f t="shared" si="145"/>
        <v>3</v>
      </c>
      <c r="AG1067">
        <f t="shared" si="146"/>
        <v>13</v>
      </c>
      <c r="AH1067">
        <f t="shared" ca="1" si="148"/>
        <v>0</v>
      </c>
      <c r="AI1067">
        <f>IF(ROW($AA1067) - $AA$51 &lt; ($H$16+1)^5, IF(AG1067 &gt;= FreeSpinsBonus!$C$16, AG1067*FreeSpinsBonus!$E$31, 0), "")</f>
        <v>18.944914019236375</v>
      </c>
      <c r="AJ1067">
        <f t="shared" ca="1" si="147"/>
        <v>0</v>
      </c>
    </row>
    <row r="1068" spans="28:36" x14ac:dyDescent="0.3">
      <c r="AB1068">
        <f t="shared" si="141"/>
        <v>0</v>
      </c>
      <c r="AC1068">
        <f t="shared" si="142"/>
        <v>2</v>
      </c>
      <c r="AD1068">
        <f t="shared" si="143"/>
        <v>3</v>
      </c>
      <c r="AE1068">
        <f t="shared" si="144"/>
        <v>3</v>
      </c>
      <c r="AF1068">
        <f t="shared" si="145"/>
        <v>3</v>
      </c>
      <c r="AG1068">
        <f t="shared" si="146"/>
        <v>11</v>
      </c>
      <c r="AH1068">
        <f t="shared" ca="1" si="148"/>
        <v>5.761789978010296E-6</v>
      </c>
      <c r="AI1068">
        <f>IF(ROW($AA1068) - $AA$51 &lt; ($H$16+1)^5, IF(AG1068 &gt;= FreeSpinsBonus!$C$16, AG1068*FreeSpinsBonus!$E$31, 0), "")</f>
        <v>16.030311862430779</v>
      </c>
      <c r="AJ1068">
        <f t="shared" ca="1" si="147"/>
        <v>9.2363290233333226E-5</v>
      </c>
    </row>
    <row r="1069" spans="28:36" x14ac:dyDescent="0.3">
      <c r="AB1069">
        <f t="shared" si="141"/>
        <v>1</v>
      </c>
      <c r="AC1069">
        <f t="shared" si="142"/>
        <v>2</v>
      </c>
      <c r="AD1069">
        <f t="shared" si="143"/>
        <v>3</v>
      </c>
      <c r="AE1069">
        <f t="shared" si="144"/>
        <v>3</v>
      </c>
      <c r="AF1069">
        <f t="shared" si="145"/>
        <v>3</v>
      </c>
      <c r="AG1069">
        <f t="shared" si="146"/>
        <v>12</v>
      </c>
      <c r="AH1069">
        <f t="shared" ca="1" si="148"/>
        <v>6.0818894212330897E-6</v>
      </c>
      <c r="AI1069">
        <f>IF(ROW($AA1069) - $AA$51 &lt; ($H$16+1)^5, IF(AG1069 &gt;= FreeSpinsBonus!$C$16, AG1069*FreeSpinsBonus!$E$31, 0), "")</f>
        <v>17.487612940833575</v>
      </c>
      <c r="AJ1069">
        <f t="shared" ca="1" si="147"/>
        <v>1.0635772814747461E-4</v>
      </c>
    </row>
    <row r="1070" spans="28:36" x14ac:dyDescent="0.3">
      <c r="AB1070">
        <f t="shared" si="141"/>
        <v>2</v>
      </c>
      <c r="AC1070">
        <f t="shared" si="142"/>
        <v>2</v>
      </c>
      <c r="AD1070">
        <f t="shared" si="143"/>
        <v>3</v>
      </c>
      <c r="AE1070">
        <f t="shared" si="144"/>
        <v>3</v>
      </c>
      <c r="AF1070">
        <f t="shared" si="145"/>
        <v>3</v>
      </c>
      <c r="AG1070">
        <f t="shared" si="146"/>
        <v>13</v>
      </c>
      <c r="AH1070">
        <f t="shared" ca="1" si="148"/>
        <v>3.200994432227943E-6</v>
      </c>
      <c r="AI1070">
        <f>IF(ROW($AA1070) - $AA$51 &lt; ($H$16+1)^5, IF(AG1070 &gt;= FreeSpinsBonus!$C$16, AG1070*FreeSpinsBonus!$E$31, 0), "")</f>
        <v>18.944914019236375</v>
      </c>
      <c r="AJ1070">
        <f t="shared" ca="1" si="147"/>
        <v>6.0642564294612739E-5</v>
      </c>
    </row>
    <row r="1071" spans="28:36" x14ac:dyDescent="0.3">
      <c r="AB1071">
        <f t="shared" si="141"/>
        <v>3</v>
      </c>
      <c r="AC1071">
        <f t="shared" si="142"/>
        <v>2</v>
      </c>
      <c r="AD1071">
        <f t="shared" si="143"/>
        <v>3</v>
      </c>
      <c r="AE1071">
        <f t="shared" si="144"/>
        <v>3</v>
      </c>
      <c r="AF1071">
        <f t="shared" si="145"/>
        <v>3</v>
      </c>
      <c r="AG1071">
        <f t="shared" si="146"/>
        <v>14</v>
      </c>
      <c r="AH1071">
        <f t="shared" ca="1" si="148"/>
        <v>0</v>
      </c>
      <c r="AI1071">
        <f>IF(ROW($AA1071) - $AA$51 &lt; ($H$16+1)^5, IF(AG1071 &gt;= FreeSpinsBonus!$C$16, AG1071*FreeSpinsBonus!$E$31, 0), "")</f>
        <v>20.402215097639171</v>
      </c>
      <c r="AJ1071">
        <f t="shared" ca="1" si="147"/>
        <v>0</v>
      </c>
    </row>
    <row r="1072" spans="28:36" x14ac:dyDescent="0.3">
      <c r="AB1072">
        <f t="shared" si="141"/>
        <v>0</v>
      </c>
      <c r="AC1072">
        <f t="shared" si="142"/>
        <v>3</v>
      </c>
      <c r="AD1072">
        <f t="shared" si="143"/>
        <v>3</v>
      </c>
      <c r="AE1072">
        <f t="shared" si="144"/>
        <v>3</v>
      </c>
      <c r="AF1072">
        <f t="shared" si="145"/>
        <v>3</v>
      </c>
      <c r="AG1072">
        <f t="shared" si="146"/>
        <v>12</v>
      </c>
      <c r="AH1072">
        <f t="shared" ca="1" si="148"/>
        <v>2.0335729334153992E-6</v>
      </c>
      <c r="AI1072">
        <f>IF(ROW($AA1072) - $AA$51 &lt; ($H$16+1)^5, IF(AG1072 &gt;= FreeSpinsBonus!$C$16, AG1072*FreeSpinsBonus!$E$31, 0), "")</f>
        <v>17.487612940833575</v>
      </c>
      <c r="AJ1072">
        <f t="shared" ca="1" si="147"/>
        <v>3.5562336346524027E-5</v>
      </c>
    </row>
    <row r="1073" spans="28:36" x14ac:dyDescent="0.3">
      <c r="AB1073">
        <f t="shared" si="141"/>
        <v>1</v>
      </c>
      <c r="AC1073">
        <f t="shared" si="142"/>
        <v>3</v>
      </c>
      <c r="AD1073">
        <f t="shared" si="143"/>
        <v>3</v>
      </c>
      <c r="AE1073">
        <f t="shared" si="144"/>
        <v>3</v>
      </c>
      <c r="AF1073">
        <f t="shared" si="145"/>
        <v>3</v>
      </c>
      <c r="AG1073">
        <f t="shared" si="146"/>
        <v>13</v>
      </c>
      <c r="AH1073">
        <f t="shared" ca="1" si="148"/>
        <v>2.146549207494032E-6</v>
      </c>
      <c r="AI1073">
        <f>IF(ROW($AA1073) - $AA$51 &lt; ($H$16+1)^5, IF(AG1073 &gt;= FreeSpinsBonus!$C$16, AG1073*FreeSpinsBonus!$E$31, 0), "")</f>
        <v>18.944914019236375</v>
      </c>
      <c r="AJ1073">
        <f t="shared" ca="1" si="147"/>
        <v>4.0666190174034418E-5</v>
      </c>
    </row>
    <row r="1074" spans="28:36" x14ac:dyDescent="0.3">
      <c r="AB1074">
        <f t="shared" si="141"/>
        <v>2</v>
      </c>
      <c r="AC1074">
        <f t="shared" si="142"/>
        <v>3</v>
      </c>
      <c r="AD1074">
        <f t="shared" si="143"/>
        <v>3</v>
      </c>
      <c r="AE1074">
        <f t="shared" si="144"/>
        <v>3</v>
      </c>
      <c r="AF1074">
        <f t="shared" si="145"/>
        <v>3</v>
      </c>
      <c r="AG1074">
        <f t="shared" si="146"/>
        <v>14</v>
      </c>
      <c r="AH1074">
        <f t="shared" ca="1" si="148"/>
        <v>1.1297627407863328E-6</v>
      </c>
      <c r="AI1074">
        <f>IF(ROW($AA1074) - $AA$51 &lt; ($H$16+1)^5, IF(AG1074 &gt;= FreeSpinsBonus!$C$16, AG1074*FreeSpinsBonus!$E$31, 0), "")</f>
        <v>20.402215097639171</v>
      </c>
      <c r="AJ1074">
        <f t="shared" ca="1" si="147"/>
        <v>2.3049662446821128E-5</v>
      </c>
    </row>
    <row r="1075" spans="28:36" x14ac:dyDescent="0.3">
      <c r="AB1075">
        <f t="shared" si="141"/>
        <v>3</v>
      </c>
      <c r="AC1075">
        <f t="shared" si="142"/>
        <v>3</v>
      </c>
      <c r="AD1075">
        <f t="shared" si="143"/>
        <v>3</v>
      </c>
      <c r="AE1075">
        <f t="shared" si="144"/>
        <v>3</v>
      </c>
      <c r="AF1075">
        <f t="shared" si="145"/>
        <v>3</v>
      </c>
      <c r="AG1075">
        <f t="shared" si="146"/>
        <v>15</v>
      </c>
      <c r="AH1075">
        <f t="shared" ca="1" si="148"/>
        <v>0</v>
      </c>
      <c r="AI1075">
        <f>IF(ROW($AA1075) - $AA$51 &lt; ($H$16+1)^5, IF(AG1075 &gt;= FreeSpinsBonus!$C$16, AG1075*FreeSpinsBonus!$E$31, 0), "")</f>
        <v>21.859516176041971</v>
      </c>
      <c r="AJ1075">
        <f t="shared" ca="1" si="147"/>
        <v>0</v>
      </c>
    </row>
    <row r="1076" spans="28:36" x14ac:dyDescent="0.3">
      <c r="AB1076" t="str">
        <f t="shared" ref="AB1076:AB1139" si="149">IF(ROW()-$AA$51 &lt; (H$16+1)^5, MOD(_xlfn.FLOOR.MATH((ROW()-$AA$51)/AB$50), H$16+1), "")</f>
        <v/>
      </c>
      <c r="AC1076" t="str">
        <f t="shared" ref="AC1076:AC1139" si="150">IF(ROW()-$AA$51 &lt; (I$16+1)^5, MOD(_xlfn.FLOOR.MATH((ROW()-$AA$51)/AC$50), I$16+1), "")</f>
        <v/>
      </c>
      <c r="AD1076" t="str">
        <f t="shared" ref="AD1076:AD1139" si="151">IF(ROW()-$AA$51 &lt; (J$16+1)^5, MOD(_xlfn.FLOOR.MATH((ROW()-$AA$51)/AD$50), J$16+1), "")</f>
        <v/>
      </c>
      <c r="AE1076" t="str">
        <f t="shared" ref="AE1076:AE1139" si="152">IF(ROW()-$AA$51 &lt; (K$16+1)^5, MOD(_xlfn.FLOOR.MATH((ROW()-$AA$51)/AE$50), K$16+1), "")</f>
        <v/>
      </c>
      <c r="AF1076" t="str">
        <f t="shared" ref="AF1076:AF1139" si="153">IF(ROW()-$AA$51 &lt; (L$16+1)^5, MOD(_xlfn.FLOOR.MATH((ROW()-$AA$51)/AF$50), L$16+1), "")</f>
        <v/>
      </c>
      <c r="AI1076" t="str">
        <f>IF(ROW($AA1076) - $AA$51 &lt; ($H$16+1)^5, IF(AG1076 &gt;= FreeSpinsBonus!$C$16, AG1076*FreeSpinsBonus!$E$31, 0), "")</f>
        <v/>
      </c>
    </row>
    <row r="1077" spans="28:36" x14ac:dyDescent="0.3">
      <c r="AB1077" t="str">
        <f t="shared" si="149"/>
        <v/>
      </c>
      <c r="AC1077" t="str">
        <f t="shared" si="150"/>
        <v/>
      </c>
      <c r="AD1077" t="str">
        <f t="shared" si="151"/>
        <v/>
      </c>
      <c r="AE1077" t="str">
        <f t="shared" si="152"/>
        <v/>
      </c>
      <c r="AF1077" t="str">
        <f t="shared" si="153"/>
        <v/>
      </c>
      <c r="AI1077" t="str">
        <f>IF(ROW($AA1077) - $AA$51 &lt; ($H$16+1)^5, IF(AG1077 &gt;= FreeSpinsBonus!$C$16, AG1077*FreeSpinsBonus!$E$31, 0), "")</f>
        <v/>
      </c>
    </row>
    <row r="1078" spans="28:36" x14ac:dyDescent="0.3">
      <c r="AB1078" t="str">
        <f t="shared" si="149"/>
        <v/>
      </c>
      <c r="AC1078" t="str">
        <f t="shared" si="150"/>
        <v/>
      </c>
      <c r="AD1078" t="str">
        <f t="shared" si="151"/>
        <v/>
      </c>
      <c r="AE1078" t="str">
        <f t="shared" si="152"/>
        <v/>
      </c>
      <c r="AF1078" t="str">
        <f t="shared" si="153"/>
        <v/>
      </c>
      <c r="AI1078" t="str">
        <f>IF(ROW($AA1078) - $AA$51 &lt; ($H$16+1)^5, IF(AG1078 &gt;= FreeSpinsBonus!$C$16, AG1078*FreeSpinsBonus!$E$31, 0), "")</f>
        <v/>
      </c>
    </row>
    <row r="1079" spans="28:36" x14ac:dyDescent="0.3">
      <c r="AB1079" t="str">
        <f t="shared" si="149"/>
        <v/>
      </c>
      <c r="AC1079" t="str">
        <f t="shared" si="150"/>
        <v/>
      </c>
      <c r="AD1079" t="str">
        <f t="shared" si="151"/>
        <v/>
      </c>
      <c r="AE1079" t="str">
        <f t="shared" si="152"/>
        <v/>
      </c>
      <c r="AF1079" t="str">
        <f t="shared" si="153"/>
        <v/>
      </c>
      <c r="AI1079" t="str">
        <f>IF(ROW($AA1079) - $AA$51 &lt; ($H$16+1)^5, IF(AG1079 &gt;= FreeSpinsBonus!$C$16, AG1079*FreeSpinsBonus!$E$31, 0), "")</f>
        <v/>
      </c>
    </row>
    <row r="1080" spans="28:36" x14ac:dyDescent="0.3">
      <c r="AB1080" t="str">
        <f t="shared" si="149"/>
        <v/>
      </c>
      <c r="AC1080" t="str">
        <f t="shared" si="150"/>
        <v/>
      </c>
      <c r="AD1080" t="str">
        <f t="shared" si="151"/>
        <v/>
      </c>
      <c r="AE1080" t="str">
        <f t="shared" si="152"/>
        <v/>
      </c>
      <c r="AF1080" t="str">
        <f t="shared" si="153"/>
        <v/>
      </c>
      <c r="AI1080" t="str">
        <f>IF(ROW($AA1080) - $AA$51 &lt; ($H$16+1)^5, IF(AG1080 &gt;= FreeSpinsBonus!$C$16, AG1080*FreeSpinsBonus!$E$31, 0), "")</f>
        <v/>
      </c>
    </row>
    <row r="1081" spans="28:36" x14ac:dyDescent="0.3">
      <c r="AB1081" t="str">
        <f t="shared" si="149"/>
        <v/>
      </c>
      <c r="AC1081" t="str">
        <f t="shared" si="150"/>
        <v/>
      </c>
      <c r="AD1081" t="str">
        <f t="shared" si="151"/>
        <v/>
      </c>
      <c r="AE1081" t="str">
        <f t="shared" si="152"/>
        <v/>
      </c>
      <c r="AF1081" t="str">
        <f t="shared" si="153"/>
        <v/>
      </c>
      <c r="AI1081" t="str">
        <f>IF(ROW($AA1081) - $AA$51 &lt; ($H$16+1)^5, IF(AG1081 &gt;= FreeSpinsBonus!$C$16, AG1081*FreeSpinsBonus!$E$31, 0), "")</f>
        <v/>
      </c>
    </row>
    <row r="1082" spans="28:36" x14ac:dyDescent="0.3">
      <c r="AB1082" t="str">
        <f t="shared" si="149"/>
        <v/>
      </c>
      <c r="AC1082" t="str">
        <f t="shared" si="150"/>
        <v/>
      </c>
      <c r="AD1082" t="str">
        <f t="shared" si="151"/>
        <v/>
      </c>
      <c r="AE1082" t="str">
        <f t="shared" si="152"/>
        <v/>
      </c>
      <c r="AF1082" t="str">
        <f t="shared" si="153"/>
        <v/>
      </c>
      <c r="AI1082" t="str">
        <f>IF(ROW($AA1082) - $AA$51 &lt; ($H$16+1)^5, IF(AG1082 &gt;= FreeSpinsBonus!$C$16, AG1082*FreeSpinsBonus!$E$31, 0), "")</f>
        <v/>
      </c>
    </row>
    <row r="1083" spans="28:36" x14ac:dyDescent="0.3">
      <c r="AB1083" t="str">
        <f t="shared" si="149"/>
        <v/>
      </c>
      <c r="AC1083" t="str">
        <f t="shared" si="150"/>
        <v/>
      </c>
      <c r="AD1083" t="str">
        <f t="shared" si="151"/>
        <v/>
      </c>
      <c r="AE1083" t="str">
        <f t="shared" si="152"/>
        <v/>
      </c>
      <c r="AF1083" t="str">
        <f t="shared" si="153"/>
        <v/>
      </c>
      <c r="AI1083" t="str">
        <f>IF(ROW($AA1083) - $AA$51 &lt; ($H$16+1)^5, IF(AG1083 &gt;= FreeSpinsBonus!$C$16, AG1083*FreeSpinsBonus!$E$31, 0), "")</f>
        <v/>
      </c>
    </row>
    <row r="1084" spans="28:36" x14ac:dyDescent="0.3">
      <c r="AB1084" t="str">
        <f t="shared" si="149"/>
        <v/>
      </c>
      <c r="AC1084" t="str">
        <f t="shared" si="150"/>
        <v/>
      </c>
      <c r="AD1084" t="str">
        <f t="shared" si="151"/>
        <v/>
      </c>
      <c r="AE1084" t="str">
        <f t="shared" si="152"/>
        <v/>
      </c>
      <c r="AF1084" t="str">
        <f t="shared" si="153"/>
        <v/>
      </c>
      <c r="AI1084" t="str">
        <f>IF(ROW($AA1084) - $AA$51 &lt; ($H$16+1)^5, IF(AG1084 &gt;= FreeSpinsBonus!$C$16, AG1084*FreeSpinsBonus!$E$31, 0), "")</f>
        <v/>
      </c>
    </row>
    <row r="1085" spans="28:36" x14ac:dyDescent="0.3">
      <c r="AB1085" t="str">
        <f t="shared" si="149"/>
        <v/>
      </c>
      <c r="AC1085" t="str">
        <f t="shared" si="150"/>
        <v/>
      </c>
      <c r="AD1085" t="str">
        <f t="shared" si="151"/>
        <v/>
      </c>
      <c r="AE1085" t="str">
        <f t="shared" si="152"/>
        <v/>
      </c>
      <c r="AF1085" t="str">
        <f t="shared" si="153"/>
        <v/>
      </c>
      <c r="AI1085" t="str">
        <f>IF(ROW($AA1085) - $AA$51 &lt; ($H$16+1)^5, IF(AG1085 &gt;= FreeSpinsBonus!$C$16, AG1085*FreeSpinsBonus!$E$31, 0), "")</f>
        <v/>
      </c>
    </row>
    <row r="1086" spans="28:36" x14ac:dyDescent="0.3">
      <c r="AB1086" t="str">
        <f t="shared" si="149"/>
        <v/>
      </c>
      <c r="AC1086" t="str">
        <f t="shared" si="150"/>
        <v/>
      </c>
      <c r="AD1086" t="str">
        <f t="shared" si="151"/>
        <v/>
      </c>
      <c r="AE1086" t="str">
        <f t="shared" si="152"/>
        <v/>
      </c>
      <c r="AF1086" t="str">
        <f t="shared" si="153"/>
        <v/>
      </c>
      <c r="AI1086" t="str">
        <f>IF(ROW($AA1086) - $AA$51 &lt; ($H$16+1)^5, IF(AG1086 &gt;= FreeSpinsBonus!$C$16, AG1086*FreeSpinsBonus!$E$31, 0), "")</f>
        <v/>
      </c>
    </row>
    <row r="1087" spans="28:36" x14ac:dyDescent="0.3">
      <c r="AB1087" t="str">
        <f t="shared" si="149"/>
        <v/>
      </c>
      <c r="AC1087" t="str">
        <f t="shared" si="150"/>
        <v/>
      </c>
      <c r="AD1087" t="str">
        <f t="shared" si="151"/>
        <v/>
      </c>
      <c r="AE1087" t="str">
        <f t="shared" si="152"/>
        <v/>
      </c>
      <c r="AF1087" t="str">
        <f t="shared" si="153"/>
        <v/>
      </c>
      <c r="AI1087" t="str">
        <f>IF(ROW($AA1087) - $AA$51 &lt; ($H$16+1)^5, IF(AG1087 &gt;= FreeSpinsBonus!$C$16, AG1087*FreeSpinsBonus!$E$31, 0), "")</f>
        <v/>
      </c>
    </row>
    <row r="1088" spans="28:36" x14ac:dyDescent="0.3">
      <c r="AB1088" t="str">
        <f t="shared" si="149"/>
        <v/>
      </c>
      <c r="AC1088" t="str">
        <f t="shared" si="150"/>
        <v/>
      </c>
      <c r="AD1088" t="str">
        <f t="shared" si="151"/>
        <v/>
      </c>
      <c r="AE1088" t="str">
        <f t="shared" si="152"/>
        <v/>
      </c>
      <c r="AF1088" t="str">
        <f t="shared" si="153"/>
        <v/>
      </c>
      <c r="AI1088" t="str">
        <f>IF(ROW($AA1088) - $AA$51 &lt; ($H$16+1)^5, IF(AG1088 &gt;= FreeSpinsBonus!$C$16, AG1088*FreeSpinsBonus!$E$31, 0), "")</f>
        <v/>
      </c>
    </row>
    <row r="1089" spans="28:35" x14ac:dyDescent="0.3">
      <c r="AB1089" t="str">
        <f t="shared" si="149"/>
        <v/>
      </c>
      <c r="AC1089" t="str">
        <f t="shared" si="150"/>
        <v/>
      </c>
      <c r="AD1089" t="str">
        <f t="shared" si="151"/>
        <v/>
      </c>
      <c r="AE1089" t="str">
        <f t="shared" si="152"/>
        <v/>
      </c>
      <c r="AF1089" t="str">
        <f t="shared" si="153"/>
        <v/>
      </c>
      <c r="AI1089" t="str">
        <f>IF(ROW($AA1089) - $AA$51 &lt; ($H$16+1)^5, IF(AG1089 &gt;= FreeSpinsBonus!$C$16, AG1089*FreeSpinsBonus!$E$31, 0), "")</f>
        <v/>
      </c>
    </row>
    <row r="1090" spans="28:35" x14ac:dyDescent="0.3">
      <c r="AB1090" t="str">
        <f t="shared" si="149"/>
        <v/>
      </c>
      <c r="AC1090" t="str">
        <f t="shared" si="150"/>
        <v/>
      </c>
      <c r="AD1090" t="str">
        <f t="shared" si="151"/>
        <v/>
      </c>
      <c r="AE1090" t="str">
        <f t="shared" si="152"/>
        <v/>
      </c>
      <c r="AF1090" t="str">
        <f t="shared" si="153"/>
        <v/>
      </c>
      <c r="AI1090" t="str">
        <f>IF(ROW($AA1090) - $AA$51 &lt; ($H$16+1)^5, IF(AG1090 &gt;= FreeSpinsBonus!$C$16, AG1090*FreeSpinsBonus!$E$31, 0), "")</f>
        <v/>
      </c>
    </row>
    <row r="1091" spans="28:35" x14ac:dyDescent="0.3">
      <c r="AB1091" t="str">
        <f t="shared" si="149"/>
        <v/>
      </c>
      <c r="AC1091" t="str">
        <f t="shared" si="150"/>
        <v/>
      </c>
      <c r="AD1091" t="str">
        <f t="shared" si="151"/>
        <v/>
      </c>
      <c r="AE1091" t="str">
        <f t="shared" si="152"/>
        <v/>
      </c>
      <c r="AF1091" t="str">
        <f t="shared" si="153"/>
        <v/>
      </c>
      <c r="AI1091" t="str">
        <f>IF(ROW($AA1091) - $AA$51 &lt; ($H$16+1)^5, IF(AG1091 &gt;= FreeSpinsBonus!$C$16, AG1091*FreeSpinsBonus!$E$31, 0), "")</f>
        <v/>
      </c>
    </row>
    <row r="1092" spans="28:35" x14ac:dyDescent="0.3">
      <c r="AB1092" t="str">
        <f t="shared" si="149"/>
        <v/>
      </c>
      <c r="AC1092" t="str">
        <f t="shared" si="150"/>
        <v/>
      </c>
      <c r="AD1092" t="str">
        <f t="shared" si="151"/>
        <v/>
      </c>
      <c r="AE1092" t="str">
        <f t="shared" si="152"/>
        <v/>
      </c>
      <c r="AF1092" t="str">
        <f t="shared" si="153"/>
        <v/>
      </c>
      <c r="AI1092" t="str">
        <f>IF(ROW($AA1092) - $AA$51 &lt; ($H$16+1)^5, IF(AG1092 &gt;= FreeSpinsBonus!$C$16, AG1092*FreeSpinsBonus!$E$31, 0), "")</f>
        <v/>
      </c>
    </row>
    <row r="1093" spans="28:35" x14ac:dyDescent="0.3">
      <c r="AB1093" t="str">
        <f t="shared" si="149"/>
        <v/>
      </c>
      <c r="AC1093" t="str">
        <f t="shared" si="150"/>
        <v/>
      </c>
      <c r="AD1093" t="str">
        <f t="shared" si="151"/>
        <v/>
      </c>
      <c r="AE1093" t="str">
        <f t="shared" si="152"/>
        <v/>
      </c>
      <c r="AF1093" t="str">
        <f t="shared" si="153"/>
        <v/>
      </c>
      <c r="AI1093" t="str">
        <f>IF(ROW($AA1093) - $AA$51 &lt; ($H$16+1)^5, IF(AG1093 &gt;= FreeSpinsBonus!$C$16, AG1093*FreeSpinsBonus!$E$31, 0), "")</f>
        <v/>
      </c>
    </row>
    <row r="1094" spans="28:35" x14ac:dyDescent="0.3">
      <c r="AB1094" t="str">
        <f t="shared" si="149"/>
        <v/>
      </c>
      <c r="AC1094" t="str">
        <f t="shared" si="150"/>
        <v/>
      </c>
      <c r="AD1094" t="str">
        <f t="shared" si="151"/>
        <v/>
      </c>
      <c r="AE1094" t="str">
        <f t="shared" si="152"/>
        <v/>
      </c>
      <c r="AF1094" t="str">
        <f t="shared" si="153"/>
        <v/>
      </c>
      <c r="AI1094" t="str">
        <f>IF(ROW($AA1094) - $AA$51 &lt; ($H$16+1)^5, IF(AG1094 &gt;= FreeSpinsBonus!$C$16, AG1094*FreeSpinsBonus!$E$31, 0), "")</f>
        <v/>
      </c>
    </row>
    <row r="1095" spans="28:35" x14ac:dyDescent="0.3">
      <c r="AB1095" t="str">
        <f t="shared" si="149"/>
        <v/>
      </c>
      <c r="AC1095" t="str">
        <f t="shared" si="150"/>
        <v/>
      </c>
      <c r="AD1095" t="str">
        <f t="shared" si="151"/>
        <v/>
      </c>
      <c r="AE1095" t="str">
        <f t="shared" si="152"/>
        <v/>
      </c>
      <c r="AF1095" t="str">
        <f t="shared" si="153"/>
        <v/>
      </c>
      <c r="AI1095" t="str">
        <f>IF(ROW($AA1095) - $AA$51 &lt; ($H$16+1)^5, IF(AG1095 &gt;= FreeSpinsBonus!$C$16, AG1095*FreeSpinsBonus!$E$31, 0), "")</f>
        <v/>
      </c>
    </row>
    <row r="1096" spans="28:35" x14ac:dyDescent="0.3">
      <c r="AB1096" t="str">
        <f t="shared" si="149"/>
        <v/>
      </c>
      <c r="AC1096" t="str">
        <f t="shared" si="150"/>
        <v/>
      </c>
      <c r="AD1096" t="str">
        <f t="shared" si="151"/>
        <v/>
      </c>
      <c r="AE1096" t="str">
        <f t="shared" si="152"/>
        <v/>
      </c>
      <c r="AF1096" t="str">
        <f t="shared" si="153"/>
        <v/>
      </c>
      <c r="AI1096" t="str">
        <f>IF(ROW($AA1096) - $AA$51 &lt; ($H$16+1)^5, IF(AG1096 &gt;= FreeSpinsBonus!$C$16, AG1096*FreeSpinsBonus!$E$31, 0), "")</f>
        <v/>
      </c>
    </row>
    <row r="1097" spans="28:35" x14ac:dyDescent="0.3">
      <c r="AB1097" t="str">
        <f t="shared" si="149"/>
        <v/>
      </c>
      <c r="AC1097" t="str">
        <f t="shared" si="150"/>
        <v/>
      </c>
      <c r="AD1097" t="str">
        <f t="shared" si="151"/>
        <v/>
      </c>
      <c r="AE1097" t="str">
        <f t="shared" si="152"/>
        <v/>
      </c>
      <c r="AF1097" t="str">
        <f t="shared" si="153"/>
        <v/>
      </c>
      <c r="AI1097" t="str">
        <f>IF(ROW($AA1097) - $AA$51 &lt; ($H$16+1)^5, IF(AG1097 &gt;= FreeSpinsBonus!$C$16, AG1097*FreeSpinsBonus!$E$31, 0), "")</f>
        <v/>
      </c>
    </row>
    <row r="1098" spans="28:35" x14ac:dyDescent="0.3">
      <c r="AB1098" t="str">
        <f t="shared" si="149"/>
        <v/>
      </c>
      <c r="AC1098" t="str">
        <f t="shared" si="150"/>
        <v/>
      </c>
      <c r="AD1098" t="str">
        <f t="shared" si="151"/>
        <v/>
      </c>
      <c r="AE1098" t="str">
        <f t="shared" si="152"/>
        <v/>
      </c>
      <c r="AF1098" t="str">
        <f t="shared" si="153"/>
        <v/>
      </c>
      <c r="AI1098" t="str">
        <f>IF(ROW($AA1098) - $AA$51 &lt; ($H$16+1)^5, IF(AG1098 &gt;= FreeSpinsBonus!$C$16, AG1098*FreeSpinsBonus!$E$31, 0), "")</f>
        <v/>
      </c>
    </row>
    <row r="1099" spans="28:35" x14ac:dyDescent="0.3">
      <c r="AB1099" t="str">
        <f t="shared" si="149"/>
        <v/>
      </c>
      <c r="AC1099" t="str">
        <f t="shared" si="150"/>
        <v/>
      </c>
      <c r="AD1099" t="str">
        <f t="shared" si="151"/>
        <v/>
      </c>
      <c r="AE1099" t="str">
        <f t="shared" si="152"/>
        <v/>
      </c>
      <c r="AF1099" t="str">
        <f t="shared" si="153"/>
        <v/>
      </c>
      <c r="AI1099" t="str">
        <f>IF(ROW($AA1099) - $AA$51 &lt; ($H$16+1)^5, IF(AG1099 &gt;= FreeSpinsBonus!$C$16, AG1099*FreeSpinsBonus!$E$31, 0), "")</f>
        <v/>
      </c>
    </row>
    <row r="1100" spans="28:35" x14ac:dyDescent="0.3">
      <c r="AB1100" t="str">
        <f t="shared" si="149"/>
        <v/>
      </c>
      <c r="AC1100" t="str">
        <f t="shared" si="150"/>
        <v/>
      </c>
      <c r="AD1100" t="str">
        <f t="shared" si="151"/>
        <v/>
      </c>
      <c r="AE1100" t="str">
        <f t="shared" si="152"/>
        <v/>
      </c>
      <c r="AF1100" t="str">
        <f t="shared" si="153"/>
        <v/>
      </c>
      <c r="AI1100" t="str">
        <f>IF(ROW($AA1100) - $AA$51 &lt; ($H$16+1)^5, IF(AG1100 &gt;= FreeSpinsBonus!$C$16, AG1100*FreeSpinsBonus!$E$31, 0), "")</f>
        <v/>
      </c>
    </row>
    <row r="1101" spans="28:35" x14ac:dyDescent="0.3">
      <c r="AB1101" t="str">
        <f t="shared" si="149"/>
        <v/>
      </c>
      <c r="AC1101" t="str">
        <f t="shared" si="150"/>
        <v/>
      </c>
      <c r="AD1101" t="str">
        <f t="shared" si="151"/>
        <v/>
      </c>
      <c r="AE1101" t="str">
        <f t="shared" si="152"/>
        <v/>
      </c>
      <c r="AF1101" t="str">
        <f t="shared" si="153"/>
        <v/>
      </c>
      <c r="AI1101" t="str">
        <f>IF(ROW($AA1101) - $AA$51 &lt; ($H$16+1)^5, IF(AG1101 &gt;= FreeSpinsBonus!$C$16, AG1101*FreeSpinsBonus!$E$31, 0), "")</f>
        <v/>
      </c>
    </row>
    <row r="1102" spans="28:35" x14ac:dyDescent="0.3">
      <c r="AB1102" t="str">
        <f t="shared" si="149"/>
        <v/>
      </c>
      <c r="AC1102" t="str">
        <f t="shared" si="150"/>
        <v/>
      </c>
      <c r="AD1102" t="str">
        <f t="shared" si="151"/>
        <v/>
      </c>
      <c r="AE1102" t="str">
        <f t="shared" si="152"/>
        <v/>
      </c>
      <c r="AF1102" t="str">
        <f t="shared" si="153"/>
        <v/>
      </c>
      <c r="AI1102" t="str">
        <f>IF(ROW($AA1102) - $AA$51 &lt; ($H$16+1)^5, IF(AG1102 &gt;= FreeSpinsBonus!$C$16, AG1102*FreeSpinsBonus!$E$31, 0), "")</f>
        <v/>
      </c>
    </row>
    <row r="1103" spans="28:35" x14ac:dyDescent="0.3">
      <c r="AB1103" t="str">
        <f t="shared" si="149"/>
        <v/>
      </c>
      <c r="AC1103" t="str">
        <f t="shared" si="150"/>
        <v/>
      </c>
      <c r="AD1103" t="str">
        <f t="shared" si="151"/>
        <v/>
      </c>
      <c r="AE1103" t="str">
        <f t="shared" si="152"/>
        <v/>
      </c>
      <c r="AF1103" t="str">
        <f t="shared" si="153"/>
        <v/>
      </c>
      <c r="AI1103" t="str">
        <f>IF(ROW($AA1103) - $AA$51 &lt; ($H$16+1)^5, IF(AG1103 &gt;= FreeSpinsBonus!$C$16, AG1103*FreeSpinsBonus!$E$31, 0), "")</f>
        <v/>
      </c>
    </row>
    <row r="1104" spans="28:35" x14ac:dyDescent="0.3">
      <c r="AB1104" t="str">
        <f t="shared" si="149"/>
        <v/>
      </c>
      <c r="AC1104" t="str">
        <f t="shared" si="150"/>
        <v/>
      </c>
      <c r="AD1104" t="str">
        <f t="shared" si="151"/>
        <v/>
      </c>
      <c r="AE1104" t="str">
        <f t="shared" si="152"/>
        <v/>
      </c>
      <c r="AF1104" t="str">
        <f t="shared" si="153"/>
        <v/>
      </c>
      <c r="AI1104" t="str">
        <f>IF(ROW($AA1104) - $AA$51 &lt; ($H$16+1)^5, IF(AG1104 &gt;= FreeSpinsBonus!$C$16, AG1104*FreeSpinsBonus!$E$31, 0), "")</f>
        <v/>
      </c>
    </row>
    <row r="1105" spans="28:35" x14ac:dyDescent="0.3">
      <c r="AB1105" t="str">
        <f t="shared" si="149"/>
        <v/>
      </c>
      <c r="AC1105" t="str">
        <f t="shared" si="150"/>
        <v/>
      </c>
      <c r="AD1105" t="str">
        <f t="shared" si="151"/>
        <v/>
      </c>
      <c r="AE1105" t="str">
        <f t="shared" si="152"/>
        <v/>
      </c>
      <c r="AF1105" t="str">
        <f t="shared" si="153"/>
        <v/>
      </c>
      <c r="AI1105" t="str">
        <f>IF(ROW($AA1105) - $AA$51 &lt; ($H$16+1)^5, IF(AG1105 &gt;= FreeSpinsBonus!$C$16, AG1105*FreeSpinsBonus!$E$31, 0), "")</f>
        <v/>
      </c>
    </row>
    <row r="1106" spans="28:35" x14ac:dyDescent="0.3">
      <c r="AB1106" t="str">
        <f t="shared" si="149"/>
        <v/>
      </c>
      <c r="AC1106" t="str">
        <f t="shared" si="150"/>
        <v/>
      </c>
      <c r="AD1106" t="str">
        <f t="shared" si="151"/>
        <v/>
      </c>
      <c r="AE1106" t="str">
        <f t="shared" si="152"/>
        <v/>
      </c>
      <c r="AF1106" t="str">
        <f t="shared" si="153"/>
        <v/>
      </c>
      <c r="AI1106" t="str">
        <f>IF(ROW($AA1106) - $AA$51 &lt; ($H$16+1)^5, IF(AG1106 &gt;= FreeSpinsBonus!$C$16, AG1106*FreeSpinsBonus!$E$31, 0), "")</f>
        <v/>
      </c>
    </row>
    <row r="1107" spans="28:35" x14ac:dyDescent="0.3">
      <c r="AB1107" t="str">
        <f t="shared" si="149"/>
        <v/>
      </c>
      <c r="AC1107" t="str">
        <f t="shared" si="150"/>
        <v/>
      </c>
      <c r="AD1107" t="str">
        <f t="shared" si="151"/>
        <v/>
      </c>
      <c r="AE1107" t="str">
        <f t="shared" si="152"/>
        <v/>
      </c>
      <c r="AF1107" t="str">
        <f t="shared" si="153"/>
        <v/>
      </c>
      <c r="AI1107" t="str">
        <f>IF(ROW($AA1107) - $AA$51 &lt; ($H$16+1)^5, IF(AG1107 &gt;= FreeSpinsBonus!$C$16, AG1107*FreeSpinsBonus!$E$31, 0), "")</f>
        <v/>
      </c>
    </row>
    <row r="1108" spans="28:35" x14ac:dyDescent="0.3">
      <c r="AB1108" t="str">
        <f t="shared" si="149"/>
        <v/>
      </c>
      <c r="AC1108" t="str">
        <f t="shared" si="150"/>
        <v/>
      </c>
      <c r="AD1108" t="str">
        <f t="shared" si="151"/>
        <v/>
      </c>
      <c r="AE1108" t="str">
        <f t="shared" si="152"/>
        <v/>
      </c>
      <c r="AF1108" t="str">
        <f t="shared" si="153"/>
        <v/>
      </c>
      <c r="AI1108" t="str">
        <f>IF(ROW($AA1108) - $AA$51 &lt; ($H$16+1)^5, IF(AG1108 &gt;= FreeSpinsBonus!$C$16, AG1108*FreeSpinsBonus!$E$31, 0), "")</f>
        <v/>
      </c>
    </row>
    <row r="1109" spans="28:35" x14ac:dyDescent="0.3">
      <c r="AB1109" t="str">
        <f t="shared" si="149"/>
        <v/>
      </c>
      <c r="AC1109" t="str">
        <f t="shared" si="150"/>
        <v/>
      </c>
      <c r="AD1109" t="str">
        <f t="shared" si="151"/>
        <v/>
      </c>
      <c r="AE1109" t="str">
        <f t="shared" si="152"/>
        <v/>
      </c>
      <c r="AF1109" t="str">
        <f t="shared" si="153"/>
        <v/>
      </c>
      <c r="AI1109" t="str">
        <f>IF(ROW($AA1109) - $AA$51 &lt; ($H$16+1)^5, IF(AG1109 &gt;= FreeSpinsBonus!$C$16, AG1109*FreeSpinsBonus!$E$31, 0), "")</f>
        <v/>
      </c>
    </row>
    <row r="1110" spans="28:35" x14ac:dyDescent="0.3">
      <c r="AB1110" t="str">
        <f t="shared" si="149"/>
        <v/>
      </c>
      <c r="AC1110" t="str">
        <f t="shared" si="150"/>
        <v/>
      </c>
      <c r="AD1110" t="str">
        <f t="shared" si="151"/>
        <v/>
      </c>
      <c r="AE1110" t="str">
        <f t="shared" si="152"/>
        <v/>
      </c>
      <c r="AF1110" t="str">
        <f t="shared" si="153"/>
        <v/>
      </c>
      <c r="AI1110" t="str">
        <f>IF(ROW($AA1110) - $AA$51 &lt; ($H$16+1)^5, IF(AG1110 &gt;= FreeSpinsBonus!$C$16, AG1110*FreeSpinsBonus!$E$31, 0), "")</f>
        <v/>
      </c>
    </row>
    <row r="1111" spans="28:35" x14ac:dyDescent="0.3">
      <c r="AB1111" t="str">
        <f t="shared" si="149"/>
        <v/>
      </c>
      <c r="AC1111" t="str">
        <f t="shared" si="150"/>
        <v/>
      </c>
      <c r="AD1111" t="str">
        <f t="shared" si="151"/>
        <v/>
      </c>
      <c r="AE1111" t="str">
        <f t="shared" si="152"/>
        <v/>
      </c>
      <c r="AF1111" t="str">
        <f t="shared" si="153"/>
        <v/>
      </c>
      <c r="AI1111" t="str">
        <f>IF(ROW($AA1111) - $AA$51 &lt; ($H$16+1)^5, IF(AG1111 &gt;= FreeSpinsBonus!$C$16, AG1111*FreeSpinsBonus!$E$31, 0), "")</f>
        <v/>
      </c>
    </row>
    <row r="1112" spans="28:35" x14ac:dyDescent="0.3">
      <c r="AB1112" t="str">
        <f t="shared" si="149"/>
        <v/>
      </c>
      <c r="AC1112" t="str">
        <f t="shared" si="150"/>
        <v/>
      </c>
      <c r="AD1112" t="str">
        <f t="shared" si="151"/>
        <v/>
      </c>
      <c r="AE1112" t="str">
        <f t="shared" si="152"/>
        <v/>
      </c>
      <c r="AF1112" t="str">
        <f t="shared" si="153"/>
        <v/>
      </c>
      <c r="AI1112" t="str">
        <f>IF(ROW($AA1112) - $AA$51 &lt; ($H$16+1)^5, IF(AG1112 &gt;= FreeSpinsBonus!$C$16, AG1112*FreeSpinsBonus!$E$31, 0), "")</f>
        <v/>
      </c>
    </row>
    <row r="1113" spans="28:35" x14ac:dyDescent="0.3">
      <c r="AB1113" t="str">
        <f t="shared" si="149"/>
        <v/>
      </c>
      <c r="AC1113" t="str">
        <f t="shared" si="150"/>
        <v/>
      </c>
      <c r="AD1113" t="str">
        <f t="shared" si="151"/>
        <v/>
      </c>
      <c r="AE1113" t="str">
        <f t="shared" si="152"/>
        <v/>
      </c>
      <c r="AF1113" t="str">
        <f t="shared" si="153"/>
        <v/>
      </c>
      <c r="AI1113" t="str">
        <f>IF(ROW($AA1113) - $AA$51 &lt; ($H$16+1)^5, IF(AG1113 &gt;= FreeSpinsBonus!$C$16, AG1113*FreeSpinsBonus!$E$31, 0), "")</f>
        <v/>
      </c>
    </row>
    <row r="1114" spans="28:35" x14ac:dyDescent="0.3">
      <c r="AB1114" t="str">
        <f t="shared" si="149"/>
        <v/>
      </c>
      <c r="AC1114" t="str">
        <f t="shared" si="150"/>
        <v/>
      </c>
      <c r="AD1114" t="str">
        <f t="shared" si="151"/>
        <v/>
      </c>
      <c r="AE1114" t="str">
        <f t="shared" si="152"/>
        <v/>
      </c>
      <c r="AF1114" t="str">
        <f t="shared" si="153"/>
        <v/>
      </c>
      <c r="AI1114" t="str">
        <f>IF(ROW($AA1114) - $AA$51 &lt; ($H$16+1)^5, IF(AG1114 &gt;= FreeSpinsBonus!$C$16, AG1114*FreeSpinsBonus!$E$31, 0), "")</f>
        <v/>
      </c>
    </row>
    <row r="1115" spans="28:35" x14ac:dyDescent="0.3">
      <c r="AB1115" t="str">
        <f t="shared" si="149"/>
        <v/>
      </c>
      <c r="AC1115" t="str">
        <f t="shared" si="150"/>
        <v/>
      </c>
      <c r="AD1115" t="str">
        <f t="shared" si="151"/>
        <v/>
      </c>
      <c r="AE1115" t="str">
        <f t="shared" si="152"/>
        <v/>
      </c>
      <c r="AF1115" t="str">
        <f t="shared" si="153"/>
        <v/>
      </c>
      <c r="AI1115" t="str">
        <f>IF(ROW($AA1115) - $AA$51 &lt; ($H$16+1)^5, IF(AG1115 &gt;= FreeSpinsBonus!$C$16, AG1115*FreeSpinsBonus!$E$31, 0), "")</f>
        <v/>
      </c>
    </row>
    <row r="1116" spans="28:35" x14ac:dyDescent="0.3">
      <c r="AB1116" t="str">
        <f t="shared" si="149"/>
        <v/>
      </c>
      <c r="AC1116" t="str">
        <f t="shared" si="150"/>
        <v/>
      </c>
      <c r="AD1116" t="str">
        <f t="shared" si="151"/>
        <v/>
      </c>
      <c r="AE1116" t="str">
        <f t="shared" si="152"/>
        <v/>
      </c>
      <c r="AF1116" t="str">
        <f t="shared" si="153"/>
        <v/>
      </c>
      <c r="AI1116" t="str">
        <f>IF(ROW($AA1116) - $AA$51 &lt; ($H$16+1)^5, IF(AG1116 &gt;= FreeSpinsBonus!$C$16, AG1116*FreeSpinsBonus!$E$31, 0), "")</f>
        <v/>
      </c>
    </row>
    <row r="1117" spans="28:35" x14ac:dyDescent="0.3">
      <c r="AB1117" t="str">
        <f t="shared" si="149"/>
        <v/>
      </c>
      <c r="AC1117" t="str">
        <f t="shared" si="150"/>
        <v/>
      </c>
      <c r="AD1117" t="str">
        <f t="shared" si="151"/>
        <v/>
      </c>
      <c r="AE1117" t="str">
        <f t="shared" si="152"/>
        <v/>
      </c>
      <c r="AF1117" t="str">
        <f t="shared" si="153"/>
        <v/>
      </c>
      <c r="AI1117" t="str">
        <f>IF(ROW($AA1117) - $AA$51 &lt; ($H$16+1)^5, IF(AG1117 &gt;= FreeSpinsBonus!$C$16, AG1117*FreeSpinsBonus!$E$31, 0), "")</f>
        <v/>
      </c>
    </row>
    <row r="1118" spans="28:35" x14ac:dyDescent="0.3">
      <c r="AB1118" t="str">
        <f t="shared" si="149"/>
        <v/>
      </c>
      <c r="AC1118" t="str">
        <f t="shared" si="150"/>
        <v/>
      </c>
      <c r="AD1118" t="str">
        <f t="shared" si="151"/>
        <v/>
      </c>
      <c r="AE1118" t="str">
        <f t="shared" si="152"/>
        <v/>
      </c>
      <c r="AF1118" t="str">
        <f t="shared" si="153"/>
        <v/>
      </c>
      <c r="AI1118" t="str">
        <f>IF(ROW($AA1118) - $AA$51 &lt; ($H$16+1)^5, IF(AG1118 &gt;= FreeSpinsBonus!$C$16, AG1118*FreeSpinsBonus!$E$31, 0), "")</f>
        <v/>
      </c>
    </row>
    <row r="1119" spans="28:35" x14ac:dyDescent="0.3">
      <c r="AB1119" t="str">
        <f t="shared" si="149"/>
        <v/>
      </c>
      <c r="AC1119" t="str">
        <f t="shared" si="150"/>
        <v/>
      </c>
      <c r="AD1119" t="str">
        <f t="shared" si="151"/>
        <v/>
      </c>
      <c r="AE1119" t="str">
        <f t="shared" si="152"/>
        <v/>
      </c>
      <c r="AF1119" t="str">
        <f t="shared" si="153"/>
        <v/>
      </c>
      <c r="AI1119" t="str">
        <f>IF(ROW($AA1119) - $AA$51 &lt; ($H$16+1)^5, IF(AG1119 &gt;= FreeSpinsBonus!$C$16, AG1119*FreeSpinsBonus!$E$31, 0), "")</f>
        <v/>
      </c>
    </row>
    <row r="1120" spans="28:35" x14ac:dyDescent="0.3">
      <c r="AB1120" t="str">
        <f t="shared" si="149"/>
        <v/>
      </c>
      <c r="AC1120" t="str">
        <f t="shared" si="150"/>
        <v/>
      </c>
      <c r="AD1120" t="str">
        <f t="shared" si="151"/>
        <v/>
      </c>
      <c r="AE1120" t="str">
        <f t="shared" si="152"/>
        <v/>
      </c>
      <c r="AF1120" t="str">
        <f t="shared" si="153"/>
        <v/>
      </c>
      <c r="AI1120" t="str">
        <f>IF(ROW($AA1120) - $AA$51 &lt; ($H$16+1)^5, IF(AG1120 &gt;= FreeSpinsBonus!$C$16, AG1120*FreeSpinsBonus!$E$31, 0), "")</f>
        <v/>
      </c>
    </row>
    <row r="1121" spans="28:35" x14ac:dyDescent="0.3">
      <c r="AB1121" t="str">
        <f t="shared" si="149"/>
        <v/>
      </c>
      <c r="AC1121" t="str">
        <f t="shared" si="150"/>
        <v/>
      </c>
      <c r="AD1121" t="str">
        <f t="shared" si="151"/>
        <v/>
      </c>
      <c r="AE1121" t="str">
        <f t="shared" si="152"/>
        <v/>
      </c>
      <c r="AF1121" t="str">
        <f t="shared" si="153"/>
        <v/>
      </c>
      <c r="AI1121" t="str">
        <f>IF(ROW($AA1121) - $AA$51 &lt; ($H$16+1)^5, IF(AG1121 &gt;= FreeSpinsBonus!$C$16, AG1121*FreeSpinsBonus!$E$31, 0), "")</f>
        <v/>
      </c>
    </row>
    <row r="1122" spans="28:35" x14ac:dyDescent="0.3">
      <c r="AB1122" t="str">
        <f t="shared" si="149"/>
        <v/>
      </c>
      <c r="AC1122" t="str">
        <f t="shared" si="150"/>
        <v/>
      </c>
      <c r="AD1122" t="str">
        <f t="shared" si="151"/>
        <v/>
      </c>
      <c r="AE1122" t="str">
        <f t="shared" si="152"/>
        <v/>
      </c>
      <c r="AF1122" t="str">
        <f t="shared" si="153"/>
        <v/>
      </c>
      <c r="AI1122" t="str">
        <f>IF(ROW($AA1122) - $AA$51 &lt; ($H$16+1)^5, IF(AG1122 &gt;= FreeSpinsBonus!$C$16, AG1122*FreeSpinsBonus!$E$31, 0), "")</f>
        <v/>
      </c>
    </row>
    <row r="1123" spans="28:35" x14ac:dyDescent="0.3">
      <c r="AB1123" t="str">
        <f t="shared" si="149"/>
        <v/>
      </c>
      <c r="AC1123" t="str">
        <f t="shared" si="150"/>
        <v/>
      </c>
      <c r="AD1123" t="str">
        <f t="shared" si="151"/>
        <v/>
      </c>
      <c r="AE1123" t="str">
        <f t="shared" si="152"/>
        <v/>
      </c>
      <c r="AF1123" t="str">
        <f t="shared" si="153"/>
        <v/>
      </c>
      <c r="AI1123" t="str">
        <f>IF(ROW($AA1123) - $AA$51 &lt; ($H$16+1)^5, IF(AG1123 &gt;= FreeSpinsBonus!$C$16, AG1123*FreeSpinsBonus!$E$31, 0), "")</f>
        <v/>
      </c>
    </row>
    <row r="1124" spans="28:35" x14ac:dyDescent="0.3">
      <c r="AB1124" t="str">
        <f t="shared" si="149"/>
        <v/>
      </c>
      <c r="AC1124" t="str">
        <f t="shared" si="150"/>
        <v/>
      </c>
      <c r="AD1124" t="str">
        <f t="shared" si="151"/>
        <v/>
      </c>
      <c r="AE1124" t="str">
        <f t="shared" si="152"/>
        <v/>
      </c>
      <c r="AF1124" t="str">
        <f t="shared" si="153"/>
        <v/>
      </c>
      <c r="AI1124" t="str">
        <f>IF(ROW($AA1124) - $AA$51 &lt; ($H$16+1)^5, IF(AG1124 &gt;= FreeSpinsBonus!$C$16, AG1124*FreeSpinsBonus!$E$31, 0), "")</f>
        <v/>
      </c>
    </row>
    <row r="1125" spans="28:35" x14ac:dyDescent="0.3">
      <c r="AB1125" t="str">
        <f t="shared" si="149"/>
        <v/>
      </c>
      <c r="AC1125" t="str">
        <f t="shared" si="150"/>
        <v/>
      </c>
      <c r="AD1125" t="str">
        <f t="shared" si="151"/>
        <v/>
      </c>
      <c r="AE1125" t="str">
        <f t="shared" si="152"/>
        <v/>
      </c>
      <c r="AF1125" t="str">
        <f t="shared" si="153"/>
        <v/>
      </c>
      <c r="AI1125" t="str">
        <f>IF(ROW($AA1125) - $AA$51 &lt; ($H$16+1)^5, IF(AG1125 &gt;= FreeSpinsBonus!$C$16, AG1125*FreeSpinsBonus!$E$31, 0), "")</f>
        <v/>
      </c>
    </row>
    <row r="1126" spans="28:35" x14ac:dyDescent="0.3">
      <c r="AB1126" t="str">
        <f t="shared" si="149"/>
        <v/>
      </c>
      <c r="AC1126" t="str">
        <f t="shared" si="150"/>
        <v/>
      </c>
      <c r="AD1126" t="str">
        <f t="shared" si="151"/>
        <v/>
      </c>
      <c r="AE1126" t="str">
        <f t="shared" si="152"/>
        <v/>
      </c>
      <c r="AF1126" t="str">
        <f t="shared" si="153"/>
        <v/>
      </c>
      <c r="AI1126" t="str">
        <f>IF(ROW($AA1126) - $AA$51 &lt; ($H$16+1)^5, IF(AG1126 &gt;= FreeSpinsBonus!$C$16, AG1126*FreeSpinsBonus!$E$31, 0), "")</f>
        <v/>
      </c>
    </row>
    <row r="1127" spans="28:35" x14ac:dyDescent="0.3">
      <c r="AB1127" t="str">
        <f t="shared" si="149"/>
        <v/>
      </c>
      <c r="AC1127" t="str">
        <f t="shared" si="150"/>
        <v/>
      </c>
      <c r="AD1127" t="str">
        <f t="shared" si="151"/>
        <v/>
      </c>
      <c r="AE1127" t="str">
        <f t="shared" si="152"/>
        <v/>
      </c>
      <c r="AF1127" t="str">
        <f t="shared" si="153"/>
        <v/>
      </c>
      <c r="AI1127" t="str">
        <f>IF(ROW($AA1127) - $AA$51 &lt; ($H$16+1)^5, IF(AG1127 &gt;= FreeSpinsBonus!$C$16, AG1127*FreeSpinsBonus!$E$31, 0), "")</f>
        <v/>
      </c>
    </row>
    <row r="1128" spans="28:35" x14ac:dyDescent="0.3">
      <c r="AB1128" t="str">
        <f t="shared" si="149"/>
        <v/>
      </c>
      <c r="AC1128" t="str">
        <f t="shared" si="150"/>
        <v/>
      </c>
      <c r="AD1128" t="str">
        <f t="shared" si="151"/>
        <v/>
      </c>
      <c r="AE1128" t="str">
        <f t="shared" si="152"/>
        <v/>
      </c>
      <c r="AF1128" t="str">
        <f t="shared" si="153"/>
        <v/>
      </c>
      <c r="AI1128" t="str">
        <f>IF(ROW($AA1128) - $AA$51 &lt; ($H$16+1)^5, IF(AG1128 &gt;= FreeSpinsBonus!$C$16, AG1128*FreeSpinsBonus!$E$31, 0), "")</f>
        <v/>
      </c>
    </row>
    <row r="1129" spans="28:35" x14ac:dyDescent="0.3">
      <c r="AB1129" t="str">
        <f t="shared" si="149"/>
        <v/>
      </c>
      <c r="AC1129" t="str">
        <f t="shared" si="150"/>
        <v/>
      </c>
      <c r="AD1129" t="str">
        <f t="shared" si="151"/>
        <v/>
      </c>
      <c r="AE1129" t="str">
        <f t="shared" si="152"/>
        <v/>
      </c>
      <c r="AF1129" t="str">
        <f t="shared" si="153"/>
        <v/>
      </c>
      <c r="AI1129" t="str">
        <f>IF(ROW($AA1129) - $AA$51 &lt; ($H$16+1)^5, IF(AG1129 &gt;= FreeSpinsBonus!$C$16, AG1129*FreeSpinsBonus!$E$31, 0), "")</f>
        <v/>
      </c>
    </row>
    <row r="1130" spans="28:35" x14ac:dyDescent="0.3">
      <c r="AB1130" t="str">
        <f t="shared" si="149"/>
        <v/>
      </c>
      <c r="AC1130" t="str">
        <f t="shared" si="150"/>
        <v/>
      </c>
      <c r="AD1130" t="str">
        <f t="shared" si="151"/>
        <v/>
      </c>
      <c r="AE1130" t="str">
        <f t="shared" si="152"/>
        <v/>
      </c>
      <c r="AF1130" t="str">
        <f t="shared" si="153"/>
        <v/>
      </c>
      <c r="AI1130" t="str">
        <f>IF(ROW($AA1130) - $AA$51 &lt; ($H$16+1)^5, IF(AG1130 &gt;= FreeSpinsBonus!$C$16, AG1130*FreeSpinsBonus!$E$31, 0), "")</f>
        <v/>
      </c>
    </row>
    <row r="1131" spans="28:35" x14ac:dyDescent="0.3">
      <c r="AB1131" t="str">
        <f t="shared" si="149"/>
        <v/>
      </c>
      <c r="AC1131" t="str">
        <f t="shared" si="150"/>
        <v/>
      </c>
      <c r="AD1131" t="str">
        <f t="shared" si="151"/>
        <v/>
      </c>
      <c r="AE1131" t="str">
        <f t="shared" si="152"/>
        <v/>
      </c>
      <c r="AF1131" t="str">
        <f t="shared" si="153"/>
        <v/>
      </c>
      <c r="AI1131" t="str">
        <f>IF(ROW($AA1131) - $AA$51 &lt; ($H$16+1)^5, IF(AG1131 &gt;= FreeSpinsBonus!$C$16, AG1131*FreeSpinsBonus!$E$31, 0), "")</f>
        <v/>
      </c>
    </row>
    <row r="1132" spans="28:35" x14ac:dyDescent="0.3">
      <c r="AB1132" t="str">
        <f t="shared" si="149"/>
        <v/>
      </c>
      <c r="AC1132" t="str">
        <f t="shared" si="150"/>
        <v/>
      </c>
      <c r="AD1132" t="str">
        <f t="shared" si="151"/>
        <v/>
      </c>
      <c r="AE1132" t="str">
        <f t="shared" si="152"/>
        <v/>
      </c>
      <c r="AF1132" t="str">
        <f t="shared" si="153"/>
        <v/>
      </c>
      <c r="AI1132" t="str">
        <f>IF(ROW($AA1132) - $AA$51 &lt; ($H$16+1)^5, IF(AG1132 &gt;= FreeSpinsBonus!$C$16, AG1132*FreeSpinsBonus!$E$31, 0), "")</f>
        <v/>
      </c>
    </row>
    <row r="1133" spans="28:35" x14ac:dyDescent="0.3">
      <c r="AB1133" t="str">
        <f t="shared" si="149"/>
        <v/>
      </c>
      <c r="AC1133" t="str">
        <f t="shared" si="150"/>
        <v/>
      </c>
      <c r="AD1133" t="str">
        <f t="shared" si="151"/>
        <v/>
      </c>
      <c r="AE1133" t="str">
        <f t="shared" si="152"/>
        <v/>
      </c>
      <c r="AF1133" t="str">
        <f t="shared" si="153"/>
        <v/>
      </c>
      <c r="AI1133" t="str">
        <f>IF(ROW($AA1133) - $AA$51 &lt; ($H$16+1)^5, IF(AG1133 &gt;= FreeSpinsBonus!$C$16, AG1133*FreeSpinsBonus!$E$31, 0), "")</f>
        <v/>
      </c>
    </row>
    <row r="1134" spans="28:35" x14ac:dyDescent="0.3">
      <c r="AB1134" t="str">
        <f t="shared" si="149"/>
        <v/>
      </c>
      <c r="AC1134" t="str">
        <f t="shared" si="150"/>
        <v/>
      </c>
      <c r="AD1134" t="str">
        <f t="shared" si="151"/>
        <v/>
      </c>
      <c r="AE1134" t="str">
        <f t="shared" si="152"/>
        <v/>
      </c>
      <c r="AF1134" t="str">
        <f t="shared" si="153"/>
        <v/>
      </c>
      <c r="AI1134" t="str">
        <f>IF(ROW($AA1134) - $AA$51 &lt; ($H$16+1)^5, IF(AG1134 &gt;= FreeSpinsBonus!$C$16, AG1134*FreeSpinsBonus!$E$31, 0), "")</f>
        <v/>
      </c>
    </row>
    <row r="1135" spans="28:35" x14ac:dyDescent="0.3">
      <c r="AB1135" t="str">
        <f t="shared" si="149"/>
        <v/>
      </c>
      <c r="AC1135" t="str">
        <f t="shared" si="150"/>
        <v/>
      </c>
      <c r="AD1135" t="str">
        <f t="shared" si="151"/>
        <v/>
      </c>
      <c r="AE1135" t="str">
        <f t="shared" si="152"/>
        <v/>
      </c>
      <c r="AF1135" t="str">
        <f t="shared" si="153"/>
        <v/>
      </c>
      <c r="AI1135" t="str">
        <f>IF(ROW($AA1135) - $AA$51 &lt; ($H$16+1)^5, IF(AG1135 &gt;= FreeSpinsBonus!$C$16, AG1135*FreeSpinsBonus!$E$31, 0), "")</f>
        <v/>
      </c>
    </row>
    <row r="1136" spans="28:35" x14ac:dyDescent="0.3">
      <c r="AB1136" t="str">
        <f t="shared" si="149"/>
        <v/>
      </c>
      <c r="AC1136" t="str">
        <f t="shared" si="150"/>
        <v/>
      </c>
      <c r="AD1136" t="str">
        <f t="shared" si="151"/>
        <v/>
      </c>
      <c r="AE1136" t="str">
        <f t="shared" si="152"/>
        <v/>
      </c>
      <c r="AF1136" t="str">
        <f t="shared" si="153"/>
        <v/>
      </c>
      <c r="AI1136" t="str">
        <f>IF(ROW($AA1136) - $AA$51 &lt; ($H$16+1)^5, IF(AG1136 &gt;= FreeSpinsBonus!$C$16, AG1136*FreeSpinsBonus!$E$31, 0), "")</f>
        <v/>
      </c>
    </row>
    <row r="1137" spans="28:35" x14ac:dyDescent="0.3">
      <c r="AB1137" t="str">
        <f t="shared" si="149"/>
        <v/>
      </c>
      <c r="AC1137" t="str">
        <f t="shared" si="150"/>
        <v/>
      </c>
      <c r="AD1137" t="str">
        <f t="shared" si="151"/>
        <v/>
      </c>
      <c r="AE1137" t="str">
        <f t="shared" si="152"/>
        <v/>
      </c>
      <c r="AF1137" t="str">
        <f t="shared" si="153"/>
        <v/>
      </c>
      <c r="AI1137" t="str">
        <f>IF(ROW($AA1137) - $AA$51 &lt; ($H$16+1)^5, IF(AG1137 &gt;= FreeSpinsBonus!$C$16, AG1137*FreeSpinsBonus!$E$31, 0), "")</f>
        <v/>
      </c>
    </row>
    <row r="1138" spans="28:35" x14ac:dyDescent="0.3">
      <c r="AB1138" t="str">
        <f t="shared" si="149"/>
        <v/>
      </c>
      <c r="AC1138" t="str">
        <f t="shared" si="150"/>
        <v/>
      </c>
      <c r="AD1138" t="str">
        <f t="shared" si="151"/>
        <v/>
      </c>
      <c r="AE1138" t="str">
        <f t="shared" si="152"/>
        <v/>
      </c>
      <c r="AF1138" t="str">
        <f t="shared" si="153"/>
        <v/>
      </c>
      <c r="AI1138" t="str">
        <f>IF(ROW($AA1138) - $AA$51 &lt; ($H$16+1)^5, IF(AG1138 &gt;= FreeSpinsBonus!$C$16, AG1138*FreeSpinsBonus!$E$31, 0), "")</f>
        <v/>
      </c>
    </row>
    <row r="1139" spans="28:35" x14ac:dyDescent="0.3">
      <c r="AB1139" t="str">
        <f t="shared" si="149"/>
        <v/>
      </c>
      <c r="AC1139" t="str">
        <f t="shared" si="150"/>
        <v/>
      </c>
      <c r="AD1139" t="str">
        <f t="shared" si="151"/>
        <v/>
      </c>
      <c r="AE1139" t="str">
        <f t="shared" si="152"/>
        <v/>
      </c>
      <c r="AF1139" t="str">
        <f t="shared" si="153"/>
        <v/>
      </c>
      <c r="AI1139" t="str">
        <f>IF(ROW($AA1139) - $AA$51 &lt; ($H$16+1)^5, IF(AG1139 &gt;= FreeSpinsBonus!$C$16, AG1139*FreeSpinsBonus!$E$31, 0), "")</f>
        <v/>
      </c>
    </row>
    <row r="1140" spans="28:35" x14ac:dyDescent="0.3">
      <c r="AB1140" t="str">
        <f t="shared" ref="AB1140:AB1203" si="154">IF(ROW()-$AA$51 &lt; (H$16+1)^5, MOD(_xlfn.FLOOR.MATH((ROW()-$AA$51)/AB$50), H$16+1), "")</f>
        <v/>
      </c>
      <c r="AC1140" t="str">
        <f t="shared" ref="AC1140:AC1203" si="155">IF(ROW()-$AA$51 &lt; (I$16+1)^5, MOD(_xlfn.FLOOR.MATH((ROW()-$AA$51)/AC$50), I$16+1), "")</f>
        <v/>
      </c>
      <c r="AD1140" t="str">
        <f t="shared" ref="AD1140:AD1203" si="156">IF(ROW()-$AA$51 &lt; (J$16+1)^5, MOD(_xlfn.FLOOR.MATH((ROW()-$AA$51)/AD$50), J$16+1), "")</f>
        <v/>
      </c>
      <c r="AE1140" t="str">
        <f t="shared" ref="AE1140:AE1203" si="157">IF(ROW()-$AA$51 &lt; (K$16+1)^5, MOD(_xlfn.FLOOR.MATH((ROW()-$AA$51)/AE$50), K$16+1), "")</f>
        <v/>
      </c>
      <c r="AF1140" t="str">
        <f t="shared" ref="AF1140:AF1203" si="158">IF(ROW()-$AA$51 &lt; (L$16+1)^5, MOD(_xlfn.FLOOR.MATH((ROW()-$AA$51)/AF$50), L$16+1), "")</f>
        <v/>
      </c>
      <c r="AI1140" t="str">
        <f>IF(ROW($AA1140) - $AA$51 &lt; ($H$16+1)^5, IF(AG1140 &gt;= FreeSpinsBonus!$C$16, AG1140*FreeSpinsBonus!$E$31, 0), "")</f>
        <v/>
      </c>
    </row>
    <row r="1141" spans="28:35" x14ac:dyDescent="0.3">
      <c r="AB1141" t="str">
        <f t="shared" si="154"/>
        <v/>
      </c>
      <c r="AC1141" t="str">
        <f t="shared" si="155"/>
        <v/>
      </c>
      <c r="AD1141" t="str">
        <f t="shared" si="156"/>
        <v/>
      </c>
      <c r="AE1141" t="str">
        <f t="shared" si="157"/>
        <v/>
      </c>
      <c r="AF1141" t="str">
        <f t="shared" si="158"/>
        <v/>
      </c>
      <c r="AI1141" t="str">
        <f>IF(ROW($AA1141) - $AA$51 &lt; ($H$16+1)^5, IF(AG1141 &gt;= FreeSpinsBonus!$C$16, AG1141*FreeSpinsBonus!$E$31, 0), "")</f>
        <v/>
      </c>
    </row>
    <row r="1142" spans="28:35" x14ac:dyDescent="0.3">
      <c r="AB1142" t="str">
        <f t="shared" si="154"/>
        <v/>
      </c>
      <c r="AC1142" t="str">
        <f t="shared" si="155"/>
        <v/>
      </c>
      <c r="AD1142" t="str">
        <f t="shared" si="156"/>
        <v/>
      </c>
      <c r="AE1142" t="str">
        <f t="shared" si="157"/>
        <v/>
      </c>
      <c r="AF1142" t="str">
        <f t="shared" si="158"/>
        <v/>
      </c>
      <c r="AI1142" t="str">
        <f>IF(ROW($AA1142) - $AA$51 &lt; ($H$16+1)^5, IF(AG1142 &gt;= FreeSpinsBonus!$C$16, AG1142*FreeSpinsBonus!$E$31, 0), "")</f>
        <v/>
      </c>
    </row>
    <row r="1143" spans="28:35" x14ac:dyDescent="0.3">
      <c r="AB1143" t="str">
        <f t="shared" si="154"/>
        <v/>
      </c>
      <c r="AC1143" t="str">
        <f t="shared" si="155"/>
        <v/>
      </c>
      <c r="AD1143" t="str">
        <f t="shared" si="156"/>
        <v/>
      </c>
      <c r="AE1143" t="str">
        <f t="shared" si="157"/>
        <v/>
      </c>
      <c r="AF1143" t="str">
        <f t="shared" si="158"/>
        <v/>
      </c>
      <c r="AI1143" t="str">
        <f>IF(ROW($AA1143) - $AA$51 &lt; ($H$16+1)^5, IF(AG1143 &gt;= FreeSpinsBonus!$C$16, AG1143*FreeSpinsBonus!$E$31, 0), "")</f>
        <v/>
      </c>
    </row>
    <row r="1144" spans="28:35" x14ac:dyDescent="0.3">
      <c r="AB1144" t="str">
        <f t="shared" si="154"/>
        <v/>
      </c>
      <c r="AC1144" t="str">
        <f t="shared" si="155"/>
        <v/>
      </c>
      <c r="AD1144" t="str">
        <f t="shared" si="156"/>
        <v/>
      </c>
      <c r="AE1144" t="str">
        <f t="shared" si="157"/>
        <v/>
      </c>
      <c r="AF1144" t="str">
        <f t="shared" si="158"/>
        <v/>
      </c>
      <c r="AI1144" t="str">
        <f>IF(ROW($AA1144) - $AA$51 &lt; ($H$16+1)^5, IF(AG1144 &gt;= FreeSpinsBonus!$C$16, AG1144*FreeSpinsBonus!$E$31, 0), "")</f>
        <v/>
      </c>
    </row>
    <row r="1145" spans="28:35" x14ac:dyDescent="0.3">
      <c r="AB1145" t="str">
        <f t="shared" si="154"/>
        <v/>
      </c>
      <c r="AC1145" t="str">
        <f t="shared" si="155"/>
        <v/>
      </c>
      <c r="AD1145" t="str">
        <f t="shared" si="156"/>
        <v/>
      </c>
      <c r="AE1145" t="str">
        <f t="shared" si="157"/>
        <v/>
      </c>
      <c r="AF1145" t="str">
        <f t="shared" si="158"/>
        <v/>
      </c>
      <c r="AI1145" t="str">
        <f>IF(ROW($AA1145) - $AA$51 &lt; ($H$16+1)^5, IF(AG1145 &gt;= FreeSpinsBonus!$C$16, AG1145*FreeSpinsBonus!$E$31, 0), "")</f>
        <v/>
      </c>
    </row>
    <row r="1146" spans="28:35" x14ac:dyDescent="0.3">
      <c r="AB1146" t="str">
        <f t="shared" si="154"/>
        <v/>
      </c>
      <c r="AC1146" t="str">
        <f t="shared" si="155"/>
        <v/>
      </c>
      <c r="AD1146" t="str">
        <f t="shared" si="156"/>
        <v/>
      </c>
      <c r="AE1146" t="str">
        <f t="shared" si="157"/>
        <v/>
      </c>
      <c r="AF1146" t="str">
        <f t="shared" si="158"/>
        <v/>
      </c>
      <c r="AI1146" t="str">
        <f>IF(ROW($AA1146) - $AA$51 &lt; ($H$16+1)^5, IF(AG1146 &gt;= FreeSpinsBonus!$C$16, AG1146*FreeSpinsBonus!$E$31, 0), "")</f>
        <v/>
      </c>
    </row>
    <row r="1147" spans="28:35" x14ac:dyDescent="0.3">
      <c r="AB1147" t="str">
        <f t="shared" si="154"/>
        <v/>
      </c>
      <c r="AC1147" t="str">
        <f t="shared" si="155"/>
        <v/>
      </c>
      <c r="AD1147" t="str">
        <f t="shared" si="156"/>
        <v/>
      </c>
      <c r="AE1147" t="str">
        <f t="shared" si="157"/>
        <v/>
      </c>
      <c r="AF1147" t="str">
        <f t="shared" si="158"/>
        <v/>
      </c>
      <c r="AI1147" t="str">
        <f>IF(ROW($AA1147) - $AA$51 &lt; ($H$16+1)^5, IF(AG1147 &gt;= FreeSpinsBonus!$C$16, AG1147*FreeSpinsBonus!$E$31, 0), "")</f>
        <v/>
      </c>
    </row>
    <row r="1148" spans="28:35" x14ac:dyDescent="0.3">
      <c r="AB1148" t="str">
        <f t="shared" si="154"/>
        <v/>
      </c>
      <c r="AC1148" t="str">
        <f t="shared" si="155"/>
        <v/>
      </c>
      <c r="AD1148" t="str">
        <f t="shared" si="156"/>
        <v/>
      </c>
      <c r="AE1148" t="str">
        <f t="shared" si="157"/>
        <v/>
      </c>
      <c r="AF1148" t="str">
        <f t="shared" si="158"/>
        <v/>
      </c>
      <c r="AI1148" t="str">
        <f>IF(ROW($AA1148) - $AA$51 &lt; ($H$16+1)^5, IF(AG1148 &gt;= FreeSpinsBonus!$C$16, AG1148*FreeSpinsBonus!$E$31, 0), "")</f>
        <v/>
      </c>
    </row>
    <row r="1149" spans="28:35" x14ac:dyDescent="0.3">
      <c r="AB1149" t="str">
        <f t="shared" si="154"/>
        <v/>
      </c>
      <c r="AC1149" t="str">
        <f t="shared" si="155"/>
        <v/>
      </c>
      <c r="AD1149" t="str">
        <f t="shared" si="156"/>
        <v/>
      </c>
      <c r="AE1149" t="str">
        <f t="shared" si="157"/>
        <v/>
      </c>
      <c r="AF1149" t="str">
        <f t="shared" si="158"/>
        <v/>
      </c>
      <c r="AI1149" t="str">
        <f>IF(ROW($AA1149) - $AA$51 &lt; ($H$16+1)^5, IF(AG1149 &gt;= FreeSpinsBonus!$C$16, AG1149*FreeSpinsBonus!$E$31, 0), "")</f>
        <v/>
      </c>
    </row>
    <row r="1150" spans="28:35" x14ac:dyDescent="0.3">
      <c r="AB1150" t="str">
        <f t="shared" si="154"/>
        <v/>
      </c>
      <c r="AC1150" t="str">
        <f t="shared" si="155"/>
        <v/>
      </c>
      <c r="AD1150" t="str">
        <f t="shared" si="156"/>
        <v/>
      </c>
      <c r="AE1150" t="str">
        <f t="shared" si="157"/>
        <v/>
      </c>
      <c r="AF1150" t="str">
        <f t="shared" si="158"/>
        <v/>
      </c>
      <c r="AI1150" t="str">
        <f>IF(ROW($AA1150) - $AA$51 &lt; ($H$16+1)^5, IF(AG1150 &gt;= FreeSpinsBonus!$C$16, AG1150*FreeSpinsBonus!$E$31, 0), "")</f>
        <v/>
      </c>
    </row>
    <row r="1151" spans="28:35" x14ac:dyDescent="0.3">
      <c r="AB1151" t="str">
        <f t="shared" si="154"/>
        <v/>
      </c>
      <c r="AC1151" t="str">
        <f t="shared" si="155"/>
        <v/>
      </c>
      <c r="AD1151" t="str">
        <f t="shared" si="156"/>
        <v/>
      </c>
      <c r="AE1151" t="str">
        <f t="shared" si="157"/>
        <v/>
      </c>
      <c r="AF1151" t="str">
        <f t="shared" si="158"/>
        <v/>
      </c>
      <c r="AI1151" t="str">
        <f>IF(ROW($AA1151) - $AA$51 &lt; ($H$16+1)^5, IF(AG1151 &gt;= FreeSpinsBonus!$C$16, AG1151*FreeSpinsBonus!$E$31, 0), "")</f>
        <v/>
      </c>
    </row>
    <row r="1152" spans="28:35" x14ac:dyDescent="0.3">
      <c r="AB1152" t="str">
        <f t="shared" si="154"/>
        <v/>
      </c>
      <c r="AC1152" t="str">
        <f t="shared" si="155"/>
        <v/>
      </c>
      <c r="AD1152" t="str">
        <f t="shared" si="156"/>
        <v/>
      </c>
      <c r="AE1152" t="str">
        <f t="shared" si="157"/>
        <v/>
      </c>
      <c r="AF1152" t="str">
        <f t="shared" si="158"/>
        <v/>
      </c>
      <c r="AI1152" t="str">
        <f>IF(ROW($AA1152) - $AA$51 &lt; ($H$16+1)^5, IF(AG1152 &gt;= FreeSpinsBonus!$C$16, AG1152*FreeSpinsBonus!$E$31, 0), "")</f>
        <v/>
      </c>
    </row>
    <row r="1153" spans="28:35" x14ac:dyDescent="0.3">
      <c r="AB1153" t="str">
        <f t="shared" si="154"/>
        <v/>
      </c>
      <c r="AC1153" t="str">
        <f t="shared" si="155"/>
        <v/>
      </c>
      <c r="AD1153" t="str">
        <f t="shared" si="156"/>
        <v/>
      </c>
      <c r="AE1153" t="str">
        <f t="shared" si="157"/>
        <v/>
      </c>
      <c r="AF1153" t="str">
        <f t="shared" si="158"/>
        <v/>
      </c>
      <c r="AI1153" t="str">
        <f>IF(ROW($AA1153) - $AA$51 &lt; ($H$16+1)^5, IF(AG1153 &gt;= FreeSpinsBonus!$C$16, AG1153*FreeSpinsBonus!$E$31, 0), "")</f>
        <v/>
      </c>
    </row>
    <row r="1154" spans="28:35" x14ac:dyDescent="0.3">
      <c r="AB1154" t="str">
        <f t="shared" si="154"/>
        <v/>
      </c>
      <c r="AC1154" t="str">
        <f t="shared" si="155"/>
        <v/>
      </c>
      <c r="AD1154" t="str">
        <f t="shared" si="156"/>
        <v/>
      </c>
      <c r="AE1154" t="str">
        <f t="shared" si="157"/>
        <v/>
      </c>
      <c r="AF1154" t="str">
        <f t="shared" si="158"/>
        <v/>
      </c>
      <c r="AI1154" t="str">
        <f>IF(ROW($AA1154) - $AA$51 &lt; ($H$16+1)^5, IF(AG1154 &gt;= FreeSpinsBonus!$C$16, AG1154*FreeSpinsBonus!$E$31, 0), "")</f>
        <v/>
      </c>
    </row>
    <row r="1155" spans="28:35" x14ac:dyDescent="0.3">
      <c r="AB1155" t="str">
        <f t="shared" si="154"/>
        <v/>
      </c>
      <c r="AC1155" t="str">
        <f t="shared" si="155"/>
        <v/>
      </c>
      <c r="AD1155" t="str">
        <f t="shared" si="156"/>
        <v/>
      </c>
      <c r="AE1155" t="str">
        <f t="shared" si="157"/>
        <v/>
      </c>
      <c r="AF1155" t="str">
        <f t="shared" si="158"/>
        <v/>
      </c>
      <c r="AI1155" t="str">
        <f>IF(ROW($AA1155) - $AA$51 &lt; ($H$16+1)^5, IF(AG1155 &gt;= FreeSpinsBonus!$C$16, AG1155*FreeSpinsBonus!$E$31, 0), "")</f>
        <v/>
      </c>
    </row>
    <row r="1156" spans="28:35" x14ac:dyDescent="0.3">
      <c r="AB1156" t="str">
        <f t="shared" si="154"/>
        <v/>
      </c>
      <c r="AC1156" t="str">
        <f t="shared" si="155"/>
        <v/>
      </c>
      <c r="AD1156" t="str">
        <f t="shared" si="156"/>
        <v/>
      </c>
      <c r="AE1156" t="str">
        <f t="shared" si="157"/>
        <v/>
      </c>
      <c r="AF1156" t="str">
        <f t="shared" si="158"/>
        <v/>
      </c>
      <c r="AI1156" t="str">
        <f>IF(ROW($AA1156) - $AA$51 &lt; ($H$16+1)^5, IF(AG1156 &gt;= FreeSpinsBonus!$C$16, AG1156*FreeSpinsBonus!$E$31, 0), "")</f>
        <v/>
      </c>
    </row>
    <row r="1157" spans="28:35" x14ac:dyDescent="0.3">
      <c r="AB1157" t="str">
        <f t="shared" si="154"/>
        <v/>
      </c>
      <c r="AC1157" t="str">
        <f t="shared" si="155"/>
        <v/>
      </c>
      <c r="AD1157" t="str">
        <f t="shared" si="156"/>
        <v/>
      </c>
      <c r="AE1157" t="str">
        <f t="shared" si="157"/>
        <v/>
      </c>
      <c r="AF1157" t="str">
        <f t="shared" si="158"/>
        <v/>
      </c>
      <c r="AI1157" t="str">
        <f>IF(ROW($AA1157) - $AA$51 &lt; ($H$16+1)^5, IF(AG1157 &gt;= FreeSpinsBonus!$C$16, AG1157*FreeSpinsBonus!$E$31, 0), "")</f>
        <v/>
      </c>
    </row>
    <row r="1158" spans="28:35" x14ac:dyDescent="0.3">
      <c r="AB1158" t="str">
        <f t="shared" si="154"/>
        <v/>
      </c>
      <c r="AC1158" t="str">
        <f t="shared" si="155"/>
        <v/>
      </c>
      <c r="AD1158" t="str">
        <f t="shared" si="156"/>
        <v/>
      </c>
      <c r="AE1158" t="str">
        <f t="shared" si="157"/>
        <v/>
      </c>
      <c r="AF1158" t="str">
        <f t="shared" si="158"/>
        <v/>
      </c>
      <c r="AI1158" t="str">
        <f>IF(ROW($AA1158) - $AA$51 &lt; ($H$16+1)^5, IF(AG1158 &gt;= FreeSpinsBonus!$C$16, AG1158*FreeSpinsBonus!$E$31, 0), "")</f>
        <v/>
      </c>
    </row>
    <row r="1159" spans="28:35" x14ac:dyDescent="0.3">
      <c r="AB1159" t="str">
        <f t="shared" si="154"/>
        <v/>
      </c>
      <c r="AC1159" t="str">
        <f t="shared" si="155"/>
        <v/>
      </c>
      <c r="AD1159" t="str">
        <f t="shared" si="156"/>
        <v/>
      </c>
      <c r="AE1159" t="str">
        <f t="shared" si="157"/>
        <v/>
      </c>
      <c r="AF1159" t="str">
        <f t="shared" si="158"/>
        <v/>
      </c>
      <c r="AI1159" t="str">
        <f>IF(ROW($AA1159) - $AA$51 &lt; ($H$16+1)^5, IF(AG1159 &gt;= FreeSpinsBonus!$C$16, AG1159*FreeSpinsBonus!$E$31, 0), "")</f>
        <v/>
      </c>
    </row>
    <row r="1160" spans="28:35" x14ac:dyDescent="0.3">
      <c r="AB1160" t="str">
        <f t="shared" si="154"/>
        <v/>
      </c>
      <c r="AC1160" t="str">
        <f t="shared" si="155"/>
        <v/>
      </c>
      <c r="AD1160" t="str">
        <f t="shared" si="156"/>
        <v/>
      </c>
      <c r="AE1160" t="str">
        <f t="shared" si="157"/>
        <v/>
      </c>
      <c r="AF1160" t="str">
        <f t="shared" si="158"/>
        <v/>
      </c>
      <c r="AI1160" t="str">
        <f>IF(ROW($AA1160) - $AA$51 &lt; ($H$16+1)^5, IF(AG1160 &gt;= FreeSpinsBonus!$C$16, AG1160*FreeSpinsBonus!$E$31, 0), "")</f>
        <v/>
      </c>
    </row>
    <row r="1161" spans="28:35" x14ac:dyDescent="0.3">
      <c r="AB1161" t="str">
        <f t="shared" si="154"/>
        <v/>
      </c>
      <c r="AC1161" t="str">
        <f t="shared" si="155"/>
        <v/>
      </c>
      <c r="AD1161" t="str">
        <f t="shared" si="156"/>
        <v/>
      </c>
      <c r="AE1161" t="str">
        <f t="shared" si="157"/>
        <v/>
      </c>
      <c r="AF1161" t="str">
        <f t="shared" si="158"/>
        <v/>
      </c>
      <c r="AI1161" t="str">
        <f>IF(ROW($AA1161) - $AA$51 &lt; ($H$16+1)^5, IF(AG1161 &gt;= FreeSpinsBonus!$C$16, AG1161*FreeSpinsBonus!$E$31, 0), "")</f>
        <v/>
      </c>
    </row>
    <row r="1162" spans="28:35" x14ac:dyDescent="0.3">
      <c r="AB1162" t="str">
        <f t="shared" si="154"/>
        <v/>
      </c>
      <c r="AC1162" t="str">
        <f t="shared" si="155"/>
        <v/>
      </c>
      <c r="AD1162" t="str">
        <f t="shared" si="156"/>
        <v/>
      </c>
      <c r="AE1162" t="str">
        <f t="shared" si="157"/>
        <v/>
      </c>
      <c r="AF1162" t="str">
        <f t="shared" si="158"/>
        <v/>
      </c>
      <c r="AI1162" t="str">
        <f>IF(ROW($AA1162) - $AA$51 &lt; ($H$16+1)^5, IF(AG1162 &gt;= FreeSpinsBonus!$C$16, AG1162*FreeSpinsBonus!$E$31, 0), "")</f>
        <v/>
      </c>
    </row>
    <row r="1163" spans="28:35" x14ac:dyDescent="0.3">
      <c r="AB1163" t="str">
        <f t="shared" si="154"/>
        <v/>
      </c>
      <c r="AC1163" t="str">
        <f t="shared" si="155"/>
        <v/>
      </c>
      <c r="AD1163" t="str">
        <f t="shared" si="156"/>
        <v/>
      </c>
      <c r="AE1163" t="str">
        <f t="shared" si="157"/>
        <v/>
      </c>
      <c r="AF1163" t="str">
        <f t="shared" si="158"/>
        <v/>
      </c>
      <c r="AI1163" t="str">
        <f>IF(ROW($AA1163) - $AA$51 &lt; ($H$16+1)^5, IF(AG1163 &gt;= FreeSpinsBonus!$C$16, AG1163*FreeSpinsBonus!$E$31, 0), "")</f>
        <v/>
      </c>
    </row>
    <row r="1164" spans="28:35" x14ac:dyDescent="0.3">
      <c r="AB1164" t="str">
        <f t="shared" si="154"/>
        <v/>
      </c>
      <c r="AC1164" t="str">
        <f t="shared" si="155"/>
        <v/>
      </c>
      <c r="AD1164" t="str">
        <f t="shared" si="156"/>
        <v/>
      </c>
      <c r="AE1164" t="str">
        <f t="shared" si="157"/>
        <v/>
      </c>
      <c r="AF1164" t="str">
        <f t="shared" si="158"/>
        <v/>
      </c>
      <c r="AI1164" t="str">
        <f>IF(ROW($AA1164) - $AA$51 &lt; ($H$16+1)^5, IF(AG1164 &gt;= FreeSpinsBonus!$C$16, AG1164*FreeSpinsBonus!$E$31, 0), "")</f>
        <v/>
      </c>
    </row>
    <row r="1165" spans="28:35" x14ac:dyDescent="0.3">
      <c r="AB1165" t="str">
        <f t="shared" si="154"/>
        <v/>
      </c>
      <c r="AC1165" t="str">
        <f t="shared" si="155"/>
        <v/>
      </c>
      <c r="AD1165" t="str">
        <f t="shared" si="156"/>
        <v/>
      </c>
      <c r="AE1165" t="str">
        <f t="shared" si="157"/>
        <v/>
      </c>
      <c r="AF1165" t="str">
        <f t="shared" si="158"/>
        <v/>
      </c>
      <c r="AI1165" t="str">
        <f>IF(ROW($AA1165) - $AA$51 &lt; ($H$16+1)^5, IF(AG1165 &gt;= FreeSpinsBonus!$C$16, AG1165*FreeSpinsBonus!$E$31, 0), "")</f>
        <v/>
      </c>
    </row>
    <row r="1166" spans="28:35" x14ac:dyDescent="0.3">
      <c r="AB1166" t="str">
        <f t="shared" si="154"/>
        <v/>
      </c>
      <c r="AC1166" t="str">
        <f t="shared" si="155"/>
        <v/>
      </c>
      <c r="AD1166" t="str">
        <f t="shared" si="156"/>
        <v/>
      </c>
      <c r="AE1166" t="str">
        <f t="shared" si="157"/>
        <v/>
      </c>
      <c r="AF1166" t="str">
        <f t="shared" si="158"/>
        <v/>
      </c>
      <c r="AI1166" t="str">
        <f>IF(ROW($AA1166) - $AA$51 &lt; ($H$16+1)^5, IF(AG1166 &gt;= FreeSpinsBonus!$C$16, AG1166*FreeSpinsBonus!$E$31, 0), "")</f>
        <v/>
      </c>
    </row>
    <row r="1167" spans="28:35" x14ac:dyDescent="0.3">
      <c r="AB1167" t="str">
        <f t="shared" si="154"/>
        <v/>
      </c>
      <c r="AC1167" t="str">
        <f t="shared" si="155"/>
        <v/>
      </c>
      <c r="AD1167" t="str">
        <f t="shared" si="156"/>
        <v/>
      </c>
      <c r="AE1167" t="str">
        <f t="shared" si="157"/>
        <v/>
      </c>
      <c r="AF1167" t="str">
        <f t="shared" si="158"/>
        <v/>
      </c>
      <c r="AI1167" t="str">
        <f>IF(ROW($AA1167) - $AA$51 &lt; ($H$16+1)^5, IF(AG1167 &gt;= FreeSpinsBonus!$C$16, AG1167*FreeSpinsBonus!$E$31, 0), "")</f>
        <v/>
      </c>
    </row>
    <row r="1168" spans="28:35" x14ac:dyDescent="0.3">
      <c r="AB1168" t="str">
        <f t="shared" si="154"/>
        <v/>
      </c>
      <c r="AC1168" t="str">
        <f t="shared" si="155"/>
        <v/>
      </c>
      <c r="AD1168" t="str">
        <f t="shared" si="156"/>
        <v/>
      </c>
      <c r="AE1168" t="str">
        <f t="shared" si="157"/>
        <v/>
      </c>
      <c r="AF1168" t="str">
        <f t="shared" si="158"/>
        <v/>
      </c>
      <c r="AI1168" t="str">
        <f>IF(ROW($AA1168) - $AA$51 &lt; ($H$16+1)^5, IF(AG1168 &gt;= FreeSpinsBonus!$C$16, AG1168*FreeSpinsBonus!$E$31, 0), "")</f>
        <v/>
      </c>
    </row>
    <row r="1169" spans="28:32" x14ac:dyDescent="0.3">
      <c r="AB1169" t="str">
        <f t="shared" si="154"/>
        <v/>
      </c>
      <c r="AC1169" t="str">
        <f t="shared" si="155"/>
        <v/>
      </c>
      <c r="AD1169" t="str">
        <f t="shared" si="156"/>
        <v/>
      </c>
      <c r="AE1169" t="str">
        <f t="shared" si="157"/>
        <v/>
      </c>
      <c r="AF1169" t="str">
        <f t="shared" si="158"/>
        <v/>
      </c>
    </row>
    <row r="1170" spans="28:32" x14ac:dyDescent="0.3">
      <c r="AB1170" t="str">
        <f t="shared" si="154"/>
        <v/>
      </c>
      <c r="AC1170" t="str">
        <f t="shared" si="155"/>
        <v/>
      </c>
      <c r="AD1170" t="str">
        <f t="shared" si="156"/>
        <v/>
      </c>
      <c r="AE1170" t="str">
        <f t="shared" si="157"/>
        <v/>
      </c>
      <c r="AF1170" t="str">
        <f t="shared" si="158"/>
        <v/>
      </c>
    </row>
    <row r="1171" spans="28:32" x14ac:dyDescent="0.3">
      <c r="AB1171" t="str">
        <f t="shared" si="154"/>
        <v/>
      </c>
      <c r="AC1171" t="str">
        <f t="shared" si="155"/>
        <v/>
      </c>
      <c r="AD1171" t="str">
        <f t="shared" si="156"/>
        <v/>
      </c>
      <c r="AE1171" t="str">
        <f t="shared" si="157"/>
        <v/>
      </c>
      <c r="AF1171" t="str">
        <f t="shared" si="158"/>
        <v/>
      </c>
    </row>
    <row r="1172" spans="28:32" x14ac:dyDescent="0.3">
      <c r="AB1172" t="str">
        <f t="shared" si="154"/>
        <v/>
      </c>
      <c r="AC1172" t="str">
        <f t="shared" si="155"/>
        <v/>
      </c>
      <c r="AD1172" t="str">
        <f t="shared" si="156"/>
        <v/>
      </c>
      <c r="AE1172" t="str">
        <f t="shared" si="157"/>
        <v/>
      </c>
      <c r="AF1172" t="str">
        <f t="shared" si="158"/>
        <v/>
      </c>
    </row>
    <row r="1173" spans="28:32" x14ac:dyDescent="0.3">
      <c r="AB1173" t="str">
        <f t="shared" si="154"/>
        <v/>
      </c>
      <c r="AC1173" t="str">
        <f t="shared" si="155"/>
        <v/>
      </c>
      <c r="AD1173" t="str">
        <f t="shared" si="156"/>
        <v/>
      </c>
      <c r="AE1173" t="str">
        <f t="shared" si="157"/>
        <v/>
      </c>
      <c r="AF1173" t="str">
        <f t="shared" si="158"/>
        <v/>
      </c>
    </row>
    <row r="1174" spans="28:32" x14ac:dyDescent="0.3">
      <c r="AB1174" t="str">
        <f t="shared" si="154"/>
        <v/>
      </c>
      <c r="AC1174" t="str">
        <f t="shared" si="155"/>
        <v/>
      </c>
      <c r="AD1174" t="str">
        <f t="shared" si="156"/>
        <v/>
      </c>
      <c r="AE1174" t="str">
        <f t="shared" si="157"/>
        <v/>
      </c>
      <c r="AF1174" t="str">
        <f t="shared" si="158"/>
        <v/>
      </c>
    </row>
    <row r="1175" spans="28:32" x14ac:dyDescent="0.3">
      <c r="AB1175" t="str">
        <f t="shared" si="154"/>
        <v/>
      </c>
      <c r="AC1175" t="str">
        <f t="shared" si="155"/>
        <v/>
      </c>
      <c r="AD1175" t="str">
        <f t="shared" si="156"/>
        <v/>
      </c>
      <c r="AE1175" t="str">
        <f t="shared" si="157"/>
        <v/>
      </c>
      <c r="AF1175" t="str">
        <f t="shared" si="158"/>
        <v/>
      </c>
    </row>
    <row r="1176" spans="28:32" x14ac:dyDescent="0.3">
      <c r="AB1176" t="str">
        <f t="shared" si="154"/>
        <v/>
      </c>
      <c r="AC1176" t="str">
        <f t="shared" si="155"/>
        <v/>
      </c>
      <c r="AD1176" t="str">
        <f t="shared" si="156"/>
        <v/>
      </c>
      <c r="AE1176" t="str">
        <f t="shared" si="157"/>
        <v/>
      </c>
      <c r="AF1176" t="str">
        <f t="shared" si="158"/>
        <v/>
      </c>
    </row>
    <row r="1177" spans="28:32" x14ac:dyDescent="0.3">
      <c r="AB1177" t="str">
        <f t="shared" si="154"/>
        <v/>
      </c>
      <c r="AC1177" t="str">
        <f t="shared" si="155"/>
        <v/>
      </c>
      <c r="AD1177" t="str">
        <f t="shared" si="156"/>
        <v/>
      </c>
      <c r="AE1177" t="str">
        <f t="shared" si="157"/>
        <v/>
      </c>
      <c r="AF1177" t="str">
        <f t="shared" si="158"/>
        <v/>
      </c>
    </row>
    <row r="1178" spans="28:32" x14ac:dyDescent="0.3">
      <c r="AB1178" t="str">
        <f t="shared" si="154"/>
        <v/>
      </c>
      <c r="AC1178" t="str">
        <f t="shared" si="155"/>
        <v/>
      </c>
      <c r="AD1178" t="str">
        <f t="shared" si="156"/>
        <v/>
      </c>
      <c r="AE1178" t="str">
        <f t="shared" si="157"/>
        <v/>
      </c>
      <c r="AF1178" t="str">
        <f t="shared" si="158"/>
        <v/>
      </c>
    </row>
    <row r="1179" spans="28:32" x14ac:dyDescent="0.3">
      <c r="AB1179" t="str">
        <f t="shared" si="154"/>
        <v/>
      </c>
      <c r="AC1179" t="str">
        <f t="shared" si="155"/>
        <v/>
      </c>
      <c r="AD1179" t="str">
        <f t="shared" si="156"/>
        <v/>
      </c>
      <c r="AE1179" t="str">
        <f t="shared" si="157"/>
        <v/>
      </c>
      <c r="AF1179" t="str">
        <f t="shared" si="158"/>
        <v/>
      </c>
    </row>
    <row r="1180" spans="28:32" x14ac:dyDescent="0.3">
      <c r="AB1180" t="str">
        <f t="shared" si="154"/>
        <v/>
      </c>
      <c r="AC1180" t="str">
        <f t="shared" si="155"/>
        <v/>
      </c>
      <c r="AD1180" t="str">
        <f t="shared" si="156"/>
        <v/>
      </c>
      <c r="AE1180" t="str">
        <f t="shared" si="157"/>
        <v/>
      </c>
      <c r="AF1180" t="str">
        <f t="shared" si="158"/>
        <v/>
      </c>
    </row>
    <row r="1181" spans="28:32" x14ac:dyDescent="0.3">
      <c r="AB1181" t="str">
        <f t="shared" si="154"/>
        <v/>
      </c>
      <c r="AC1181" t="str">
        <f t="shared" si="155"/>
        <v/>
      </c>
      <c r="AD1181" t="str">
        <f t="shared" si="156"/>
        <v/>
      </c>
      <c r="AE1181" t="str">
        <f t="shared" si="157"/>
        <v/>
      </c>
      <c r="AF1181" t="str">
        <f t="shared" si="158"/>
        <v/>
      </c>
    </row>
    <row r="1182" spans="28:32" x14ac:dyDescent="0.3">
      <c r="AB1182" t="str">
        <f t="shared" si="154"/>
        <v/>
      </c>
      <c r="AC1182" t="str">
        <f t="shared" si="155"/>
        <v/>
      </c>
      <c r="AD1182" t="str">
        <f t="shared" si="156"/>
        <v/>
      </c>
      <c r="AE1182" t="str">
        <f t="shared" si="157"/>
        <v/>
      </c>
      <c r="AF1182" t="str">
        <f t="shared" si="158"/>
        <v/>
      </c>
    </row>
    <row r="1183" spans="28:32" x14ac:dyDescent="0.3">
      <c r="AB1183" t="str">
        <f t="shared" si="154"/>
        <v/>
      </c>
      <c r="AC1183" t="str">
        <f t="shared" si="155"/>
        <v/>
      </c>
      <c r="AD1183" t="str">
        <f t="shared" si="156"/>
        <v/>
      </c>
      <c r="AE1183" t="str">
        <f t="shared" si="157"/>
        <v/>
      </c>
      <c r="AF1183" t="str">
        <f t="shared" si="158"/>
        <v/>
      </c>
    </row>
    <row r="1184" spans="28:32" x14ac:dyDescent="0.3">
      <c r="AB1184" t="str">
        <f t="shared" si="154"/>
        <v/>
      </c>
      <c r="AC1184" t="str">
        <f t="shared" si="155"/>
        <v/>
      </c>
      <c r="AD1184" t="str">
        <f t="shared" si="156"/>
        <v/>
      </c>
      <c r="AE1184" t="str">
        <f t="shared" si="157"/>
        <v/>
      </c>
      <c r="AF1184" t="str">
        <f t="shared" si="158"/>
        <v/>
      </c>
    </row>
    <row r="1185" spans="28:32" x14ac:dyDescent="0.3">
      <c r="AB1185" t="str">
        <f t="shared" si="154"/>
        <v/>
      </c>
      <c r="AC1185" t="str">
        <f t="shared" si="155"/>
        <v/>
      </c>
      <c r="AD1185" t="str">
        <f t="shared" si="156"/>
        <v/>
      </c>
      <c r="AE1185" t="str">
        <f t="shared" si="157"/>
        <v/>
      </c>
      <c r="AF1185" t="str">
        <f t="shared" si="158"/>
        <v/>
      </c>
    </row>
    <row r="1186" spans="28:32" x14ac:dyDescent="0.3">
      <c r="AB1186" t="str">
        <f t="shared" si="154"/>
        <v/>
      </c>
      <c r="AC1186" t="str">
        <f t="shared" si="155"/>
        <v/>
      </c>
      <c r="AD1186" t="str">
        <f t="shared" si="156"/>
        <v/>
      </c>
      <c r="AE1186" t="str">
        <f t="shared" si="157"/>
        <v/>
      </c>
      <c r="AF1186" t="str">
        <f t="shared" si="158"/>
        <v/>
      </c>
    </row>
    <row r="1187" spans="28:32" x14ac:dyDescent="0.3">
      <c r="AB1187" t="str">
        <f t="shared" si="154"/>
        <v/>
      </c>
      <c r="AC1187" t="str">
        <f t="shared" si="155"/>
        <v/>
      </c>
      <c r="AD1187" t="str">
        <f t="shared" si="156"/>
        <v/>
      </c>
      <c r="AE1187" t="str">
        <f t="shared" si="157"/>
        <v/>
      </c>
      <c r="AF1187" t="str">
        <f t="shared" si="158"/>
        <v/>
      </c>
    </row>
    <row r="1188" spans="28:32" x14ac:dyDescent="0.3">
      <c r="AB1188" t="str">
        <f t="shared" si="154"/>
        <v/>
      </c>
      <c r="AC1188" t="str">
        <f t="shared" si="155"/>
        <v/>
      </c>
      <c r="AD1188" t="str">
        <f t="shared" si="156"/>
        <v/>
      </c>
      <c r="AE1188" t="str">
        <f t="shared" si="157"/>
        <v/>
      </c>
      <c r="AF1188" t="str">
        <f t="shared" si="158"/>
        <v/>
      </c>
    </row>
    <row r="1189" spans="28:32" x14ac:dyDescent="0.3">
      <c r="AB1189" t="str">
        <f t="shared" si="154"/>
        <v/>
      </c>
      <c r="AC1189" t="str">
        <f t="shared" si="155"/>
        <v/>
      </c>
      <c r="AD1189" t="str">
        <f t="shared" si="156"/>
        <v/>
      </c>
      <c r="AE1189" t="str">
        <f t="shared" si="157"/>
        <v/>
      </c>
      <c r="AF1189" t="str">
        <f t="shared" si="158"/>
        <v/>
      </c>
    </row>
    <row r="1190" spans="28:32" x14ac:dyDescent="0.3">
      <c r="AB1190" t="str">
        <f t="shared" si="154"/>
        <v/>
      </c>
      <c r="AC1190" t="str">
        <f t="shared" si="155"/>
        <v/>
      </c>
      <c r="AD1190" t="str">
        <f t="shared" si="156"/>
        <v/>
      </c>
      <c r="AE1190" t="str">
        <f t="shared" si="157"/>
        <v/>
      </c>
      <c r="AF1190" t="str">
        <f t="shared" si="158"/>
        <v/>
      </c>
    </row>
    <row r="1191" spans="28:32" x14ac:dyDescent="0.3">
      <c r="AB1191" t="str">
        <f t="shared" si="154"/>
        <v/>
      </c>
      <c r="AC1191" t="str">
        <f t="shared" si="155"/>
        <v/>
      </c>
      <c r="AD1191" t="str">
        <f t="shared" si="156"/>
        <v/>
      </c>
      <c r="AE1191" t="str">
        <f t="shared" si="157"/>
        <v/>
      </c>
      <c r="AF1191" t="str">
        <f t="shared" si="158"/>
        <v/>
      </c>
    </row>
    <row r="1192" spans="28:32" x14ac:dyDescent="0.3">
      <c r="AB1192" t="str">
        <f t="shared" si="154"/>
        <v/>
      </c>
      <c r="AC1192" t="str">
        <f t="shared" si="155"/>
        <v/>
      </c>
      <c r="AD1192" t="str">
        <f t="shared" si="156"/>
        <v/>
      </c>
      <c r="AE1192" t="str">
        <f t="shared" si="157"/>
        <v/>
      </c>
      <c r="AF1192" t="str">
        <f t="shared" si="158"/>
        <v/>
      </c>
    </row>
    <row r="1193" spans="28:32" x14ac:dyDescent="0.3">
      <c r="AB1193" t="str">
        <f t="shared" si="154"/>
        <v/>
      </c>
      <c r="AC1193" t="str">
        <f t="shared" si="155"/>
        <v/>
      </c>
      <c r="AD1193" t="str">
        <f t="shared" si="156"/>
        <v/>
      </c>
      <c r="AE1193" t="str">
        <f t="shared" si="157"/>
        <v/>
      </c>
      <c r="AF1193" t="str">
        <f t="shared" si="158"/>
        <v/>
      </c>
    </row>
    <row r="1194" spans="28:32" x14ac:dyDescent="0.3">
      <c r="AB1194" t="str">
        <f t="shared" si="154"/>
        <v/>
      </c>
      <c r="AC1194" t="str">
        <f t="shared" si="155"/>
        <v/>
      </c>
      <c r="AD1194" t="str">
        <f t="shared" si="156"/>
        <v/>
      </c>
      <c r="AE1194" t="str">
        <f t="shared" si="157"/>
        <v/>
      </c>
      <c r="AF1194" t="str">
        <f t="shared" si="158"/>
        <v/>
      </c>
    </row>
    <row r="1195" spans="28:32" x14ac:dyDescent="0.3">
      <c r="AB1195" t="str">
        <f t="shared" si="154"/>
        <v/>
      </c>
      <c r="AC1195" t="str">
        <f t="shared" si="155"/>
        <v/>
      </c>
      <c r="AD1195" t="str">
        <f t="shared" si="156"/>
        <v/>
      </c>
      <c r="AE1195" t="str">
        <f t="shared" si="157"/>
        <v/>
      </c>
      <c r="AF1195" t="str">
        <f t="shared" si="158"/>
        <v/>
      </c>
    </row>
    <row r="1196" spans="28:32" x14ac:dyDescent="0.3">
      <c r="AB1196" t="str">
        <f t="shared" si="154"/>
        <v/>
      </c>
      <c r="AC1196" t="str">
        <f t="shared" si="155"/>
        <v/>
      </c>
      <c r="AD1196" t="str">
        <f t="shared" si="156"/>
        <v/>
      </c>
      <c r="AE1196" t="str">
        <f t="shared" si="157"/>
        <v/>
      </c>
      <c r="AF1196" t="str">
        <f t="shared" si="158"/>
        <v/>
      </c>
    </row>
    <row r="1197" spans="28:32" x14ac:dyDescent="0.3">
      <c r="AB1197" t="str">
        <f t="shared" si="154"/>
        <v/>
      </c>
      <c r="AC1197" t="str">
        <f t="shared" si="155"/>
        <v/>
      </c>
      <c r="AD1197" t="str">
        <f t="shared" si="156"/>
        <v/>
      </c>
      <c r="AE1197" t="str">
        <f t="shared" si="157"/>
        <v/>
      </c>
      <c r="AF1197" t="str">
        <f t="shared" si="158"/>
        <v/>
      </c>
    </row>
    <row r="1198" spans="28:32" x14ac:dyDescent="0.3">
      <c r="AB1198" t="str">
        <f t="shared" si="154"/>
        <v/>
      </c>
      <c r="AC1198" t="str">
        <f t="shared" si="155"/>
        <v/>
      </c>
      <c r="AD1198" t="str">
        <f t="shared" si="156"/>
        <v/>
      </c>
      <c r="AE1198" t="str">
        <f t="shared" si="157"/>
        <v/>
      </c>
      <c r="AF1198" t="str">
        <f t="shared" si="158"/>
        <v/>
      </c>
    </row>
    <row r="1199" spans="28:32" x14ac:dyDescent="0.3">
      <c r="AB1199" t="str">
        <f t="shared" si="154"/>
        <v/>
      </c>
      <c r="AC1199" t="str">
        <f t="shared" si="155"/>
        <v/>
      </c>
      <c r="AD1199" t="str">
        <f t="shared" si="156"/>
        <v/>
      </c>
      <c r="AE1199" t="str">
        <f t="shared" si="157"/>
        <v/>
      </c>
      <c r="AF1199" t="str">
        <f t="shared" si="158"/>
        <v/>
      </c>
    </row>
    <row r="1200" spans="28:32" x14ac:dyDescent="0.3">
      <c r="AB1200" t="str">
        <f t="shared" si="154"/>
        <v/>
      </c>
      <c r="AC1200" t="str">
        <f t="shared" si="155"/>
        <v/>
      </c>
      <c r="AD1200" t="str">
        <f t="shared" si="156"/>
        <v/>
      </c>
      <c r="AE1200" t="str">
        <f t="shared" si="157"/>
        <v/>
      </c>
      <c r="AF1200" t="str">
        <f t="shared" si="158"/>
        <v/>
      </c>
    </row>
    <row r="1201" spans="28:32" x14ac:dyDescent="0.3">
      <c r="AB1201" t="str">
        <f t="shared" si="154"/>
        <v/>
      </c>
      <c r="AC1201" t="str">
        <f t="shared" si="155"/>
        <v/>
      </c>
      <c r="AD1201" t="str">
        <f t="shared" si="156"/>
        <v/>
      </c>
      <c r="AE1201" t="str">
        <f t="shared" si="157"/>
        <v/>
      </c>
      <c r="AF1201" t="str">
        <f t="shared" si="158"/>
        <v/>
      </c>
    </row>
    <row r="1202" spans="28:32" x14ac:dyDescent="0.3">
      <c r="AB1202" t="str">
        <f t="shared" si="154"/>
        <v/>
      </c>
      <c r="AC1202" t="str">
        <f t="shared" si="155"/>
        <v/>
      </c>
      <c r="AD1202" t="str">
        <f t="shared" si="156"/>
        <v/>
      </c>
      <c r="AE1202" t="str">
        <f t="shared" si="157"/>
        <v/>
      </c>
      <c r="AF1202" t="str">
        <f t="shared" si="158"/>
        <v/>
      </c>
    </row>
    <row r="1203" spans="28:32" x14ac:dyDescent="0.3">
      <c r="AB1203" t="str">
        <f t="shared" si="154"/>
        <v/>
      </c>
      <c r="AC1203" t="str">
        <f t="shared" si="155"/>
        <v/>
      </c>
      <c r="AD1203" t="str">
        <f t="shared" si="156"/>
        <v/>
      </c>
      <c r="AE1203" t="str">
        <f t="shared" si="157"/>
        <v/>
      </c>
      <c r="AF1203" t="str">
        <f t="shared" si="158"/>
        <v/>
      </c>
    </row>
    <row r="1204" spans="28:32" x14ac:dyDescent="0.3">
      <c r="AB1204" t="str">
        <f t="shared" ref="AB1204:AB1267" si="159">IF(ROW()-$AA$51 &lt; (H$16+1)^5, MOD(_xlfn.FLOOR.MATH((ROW()-$AA$51)/AB$50), H$16+1), "")</f>
        <v/>
      </c>
      <c r="AC1204" t="str">
        <f t="shared" ref="AC1204:AC1267" si="160">IF(ROW()-$AA$51 &lt; (I$16+1)^5, MOD(_xlfn.FLOOR.MATH((ROW()-$AA$51)/AC$50), I$16+1), "")</f>
        <v/>
      </c>
      <c r="AD1204" t="str">
        <f t="shared" ref="AD1204:AD1267" si="161">IF(ROW()-$AA$51 &lt; (J$16+1)^5, MOD(_xlfn.FLOOR.MATH((ROW()-$AA$51)/AD$50), J$16+1), "")</f>
        <v/>
      </c>
      <c r="AE1204" t="str">
        <f t="shared" ref="AE1204:AE1267" si="162">IF(ROW()-$AA$51 &lt; (K$16+1)^5, MOD(_xlfn.FLOOR.MATH((ROW()-$AA$51)/AE$50), K$16+1), "")</f>
        <v/>
      </c>
      <c r="AF1204" t="str">
        <f t="shared" ref="AF1204:AF1267" si="163">IF(ROW()-$AA$51 &lt; (L$16+1)^5, MOD(_xlfn.FLOOR.MATH((ROW()-$AA$51)/AF$50), L$16+1), "")</f>
        <v/>
      </c>
    </row>
    <row r="1205" spans="28:32" x14ac:dyDescent="0.3">
      <c r="AB1205" t="str">
        <f t="shared" si="159"/>
        <v/>
      </c>
      <c r="AC1205" t="str">
        <f t="shared" si="160"/>
        <v/>
      </c>
      <c r="AD1205" t="str">
        <f t="shared" si="161"/>
        <v/>
      </c>
      <c r="AE1205" t="str">
        <f t="shared" si="162"/>
        <v/>
      </c>
      <c r="AF1205" t="str">
        <f t="shared" si="163"/>
        <v/>
      </c>
    </row>
    <row r="1206" spans="28:32" x14ac:dyDescent="0.3">
      <c r="AB1206" t="str">
        <f t="shared" si="159"/>
        <v/>
      </c>
      <c r="AC1206" t="str">
        <f t="shared" si="160"/>
        <v/>
      </c>
      <c r="AD1206" t="str">
        <f t="shared" si="161"/>
        <v/>
      </c>
      <c r="AE1206" t="str">
        <f t="shared" si="162"/>
        <v/>
      </c>
      <c r="AF1206" t="str">
        <f t="shared" si="163"/>
        <v/>
      </c>
    </row>
    <row r="1207" spans="28:32" x14ac:dyDescent="0.3">
      <c r="AB1207" t="str">
        <f t="shared" si="159"/>
        <v/>
      </c>
      <c r="AC1207" t="str">
        <f t="shared" si="160"/>
        <v/>
      </c>
      <c r="AD1207" t="str">
        <f t="shared" si="161"/>
        <v/>
      </c>
      <c r="AE1207" t="str">
        <f t="shared" si="162"/>
        <v/>
      </c>
      <c r="AF1207" t="str">
        <f t="shared" si="163"/>
        <v/>
      </c>
    </row>
    <row r="1208" spans="28:32" x14ac:dyDescent="0.3">
      <c r="AB1208" t="str">
        <f t="shared" si="159"/>
        <v/>
      </c>
      <c r="AC1208" t="str">
        <f t="shared" si="160"/>
        <v/>
      </c>
      <c r="AD1208" t="str">
        <f t="shared" si="161"/>
        <v/>
      </c>
      <c r="AE1208" t="str">
        <f t="shared" si="162"/>
        <v/>
      </c>
      <c r="AF1208" t="str">
        <f t="shared" si="163"/>
        <v/>
      </c>
    </row>
    <row r="1209" spans="28:32" x14ac:dyDescent="0.3">
      <c r="AB1209" t="str">
        <f t="shared" si="159"/>
        <v/>
      </c>
      <c r="AC1209" t="str">
        <f t="shared" si="160"/>
        <v/>
      </c>
      <c r="AD1209" t="str">
        <f t="shared" si="161"/>
        <v/>
      </c>
      <c r="AE1209" t="str">
        <f t="shared" si="162"/>
        <v/>
      </c>
      <c r="AF1209" t="str">
        <f t="shared" si="163"/>
        <v/>
      </c>
    </row>
    <row r="1210" spans="28:32" x14ac:dyDescent="0.3">
      <c r="AB1210" t="str">
        <f t="shared" si="159"/>
        <v/>
      </c>
      <c r="AC1210" t="str">
        <f t="shared" si="160"/>
        <v/>
      </c>
      <c r="AD1210" t="str">
        <f t="shared" si="161"/>
        <v/>
      </c>
      <c r="AE1210" t="str">
        <f t="shared" si="162"/>
        <v/>
      </c>
      <c r="AF1210" t="str">
        <f t="shared" si="163"/>
        <v/>
      </c>
    </row>
    <row r="1211" spans="28:32" x14ac:dyDescent="0.3">
      <c r="AB1211" t="str">
        <f t="shared" si="159"/>
        <v/>
      </c>
      <c r="AC1211" t="str">
        <f t="shared" si="160"/>
        <v/>
      </c>
      <c r="AD1211" t="str">
        <f t="shared" si="161"/>
        <v/>
      </c>
      <c r="AE1211" t="str">
        <f t="shared" si="162"/>
        <v/>
      </c>
      <c r="AF1211" t="str">
        <f t="shared" si="163"/>
        <v/>
      </c>
    </row>
    <row r="1212" spans="28:32" x14ac:dyDescent="0.3">
      <c r="AB1212" t="str">
        <f t="shared" si="159"/>
        <v/>
      </c>
      <c r="AC1212" t="str">
        <f t="shared" si="160"/>
        <v/>
      </c>
      <c r="AD1212" t="str">
        <f t="shared" si="161"/>
        <v/>
      </c>
      <c r="AE1212" t="str">
        <f t="shared" si="162"/>
        <v/>
      </c>
      <c r="AF1212" t="str">
        <f t="shared" si="163"/>
        <v/>
      </c>
    </row>
    <row r="1213" spans="28:32" x14ac:dyDescent="0.3">
      <c r="AB1213" t="str">
        <f t="shared" si="159"/>
        <v/>
      </c>
      <c r="AC1213" t="str">
        <f t="shared" si="160"/>
        <v/>
      </c>
      <c r="AD1213" t="str">
        <f t="shared" si="161"/>
        <v/>
      </c>
      <c r="AE1213" t="str">
        <f t="shared" si="162"/>
        <v/>
      </c>
      <c r="AF1213" t="str">
        <f t="shared" si="163"/>
        <v/>
      </c>
    </row>
    <row r="1214" spans="28:32" x14ac:dyDescent="0.3">
      <c r="AB1214" t="str">
        <f t="shared" si="159"/>
        <v/>
      </c>
      <c r="AC1214" t="str">
        <f t="shared" si="160"/>
        <v/>
      </c>
      <c r="AD1214" t="str">
        <f t="shared" si="161"/>
        <v/>
      </c>
      <c r="AE1214" t="str">
        <f t="shared" si="162"/>
        <v/>
      </c>
      <c r="AF1214" t="str">
        <f t="shared" si="163"/>
        <v/>
      </c>
    </row>
    <row r="1215" spans="28:32" x14ac:dyDescent="0.3">
      <c r="AB1215" t="str">
        <f t="shared" si="159"/>
        <v/>
      </c>
      <c r="AC1215" t="str">
        <f t="shared" si="160"/>
        <v/>
      </c>
      <c r="AD1215" t="str">
        <f t="shared" si="161"/>
        <v/>
      </c>
      <c r="AE1215" t="str">
        <f t="shared" si="162"/>
        <v/>
      </c>
      <c r="AF1215" t="str">
        <f t="shared" si="163"/>
        <v/>
      </c>
    </row>
    <row r="1216" spans="28:32" x14ac:dyDescent="0.3">
      <c r="AB1216" t="str">
        <f t="shared" si="159"/>
        <v/>
      </c>
      <c r="AC1216" t="str">
        <f t="shared" si="160"/>
        <v/>
      </c>
      <c r="AD1216" t="str">
        <f t="shared" si="161"/>
        <v/>
      </c>
      <c r="AE1216" t="str">
        <f t="shared" si="162"/>
        <v/>
      </c>
      <c r="AF1216" t="str">
        <f t="shared" si="163"/>
        <v/>
      </c>
    </row>
    <row r="1217" spans="28:32" x14ac:dyDescent="0.3">
      <c r="AB1217" t="str">
        <f t="shared" si="159"/>
        <v/>
      </c>
      <c r="AC1217" t="str">
        <f t="shared" si="160"/>
        <v/>
      </c>
      <c r="AD1217" t="str">
        <f t="shared" si="161"/>
        <v/>
      </c>
      <c r="AE1217" t="str">
        <f t="shared" si="162"/>
        <v/>
      </c>
      <c r="AF1217" t="str">
        <f t="shared" si="163"/>
        <v/>
      </c>
    </row>
    <row r="1218" spans="28:32" x14ac:dyDescent="0.3">
      <c r="AB1218" t="str">
        <f t="shared" si="159"/>
        <v/>
      </c>
      <c r="AC1218" t="str">
        <f t="shared" si="160"/>
        <v/>
      </c>
      <c r="AD1218" t="str">
        <f t="shared" si="161"/>
        <v/>
      </c>
      <c r="AE1218" t="str">
        <f t="shared" si="162"/>
        <v/>
      </c>
      <c r="AF1218" t="str">
        <f t="shared" si="163"/>
        <v/>
      </c>
    </row>
    <row r="1219" spans="28:32" x14ac:dyDescent="0.3">
      <c r="AB1219" t="str">
        <f t="shared" si="159"/>
        <v/>
      </c>
      <c r="AC1219" t="str">
        <f t="shared" si="160"/>
        <v/>
      </c>
      <c r="AD1219" t="str">
        <f t="shared" si="161"/>
        <v/>
      </c>
      <c r="AE1219" t="str">
        <f t="shared" si="162"/>
        <v/>
      </c>
      <c r="AF1219" t="str">
        <f t="shared" si="163"/>
        <v/>
      </c>
    </row>
    <row r="1220" spans="28:32" x14ac:dyDescent="0.3">
      <c r="AB1220" t="str">
        <f t="shared" si="159"/>
        <v/>
      </c>
      <c r="AC1220" t="str">
        <f t="shared" si="160"/>
        <v/>
      </c>
      <c r="AD1220" t="str">
        <f t="shared" si="161"/>
        <v/>
      </c>
      <c r="AE1220" t="str">
        <f t="shared" si="162"/>
        <v/>
      </c>
      <c r="AF1220" t="str">
        <f t="shared" si="163"/>
        <v/>
      </c>
    </row>
    <row r="1221" spans="28:32" x14ac:dyDescent="0.3">
      <c r="AB1221" t="str">
        <f t="shared" si="159"/>
        <v/>
      </c>
      <c r="AC1221" t="str">
        <f t="shared" si="160"/>
        <v/>
      </c>
      <c r="AD1221" t="str">
        <f t="shared" si="161"/>
        <v/>
      </c>
      <c r="AE1221" t="str">
        <f t="shared" si="162"/>
        <v/>
      </c>
      <c r="AF1221" t="str">
        <f t="shared" si="163"/>
        <v/>
      </c>
    </row>
    <row r="1222" spans="28:32" x14ac:dyDescent="0.3">
      <c r="AB1222" t="str">
        <f t="shared" si="159"/>
        <v/>
      </c>
      <c r="AC1222" t="str">
        <f t="shared" si="160"/>
        <v/>
      </c>
      <c r="AD1222" t="str">
        <f t="shared" si="161"/>
        <v/>
      </c>
      <c r="AE1222" t="str">
        <f t="shared" si="162"/>
        <v/>
      </c>
      <c r="AF1222" t="str">
        <f t="shared" si="163"/>
        <v/>
      </c>
    </row>
    <row r="1223" spans="28:32" x14ac:dyDescent="0.3">
      <c r="AB1223" t="str">
        <f t="shared" si="159"/>
        <v/>
      </c>
      <c r="AC1223" t="str">
        <f t="shared" si="160"/>
        <v/>
      </c>
      <c r="AD1223" t="str">
        <f t="shared" si="161"/>
        <v/>
      </c>
      <c r="AE1223" t="str">
        <f t="shared" si="162"/>
        <v/>
      </c>
      <c r="AF1223" t="str">
        <f t="shared" si="163"/>
        <v/>
      </c>
    </row>
    <row r="1224" spans="28:32" x14ac:dyDescent="0.3">
      <c r="AB1224" t="str">
        <f t="shared" si="159"/>
        <v/>
      </c>
      <c r="AC1224" t="str">
        <f t="shared" si="160"/>
        <v/>
      </c>
      <c r="AD1224" t="str">
        <f t="shared" si="161"/>
        <v/>
      </c>
      <c r="AE1224" t="str">
        <f t="shared" si="162"/>
        <v/>
      </c>
      <c r="AF1224" t="str">
        <f t="shared" si="163"/>
        <v/>
      </c>
    </row>
    <row r="1225" spans="28:32" x14ac:dyDescent="0.3">
      <c r="AB1225" t="str">
        <f t="shared" si="159"/>
        <v/>
      </c>
      <c r="AC1225" t="str">
        <f t="shared" si="160"/>
        <v/>
      </c>
      <c r="AD1225" t="str">
        <f t="shared" si="161"/>
        <v/>
      </c>
      <c r="AE1225" t="str">
        <f t="shared" si="162"/>
        <v/>
      </c>
      <c r="AF1225" t="str">
        <f t="shared" si="163"/>
        <v/>
      </c>
    </row>
    <row r="1226" spans="28:32" x14ac:dyDescent="0.3">
      <c r="AB1226" t="str">
        <f t="shared" si="159"/>
        <v/>
      </c>
      <c r="AC1226" t="str">
        <f t="shared" si="160"/>
        <v/>
      </c>
      <c r="AD1226" t="str">
        <f t="shared" si="161"/>
        <v/>
      </c>
      <c r="AE1226" t="str">
        <f t="shared" si="162"/>
        <v/>
      </c>
      <c r="AF1226" t="str">
        <f t="shared" si="163"/>
        <v/>
      </c>
    </row>
    <row r="1227" spans="28:32" x14ac:dyDescent="0.3">
      <c r="AB1227" t="str">
        <f t="shared" si="159"/>
        <v/>
      </c>
      <c r="AC1227" t="str">
        <f t="shared" si="160"/>
        <v/>
      </c>
      <c r="AD1227" t="str">
        <f t="shared" si="161"/>
        <v/>
      </c>
      <c r="AE1227" t="str">
        <f t="shared" si="162"/>
        <v/>
      </c>
      <c r="AF1227" t="str">
        <f t="shared" si="163"/>
        <v/>
      </c>
    </row>
    <row r="1228" spans="28:32" x14ac:dyDescent="0.3">
      <c r="AB1228" t="str">
        <f t="shared" si="159"/>
        <v/>
      </c>
      <c r="AC1228" t="str">
        <f t="shared" si="160"/>
        <v/>
      </c>
      <c r="AD1228" t="str">
        <f t="shared" si="161"/>
        <v/>
      </c>
      <c r="AE1228" t="str">
        <f t="shared" si="162"/>
        <v/>
      </c>
      <c r="AF1228" t="str">
        <f t="shared" si="163"/>
        <v/>
      </c>
    </row>
    <row r="1229" spans="28:32" x14ac:dyDescent="0.3">
      <c r="AB1229" t="str">
        <f t="shared" si="159"/>
        <v/>
      </c>
      <c r="AC1229" t="str">
        <f t="shared" si="160"/>
        <v/>
      </c>
      <c r="AD1229" t="str">
        <f t="shared" si="161"/>
        <v/>
      </c>
      <c r="AE1229" t="str">
        <f t="shared" si="162"/>
        <v/>
      </c>
      <c r="AF1229" t="str">
        <f t="shared" si="163"/>
        <v/>
      </c>
    </row>
    <row r="1230" spans="28:32" x14ac:dyDescent="0.3">
      <c r="AB1230" t="str">
        <f t="shared" si="159"/>
        <v/>
      </c>
      <c r="AC1230" t="str">
        <f t="shared" si="160"/>
        <v/>
      </c>
      <c r="AD1230" t="str">
        <f t="shared" si="161"/>
        <v/>
      </c>
      <c r="AE1230" t="str">
        <f t="shared" si="162"/>
        <v/>
      </c>
      <c r="AF1230" t="str">
        <f t="shared" si="163"/>
        <v/>
      </c>
    </row>
    <row r="1231" spans="28:32" x14ac:dyDescent="0.3">
      <c r="AB1231" t="str">
        <f t="shared" si="159"/>
        <v/>
      </c>
      <c r="AC1231" t="str">
        <f t="shared" si="160"/>
        <v/>
      </c>
      <c r="AD1231" t="str">
        <f t="shared" si="161"/>
        <v/>
      </c>
      <c r="AE1231" t="str">
        <f t="shared" si="162"/>
        <v/>
      </c>
      <c r="AF1231" t="str">
        <f t="shared" si="163"/>
        <v/>
      </c>
    </row>
    <row r="1232" spans="28:32" x14ac:dyDescent="0.3">
      <c r="AB1232" t="str">
        <f t="shared" si="159"/>
        <v/>
      </c>
      <c r="AC1232" t="str">
        <f t="shared" si="160"/>
        <v/>
      </c>
      <c r="AD1232" t="str">
        <f t="shared" si="161"/>
        <v/>
      </c>
      <c r="AE1232" t="str">
        <f t="shared" si="162"/>
        <v/>
      </c>
      <c r="AF1232" t="str">
        <f t="shared" si="163"/>
        <v/>
      </c>
    </row>
    <row r="1233" spans="28:32" x14ac:dyDescent="0.3">
      <c r="AB1233" t="str">
        <f t="shared" si="159"/>
        <v/>
      </c>
      <c r="AC1233" t="str">
        <f t="shared" si="160"/>
        <v/>
      </c>
      <c r="AD1233" t="str">
        <f t="shared" si="161"/>
        <v/>
      </c>
      <c r="AE1233" t="str">
        <f t="shared" si="162"/>
        <v/>
      </c>
      <c r="AF1233" t="str">
        <f t="shared" si="163"/>
        <v/>
      </c>
    </row>
    <row r="1234" spans="28:32" x14ac:dyDescent="0.3">
      <c r="AB1234" t="str">
        <f t="shared" si="159"/>
        <v/>
      </c>
      <c r="AC1234" t="str">
        <f t="shared" si="160"/>
        <v/>
      </c>
      <c r="AD1234" t="str">
        <f t="shared" si="161"/>
        <v/>
      </c>
      <c r="AE1234" t="str">
        <f t="shared" si="162"/>
        <v/>
      </c>
      <c r="AF1234" t="str">
        <f t="shared" si="163"/>
        <v/>
      </c>
    </row>
    <row r="1235" spans="28:32" x14ac:dyDescent="0.3">
      <c r="AB1235" t="str">
        <f t="shared" si="159"/>
        <v/>
      </c>
      <c r="AC1235" t="str">
        <f t="shared" si="160"/>
        <v/>
      </c>
      <c r="AD1235" t="str">
        <f t="shared" si="161"/>
        <v/>
      </c>
      <c r="AE1235" t="str">
        <f t="shared" si="162"/>
        <v/>
      </c>
      <c r="AF1235" t="str">
        <f t="shared" si="163"/>
        <v/>
      </c>
    </row>
    <row r="1236" spans="28:32" x14ac:dyDescent="0.3">
      <c r="AB1236" t="str">
        <f t="shared" si="159"/>
        <v/>
      </c>
      <c r="AC1236" t="str">
        <f t="shared" si="160"/>
        <v/>
      </c>
      <c r="AD1236" t="str">
        <f t="shared" si="161"/>
        <v/>
      </c>
      <c r="AE1236" t="str">
        <f t="shared" si="162"/>
        <v/>
      </c>
      <c r="AF1236" t="str">
        <f t="shared" si="163"/>
        <v/>
      </c>
    </row>
    <row r="1237" spans="28:32" x14ac:dyDescent="0.3">
      <c r="AB1237" t="str">
        <f t="shared" si="159"/>
        <v/>
      </c>
      <c r="AC1237" t="str">
        <f t="shared" si="160"/>
        <v/>
      </c>
      <c r="AD1237" t="str">
        <f t="shared" si="161"/>
        <v/>
      </c>
      <c r="AE1237" t="str">
        <f t="shared" si="162"/>
        <v/>
      </c>
      <c r="AF1237" t="str">
        <f t="shared" si="163"/>
        <v/>
      </c>
    </row>
    <row r="1238" spans="28:32" x14ac:dyDescent="0.3">
      <c r="AB1238" t="str">
        <f t="shared" si="159"/>
        <v/>
      </c>
      <c r="AC1238" t="str">
        <f t="shared" si="160"/>
        <v/>
      </c>
      <c r="AD1238" t="str">
        <f t="shared" si="161"/>
        <v/>
      </c>
      <c r="AE1238" t="str">
        <f t="shared" si="162"/>
        <v/>
      </c>
      <c r="AF1238" t="str">
        <f t="shared" si="163"/>
        <v/>
      </c>
    </row>
    <row r="1239" spans="28:32" x14ac:dyDescent="0.3">
      <c r="AB1239" t="str">
        <f t="shared" si="159"/>
        <v/>
      </c>
      <c r="AC1239" t="str">
        <f t="shared" si="160"/>
        <v/>
      </c>
      <c r="AD1239" t="str">
        <f t="shared" si="161"/>
        <v/>
      </c>
      <c r="AE1239" t="str">
        <f t="shared" si="162"/>
        <v/>
      </c>
      <c r="AF1239" t="str">
        <f t="shared" si="163"/>
        <v/>
      </c>
    </row>
    <row r="1240" spans="28:32" x14ac:dyDescent="0.3">
      <c r="AB1240" t="str">
        <f t="shared" si="159"/>
        <v/>
      </c>
      <c r="AC1240" t="str">
        <f t="shared" si="160"/>
        <v/>
      </c>
      <c r="AD1240" t="str">
        <f t="shared" si="161"/>
        <v/>
      </c>
      <c r="AE1240" t="str">
        <f t="shared" si="162"/>
        <v/>
      </c>
      <c r="AF1240" t="str">
        <f t="shared" si="163"/>
        <v/>
      </c>
    </row>
    <row r="1241" spans="28:32" x14ac:dyDescent="0.3">
      <c r="AB1241" t="str">
        <f t="shared" si="159"/>
        <v/>
      </c>
      <c r="AC1241" t="str">
        <f t="shared" si="160"/>
        <v/>
      </c>
      <c r="AD1241" t="str">
        <f t="shared" si="161"/>
        <v/>
      </c>
      <c r="AE1241" t="str">
        <f t="shared" si="162"/>
        <v/>
      </c>
      <c r="AF1241" t="str">
        <f t="shared" si="163"/>
        <v/>
      </c>
    </row>
    <row r="1242" spans="28:32" x14ac:dyDescent="0.3">
      <c r="AB1242" t="str">
        <f t="shared" si="159"/>
        <v/>
      </c>
      <c r="AC1242" t="str">
        <f t="shared" si="160"/>
        <v/>
      </c>
      <c r="AD1242" t="str">
        <f t="shared" si="161"/>
        <v/>
      </c>
      <c r="AE1242" t="str">
        <f t="shared" si="162"/>
        <v/>
      </c>
      <c r="AF1242" t="str">
        <f t="shared" si="163"/>
        <v/>
      </c>
    </row>
    <row r="1243" spans="28:32" x14ac:dyDescent="0.3">
      <c r="AB1243" t="str">
        <f t="shared" si="159"/>
        <v/>
      </c>
      <c r="AC1243" t="str">
        <f t="shared" si="160"/>
        <v/>
      </c>
      <c r="AD1243" t="str">
        <f t="shared" si="161"/>
        <v/>
      </c>
      <c r="AE1243" t="str">
        <f t="shared" si="162"/>
        <v/>
      </c>
      <c r="AF1243" t="str">
        <f t="shared" si="163"/>
        <v/>
      </c>
    </row>
    <row r="1244" spans="28:32" x14ac:dyDescent="0.3">
      <c r="AB1244" t="str">
        <f t="shared" si="159"/>
        <v/>
      </c>
      <c r="AC1244" t="str">
        <f t="shared" si="160"/>
        <v/>
      </c>
      <c r="AD1244" t="str">
        <f t="shared" si="161"/>
        <v/>
      </c>
      <c r="AE1244" t="str">
        <f t="shared" si="162"/>
        <v/>
      </c>
      <c r="AF1244" t="str">
        <f t="shared" si="163"/>
        <v/>
      </c>
    </row>
    <row r="1245" spans="28:32" x14ac:dyDescent="0.3">
      <c r="AB1245" t="str">
        <f t="shared" si="159"/>
        <v/>
      </c>
      <c r="AC1245" t="str">
        <f t="shared" si="160"/>
        <v/>
      </c>
      <c r="AD1245" t="str">
        <f t="shared" si="161"/>
        <v/>
      </c>
      <c r="AE1245" t="str">
        <f t="shared" si="162"/>
        <v/>
      </c>
      <c r="AF1245" t="str">
        <f t="shared" si="163"/>
        <v/>
      </c>
    </row>
    <row r="1246" spans="28:32" x14ac:dyDescent="0.3">
      <c r="AB1246" t="str">
        <f t="shared" si="159"/>
        <v/>
      </c>
      <c r="AC1246" t="str">
        <f t="shared" si="160"/>
        <v/>
      </c>
      <c r="AD1246" t="str">
        <f t="shared" si="161"/>
        <v/>
      </c>
      <c r="AE1246" t="str">
        <f t="shared" si="162"/>
        <v/>
      </c>
      <c r="AF1246" t="str">
        <f t="shared" si="163"/>
        <v/>
      </c>
    </row>
    <row r="1247" spans="28:32" x14ac:dyDescent="0.3">
      <c r="AB1247" t="str">
        <f t="shared" si="159"/>
        <v/>
      </c>
      <c r="AC1247" t="str">
        <f t="shared" si="160"/>
        <v/>
      </c>
      <c r="AD1247" t="str">
        <f t="shared" si="161"/>
        <v/>
      </c>
      <c r="AE1247" t="str">
        <f t="shared" si="162"/>
        <v/>
      </c>
      <c r="AF1247" t="str">
        <f t="shared" si="163"/>
        <v/>
      </c>
    </row>
    <row r="1248" spans="28:32" x14ac:dyDescent="0.3">
      <c r="AB1248" t="str">
        <f t="shared" si="159"/>
        <v/>
      </c>
      <c r="AC1248" t="str">
        <f t="shared" si="160"/>
        <v/>
      </c>
      <c r="AD1248" t="str">
        <f t="shared" si="161"/>
        <v/>
      </c>
      <c r="AE1248" t="str">
        <f t="shared" si="162"/>
        <v/>
      </c>
      <c r="AF1248" t="str">
        <f t="shared" si="163"/>
        <v/>
      </c>
    </row>
    <row r="1249" spans="28:32" x14ac:dyDescent="0.3">
      <c r="AB1249" t="str">
        <f t="shared" si="159"/>
        <v/>
      </c>
      <c r="AC1249" t="str">
        <f t="shared" si="160"/>
        <v/>
      </c>
      <c r="AD1249" t="str">
        <f t="shared" si="161"/>
        <v/>
      </c>
      <c r="AE1249" t="str">
        <f t="shared" si="162"/>
        <v/>
      </c>
      <c r="AF1249" t="str">
        <f t="shared" si="163"/>
        <v/>
      </c>
    </row>
    <row r="1250" spans="28:32" x14ac:dyDescent="0.3">
      <c r="AB1250" t="str">
        <f t="shared" si="159"/>
        <v/>
      </c>
      <c r="AC1250" t="str">
        <f t="shared" si="160"/>
        <v/>
      </c>
      <c r="AD1250" t="str">
        <f t="shared" si="161"/>
        <v/>
      </c>
      <c r="AE1250" t="str">
        <f t="shared" si="162"/>
        <v/>
      </c>
      <c r="AF1250" t="str">
        <f t="shared" si="163"/>
        <v/>
      </c>
    </row>
    <row r="1251" spans="28:32" x14ac:dyDescent="0.3">
      <c r="AB1251" t="str">
        <f t="shared" si="159"/>
        <v/>
      </c>
      <c r="AC1251" t="str">
        <f t="shared" si="160"/>
        <v/>
      </c>
      <c r="AD1251" t="str">
        <f t="shared" si="161"/>
        <v/>
      </c>
      <c r="AE1251" t="str">
        <f t="shared" si="162"/>
        <v/>
      </c>
      <c r="AF1251" t="str">
        <f t="shared" si="163"/>
        <v/>
      </c>
    </row>
    <row r="1252" spans="28:32" x14ac:dyDescent="0.3">
      <c r="AB1252" t="str">
        <f t="shared" si="159"/>
        <v/>
      </c>
      <c r="AC1252" t="str">
        <f t="shared" si="160"/>
        <v/>
      </c>
      <c r="AD1252" t="str">
        <f t="shared" si="161"/>
        <v/>
      </c>
      <c r="AE1252" t="str">
        <f t="shared" si="162"/>
        <v/>
      </c>
      <c r="AF1252" t="str">
        <f t="shared" si="163"/>
        <v/>
      </c>
    </row>
    <row r="1253" spans="28:32" x14ac:dyDescent="0.3">
      <c r="AB1253" t="str">
        <f t="shared" si="159"/>
        <v/>
      </c>
      <c r="AC1253" t="str">
        <f t="shared" si="160"/>
        <v/>
      </c>
      <c r="AD1253" t="str">
        <f t="shared" si="161"/>
        <v/>
      </c>
      <c r="AE1253" t="str">
        <f t="shared" si="162"/>
        <v/>
      </c>
      <c r="AF1253" t="str">
        <f t="shared" si="163"/>
        <v/>
      </c>
    </row>
    <row r="1254" spans="28:32" x14ac:dyDescent="0.3">
      <c r="AB1254" t="str">
        <f t="shared" si="159"/>
        <v/>
      </c>
      <c r="AC1254" t="str">
        <f t="shared" si="160"/>
        <v/>
      </c>
      <c r="AD1254" t="str">
        <f t="shared" si="161"/>
        <v/>
      </c>
      <c r="AE1254" t="str">
        <f t="shared" si="162"/>
        <v/>
      </c>
      <c r="AF1254" t="str">
        <f t="shared" si="163"/>
        <v/>
      </c>
    </row>
    <row r="1255" spans="28:32" x14ac:dyDescent="0.3">
      <c r="AB1255" t="str">
        <f t="shared" si="159"/>
        <v/>
      </c>
      <c r="AC1255" t="str">
        <f t="shared" si="160"/>
        <v/>
      </c>
      <c r="AD1255" t="str">
        <f t="shared" si="161"/>
        <v/>
      </c>
      <c r="AE1255" t="str">
        <f t="shared" si="162"/>
        <v/>
      </c>
      <c r="AF1255" t="str">
        <f t="shared" si="163"/>
        <v/>
      </c>
    </row>
    <row r="1256" spans="28:32" x14ac:dyDescent="0.3">
      <c r="AB1256" t="str">
        <f t="shared" si="159"/>
        <v/>
      </c>
      <c r="AC1256" t="str">
        <f t="shared" si="160"/>
        <v/>
      </c>
      <c r="AD1256" t="str">
        <f t="shared" si="161"/>
        <v/>
      </c>
      <c r="AE1256" t="str">
        <f t="shared" si="162"/>
        <v/>
      </c>
      <c r="AF1256" t="str">
        <f t="shared" si="163"/>
        <v/>
      </c>
    </row>
    <row r="1257" spans="28:32" x14ac:dyDescent="0.3">
      <c r="AB1257" t="str">
        <f t="shared" si="159"/>
        <v/>
      </c>
      <c r="AC1257" t="str">
        <f t="shared" si="160"/>
        <v/>
      </c>
      <c r="AD1257" t="str">
        <f t="shared" si="161"/>
        <v/>
      </c>
      <c r="AE1257" t="str">
        <f t="shared" si="162"/>
        <v/>
      </c>
      <c r="AF1257" t="str">
        <f t="shared" si="163"/>
        <v/>
      </c>
    </row>
    <row r="1258" spans="28:32" x14ac:dyDescent="0.3">
      <c r="AB1258" t="str">
        <f t="shared" si="159"/>
        <v/>
      </c>
      <c r="AC1258" t="str">
        <f t="shared" si="160"/>
        <v/>
      </c>
      <c r="AD1258" t="str">
        <f t="shared" si="161"/>
        <v/>
      </c>
      <c r="AE1258" t="str">
        <f t="shared" si="162"/>
        <v/>
      </c>
      <c r="AF1258" t="str">
        <f t="shared" si="163"/>
        <v/>
      </c>
    </row>
    <row r="1259" spans="28:32" x14ac:dyDescent="0.3">
      <c r="AB1259" t="str">
        <f t="shared" si="159"/>
        <v/>
      </c>
      <c r="AC1259" t="str">
        <f t="shared" si="160"/>
        <v/>
      </c>
      <c r="AD1259" t="str">
        <f t="shared" si="161"/>
        <v/>
      </c>
      <c r="AE1259" t="str">
        <f t="shared" si="162"/>
        <v/>
      </c>
      <c r="AF1259" t="str">
        <f t="shared" si="163"/>
        <v/>
      </c>
    </row>
    <row r="1260" spans="28:32" x14ac:dyDescent="0.3">
      <c r="AB1260" t="str">
        <f t="shared" si="159"/>
        <v/>
      </c>
      <c r="AC1260" t="str">
        <f t="shared" si="160"/>
        <v/>
      </c>
      <c r="AD1260" t="str">
        <f t="shared" si="161"/>
        <v/>
      </c>
      <c r="AE1260" t="str">
        <f t="shared" si="162"/>
        <v/>
      </c>
      <c r="AF1260" t="str">
        <f t="shared" si="163"/>
        <v/>
      </c>
    </row>
    <row r="1261" spans="28:32" x14ac:dyDescent="0.3">
      <c r="AB1261" t="str">
        <f t="shared" si="159"/>
        <v/>
      </c>
      <c r="AC1261" t="str">
        <f t="shared" si="160"/>
        <v/>
      </c>
      <c r="AD1261" t="str">
        <f t="shared" si="161"/>
        <v/>
      </c>
      <c r="AE1261" t="str">
        <f t="shared" si="162"/>
        <v/>
      </c>
      <c r="AF1261" t="str">
        <f t="shared" si="163"/>
        <v/>
      </c>
    </row>
    <row r="1262" spans="28:32" x14ac:dyDescent="0.3">
      <c r="AB1262" t="str">
        <f t="shared" si="159"/>
        <v/>
      </c>
      <c r="AC1262" t="str">
        <f t="shared" si="160"/>
        <v/>
      </c>
      <c r="AD1262" t="str">
        <f t="shared" si="161"/>
        <v/>
      </c>
      <c r="AE1262" t="str">
        <f t="shared" si="162"/>
        <v/>
      </c>
      <c r="AF1262" t="str">
        <f t="shared" si="163"/>
        <v/>
      </c>
    </row>
    <row r="1263" spans="28:32" x14ac:dyDescent="0.3">
      <c r="AB1263" t="str">
        <f t="shared" si="159"/>
        <v/>
      </c>
      <c r="AC1263" t="str">
        <f t="shared" si="160"/>
        <v/>
      </c>
      <c r="AD1263" t="str">
        <f t="shared" si="161"/>
        <v/>
      </c>
      <c r="AE1263" t="str">
        <f t="shared" si="162"/>
        <v/>
      </c>
      <c r="AF1263" t="str">
        <f t="shared" si="163"/>
        <v/>
      </c>
    </row>
    <row r="1264" spans="28:32" x14ac:dyDescent="0.3">
      <c r="AB1264" t="str">
        <f t="shared" si="159"/>
        <v/>
      </c>
      <c r="AC1264" t="str">
        <f t="shared" si="160"/>
        <v/>
      </c>
      <c r="AD1264" t="str">
        <f t="shared" si="161"/>
        <v/>
      </c>
      <c r="AE1264" t="str">
        <f t="shared" si="162"/>
        <v/>
      </c>
      <c r="AF1264" t="str">
        <f t="shared" si="163"/>
        <v/>
      </c>
    </row>
    <row r="1265" spans="28:32" x14ac:dyDescent="0.3">
      <c r="AB1265" t="str">
        <f t="shared" si="159"/>
        <v/>
      </c>
      <c r="AC1265" t="str">
        <f t="shared" si="160"/>
        <v/>
      </c>
      <c r="AD1265" t="str">
        <f t="shared" si="161"/>
        <v/>
      </c>
      <c r="AE1265" t="str">
        <f t="shared" si="162"/>
        <v/>
      </c>
      <c r="AF1265" t="str">
        <f t="shared" si="163"/>
        <v/>
      </c>
    </row>
    <row r="1266" spans="28:32" x14ac:dyDescent="0.3">
      <c r="AB1266" t="str">
        <f t="shared" si="159"/>
        <v/>
      </c>
      <c r="AC1266" t="str">
        <f t="shared" si="160"/>
        <v/>
      </c>
      <c r="AD1266" t="str">
        <f t="shared" si="161"/>
        <v/>
      </c>
      <c r="AE1266" t="str">
        <f t="shared" si="162"/>
        <v/>
      </c>
      <c r="AF1266" t="str">
        <f t="shared" si="163"/>
        <v/>
      </c>
    </row>
    <row r="1267" spans="28:32" x14ac:dyDescent="0.3">
      <c r="AB1267" t="str">
        <f t="shared" si="159"/>
        <v/>
      </c>
      <c r="AC1267" t="str">
        <f t="shared" si="160"/>
        <v/>
      </c>
      <c r="AD1267" t="str">
        <f t="shared" si="161"/>
        <v/>
      </c>
      <c r="AE1267" t="str">
        <f t="shared" si="162"/>
        <v/>
      </c>
      <c r="AF1267" t="str">
        <f t="shared" si="163"/>
        <v/>
      </c>
    </row>
    <row r="1268" spans="28:32" x14ac:dyDescent="0.3">
      <c r="AB1268" t="str">
        <f t="shared" ref="AB1268:AB1331" si="164">IF(ROW()-$AA$51 &lt; (H$16+1)^5, MOD(_xlfn.FLOOR.MATH((ROW()-$AA$51)/AB$50), H$16+1), "")</f>
        <v/>
      </c>
      <c r="AC1268" t="str">
        <f t="shared" ref="AC1268:AC1331" si="165">IF(ROW()-$AA$51 &lt; (I$16+1)^5, MOD(_xlfn.FLOOR.MATH((ROW()-$AA$51)/AC$50), I$16+1), "")</f>
        <v/>
      </c>
      <c r="AD1268" t="str">
        <f t="shared" ref="AD1268:AD1331" si="166">IF(ROW()-$AA$51 &lt; (J$16+1)^5, MOD(_xlfn.FLOOR.MATH((ROW()-$AA$51)/AD$50), J$16+1), "")</f>
        <v/>
      </c>
      <c r="AE1268" t="str">
        <f t="shared" ref="AE1268:AE1331" si="167">IF(ROW()-$AA$51 &lt; (K$16+1)^5, MOD(_xlfn.FLOOR.MATH((ROW()-$AA$51)/AE$50), K$16+1), "")</f>
        <v/>
      </c>
      <c r="AF1268" t="str">
        <f t="shared" ref="AF1268:AF1331" si="168">IF(ROW()-$AA$51 &lt; (L$16+1)^5, MOD(_xlfn.FLOOR.MATH((ROW()-$AA$51)/AF$50), L$16+1), "")</f>
        <v/>
      </c>
    </row>
    <row r="1269" spans="28:32" x14ac:dyDescent="0.3">
      <c r="AB1269" t="str">
        <f t="shared" si="164"/>
        <v/>
      </c>
      <c r="AC1269" t="str">
        <f t="shared" si="165"/>
        <v/>
      </c>
      <c r="AD1269" t="str">
        <f t="shared" si="166"/>
        <v/>
      </c>
      <c r="AE1269" t="str">
        <f t="shared" si="167"/>
        <v/>
      </c>
      <c r="AF1269" t="str">
        <f t="shared" si="168"/>
        <v/>
      </c>
    </row>
    <row r="1270" spans="28:32" x14ac:dyDescent="0.3">
      <c r="AB1270" t="str">
        <f t="shared" si="164"/>
        <v/>
      </c>
      <c r="AC1270" t="str">
        <f t="shared" si="165"/>
        <v/>
      </c>
      <c r="AD1270" t="str">
        <f t="shared" si="166"/>
        <v/>
      </c>
      <c r="AE1270" t="str">
        <f t="shared" si="167"/>
        <v/>
      </c>
      <c r="AF1270" t="str">
        <f t="shared" si="168"/>
        <v/>
      </c>
    </row>
    <row r="1271" spans="28:32" x14ac:dyDescent="0.3">
      <c r="AB1271" t="str">
        <f t="shared" si="164"/>
        <v/>
      </c>
      <c r="AC1271" t="str">
        <f t="shared" si="165"/>
        <v/>
      </c>
      <c r="AD1271" t="str">
        <f t="shared" si="166"/>
        <v/>
      </c>
      <c r="AE1271" t="str">
        <f t="shared" si="167"/>
        <v/>
      </c>
      <c r="AF1271" t="str">
        <f t="shared" si="168"/>
        <v/>
      </c>
    </row>
    <row r="1272" spans="28:32" x14ac:dyDescent="0.3">
      <c r="AB1272" t="str">
        <f t="shared" si="164"/>
        <v/>
      </c>
      <c r="AC1272" t="str">
        <f t="shared" si="165"/>
        <v/>
      </c>
      <c r="AD1272" t="str">
        <f t="shared" si="166"/>
        <v/>
      </c>
      <c r="AE1272" t="str">
        <f t="shared" si="167"/>
        <v/>
      </c>
      <c r="AF1272" t="str">
        <f t="shared" si="168"/>
        <v/>
      </c>
    </row>
    <row r="1273" spans="28:32" x14ac:dyDescent="0.3">
      <c r="AB1273" t="str">
        <f t="shared" si="164"/>
        <v/>
      </c>
      <c r="AC1273" t="str">
        <f t="shared" si="165"/>
        <v/>
      </c>
      <c r="AD1273" t="str">
        <f t="shared" si="166"/>
        <v/>
      </c>
      <c r="AE1273" t="str">
        <f t="shared" si="167"/>
        <v/>
      </c>
      <c r="AF1273" t="str">
        <f t="shared" si="168"/>
        <v/>
      </c>
    </row>
    <row r="1274" spans="28:32" x14ac:dyDescent="0.3">
      <c r="AB1274" t="str">
        <f t="shared" si="164"/>
        <v/>
      </c>
      <c r="AC1274" t="str">
        <f t="shared" si="165"/>
        <v/>
      </c>
      <c r="AD1274" t="str">
        <f t="shared" si="166"/>
        <v/>
      </c>
      <c r="AE1274" t="str">
        <f t="shared" si="167"/>
        <v/>
      </c>
      <c r="AF1274" t="str">
        <f t="shared" si="168"/>
        <v/>
      </c>
    </row>
    <row r="1275" spans="28:32" x14ac:dyDescent="0.3">
      <c r="AB1275" t="str">
        <f t="shared" si="164"/>
        <v/>
      </c>
      <c r="AC1275" t="str">
        <f t="shared" si="165"/>
        <v/>
      </c>
      <c r="AD1275" t="str">
        <f t="shared" si="166"/>
        <v/>
      </c>
      <c r="AE1275" t="str">
        <f t="shared" si="167"/>
        <v/>
      </c>
      <c r="AF1275" t="str">
        <f t="shared" si="168"/>
        <v/>
      </c>
    </row>
    <row r="1276" spans="28:32" x14ac:dyDescent="0.3">
      <c r="AB1276" t="str">
        <f t="shared" si="164"/>
        <v/>
      </c>
      <c r="AC1276" t="str">
        <f t="shared" si="165"/>
        <v/>
      </c>
      <c r="AD1276" t="str">
        <f t="shared" si="166"/>
        <v/>
      </c>
      <c r="AE1276" t="str">
        <f t="shared" si="167"/>
        <v/>
      </c>
      <c r="AF1276" t="str">
        <f t="shared" si="168"/>
        <v/>
      </c>
    </row>
    <row r="1277" spans="28:32" x14ac:dyDescent="0.3">
      <c r="AB1277" t="str">
        <f t="shared" si="164"/>
        <v/>
      </c>
      <c r="AC1277" t="str">
        <f t="shared" si="165"/>
        <v/>
      </c>
      <c r="AD1277" t="str">
        <f t="shared" si="166"/>
        <v/>
      </c>
      <c r="AE1277" t="str">
        <f t="shared" si="167"/>
        <v/>
      </c>
      <c r="AF1277" t="str">
        <f t="shared" si="168"/>
        <v/>
      </c>
    </row>
    <row r="1278" spans="28:32" x14ac:dyDescent="0.3">
      <c r="AB1278" t="str">
        <f t="shared" si="164"/>
        <v/>
      </c>
      <c r="AC1278" t="str">
        <f t="shared" si="165"/>
        <v/>
      </c>
      <c r="AD1278" t="str">
        <f t="shared" si="166"/>
        <v/>
      </c>
      <c r="AE1278" t="str">
        <f t="shared" si="167"/>
        <v/>
      </c>
      <c r="AF1278" t="str">
        <f t="shared" si="168"/>
        <v/>
      </c>
    </row>
    <row r="1279" spans="28:32" x14ac:dyDescent="0.3">
      <c r="AB1279" t="str">
        <f t="shared" si="164"/>
        <v/>
      </c>
      <c r="AC1279" t="str">
        <f t="shared" si="165"/>
        <v/>
      </c>
      <c r="AD1279" t="str">
        <f t="shared" si="166"/>
        <v/>
      </c>
      <c r="AE1279" t="str">
        <f t="shared" si="167"/>
        <v/>
      </c>
      <c r="AF1279" t="str">
        <f t="shared" si="168"/>
        <v/>
      </c>
    </row>
    <row r="1280" spans="28:32" x14ac:dyDescent="0.3">
      <c r="AB1280" t="str">
        <f t="shared" si="164"/>
        <v/>
      </c>
      <c r="AC1280" t="str">
        <f t="shared" si="165"/>
        <v/>
      </c>
      <c r="AD1280" t="str">
        <f t="shared" si="166"/>
        <v/>
      </c>
      <c r="AE1280" t="str">
        <f t="shared" si="167"/>
        <v/>
      </c>
      <c r="AF1280" t="str">
        <f t="shared" si="168"/>
        <v/>
      </c>
    </row>
    <row r="1281" spans="28:32" x14ac:dyDescent="0.3">
      <c r="AB1281" t="str">
        <f t="shared" si="164"/>
        <v/>
      </c>
      <c r="AC1281" t="str">
        <f t="shared" si="165"/>
        <v/>
      </c>
      <c r="AD1281" t="str">
        <f t="shared" si="166"/>
        <v/>
      </c>
      <c r="AE1281" t="str">
        <f t="shared" si="167"/>
        <v/>
      </c>
      <c r="AF1281" t="str">
        <f t="shared" si="168"/>
        <v/>
      </c>
    </row>
    <row r="1282" spans="28:32" x14ac:dyDescent="0.3">
      <c r="AB1282" t="str">
        <f t="shared" si="164"/>
        <v/>
      </c>
      <c r="AC1282" t="str">
        <f t="shared" si="165"/>
        <v/>
      </c>
      <c r="AD1282" t="str">
        <f t="shared" si="166"/>
        <v/>
      </c>
      <c r="AE1282" t="str">
        <f t="shared" si="167"/>
        <v/>
      </c>
      <c r="AF1282" t="str">
        <f t="shared" si="168"/>
        <v/>
      </c>
    </row>
    <row r="1283" spans="28:32" x14ac:dyDescent="0.3">
      <c r="AB1283" t="str">
        <f t="shared" si="164"/>
        <v/>
      </c>
      <c r="AC1283" t="str">
        <f t="shared" si="165"/>
        <v/>
      </c>
      <c r="AD1283" t="str">
        <f t="shared" si="166"/>
        <v/>
      </c>
      <c r="AE1283" t="str">
        <f t="shared" si="167"/>
        <v/>
      </c>
      <c r="AF1283" t="str">
        <f t="shared" si="168"/>
        <v/>
      </c>
    </row>
    <row r="1284" spans="28:32" x14ac:dyDescent="0.3">
      <c r="AB1284" t="str">
        <f t="shared" si="164"/>
        <v/>
      </c>
      <c r="AC1284" t="str">
        <f t="shared" si="165"/>
        <v/>
      </c>
      <c r="AD1284" t="str">
        <f t="shared" si="166"/>
        <v/>
      </c>
      <c r="AE1284" t="str">
        <f t="shared" si="167"/>
        <v/>
      </c>
      <c r="AF1284" t="str">
        <f t="shared" si="168"/>
        <v/>
      </c>
    </row>
    <row r="1285" spans="28:32" x14ac:dyDescent="0.3">
      <c r="AB1285" t="str">
        <f t="shared" si="164"/>
        <v/>
      </c>
      <c r="AC1285" t="str">
        <f t="shared" si="165"/>
        <v/>
      </c>
      <c r="AD1285" t="str">
        <f t="shared" si="166"/>
        <v/>
      </c>
      <c r="AE1285" t="str">
        <f t="shared" si="167"/>
        <v/>
      </c>
      <c r="AF1285" t="str">
        <f t="shared" si="168"/>
        <v/>
      </c>
    </row>
    <row r="1286" spans="28:32" x14ac:dyDescent="0.3">
      <c r="AB1286" t="str">
        <f t="shared" si="164"/>
        <v/>
      </c>
      <c r="AC1286" t="str">
        <f t="shared" si="165"/>
        <v/>
      </c>
      <c r="AD1286" t="str">
        <f t="shared" si="166"/>
        <v/>
      </c>
      <c r="AE1286" t="str">
        <f t="shared" si="167"/>
        <v/>
      </c>
      <c r="AF1286" t="str">
        <f t="shared" si="168"/>
        <v/>
      </c>
    </row>
    <row r="1287" spans="28:32" x14ac:dyDescent="0.3">
      <c r="AB1287" t="str">
        <f t="shared" si="164"/>
        <v/>
      </c>
      <c r="AC1287" t="str">
        <f t="shared" si="165"/>
        <v/>
      </c>
      <c r="AD1287" t="str">
        <f t="shared" si="166"/>
        <v/>
      </c>
      <c r="AE1287" t="str">
        <f t="shared" si="167"/>
        <v/>
      </c>
      <c r="AF1287" t="str">
        <f t="shared" si="168"/>
        <v/>
      </c>
    </row>
    <row r="1288" spans="28:32" x14ac:dyDescent="0.3">
      <c r="AB1288" t="str">
        <f t="shared" si="164"/>
        <v/>
      </c>
      <c r="AC1288" t="str">
        <f t="shared" si="165"/>
        <v/>
      </c>
      <c r="AD1288" t="str">
        <f t="shared" si="166"/>
        <v/>
      </c>
      <c r="AE1288" t="str">
        <f t="shared" si="167"/>
        <v/>
      </c>
      <c r="AF1288" t="str">
        <f t="shared" si="168"/>
        <v/>
      </c>
    </row>
    <row r="1289" spans="28:32" x14ac:dyDescent="0.3">
      <c r="AB1289" t="str">
        <f t="shared" si="164"/>
        <v/>
      </c>
      <c r="AC1289" t="str">
        <f t="shared" si="165"/>
        <v/>
      </c>
      <c r="AD1289" t="str">
        <f t="shared" si="166"/>
        <v/>
      </c>
      <c r="AE1289" t="str">
        <f t="shared" si="167"/>
        <v/>
      </c>
      <c r="AF1289" t="str">
        <f t="shared" si="168"/>
        <v/>
      </c>
    </row>
    <row r="1290" spans="28:32" x14ac:dyDescent="0.3">
      <c r="AB1290" t="str">
        <f t="shared" si="164"/>
        <v/>
      </c>
      <c r="AC1290" t="str">
        <f t="shared" si="165"/>
        <v/>
      </c>
      <c r="AD1290" t="str">
        <f t="shared" si="166"/>
        <v/>
      </c>
      <c r="AE1290" t="str">
        <f t="shared" si="167"/>
        <v/>
      </c>
      <c r="AF1290" t="str">
        <f t="shared" si="168"/>
        <v/>
      </c>
    </row>
    <row r="1291" spans="28:32" x14ac:dyDescent="0.3">
      <c r="AB1291" t="str">
        <f t="shared" si="164"/>
        <v/>
      </c>
      <c r="AC1291" t="str">
        <f t="shared" si="165"/>
        <v/>
      </c>
      <c r="AD1291" t="str">
        <f t="shared" si="166"/>
        <v/>
      </c>
      <c r="AE1291" t="str">
        <f t="shared" si="167"/>
        <v/>
      </c>
      <c r="AF1291" t="str">
        <f t="shared" si="168"/>
        <v/>
      </c>
    </row>
    <row r="1292" spans="28:32" x14ac:dyDescent="0.3">
      <c r="AB1292" t="str">
        <f t="shared" si="164"/>
        <v/>
      </c>
      <c r="AC1292" t="str">
        <f t="shared" si="165"/>
        <v/>
      </c>
      <c r="AD1292" t="str">
        <f t="shared" si="166"/>
        <v/>
      </c>
      <c r="AE1292" t="str">
        <f t="shared" si="167"/>
        <v/>
      </c>
      <c r="AF1292" t="str">
        <f t="shared" si="168"/>
        <v/>
      </c>
    </row>
    <row r="1293" spans="28:32" x14ac:dyDescent="0.3">
      <c r="AB1293" t="str">
        <f t="shared" si="164"/>
        <v/>
      </c>
      <c r="AC1293" t="str">
        <f t="shared" si="165"/>
        <v/>
      </c>
      <c r="AD1293" t="str">
        <f t="shared" si="166"/>
        <v/>
      </c>
      <c r="AE1293" t="str">
        <f t="shared" si="167"/>
        <v/>
      </c>
      <c r="AF1293" t="str">
        <f t="shared" si="168"/>
        <v/>
      </c>
    </row>
    <row r="1294" spans="28:32" x14ac:dyDescent="0.3">
      <c r="AB1294" t="str">
        <f t="shared" si="164"/>
        <v/>
      </c>
      <c r="AC1294" t="str">
        <f t="shared" si="165"/>
        <v/>
      </c>
      <c r="AD1294" t="str">
        <f t="shared" si="166"/>
        <v/>
      </c>
      <c r="AE1294" t="str">
        <f t="shared" si="167"/>
        <v/>
      </c>
      <c r="AF1294" t="str">
        <f t="shared" si="168"/>
        <v/>
      </c>
    </row>
    <row r="1295" spans="28:32" x14ac:dyDescent="0.3">
      <c r="AB1295" t="str">
        <f t="shared" si="164"/>
        <v/>
      </c>
      <c r="AC1295" t="str">
        <f t="shared" si="165"/>
        <v/>
      </c>
      <c r="AD1295" t="str">
        <f t="shared" si="166"/>
        <v/>
      </c>
      <c r="AE1295" t="str">
        <f t="shared" si="167"/>
        <v/>
      </c>
      <c r="AF1295" t="str">
        <f t="shared" si="168"/>
        <v/>
      </c>
    </row>
    <row r="1296" spans="28:32" x14ac:dyDescent="0.3">
      <c r="AB1296" t="str">
        <f t="shared" si="164"/>
        <v/>
      </c>
      <c r="AC1296" t="str">
        <f t="shared" si="165"/>
        <v/>
      </c>
      <c r="AD1296" t="str">
        <f t="shared" si="166"/>
        <v/>
      </c>
      <c r="AE1296" t="str">
        <f t="shared" si="167"/>
        <v/>
      </c>
      <c r="AF1296" t="str">
        <f t="shared" si="168"/>
        <v/>
      </c>
    </row>
    <row r="1297" spans="28:32" x14ac:dyDescent="0.3">
      <c r="AB1297" t="str">
        <f t="shared" si="164"/>
        <v/>
      </c>
      <c r="AC1297" t="str">
        <f t="shared" si="165"/>
        <v/>
      </c>
      <c r="AD1297" t="str">
        <f t="shared" si="166"/>
        <v/>
      </c>
      <c r="AE1297" t="str">
        <f t="shared" si="167"/>
        <v/>
      </c>
      <c r="AF1297" t="str">
        <f t="shared" si="168"/>
        <v/>
      </c>
    </row>
    <row r="1298" spans="28:32" x14ac:dyDescent="0.3">
      <c r="AB1298" t="str">
        <f t="shared" si="164"/>
        <v/>
      </c>
      <c r="AC1298" t="str">
        <f t="shared" si="165"/>
        <v/>
      </c>
      <c r="AD1298" t="str">
        <f t="shared" si="166"/>
        <v/>
      </c>
      <c r="AE1298" t="str">
        <f t="shared" si="167"/>
        <v/>
      </c>
      <c r="AF1298" t="str">
        <f t="shared" si="168"/>
        <v/>
      </c>
    </row>
    <row r="1299" spans="28:32" x14ac:dyDescent="0.3">
      <c r="AB1299" t="str">
        <f t="shared" si="164"/>
        <v/>
      </c>
      <c r="AC1299" t="str">
        <f t="shared" si="165"/>
        <v/>
      </c>
      <c r="AD1299" t="str">
        <f t="shared" si="166"/>
        <v/>
      </c>
      <c r="AE1299" t="str">
        <f t="shared" si="167"/>
        <v/>
      </c>
      <c r="AF1299" t="str">
        <f t="shared" si="168"/>
        <v/>
      </c>
    </row>
    <row r="1300" spans="28:32" x14ac:dyDescent="0.3">
      <c r="AB1300" t="str">
        <f t="shared" si="164"/>
        <v/>
      </c>
      <c r="AC1300" t="str">
        <f t="shared" si="165"/>
        <v/>
      </c>
      <c r="AD1300" t="str">
        <f t="shared" si="166"/>
        <v/>
      </c>
      <c r="AE1300" t="str">
        <f t="shared" si="167"/>
        <v/>
      </c>
      <c r="AF1300" t="str">
        <f t="shared" si="168"/>
        <v/>
      </c>
    </row>
    <row r="1301" spans="28:32" x14ac:dyDescent="0.3">
      <c r="AB1301" t="str">
        <f t="shared" si="164"/>
        <v/>
      </c>
      <c r="AC1301" t="str">
        <f t="shared" si="165"/>
        <v/>
      </c>
      <c r="AD1301" t="str">
        <f t="shared" si="166"/>
        <v/>
      </c>
      <c r="AE1301" t="str">
        <f t="shared" si="167"/>
        <v/>
      </c>
      <c r="AF1301" t="str">
        <f t="shared" si="168"/>
        <v/>
      </c>
    </row>
    <row r="1302" spans="28:32" x14ac:dyDescent="0.3">
      <c r="AB1302" t="str">
        <f t="shared" si="164"/>
        <v/>
      </c>
      <c r="AC1302" t="str">
        <f t="shared" si="165"/>
        <v/>
      </c>
      <c r="AD1302" t="str">
        <f t="shared" si="166"/>
        <v/>
      </c>
      <c r="AE1302" t="str">
        <f t="shared" si="167"/>
        <v/>
      </c>
      <c r="AF1302" t="str">
        <f t="shared" si="168"/>
        <v/>
      </c>
    </row>
    <row r="1303" spans="28:32" x14ac:dyDescent="0.3">
      <c r="AB1303" t="str">
        <f t="shared" si="164"/>
        <v/>
      </c>
      <c r="AC1303" t="str">
        <f t="shared" si="165"/>
        <v/>
      </c>
      <c r="AD1303" t="str">
        <f t="shared" si="166"/>
        <v/>
      </c>
      <c r="AE1303" t="str">
        <f t="shared" si="167"/>
        <v/>
      </c>
      <c r="AF1303" t="str">
        <f t="shared" si="168"/>
        <v/>
      </c>
    </row>
    <row r="1304" spans="28:32" x14ac:dyDescent="0.3">
      <c r="AB1304" t="str">
        <f t="shared" si="164"/>
        <v/>
      </c>
      <c r="AC1304" t="str">
        <f t="shared" si="165"/>
        <v/>
      </c>
      <c r="AD1304" t="str">
        <f t="shared" si="166"/>
        <v/>
      </c>
      <c r="AE1304" t="str">
        <f t="shared" si="167"/>
        <v/>
      </c>
      <c r="AF1304" t="str">
        <f t="shared" si="168"/>
        <v/>
      </c>
    </row>
    <row r="1305" spans="28:32" x14ac:dyDescent="0.3">
      <c r="AB1305" t="str">
        <f t="shared" si="164"/>
        <v/>
      </c>
      <c r="AC1305" t="str">
        <f t="shared" si="165"/>
        <v/>
      </c>
      <c r="AD1305" t="str">
        <f t="shared" si="166"/>
        <v/>
      </c>
      <c r="AE1305" t="str">
        <f t="shared" si="167"/>
        <v/>
      </c>
      <c r="AF1305" t="str">
        <f t="shared" si="168"/>
        <v/>
      </c>
    </row>
    <row r="1306" spans="28:32" x14ac:dyDescent="0.3">
      <c r="AB1306" t="str">
        <f t="shared" si="164"/>
        <v/>
      </c>
      <c r="AC1306" t="str">
        <f t="shared" si="165"/>
        <v/>
      </c>
      <c r="AD1306" t="str">
        <f t="shared" si="166"/>
        <v/>
      </c>
      <c r="AE1306" t="str">
        <f t="shared" si="167"/>
        <v/>
      </c>
      <c r="AF1306" t="str">
        <f t="shared" si="168"/>
        <v/>
      </c>
    </row>
    <row r="1307" spans="28:32" x14ac:dyDescent="0.3">
      <c r="AB1307" t="str">
        <f t="shared" si="164"/>
        <v/>
      </c>
      <c r="AC1307" t="str">
        <f t="shared" si="165"/>
        <v/>
      </c>
      <c r="AD1307" t="str">
        <f t="shared" si="166"/>
        <v/>
      </c>
      <c r="AE1307" t="str">
        <f t="shared" si="167"/>
        <v/>
      </c>
      <c r="AF1307" t="str">
        <f t="shared" si="168"/>
        <v/>
      </c>
    </row>
    <row r="1308" spans="28:32" x14ac:dyDescent="0.3">
      <c r="AB1308" t="str">
        <f t="shared" si="164"/>
        <v/>
      </c>
      <c r="AC1308" t="str">
        <f t="shared" si="165"/>
        <v/>
      </c>
      <c r="AD1308" t="str">
        <f t="shared" si="166"/>
        <v/>
      </c>
      <c r="AE1308" t="str">
        <f t="shared" si="167"/>
        <v/>
      </c>
      <c r="AF1308" t="str">
        <f t="shared" si="168"/>
        <v/>
      </c>
    </row>
    <row r="1309" spans="28:32" x14ac:dyDescent="0.3">
      <c r="AB1309" t="str">
        <f t="shared" si="164"/>
        <v/>
      </c>
      <c r="AC1309" t="str">
        <f t="shared" si="165"/>
        <v/>
      </c>
      <c r="AD1309" t="str">
        <f t="shared" si="166"/>
        <v/>
      </c>
      <c r="AE1309" t="str">
        <f t="shared" si="167"/>
        <v/>
      </c>
      <c r="AF1309" t="str">
        <f t="shared" si="168"/>
        <v/>
      </c>
    </row>
    <row r="1310" spans="28:32" x14ac:dyDescent="0.3">
      <c r="AB1310" t="str">
        <f t="shared" si="164"/>
        <v/>
      </c>
      <c r="AC1310" t="str">
        <f t="shared" si="165"/>
        <v/>
      </c>
      <c r="AD1310" t="str">
        <f t="shared" si="166"/>
        <v/>
      </c>
      <c r="AE1310" t="str">
        <f t="shared" si="167"/>
        <v/>
      </c>
      <c r="AF1310" t="str">
        <f t="shared" si="168"/>
        <v/>
      </c>
    </row>
    <row r="1311" spans="28:32" x14ac:dyDescent="0.3">
      <c r="AB1311" t="str">
        <f t="shared" si="164"/>
        <v/>
      </c>
      <c r="AC1311" t="str">
        <f t="shared" si="165"/>
        <v/>
      </c>
      <c r="AD1311" t="str">
        <f t="shared" si="166"/>
        <v/>
      </c>
      <c r="AE1311" t="str">
        <f t="shared" si="167"/>
        <v/>
      </c>
      <c r="AF1311" t="str">
        <f t="shared" si="168"/>
        <v/>
      </c>
    </row>
    <row r="1312" spans="28:32" x14ac:dyDescent="0.3">
      <c r="AB1312" t="str">
        <f t="shared" si="164"/>
        <v/>
      </c>
      <c r="AC1312" t="str">
        <f t="shared" si="165"/>
        <v/>
      </c>
      <c r="AD1312" t="str">
        <f t="shared" si="166"/>
        <v/>
      </c>
      <c r="AE1312" t="str">
        <f t="shared" si="167"/>
        <v/>
      </c>
      <c r="AF1312" t="str">
        <f t="shared" si="168"/>
        <v/>
      </c>
    </row>
    <row r="1313" spans="28:32" x14ac:dyDescent="0.3">
      <c r="AB1313" t="str">
        <f t="shared" si="164"/>
        <v/>
      </c>
      <c r="AC1313" t="str">
        <f t="shared" si="165"/>
        <v/>
      </c>
      <c r="AD1313" t="str">
        <f t="shared" si="166"/>
        <v/>
      </c>
      <c r="AE1313" t="str">
        <f t="shared" si="167"/>
        <v/>
      </c>
      <c r="AF1313" t="str">
        <f t="shared" si="168"/>
        <v/>
      </c>
    </row>
    <row r="1314" spans="28:32" x14ac:dyDescent="0.3">
      <c r="AB1314" t="str">
        <f t="shared" si="164"/>
        <v/>
      </c>
      <c r="AC1314" t="str">
        <f t="shared" si="165"/>
        <v/>
      </c>
      <c r="AD1314" t="str">
        <f t="shared" si="166"/>
        <v/>
      </c>
      <c r="AE1314" t="str">
        <f t="shared" si="167"/>
        <v/>
      </c>
      <c r="AF1314" t="str">
        <f t="shared" si="168"/>
        <v/>
      </c>
    </row>
    <row r="1315" spans="28:32" x14ac:dyDescent="0.3">
      <c r="AB1315" t="str">
        <f t="shared" si="164"/>
        <v/>
      </c>
      <c r="AC1315" t="str">
        <f t="shared" si="165"/>
        <v/>
      </c>
      <c r="AD1315" t="str">
        <f t="shared" si="166"/>
        <v/>
      </c>
      <c r="AE1315" t="str">
        <f t="shared" si="167"/>
        <v/>
      </c>
      <c r="AF1315" t="str">
        <f t="shared" si="168"/>
        <v/>
      </c>
    </row>
    <row r="1316" spans="28:32" x14ac:dyDescent="0.3">
      <c r="AB1316" t="str">
        <f t="shared" si="164"/>
        <v/>
      </c>
      <c r="AC1316" t="str">
        <f t="shared" si="165"/>
        <v/>
      </c>
      <c r="AD1316" t="str">
        <f t="shared" si="166"/>
        <v/>
      </c>
      <c r="AE1316" t="str">
        <f t="shared" si="167"/>
        <v/>
      </c>
      <c r="AF1316" t="str">
        <f t="shared" si="168"/>
        <v/>
      </c>
    </row>
    <row r="1317" spans="28:32" x14ac:dyDescent="0.3">
      <c r="AB1317" t="str">
        <f t="shared" si="164"/>
        <v/>
      </c>
      <c r="AC1317" t="str">
        <f t="shared" si="165"/>
        <v/>
      </c>
      <c r="AD1317" t="str">
        <f t="shared" si="166"/>
        <v/>
      </c>
      <c r="AE1317" t="str">
        <f t="shared" si="167"/>
        <v/>
      </c>
      <c r="AF1317" t="str">
        <f t="shared" si="168"/>
        <v/>
      </c>
    </row>
    <row r="1318" spans="28:32" x14ac:dyDescent="0.3">
      <c r="AB1318" t="str">
        <f t="shared" si="164"/>
        <v/>
      </c>
      <c r="AC1318" t="str">
        <f t="shared" si="165"/>
        <v/>
      </c>
      <c r="AD1318" t="str">
        <f t="shared" si="166"/>
        <v/>
      </c>
      <c r="AE1318" t="str">
        <f t="shared" si="167"/>
        <v/>
      </c>
      <c r="AF1318" t="str">
        <f t="shared" si="168"/>
        <v/>
      </c>
    </row>
    <row r="1319" spans="28:32" x14ac:dyDescent="0.3">
      <c r="AB1319" t="str">
        <f t="shared" si="164"/>
        <v/>
      </c>
      <c r="AC1319" t="str">
        <f t="shared" si="165"/>
        <v/>
      </c>
      <c r="AD1319" t="str">
        <f t="shared" si="166"/>
        <v/>
      </c>
      <c r="AE1319" t="str">
        <f t="shared" si="167"/>
        <v/>
      </c>
      <c r="AF1319" t="str">
        <f t="shared" si="168"/>
        <v/>
      </c>
    </row>
    <row r="1320" spans="28:32" x14ac:dyDescent="0.3">
      <c r="AB1320" t="str">
        <f t="shared" si="164"/>
        <v/>
      </c>
      <c r="AC1320" t="str">
        <f t="shared" si="165"/>
        <v/>
      </c>
      <c r="AD1320" t="str">
        <f t="shared" si="166"/>
        <v/>
      </c>
      <c r="AE1320" t="str">
        <f t="shared" si="167"/>
        <v/>
      </c>
      <c r="AF1320" t="str">
        <f t="shared" si="168"/>
        <v/>
      </c>
    </row>
    <row r="1321" spans="28:32" x14ac:dyDescent="0.3">
      <c r="AB1321" t="str">
        <f t="shared" si="164"/>
        <v/>
      </c>
      <c r="AC1321" t="str">
        <f t="shared" si="165"/>
        <v/>
      </c>
      <c r="AD1321" t="str">
        <f t="shared" si="166"/>
        <v/>
      </c>
      <c r="AE1321" t="str">
        <f t="shared" si="167"/>
        <v/>
      </c>
      <c r="AF1321" t="str">
        <f t="shared" si="168"/>
        <v/>
      </c>
    </row>
    <row r="1322" spans="28:32" x14ac:dyDescent="0.3">
      <c r="AB1322" t="str">
        <f t="shared" si="164"/>
        <v/>
      </c>
      <c r="AC1322" t="str">
        <f t="shared" si="165"/>
        <v/>
      </c>
      <c r="AD1322" t="str">
        <f t="shared" si="166"/>
        <v/>
      </c>
      <c r="AE1322" t="str">
        <f t="shared" si="167"/>
        <v/>
      </c>
      <c r="AF1322" t="str">
        <f t="shared" si="168"/>
        <v/>
      </c>
    </row>
    <row r="1323" spans="28:32" x14ac:dyDescent="0.3">
      <c r="AB1323" t="str">
        <f t="shared" si="164"/>
        <v/>
      </c>
      <c r="AC1323" t="str">
        <f t="shared" si="165"/>
        <v/>
      </c>
      <c r="AD1323" t="str">
        <f t="shared" si="166"/>
        <v/>
      </c>
      <c r="AE1323" t="str">
        <f t="shared" si="167"/>
        <v/>
      </c>
      <c r="AF1323" t="str">
        <f t="shared" si="168"/>
        <v/>
      </c>
    </row>
    <row r="1324" spans="28:32" x14ac:dyDescent="0.3">
      <c r="AB1324" t="str">
        <f t="shared" si="164"/>
        <v/>
      </c>
      <c r="AC1324" t="str">
        <f t="shared" si="165"/>
        <v/>
      </c>
      <c r="AD1324" t="str">
        <f t="shared" si="166"/>
        <v/>
      </c>
      <c r="AE1324" t="str">
        <f t="shared" si="167"/>
        <v/>
      </c>
      <c r="AF1324" t="str">
        <f t="shared" si="168"/>
        <v/>
      </c>
    </row>
    <row r="1325" spans="28:32" x14ac:dyDescent="0.3">
      <c r="AB1325" t="str">
        <f t="shared" si="164"/>
        <v/>
      </c>
      <c r="AC1325" t="str">
        <f t="shared" si="165"/>
        <v/>
      </c>
      <c r="AD1325" t="str">
        <f t="shared" si="166"/>
        <v/>
      </c>
      <c r="AE1325" t="str">
        <f t="shared" si="167"/>
        <v/>
      </c>
      <c r="AF1325" t="str">
        <f t="shared" si="168"/>
        <v/>
      </c>
    </row>
    <row r="1326" spans="28:32" x14ac:dyDescent="0.3">
      <c r="AB1326" t="str">
        <f t="shared" si="164"/>
        <v/>
      </c>
      <c r="AC1326" t="str">
        <f t="shared" si="165"/>
        <v/>
      </c>
      <c r="AD1326" t="str">
        <f t="shared" si="166"/>
        <v/>
      </c>
      <c r="AE1326" t="str">
        <f t="shared" si="167"/>
        <v/>
      </c>
      <c r="AF1326" t="str">
        <f t="shared" si="168"/>
        <v/>
      </c>
    </row>
    <row r="1327" spans="28:32" x14ac:dyDescent="0.3">
      <c r="AB1327" t="str">
        <f t="shared" si="164"/>
        <v/>
      </c>
      <c r="AC1327" t="str">
        <f t="shared" si="165"/>
        <v/>
      </c>
      <c r="AD1327" t="str">
        <f t="shared" si="166"/>
        <v/>
      </c>
      <c r="AE1327" t="str">
        <f t="shared" si="167"/>
        <v/>
      </c>
      <c r="AF1327" t="str">
        <f t="shared" si="168"/>
        <v/>
      </c>
    </row>
    <row r="1328" spans="28:32" x14ac:dyDescent="0.3">
      <c r="AB1328" t="str">
        <f t="shared" si="164"/>
        <v/>
      </c>
      <c r="AC1328" t="str">
        <f t="shared" si="165"/>
        <v/>
      </c>
      <c r="AD1328" t="str">
        <f t="shared" si="166"/>
        <v/>
      </c>
      <c r="AE1328" t="str">
        <f t="shared" si="167"/>
        <v/>
      </c>
      <c r="AF1328" t="str">
        <f t="shared" si="168"/>
        <v/>
      </c>
    </row>
    <row r="1329" spans="28:32" x14ac:dyDescent="0.3">
      <c r="AB1329" t="str">
        <f t="shared" si="164"/>
        <v/>
      </c>
      <c r="AC1329" t="str">
        <f t="shared" si="165"/>
        <v/>
      </c>
      <c r="AD1329" t="str">
        <f t="shared" si="166"/>
        <v/>
      </c>
      <c r="AE1329" t="str">
        <f t="shared" si="167"/>
        <v/>
      </c>
      <c r="AF1329" t="str">
        <f t="shared" si="168"/>
        <v/>
      </c>
    </row>
    <row r="1330" spans="28:32" x14ac:dyDescent="0.3">
      <c r="AB1330" t="str">
        <f t="shared" si="164"/>
        <v/>
      </c>
      <c r="AC1330" t="str">
        <f t="shared" si="165"/>
        <v/>
      </c>
      <c r="AD1330" t="str">
        <f t="shared" si="166"/>
        <v/>
      </c>
      <c r="AE1330" t="str">
        <f t="shared" si="167"/>
        <v/>
      </c>
      <c r="AF1330" t="str">
        <f t="shared" si="168"/>
        <v/>
      </c>
    </row>
    <row r="1331" spans="28:32" x14ac:dyDescent="0.3">
      <c r="AB1331" t="str">
        <f t="shared" si="164"/>
        <v/>
      </c>
      <c r="AC1331" t="str">
        <f t="shared" si="165"/>
        <v/>
      </c>
      <c r="AD1331" t="str">
        <f t="shared" si="166"/>
        <v/>
      </c>
      <c r="AE1331" t="str">
        <f t="shared" si="167"/>
        <v/>
      </c>
      <c r="AF1331" t="str">
        <f t="shared" si="168"/>
        <v/>
      </c>
    </row>
    <row r="1332" spans="28:32" x14ac:dyDescent="0.3">
      <c r="AB1332" t="str">
        <f t="shared" ref="AB1332:AB1346" si="169">IF(ROW()-$AA$51 &lt; (H$16+1)^5, MOD(_xlfn.FLOOR.MATH((ROW()-$AA$51)/AB$50), H$16+1), "")</f>
        <v/>
      </c>
      <c r="AC1332" t="str">
        <f t="shared" ref="AC1332:AC1346" si="170">IF(ROW()-$AA$51 &lt; (I$16+1)^5, MOD(_xlfn.FLOOR.MATH((ROW()-$AA$51)/AC$50), I$16+1), "")</f>
        <v/>
      </c>
      <c r="AD1332" t="str">
        <f t="shared" ref="AD1332:AD1346" si="171">IF(ROW()-$AA$51 &lt; (J$16+1)^5, MOD(_xlfn.FLOOR.MATH((ROW()-$AA$51)/AD$50), J$16+1), "")</f>
        <v/>
      </c>
      <c r="AE1332" t="str">
        <f t="shared" ref="AE1332:AE1346" si="172">IF(ROW()-$AA$51 &lt; (K$16+1)^5, MOD(_xlfn.FLOOR.MATH((ROW()-$AA$51)/AE$50), K$16+1), "")</f>
        <v/>
      </c>
      <c r="AF1332" t="str">
        <f t="shared" ref="AF1332:AF1346" si="173">IF(ROW()-$AA$51 &lt; (L$16+1)^5, MOD(_xlfn.FLOOR.MATH((ROW()-$AA$51)/AF$50), L$16+1), "")</f>
        <v/>
      </c>
    </row>
    <row r="1333" spans="28:32" x14ac:dyDescent="0.3">
      <c r="AB1333" t="str">
        <f t="shared" si="169"/>
        <v/>
      </c>
      <c r="AC1333" t="str">
        <f t="shared" si="170"/>
        <v/>
      </c>
      <c r="AD1333" t="str">
        <f t="shared" si="171"/>
        <v/>
      </c>
      <c r="AE1333" t="str">
        <f t="shared" si="172"/>
        <v/>
      </c>
      <c r="AF1333" t="str">
        <f t="shared" si="173"/>
        <v/>
      </c>
    </row>
    <row r="1334" spans="28:32" x14ac:dyDescent="0.3">
      <c r="AB1334" t="str">
        <f t="shared" si="169"/>
        <v/>
      </c>
      <c r="AC1334" t="str">
        <f t="shared" si="170"/>
        <v/>
      </c>
      <c r="AD1334" t="str">
        <f t="shared" si="171"/>
        <v/>
      </c>
      <c r="AE1334" t="str">
        <f t="shared" si="172"/>
        <v/>
      </c>
      <c r="AF1334" t="str">
        <f t="shared" si="173"/>
        <v/>
      </c>
    </row>
    <row r="1335" spans="28:32" x14ac:dyDescent="0.3">
      <c r="AB1335" t="str">
        <f t="shared" si="169"/>
        <v/>
      </c>
      <c r="AC1335" t="str">
        <f t="shared" si="170"/>
        <v/>
      </c>
      <c r="AD1335" t="str">
        <f t="shared" si="171"/>
        <v/>
      </c>
      <c r="AE1335" t="str">
        <f t="shared" si="172"/>
        <v/>
      </c>
      <c r="AF1335" t="str">
        <f t="shared" si="173"/>
        <v/>
      </c>
    </row>
    <row r="1336" spans="28:32" x14ac:dyDescent="0.3">
      <c r="AB1336" t="str">
        <f t="shared" si="169"/>
        <v/>
      </c>
      <c r="AC1336" t="str">
        <f t="shared" si="170"/>
        <v/>
      </c>
      <c r="AD1336" t="str">
        <f t="shared" si="171"/>
        <v/>
      </c>
      <c r="AE1336" t="str">
        <f t="shared" si="172"/>
        <v/>
      </c>
      <c r="AF1336" t="str">
        <f t="shared" si="173"/>
        <v/>
      </c>
    </row>
    <row r="1337" spans="28:32" x14ac:dyDescent="0.3">
      <c r="AB1337" t="str">
        <f t="shared" si="169"/>
        <v/>
      </c>
      <c r="AC1337" t="str">
        <f t="shared" si="170"/>
        <v/>
      </c>
      <c r="AD1337" t="str">
        <f t="shared" si="171"/>
        <v/>
      </c>
      <c r="AE1337" t="str">
        <f t="shared" si="172"/>
        <v/>
      </c>
      <c r="AF1337" t="str">
        <f t="shared" si="173"/>
        <v/>
      </c>
    </row>
    <row r="1338" spans="28:32" x14ac:dyDescent="0.3">
      <c r="AB1338" t="str">
        <f t="shared" si="169"/>
        <v/>
      </c>
      <c r="AC1338" t="str">
        <f t="shared" si="170"/>
        <v/>
      </c>
      <c r="AD1338" t="str">
        <f t="shared" si="171"/>
        <v/>
      </c>
      <c r="AE1338" t="str">
        <f t="shared" si="172"/>
        <v/>
      </c>
      <c r="AF1338" t="str">
        <f t="shared" si="173"/>
        <v/>
      </c>
    </row>
    <row r="1339" spans="28:32" x14ac:dyDescent="0.3">
      <c r="AB1339" t="str">
        <f t="shared" si="169"/>
        <v/>
      </c>
      <c r="AC1339" t="str">
        <f t="shared" si="170"/>
        <v/>
      </c>
      <c r="AD1339" t="str">
        <f t="shared" si="171"/>
        <v/>
      </c>
      <c r="AE1339" t="str">
        <f t="shared" si="172"/>
        <v/>
      </c>
      <c r="AF1339" t="str">
        <f t="shared" si="173"/>
        <v/>
      </c>
    </row>
    <row r="1340" spans="28:32" x14ac:dyDescent="0.3">
      <c r="AB1340" t="str">
        <f t="shared" si="169"/>
        <v/>
      </c>
      <c r="AC1340" t="str">
        <f t="shared" si="170"/>
        <v/>
      </c>
      <c r="AD1340" t="str">
        <f t="shared" si="171"/>
        <v/>
      </c>
      <c r="AE1340" t="str">
        <f t="shared" si="172"/>
        <v/>
      </c>
      <c r="AF1340" t="str">
        <f t="shared" si="173"/>
        <v/>
      </c>
    </row>
    <row r="1341" spans="28:32" x14ac:dyDescent="0.3">
      <c r="AB1341" t="str">
        <f t="shared" si="169"/>
        <v/>
      </c>
      <c r="AC1341" t="str">
        <f t="shared" si="170"/>
        <v/>
      </c>
      <c r="AD1341" t="str">
        <f t="shared" si="171"/>
        <v/>
      </c>
      <c r="AE1341" t="str">
        <f t="shared" si="172"/>
        <v/>
      </c>
      <c r="AF1341" t="str">
        <f t="shared" si="173"/>
        <v/>
      </c>
    </row>
    <row r="1342" spans="28:32" x14ac:dyDescent="0.3">
      <c r="AB1342" t="str">
        <f t="shared" si="169"/>
        <v/>
      </c>
      <c r="AC1342" t="str">
        <f t="shared" si="170"/>
        <v/>
      </c>
      <c r="AD1342" t="str">
        <f t="shared" si="171"/>
        <v/>
      </c>
      <c r="AE1342" t="str">
        <f t="shared" si="172"/>
        <v/>
      </c>
      <c r="AF1342" t="str">
        <f t="shared" si="173"/>
        <v/>
      </c>
    </row>
    <row r="1343" spans="28:32" x14ac:dyDescent="0.3">
      <c r="AB1343" t="str">
        <f t="shared" si="169"/>
        <v/>
      </c>
      <c r="AC1343" t="str">
        <f t="shared" si="170"/>
        <v/>
      </c>
      <c r="AD1343" t="str">
        <f t="shared" si="171"/>
        <v/>
      </c>
      <c r="AE1343" t="str">
        <f t="shared" si="172"/>
        <v/>
      </c>
      <c r="AF1343" t="str">
        <f t="shared" si="173"/>
        <v/>
      </c>
    </row>
    <row r="1344" spans="28:32" x14ac:dyDescent="0.3">
      <c r="AB1344" t="str">
        <f t="shared" si="169"/>
        <v/>
      </c>
      <c r="AC1344" t="str">
        <f t="shared" si="170"/>
        <v/>
      </c>
      <c r="AD1344" t="str">
        <f t="shared" si="171"/>
        <v/>
      </c>
      <c r="AE1344" t="str">
        <f t="shared" si="172"/>
        <v/>
      </c>
      <c r="AF1344" t="str">
        <f t="shared" si="173"/>
        <v/>
      </c>
    </row>
    <row r="1345" spans="28:32" x14ac:dyDescent="0.3">
      <c r="AB1345" t="str">
        <f t="shared" si="169"/>
        <v/>
      </c>
      <c r="AC1345" t="str">
        <f t="shared" si="170"/>
        <v/>
      </c>
      <c r="AD1345" t="str">
        <f t="shared" si="171"/>
        <v/>
      </c>
      <c r="AE1345" t="str">
        <f t="shared" si="172"/>
        <v/>
      </c>
      <c r="AF1345" t="str">
        <f t="shared" si="173"/>
        <v/>
      </c>
    </row>
    <row r="1346" spans="28:32" x14ac:dyDescent="0.3">
      <c r="AB1346" t="str">
        <f t="shared" si="169"/>
        <v/>
      </c>
      <c r="AC1346" t="str">
        <f t="shared" si="170"/>
        <v/>
      </c>
      <c r="AD1346" t="str">
        <f t="shared" si="171"/>
        <v/>
      </c>
      <c r="AE1346" t="str">
        <f t="shared" si="172"/>
        <v/>
      </c>
      <c r="AF1346" t="str">
        <f t="shared" si="173"/>
        <v/>
      </c>
    </row>
    <row r="1356" spans="28:32" x14ac:dyDescent="0.3">
      <c r="AB1356" t="str">
        <f t="shared" ref="AB1356:AF1361" si="174">IF(ROW()-$AA$51 &lt; (H$16+1)^5, MOD(_xlfn.FLOOR.MATH((ROW()-$AA$51)/AB$50), H$16+1), "")</f>
        <v/>
      </c>
      <c r="AC1356" t="str">
        <f t="shared" si="174"/>
        <v/>
      </c>
      <c r="AD1356" t="str">
        <f t="shared" si="174"/>
        <v/>
      </c>
      <c r="AE1356" t="str">
        <f t="shared" si="174"/>
        <v/>
      </c>
      <c r="AF1356" t="str">
        <f t="shared" si="174"/>
        <v/>
      </c>
    </row>
    <row r="1357" spans="28:32" x14ac:dyDescent="0.3">
      <c r="AB1357" t="str">
        <f t="shared" si="174"/>
        <v/>
      </c>
      <c r="AC1357" t="str">
        <f t="shared" si="174"/>
        <v/>
      </c>
      <c r="AD1357" t="str">
        <f t="shared" si="174"/>
        <v/>
      </c>
      <c r="AE1357" t="str">
        <f t="shared" si="174"/>
        <v/>
      </c>
      <c r="AF1357" t="str">
        <f t="shared" si="174"/>
        <v/>
      </c>
    </row>
    <row r="1358" spans="28:32" x14ac:dyDescent="0.3">
      <c r="AB1358" t="str">
        <f t="shared" si="174"/>
        <v/>
      </c>
      <c r="AC1358" t="str">
        <f t="shared" si="174"/>
        <v/>
      </c>
      <c r="AD1358" t="str">
        <f t="shared" si="174"/>
        <v/>
      </c>
      <c r="AE1358" t="str">
        <f t="shared" si="174"/>
        <v/>
      </c>
      <c r="AF1358" t="str">
        <f t="shared" si="174"/>
        <v/>
      </c>
    </row>
    <row r="1359" spans="28:32" x14ac:dyDescent="0.3">
      <c r="AB1359" t="str">
        <f t="shared" si="174"/>
        <v/>
      </c>
      <c r="AC1359" t="str">
        <f t="shared" si="174"/>
        <v/>
      </c>
      <c r="AD1359" t="str">
        <f t="shared" si="174"/>
        <v/>
      </c>
      <c r="AE1359" t="str">
        <f t="shared" si="174"/>
        <v/>
      </c>
      <c r="AF1359" t="str">
        <f t="shared" si="174"/>
        <v/>
      </c>
    </row>
    <row r="1360" spans="28:32" x14ac:dyDescent="0.3">
      <c r="AB1360" t="str">
        <f t="shared" si="174"/>
        <v/>
      </c>
      <c r="AC1360" t="str">
        <f t="shared" si="174"/>
        <v/>
      </c>
      <c r="AD1360" t="str">
        <f t="shared" si="174"/>
        <v/>
      </c>
      <c r="AE1360" t="str">
        <f t="shared" si="174"/>
        <v/>
      </c>
      <c r="AF1360" t="str">
        <f t="shared" si="174"/>
        <v/>
      </c>
    </row>
    <row r="1361" spans="28:32" x14ac:dyDescent="0.3">
      <c r="AB1361" t="str">
        <f t="shared" si="174"/>
        <v/>
      </c>
      <c r="AC1361" t="str">
        <f t="shared" si="174"/>
        <v/>
      </c>
      <c r="AD1361" t="str">
        <f t="shared" si="174"/>
        <v/>
      </c>
      <c r="AE1361" t="str">
        <f t="shared" si="174"/>
        <v/>
      </c>
      <c r="AF1361" t="str">
        <f t="shared" si="174"/>
        <v/>
      </c>
    </row>
  </sheetData>
  <mergeCells count="8">
    <mergeCell ref="AR17:AW17"/>
    <mergeCell ref="AN40:AN42"/>
    <mergeCell ref="AH40:AH42"/>
    <mergeCell ref="H13:J13"/>
    <mergeCell ref="N15:P15"/>
    <mergeCell ref="AB51:AF51"/>
    <mergeCell ref="U29:Y29"/>
    <mergeCell ref="AM40:AM42"/>
  </mergeCells>
  <conditionalFormatting sqref="T18:Y26 AB27 U27:Y28">
    <cfRule type="cellIs" dxfId="0" priority="1" stopIfTrue="1" operator="equal">
      <formula>0</formula>
    </cfRule>
  </conditionalFormatting>
  <pageMargins left="0.70000000000000007" right="0.70000000000000007" top="0.75" bottom="0.75" header="0.30000000000000004" footer="0.30000000000000004"/>
  <pageSetup paperSize="9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7</vt:i4>
      </vt:variant>
    </vt:vector>
  </HeadingPairs>
  <TitlesOfParts>
    <vt:vector size="7" baseType="lpstr">
      <vt:lpstr>Summary</vt:lpstr>
      <vt:lpstr>Summary_calculations</vt:lpstr>
      <vt:lpstr>BaseBonus</vt:lpstr>
      <vt:lpstr>FreeSpinsBonus</vt:lpstr>
      <vt:lpstr>ReelSet0</vt:lpstr>
      <vt:lpstr>ReelSet1</vt:lpstr>
      <vt:lpstr>Freespins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Raišp</dc:creator>
  <cp:lastModifiedBy>Raišp, Justin</cp:lastModifiedBy>
  <dcterms:created xsi:type="dcterms:W3CDTF">2025-02-11T07:56:21Z</dcterms:created>
  <dcterms:modified xsi:type="dcterms:W3CDTF">2026-01-18T12:40:27Z</dcterms:modified>
</cp:coreProperties>
</file>